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175" tabRatio="946"/>
  </bookViews>
  <sheets>
    <sheet name="目录" sheetId="181" r:id="rId1"/>
    <sheet name="1基础档案" sheetId="12" r:id="rId2"/>
    <sheet name="2物料档案" sheetId="13" r:id="rId3"/>
    <sheet name="3总体指标" sheetId="5" r:id="rId4"/>
    <sheet name="4利润表" sheetId="6" r:id="rId5"/>
    <sheet name="5大类量利（查阅）" sheetId="9" r:id="rId6"/>
    <sheet name="6大类小类量利（查阅）" sheetId="10" r:id="rId7"/>
    <sheet name="7客户产品毛利表（外销）" sheetId="78" r:id="rId8"/>
    <sheet name="8动保产品大类毛利" sheetId="110" r:id="rId9"/>
    <sheet name="9产品生产成本（类别）" sheetId="178" r:id="rId10"/>
    <sheet name="10产品生产成本（品系）" sheetId="117" r:id="rId11"/>
    <sheet name="11包材成本-采购、财务" sheetId="90" r:id="rId12"/>
    <sheet name="12制造费用-生产、财务" sheetId="91" r:id="rId13"/>
    <sheet name="13单吨制费计算表" sheetId="152" r:id="rId14"/>
    <sheet name="14饲料销量-营销部" sheetId="82" r:id="rId15"/>
    <sheet name="15动保销售额-营销部" sheetId="85" r:id="rId16"/>
    <sheet name="16动保发酵料-营销部" sheetId="104" r:id="rId17"/>
    <sheet name="17产品价目折扣表-财务部" sheetId="87" r:id="rId18"/>
    <sheet name="18产量-生产产量填报表" sheetId="182" r:id="rId19"/>
    <sheet name="19填写-配方成本-配方师" sheetId="89" r:id="rId20"/>
    <sheet name="20制造费用-填报生产部" sheetId="151" r:id="rId21"/>
    <sheet name="21人工成本明细-人资" sheetId="122" r:id="rId22"/>
    <sheet name="22销售费用-填报营销部" sheetId="41" r:id="rId23"/>
    <sheet name="23管理费用-职能部门" sheetId="179" r:id="rId24"/>
    <sheet name="24财务费用-财务部" sheetId="180" r:id="rId25"/>
    <sheet name="25营业税金及附加-财务" sheetId="118" r:id="rId26"/>
    <sheet name="26其他业务收支" sheetId="153" r:id="rId27"/>
    <sheet name="27营业外收支" sheetId="154" r:id="rId28"/>
    <sheet name="28所得税-财务" sheetId="119" r:id="rId29"/>
    <sheet name="29养殖基地-明细" sheetId="146" r:id="rId30"/>
    <sheet name="30利润调整明细（填写）" sheetId="144" r:id="rId31"/>
  </sheets>
  <externalReferences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目录!$A$1:$I$31</definedName>
    <definedName name="_xlnm._FilterDatabase" localSheetId="25" hidden="1">'25营业税金及附加-财务'!$A$9:$G$25</definedName>
    <definedName name="_xlnm._FilterDatabase" localSheetId="30" hidden="1">'30利润调整明细（填写）'!$A$13:$G$23</definedName>
    <definedName name="_B471721" localSheetId="21">#REF!</definedName>
    <definedName name="_B471721">#REF!</definedName>
    <definedName name="_Fill" localSheetId="13" hidden="1">#REF!</definedName>
    <definedName name="_Fill" localSheetId="30" hidden="1">#REF!</definedName>
    <definedName name="_Fill" localSheetId="26" hidden="1">#REF!</definedName>
    <definedName name="_Fill" localSheetId="21" hidden="1">#REF!</definedName>
    <definedName name="_Fill" localSheetId="28" hidden="1">#REF!</definedName>
    <definedName name="_Fill" localSheetId="29" hidden="1">#REF!</definedName>
    <definedName name="_Fill" localSheetId="25" hidden="1">#REF!</definedName>
    <definedName name="_Fill" localSheetId="27" hidden="1">#REF!</definedName>
    <definedName name="_Fill" localSheetId="20" hidden="1">#REF!</definedName>
    <definedName name="_Fill" hidden="1">#REF!</definedName>
    <definedName name="_xlnm._FilterDatabase" localSheetId="21" hidden="1">'21人工成本明细-人资'!$A$12:$IH$61</definedName>
    <definedName name="A" localSheetId="13">#REF!</definedName>
    <definedName name="A" localSheetId="30">#REF!</definedName>
    <definedName name="A" localSheetId="26">#REF!</definedName>
    <definedName name="A" localSheetId="21">#REF!</definedName>
    <definedName name="A" localSheetId="28">#REF!</definedName>
    <definedName name="A" localSheetId="29">#REF!</definedName>
    <definedName name="A" localSheetId="25">#REF!</definedName>
    <definedName name="A" localSheetId="27">#REF!</definedName>
    <definedName name="A" localSheetId="20">#REF!</definedName>
    <definedName name="A">#REF!</definedName>
    <definedName name="ACCT_AJE1" localSheetId="21" hidden="1">#REF!</definedName>
    <definedName name="ACCT_AJE1" hidden="1">#REF!</definedName>
    <definedName name="combo_1_1_data" localSheetId="21">#REF!</definedName>
    <definedName name="combo_1_1_data">#REF!</definedName>
    <definedName name="CompanyType" localSheetId="21">#REF!</definedName>
    <definedName name="CompanyType">#REF!</definedName>
    <definedName name="dadadadadad" localSheetId="21">#REF!</definedName>
    <definedName name="dadadadadad">#REF!</definedName>
    <definedName name="Database" localSheetId="13" hidden="1">#REF!</definedName>
    <definedName name="Database" localSheetId="30" hidden="1">#REF!</definedName>
    <definedName name="Database" localSheetId="26" hidden="1">#REF!</definedName>
    <definedName name="Database" localSheetId="21" hidden="1">#REF!</definedName>
    <definedName name="Database" localSheetId="28" hidden="1">#REF!</definedName>
    <definedName name="Database" localSheetId="29" hidden="1">#REF!</definedName>
    <definedName name="Database" localSheetId="25" hidden="1">#REF!</definedName>
    <definedName name="Database" localSheetId="27" hidden="1">#REF!</definedName>
    <definedName name="Database" localSheetId="20" hidden="1">#REF!</definedName>
    <definedName name="Database" hidden="1">#REF!</definedName>
    <definedName name="date" localSheetId="21">#REF!</definedName>
    <definedName name="date">#REF!</definedName>
    <definedName name="didi" localSheetId="13">#REF!</definedName>
    <definedName name="didi" localSheetId="30">#REF!</definedName>
    <definedName name="didi" localSheetId="26">#REF!</definedName>
    <definedName name="didi" localSheetId="21">#REF!</definedName>
    <definedName name="didi" localSheetId="29">#REF!</definedName>
    <definedName name="didi" localSheetId="27">#REF!</definedName>
    <definedName name="didi" localSheetId="20">#REF!</definedName>
    <definedName name="didi">#REF!</definedName>
    <definedName name="DSFD" localSheetId="21">#REF!</definedName>
    <definedName name="DSFD">#REF!</definedName>
    <definedName name="HTML_CodePage" hidden="1">936</definedName>
    <definedName name="HTML_Control" hidden="1">{"'消耗表4'!$A$1:$E$7"}</definedName>
    <definedName name="HTML_Description" hidden="1">""</definedName>
    <definedName name="HTML_Email" hidden="1">""</definedName>
    <definedName name="HTML_Header" hidden="1">"消耗表4"</definedName>
    <definedName name="HTML_LastUpdate" hidden="1">"02-5-27"</definedName>
    <definedName name="HTML_LineAfter" hidden="1">FALSE</definedName>
    <definedName name="HTML_LineBefore" hidden="1">FALSE</definedName>
    <definedName name="HTML_Name" hidden="1">"siid"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"材料总表200425"</definedName>
    <definedName name="Kemu1" localSheetId="21">INDIRECT("目录!$B$2:$B$"&amp;COUNTA(#REF!))</definedName>
    <definedName name="Kemu1">INDIRECT("目录!$B$2:$B$"&amp;COUNTA(#REF!))</definedName>
    <definedName name="_xlnm.Print_Area" localSheetId="13" hidden="1">#REF!</definedName>
    <definedName name="_xlnm.Print_Area" localSheetId="30" hidden="1">#REF!</definedName>
    <definedName name="_xlnm.Print_Area" localSheetId="26" hidden="1">#REF!</definedName>
    <definedName name="_xlnm.Print_Area" localSheetId="21" hidden="1">#REF!</definedName>
    <definedName name="_xlnm.Print_Area" localSheetId="29" hidden="1">#REF!</definedName>
    <definedName name="_xlnm.Print_Area" localSheetId="27" hidden="1">#REF!</definedName>
    <definedName name="_xlnm.Print_Area" localSheetId="20" hidden="1">#REF!</definedName>
    <definedName name="_xlnm.Print_Area" hidden="1">#REF!</definedName>
    <definedName name="Print_Area_MI" localSheetId="13">#REF!</definedName>
    <definedName name="Print_Area_MI" localSheetId="30">#REF!</definedName>
    <definedName name="Print_Area_MI" localSheetId="26">#REF!</definedName>
    <definedName name="Print_Area_MI" localSheetId="21">#REF!</definedName>
    <definedName name="Print_Area_MI" localSheetId="29">#REF!</definedName>
    <definedName name="Print_Area_MI" localSheetId="27">#REF!</definedName>
    <definedName name="Print_Area_MI" localSheetId="20">#REF!</definedName>
    <definedName name="Print_Area_MI">#REF!</definedName>
    <definedName name="select" localSheetId="13">#REF!</definedName>
    <definedName name="select" localSheetId="30">#REF!</definedName>
    <definedName name="select" localSheetId="26">#REF!</definedName>
    <definedName name="select" localSheetId="21">#REF!</definedName>
    <definedName name="select" localSheetId="29">#REF!</definedName>
    <definedName name="select" localSheetId="27">#REF!</definedName>
    <definedName name="select" localSheetId="20">#REF!</definedName>
    <definedName name="select">#REF!</definedName>
    <definedName name="Sheet_AcctClass" localSheetId="21" hidden="1">#REF!</definedName>
    <definedName name="Sheet_AcctClass" hidden="1">#REF!</definedName>
    <definedName name="Sheet_AjeProof" localSheetId="21" hidden="1">#REF!</definedName>
    <definedName name="Sheet_AjeProof" hidden="1">#REF!</definedName>
    <definedName name="Sheet_AjeSatus" localSheetId="21" hidden="1">#REF!</definedName>
    <definedName name="Sheet_AjeSatus" hidden="1">#REF!</definedName>
    <definedName name="Sheet_ConTrialbal" localSheetId="21">#REF!</definedName>
    <definedName name="Sheet_ConTrialbal">#REF!</definedName>
    <definedName name="Sheet_Items" localSheetId="21" hidden="1">#REF!</definedName>
    <definedName name="Sheet_Items" hidden="1">#REF!</definedName>
    <definedName name="Sheet_Items2" localSheetId="21" hidden="1">#REF!</definedName>
    <definedName name="Sheet_Items2" hidden="1">#REF!</definedName>
    <definedName name="Sheet_MisstaCause" localSheetId="21" hidden="1">#REF!</definedName>
    <definedName name="Sheet_MisstaCause" hidden="1">#REF!</definedName>
    <definedName name="Sheet_MisstaType" localSheetId="21" hidden="1">#REF!</definedName>
    <definedName name="Sheet_MisstaType" hidden="1">#REF!</definedName>
    <definedName name="TM1REBUILDOPTION">1</definedName>
    <definedName name="啊" localSheetId="13">#REF!</definedName>
    <definedName name="啊" localSheetId="30">#REF!</definedName>
    <definedName name="啊" localSheetId="26">#REF!</definedName>
    <definedName name="啊" localSheetId="21">#REF!</definedName>
    <definedName name="啊" localSheetId="29">#REF!</definedName>
    <definedName name="啊" localSheetId="27">#REF!</definedName>
    <definedName name="啊" localSheetId="20">#REF!</definedName>
    <definedName name="啊">#REF!</definedName>
    <definedName name="澳保" localSheetId="30">#REF!</definedName>
    <definedName name="澳保" localSheetId="21">#REF!</definedName>
    <definedName name="澳保" localSheetId="29">#REF!</definedName>
    <definedName name="澳保">#REF!</definedName>
    <definedName name="部门" localSheetId="21">OFFSET(#REF!,1,,COUNTA(#REF!))</definedName>
    <definedName name="部门">OFFSET(#REF!,1,,COUNTA(#REF!))</definedName>
    <definedName name="仓库选择" localSheetId="21">#REF!</definedName>
    <definedName name="仓库选择">#REF!</definedName>
    <definedName name="操作序列">[1]公式下拉表辅助!$F$4:$F$6</definedName>
    <definedName name="产品大类" localSheetId="13">#REF!</definedName>
    <definedName name="产品大类" localSheetId="30">#REF!</definedName>
    <definedName name="产品大类" localSheetId="26">#REF!</definedName>
    <definedName name="产品大类" localSheetId="21">#REF!</definedName>
    <definedName name="产品大类" localSheetId="28">#REF!</definedName>
    <definedName name="产品大类" localSheetId="29">#REF!</definedName>
    <definedName name="产品大类" localSheetId="25">#REF!</definedName>
    <definedName name="产品大类" localSheetId="27">#REF!</definedName>
    <definedName name="产品大类" localSheetId="20">#REF!</definedName>
    <definedName name="产品大类">#REF!</definedName>
    <definedName name="产品大类1" localSheetId="21">#REF!</definedName>
    <definedName name="产品大类1">#REF!</definedName>
    <definedName name="沉水鱼料" localSheetId="21">#REF!</definedName>
    <definedName name="沉水鱼料">#REF!</definedName>
    <definedName name="成本计算单_汇总显示_" localSheetId="21">#REF!</definedName>
    <definedName name="成本计算单_汇总显示_">#REF!</definedName>
    <definedName name="出貨明細" hidden="1">{"'消耗表4'!$A$1:$E$7"}</definedName>
    <definedName name="出貨通知單" hidden="1">{"'消耗表4'!$A$1:$E$7"}</definedName>
    <definedName name="畜禽料">#REF!</definedName>
    <definedName name="大区" localSheetId="21">#REF!</definedName>
    <definedName name="大区">#REF!</definedName>
    <definedName name="高档膨化鱼料" localSheetId="21">#REF!</definedName>
    <definedName name="高档膨化鱼料">#REF!</definedName>
    <definedName name="公司" localSheetId="21">OFFSET(#REF!,1,,COUNTA(#REF!))</definedName>
    <definedName name="公司">OFFSET(#REF!,1,,COUNTA(#REF!))</definedName>
    <definedName name="管理序列">[1]公式下拉表辅助!$B$4:$B$6</definedName>
    <definedName name="哈哈" localSheetId="21">#REF!</definedName>
    <definedName name="哈哈">#REF!</definedName>
    <definedName name="海特料">#REF!</definedName>
    <definedName name="华东" localSheetId="30">#REF!</definedName>
    <definedName name="华东" localSheetId="21">#REF!</definedName>
    <definedName name="华东" localSheetId="29">#REF!</definedName>
    <definedName name="华东">#REF!</definedName>
    <definedName name="华东区" localSheetId="13">#REF!</definedName>
    <definedName name="华东区" localSheetId="30">#REF!</definedName>
    <definedName name="华东区" localSheetId="26">#REF!</definedName>
    <definedName name="华东区" localSheetId="21">#REF!</definedName>
    <definedName name="华东区" localSheetId="29">#REF!</definedName>
    <definedName name="华东区" localSheetId="27">#REF!</definedName>
    <definedName name="华东区" localSheetId="20">#REF!</definedName>
    <definedName name="华东区">#REF!</definedName>
    <definedName name="华南" localSheetId="30">#REF!</definedName>
    <definedName name="华南" localSheetId="21">#REF!</definedName>
    <definedName name="华南" localSheetId="29">#REF!</definedName>
    <definedName name="华南">#REF!</definedName>
    <definedName name="华南区" localSheetId="13">#REF!</definedName>
    <definedName name="华南区" localSheetId="30">#REF!</definedName>
    <definedName name="华南区" localSheetId="26">#REF!</definedName>
    <definedName name="华南区" localSheetId="21">#REF!</definedName>
    <definedName name="华南区" localSheetId="29">#REF!</definedName>
    <definedName name="华南区" localSheetId="27">#REF!</definedName>
    <definedName name="华南区" localSheetId="20">#REF!</definedName>
    <definedName name="华南区">#REF!</definedName>
    <definedName name="华中" localSheetId="30">#REF!</definedName>
    <definedName name="华中" localSheetId="21">#REF!</definedName>
    <definedName name="华中" localSheetId="29">#REF!</definedName>
    <definedName name="华中">#REF!</definedName>
    <definedName name="华中区" localSheetId="13">#REF!</definedName>
    <definedName name="华中区" localSheetId="30">#REF!</definedName>
    <definedName name="华中区" localSheetId="26">#REF!</definedName>
    <definedName name="华中区" localSheetId="21">#REF!</definedName>
    <definedName name="华中区" localSheetId="29">#REF!</definedName>
    <definedName name="华中区" localSheetId="27">#REF!</definedName>
    <definedName name="华中区" localSheetId="20">#REF!</definedName>
    <definedName name="华中区">#REF!</definedName>
    <definedName name="经营完成表" localSheetId="13" hidden="1">#REF!</definedName>
    <definedName name="经营完成表" localSheetId="30" hidden="1">#REF!</definedName>
    <definedName name="经营完成表" localSheetId="26" hidden="1">#REF!</definedName>
    <definedName name="经营完成表" localSheetId="21" hidden="1">#REF!</definedName>
    <definedName name="经营完成表" localSheetId="29" hidden="1">#REF!</definedName>
    <definedName name="经营完成表" localSheetId="27" hidden="1">#REF!</definedName>
    <definedName name="经营完成表" localSheetId="20" hidden="1">#REF!</definedName>
    <definedName name="经营完成表" hidden="1">#REF!</definedName>
    <definedName name="客户类别" localSheetId="13">#REF!</definedName>
    <definedName name="客户类别" localSheetId="30">#REF!</definedName>
    <definedName name="客户类别" localSheetId="26">#REF!</definedName>
    <definedName name="客户类别" localSheetId="21">#REF!</definedName>
    <definedName name="客户类别" localSheetId="27">#REF!</definedName>
    <definedName name="客户类别" localSheetId="20">#REF!</definedName>
    <definedName name="客户类别">#REF!</definedName>
    <definedName name="客户性质" localSheetId="13">#REF!</definedName>
    <definedName name="客户性质" localSheetId="30">#REF!</definedName>
    <definedName name="客户性质" localSheetId="26">#REF!</definedName>
    <definedName name="客户性质" localSheetId="21">#REF!</definedName>
    <definedName name="客户性质" localSheetId="27">#REF!</definedName>
    <definedName name="客户性质" localSheetId="20">#REF!</definedName>
    <definedName name="客户性质">#REF!</definedName>
    <definedName name="浓缩" localSheetId="21">#REF!</definedName>
    <definedName name="浓缩">#REF!</definedName>
    <definedName name="普通膨化鱼料" localSheetId="21">#REF!</definedName>
    <definedName name="普通膨化鱼料">#REF!</definedName>
    <definedName name="普鱼料">#REF!</definedName>
    <definedName name="期初" hidden="1">{"'消耗表4'!$A$1:$E$7"}</definedName>
    <definedName name="其他区" localSheetId="13">#REF!</definedName>
    <definedName name="其他区" localSheetId="30">#REF!</definedName>
    <definedName name="其他区" localSheetId="26">#REF!</definedName>
    <definedName name="其他区" localSheetId="21">#REF!</definedName>
    <definedName name="其他区" localSheetId="29">#REF!</definedName>
    <definedName name="其他区" localSheetId="27">#REF!</definedName>
    <definedName name="其他区" localSheetId="20">#REF!</definedName>
    <definedName name="其他区">#REF!</definedName>
    <definedName name="区域" localSheetId="30">#REF!</definedName>
    <definedName name="区域" localSheetId="21">#REF!</definedName>
    <definedName name="区域" localSheetId="29">#REF!</definedName>
    <definedName name="区域">#REF!</definedName>
    <definedName name="生产领料汇总表" localSheetId="21">#REF!</definedName>
    <definedName name="生产领料汇总表">#REF!</definedName>
    <definedName name="伟凝" localSheetId="30">#REF!</definedName>
    <definedName name="伟凝" localSheetId="21">#REF!</definedName>
    <definedName name="伟凝" localSheetId="29">#REF!</definedName>
    <definedName name="伟凝">#REF!</definedName>
    <definedName name="西南区" localSheetId="21">#REF!</definedName>
    <definedName name="西南区">#REF!</definedName>
    <definedName name="虾料" localSheetId="21">#REF!</definedName>
    <definedName name="虾料">#REF!</definedName>
    <definedName name="虾蟹料">#REF!</definedName>
    <definedName name="蟹料" localSheetId="21">#REF!</definedName>
    <definedName name="蟹料">#REF!</definedName>
    <definedName name="研发序列">[2]公式下拉表辅助!$D$4:$D$6</definedName>
    <definedName name="应会" localSheetId="13">#REF!</definedName>
    <definedName name="应会" localSheetId="30">#REF!</definedName>
    <definedName name="应会" localSheetId="26">#REF!</definedName>
    <definedName name="应会" localSheetId="21">#REF!</definedName>
    <definedName name="应会" localSheetId="29">#REF!</definedName>
    <definedName name="应会" localSheetId="27">#REF!</definedName>
    <definedName name="应会" localSheetId="20">#REF!</definedName>
    <definedName name="应会">#REF!</definedName>
    <definedName name="员工类型" localSheetId="21">OFFSET(#REF!,1,,COUNTA(#REF!))</definedName>
    <definedName name="员工类型">OFFSET(#REF!,1,,COUNTA(#REF!))</definedName>
    <definedName name="原本" localSheetId="30">#REF!</definedName>
    <definedName name="原本" localSheetId="21">#REF!</definedName>
    <definedName name="原本" localSheetId="29">#REF!</definedName>
    <definedName name="原本">#REF!</definedName>
    <definedName name="原材料" localSheetId="21">#REF!</definedName>
    <definedName name="原材料">#REF!</definedName>
    <definedName name="月份" localSheetId="13">#REF!</definedName>
    <definedName name="月份" localSheetId="30">#REF!</definedName>
    <definedName name="月份" localSheetId="26">#REF!</definedName>
    <definedName name="月份" localSheetId="21">#REF!</definedName>
    <definedName name="月份" localSheetId="28">#REF!</definedName>
    <definedName name="月份" localSheetId="29">#REF!</definedName>
    <definedName name="月份" localSheetId="25">#REF!</definedName>
    <definedName name="月份" localSheetId="27">#REF!</definedName>
    <definedName name="月份" localSheetId="20">#REF!</definedName>
    <definedName name="月份">#REF!</definedName>
    <definedName name="越南" localSheetId="30">#REF!</definedName>
    <definedName name="越南" localSheetId="21">#REF!</definedName>
    <definedName name="越南" localSheetId="29">#REF!</definedName>
    <definedName name="越南">#REF!</definedName>
    <definedName name="证件类型" localSheetId="21">#REF!</definedName>
    <definedName name="证件类型">#REF!</definedName>
    <definedName name="证照类型" localSheetId="21">#REF!</definedName>
    <definedName name="证照类型">#REF!</definedName>
    <definedName name="主销品种" localSheetId="21">#REF!</definedName>
    <definedName name="主销品种">#REF!</definedName>
    <definedName name="主营料种" localSheetId="13">#REF!</definedName>
    <definedName name="主营料种" localSheetId="30">#REF!</definedName>
    <definedName name="主营料种" localSheetId="26">#REF!</definedName>
    <definedName name="主营料种" localSheetId="21">#REF!</definedName>
    <definedName name="主营料种" localSheetId="27">#REF!</definedName>
    <definedName name="主营料种" localSheetId="20">#REF!</definedName>
    <definedName name="主营料种">#REF!</definedName>
    <definedName name="专业序列">[1]公式下拉表辅助!$E$4:$E$6</definedName>
    <definedName name="状态" localSheetId="21">OFFSET(#REF!,1,,COUNTA(#REF!))</definedName>
    <definedName name="状态">OFFSET(#REF!,1,,COUNTA(#REF!))</definedName>
    <definedName name="总部" localSheetId="30">#REF!</definedName>
    <definedName name="总部" localSheetId="21">#REF!</definedName>
    <definedName name="总部" localSheetId="29">#REF!</definedName>
    <definedName name="总部">#REF!</definedName>
    <definedName name="鑽頭成品" hidden="1">{"'消耗表4'!$A$1:$E$7"}</definedName>
    <definedName name="전" localSheetId="13">#REF!</definedName>
    <definedName name="전" localSheetId="30">#REF!</definedName>
    <definedName name="전" localSheetId="26">#REF!</definedName>
    <definedName name="전" localSheetId="21">#REF!</definedName>
    <definedName name="전" localSheetId="29">#REF!</definedName>
    <definedName name="전" localSheetId="27">#REF!</definedName>
    <definedName name="전" localSheetId="20">#REF!</definedName>
    <definedName name="전">#REF!</definedName>
    <definedName name="주택사업본부" localSheetId="13">#REF!</definedName>
    <definedName name="주택사업본부" localSheetId="30">#REF!</definedName>
    <definedName name="주택사업본부" localSheetId="26">#REF!</definedName>
    <definedName name="주택사업본부" localSheetId="21">#REF!</definedName>
    <definedName name="주택사업본부" localSheetId="29">#REF!</definedName>
    <definedName name="주택사업본부" localSheetId="27">#REF!</definedName>
    <definedName name="주택사업본부" localSheetId="20">#REF!</definedName>
    <definedName name="주택사업본부">#REF!</definedName>
    <definedName name="철구사업본부" localSheetId="13">#REF!</definedName>
    <definedName name="철구사업본부" localSheetId="30">#REF!</definedName>
    <definedName name="철구사업본부" localSheetId="26">#REF!</definedName>
    <definedName name="철구사업본부" localSheetId="21">#REF!</definedName>
    <definedName name="철구사업본부" localSheetId="29">#REF!</definedName>
    <definedName name="철구사업본부" localSheetId="27">#REF!</definedName>
    <definedName name="철구사업본부" localSheetId="20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aohua</author>
    <author>Admin</author>
  </authors>
  <commentList>
    <comment ref="D15" authorId="0">
      <text>
        <r>
          <rPr>
            <b/>
            <sz val="9"/>
            <rFont val="宋体"/>
            <charset val="134"/>
          </rPr>
          <t>2025年新增</t>
        </r>
      </text>
    </comment>
    <comment ref="E5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财务预算表制造费用无成长分享，对应归类到工资和薪金类</t>
        </r>
      </text>
    </comment>
  </commentList>
</comments>
</file>

<file path=xl/comments2.xml><?xml version="1.0" encoding="utf-8"?>
<comments xmlns="http://schemas.openxmlformats.org/spreadsheetml/2006/main">
  <authors>
    <author>aohua</author>
  </authors>
  <commentList>
    <comment ref="E14" authorId="0">
      <text>
        <r>
          <rPr>
            <b/>
            <sz val="9"/>
            <rFont val="宋体"/>
            <charset val="134"/>
          </rPr>
          <t>取人力表格</t>
        </r>
      </text>
    </comment>
    <comment ref="E37" authorId="0">
      <text>
        <r>
          <rPr>
            <b/>
            <sz val="9"/>
            <rFont val="宋体"/>
            <charset val="134"/>
          </rPr>
          <t>取人力表格</t>
        </r>
      </text>
    </comment>
    <comment ref="E55" authorId="0">
      <text>
        <r>
          <rPr>
            <b/>
            <sz val="9"/>
            <rFont val="宋体"/>
            <charset val="134"/>
          </rPr>
          <t>新增股份支付预算-仅总部预算此笔费用</t>
        </r>
      </text>
    </comment>
  </commentList>
</comments>
</file>

<file path=xl/comments3.xml><?xml version="1.0" encoding="utf-8"?>
<comments xmlns="http://schemas.openxmlformats.org/spreadsheetml/2006/main">
  <authors>
    <author>aohua</author>
  </authors>
  <commentList>
    <comment ref="I49" authorId="0">
      <text>
        <r>
          <rPr>
            <b/>
            <sz val="9"/>
            <rFont val="宋体"/>
            <charset val="134"/>
          </rPr>
          <t>aohua:</t>
        </r>
        <r>
          <rPr>
            <sz val="9"/>
            <rFont val="宋体"/>
            <charset val="134"/>
          </rPr>
          <t xml:space="preserve">
鳜鱼，27年3月出鱼</t>
        </r>
      </text>
    </comment>
    <comment ref="L49" authorId="0">
      <text>
        <r>
          <rPr>
            <sz val="9"/>
            <rFont val="宋体"/>
            <charset val="134"/>
          </rPr>
          <t>反季节加州鲈 27年7月份出鱼</t>
        </r>
      </text>
    </comment>
  </commentList>
</comments>
</file>

<file path=xl/comments4.xml><?xml version="1.0" encoding="utf-8"?>
<comments xmlns="http://schemas.openxmlformats.org/spreadsheetml/2006/main">
  <authors>
    <author>谭源欣</author>
    <author>邓喆</author>
  </authors>
  <commentList>
    <comment ref="A13" authorId="0">
      <text>
        <r>
          <rPr>
            <sz val="9"/>
            <rFont val="宋体"/>
            <charset val="134"/>
          </rPr>
          <t>需根据C列利润中心所属大区填列</t>
        </r>
      </text>
    </comment>
    <comment ref="F13" authorId="1">
      <text>
        <r>
          <rPr>
            <b/>
            <sz val="9"/>
            <rFont val="宋体"/>
            <charset val="134"/>
          </rPr>
          <t>邓喆:</t>
        </r>
        <r>
          <rPr>
            <sz val="9"/>
            <rFont val="宋体"/>
            <charset val="134"/>
          </rPr>
          <t xml:space="preserve">
调整科目为“管理费用”或“销售费用”时必填</t>
        </r>
      </text>
    </comment>
    <comment ref="G13" authorId="0">
      <text>
        <r>
          <rPr>
            <sz val="10"/>
            <rFont val="宋体"/>
            <charset val="134"/>
          </rPr>
          <t>针对调整项目进行详细业务说明:如代付某高管年终奖。</t>
        </r>
      </text>
    </comment>
  </commentList>
</comments>
</file>

<file path=xl/sharedStrings.xml><?xml version="1.0" encoding="utf-8"?>
<sst xmlns="http://schemas.openxmlformats.org/spreadsheetml/2006/main" count="12011" uniqueCount="1931">
  <si>
    <t>序号</t>
  </si>
  <si>
    <t>预算模块</t>
  </si>
  <si>
    <t>工作表名称</t>
  </si>
  <si>
    <t>报表内容</t>
  </si>
  <si>
    <t>报表类型</t>
  </si>
  <si>
    <t>部门</t>
  </si>
  <si>
    <t>填写依赖</t>
  </si>
  <si>
    <t>同预算-自动取数</t>
  </si>
  <si>
    <t>预算主数据</t>
  </si>
  <si>
    <t>基础档案</t>
  </si>
  <si>
    <t>基础资料</t>
  </si>
  <si>
    <t>填写</t>
  </si>
  <si>
    <t>财务</t>
  </si>
  <si>
    <t>物料档案</t>
  </si>
  <si>
    <t>经营指标</t>
  </si>
  <si>
    <t>总体指标</t>
  </si>
  <si>
    <t>查阅</t>
  </si>
  <si>
    <t>从年度利润表取数</t>
  </si>
  <si>
    <t>利润表</t>
  </si>
  <si>
    <t>年度利润表</t>
  </si>
  <si>
    <t>年度指标</t>
  </si>
  <si>
    <t>从客户产品毛利表（序号8）、序号22~32取数</t>
  </si>
  <si>
    <t>销量毛利</t>
  </si>
  <si>
    <t>A6 表样-大类量利（查阅）</t>
  </si>
  <si>
    <t>大类指标</t>
  </si>
  <si>
    <t>从客户产品毛利表（序号8）取数</t>
  </si>
  <si>
    <t>A7 大类小类量利（查阅）</t>
  </si>
  <si>
    <t>小类指标</t>
  </si>
  <si>
    <t>A9-表样-客户产品毛利表（外销）</t>
  </si>
  <si>
    <t>毛利表（外销）</t>
  </si>
  <si>
    <t>从15~17取销量，18取价格折扣，10取配方成本，12取包材成本，13取单吨制费计算表</t>
  </si>
  <si>
    <t>查阅-动保产品大类毛利</t>
  </si>
  <si>
    <t>动保毛利</t>
  </si>
  <si>
    <t>类别成本查询</t>
  </si>
  <si>
    <t>查阅-产品生产成本（类别）</t>
  </si>
  <si>
    <t>从表11汇总取数</t>
  </si>
  <si>
    <t>品系成本查询</t>
  </si>
  <si>
    <t>查阅-产品生产成本（品系）</t>
  </si>
  <si>
    <t>10取配方成本，12取包材成本，13取单吨制费计算表</t>
  </si>
  <si>
    <t>改成查询表-包材单吨成本=预算单吨</t>
  </si>
  <si>
    <t>包材成本</t>
  </si>
  <si>
    <t>填写-包材成本-采购、财务</t>
  </si>
  <si>
    <t>采购包材成本</t>
  </si>
  <si>
    <t>依赖销量（评审后）1</t>
  </si>
  <si>
    <t>制造费用</t>
  </si>
  <si>
    <t>查阅- 制造费用-生产、财务</t>
  </si>
  <si>
    <t>依赖产量（评审后）2</t>
  </si>
  <si>
    <t>单吨制费计算表</t>
  </si>
  <si>
    <r>
      <rPr>
        <u/>
        <sz val="11"/>
        <color rgb="FF0000FF"/>
        <rFont val="宋体"/>
        <charset val="134"/>
        <scheme val="minor"/>
      </rPr>
      <t>制造</t>
    </r>
    <r>
      <rPr>
        <sz val="11"/>
        <color rgb="FF0000FF"/>
        <rFont val="宋体"/>
        <charset val="134"/>
        <scheme val="minor"/>
      </rPr>
      <t>费用</t>
    </r>
  </si>
  <si>
    <t>修改-按小类汇总填写</t>
  </si>
  <si>
    <t>√</t>
  </si>
  <si>
    <t>销量</t>
  </si>
  <si>
    <t>填写-饲料销量-营销部</t>
  </si>
  <si>
    <t>饲料销量</t>
  </si>
  <si>
    <t>营销部（填）/营业部（审）</t>
  </si>
  <si>
    <t>修改-按类别汇总填写</t>
  </si>
  <si>
    <t>动保销售额</t>
  </si>
  <si>
    <t>填写-动保销售额-营销部</t>
  </si>
  <si>
    <t>填写-动保发酵料-营销部</t>
  </si>
  <si>
    <t>修改-按小类加权均价填写</t>
  </si>
  <si>
    <t>产品价格折扣</t>
  </si>
  <si>
    <t>填写-产品价目折扣表-财务部</t>
  </si>
  <si>
    <t>产品价目表</t>
  </si>
  <si>
    <t>依赖销量1（销量评审后）</t>
  </si>
  <si>
    <t>同预算-优化</t>
  </si>
  <si>
    <t>产量</t>
  </si>
  <si>
    <t xml:space="preserve"> 产量-生产产量填报表</t>
  </si>
  <si>
    <t>生产部</t>
  </si>
  <si>
    <t>修改-配方师填写品种配方成本，财务按照销量加权小类平均配方成本</t>
  </si>
  <si>
    <t>配方成本</t>
  </si>
  <si>
    <t>填写-配方成本-配方师</t>
  </si>
  <si>
    <t>产品线（填）/财务（审）或（代）</t>
  </si>
  <si>
    <t>同预算</t>
  </si>
  <si>
    <t>制造费用-填报生产部</t>
  </si>
  <si>
    <t>生产</t>
  </si>
  <si>
    <t>人员费用</t>
  </si>
  <si>
    <t>人工成本明细-人资</t>
  </si>
  <si>
    <r>
      <rPr>
        <u/>
        <sz val="11"/>
        <color rgb="FF0000FF"/>
        <rFont val="宋体"/>
        <charset val="134"/>
        <scheme val="minor"/>
      </rPr>
      <t>人资</t>
    </r>
    <r>
      <rPr>
        <sz val="11"/>
        <color rgb="FF0000FF"/>
        <rFont val="宋体"/>
        <charset val="134"/>
        <scheme val="minor"/>
      </rPr>
      <t>报表</t>
    </r>
  </si>
  <si>
    <t>人资</t>
  </si>
  <si>
    <t>依赖销量产量（评审后）1、2/依赖人员定编表</t>
  </si>
  <si>
    <t>销售费用-填报营销部</t>
  </si>
  <si>
    <t>销售费用</t>
  </si>
  <si>
    <t>营销部</t>
  </si>
  <si>
    <r>
      <rPr>
        <u/>
        <sz val="11"/>
        <color rgb="FF800080"/>
        <rFont val="宋体"/>
        <charset val="134"/>
        <scheme val="minor"/>
      </rPr>
      <t>管理费用-</t>
    </r>
    <r>
      <rPr>
        <sz val="11"/>
        <color rgb="FF800080"/>
        <rFont val="宋体"/>
        <charset val="134"/>
        <scheme val="minor"/>
      </rPr>
      <t>各部门</t>
    </r>
  </si>
  <si>
    <t>管理费用</t>
  </si>
  <si>
    <t>财务部组织，各部门填写</t>
  </si>
  <si>
    <t>财务费用-财务部</t>
  </si>
  <si>
    <t>财务费用</t>
  </si>
  <si>
    <t>税金</t>
  </si>
  <si>
    <t>营业税金及附加-财务</t>
  </si>
  <si>
    <t>其他业务收支</t>
  </si>
  <si>
    <t>营业外收支</t>
  </si>
  <si>
    <t>所得税-财务</t>
  </si>
  <si>
    <t>所得税</t>
  </si>
  <si>
    <t>研发费用</t>
  </si>
  <si>
    <t>填写-养殖基地-明细</t>
  </si>
  <si>
    <t>养殖预算</t>
  </si>
  <si>
    <t>研究院</t>
  </si>
  <si>
    <t>考核调整</t>
  </si>
  <si>
    <t>利润调整明细（填写）</t>
  </si>
  <si>
    <t>← 返回目录</t>
  </si>
  <si>
    <t>返回目录</t>
  </si>
  <si>
    <t>还原</t>
  </si>
  <si>
    <t>大区</t>
  </si>
  <si>
    <t>子公司</t>
  </si>
  <si>
    <t>财务对接人</t>
  </si>
  <si>
    <t>性质</t>
  </si>
  <si>
    <t>客户性质</t>
  </si>
  <si>
    <t>产品大类</t>
  </si>
  <si>
    <t>华东区</t>
  </si>
  <si>
    <t>华南区</t>
  </si>
  <si>
    <t>华中区</t>
  </si>
  <si>
    <t>其他区</t>
  </si>
  <si>
    <t>月份</t>
  </si>
  <si>
    <t>客户类别</t>
  </si>
  <si>
    <t>主营料种</t>
  </si>
  <si>
    <t>产线</t>
  </si>
  <si>
    <t>科目名称</t>
  </si>
  <si>
    <t>科目</t>
  </si>
  <si>
    <t>科目说明</t>
  </si>
  <si>
    <t>费用类别</t>
  </si>
  <si>
    <t>明细类别</t>
  </si>
  <si>
    <t>福建</t>
  </si>
  <si>
    <t>毕昌</t>
  </si>
  <si>
    <t>基地公司</t>
  </si>
  <si>
    <t>老客户</t>
  </si>
  <si>
    <t>虾料</t>
  </si>
  <si>
    <t>目录!A1</t>
  </si>
  <si>
    <t>江门生物</t>
  </si>
  <si>
    <t>武汉</t>
  </si>
  <si>
    <t>原本</t>
  </si>
  <si>
    <t>新客户</t>
  </si>
  <si>
    <t>经销商</t>
  </si>
  <si>
    <t>虾蟹线</t>
  </si>
  <si>
    <t>分类</t>
  </si>
  <si>
    <t>分解科目</t>
  </si>
  <si>
    <t>530104\研发支出\租赁费</t>
  </si>
  <si>
    <t>折旧费</t>
  </si>
  <si>
    <t>浙江</t>
  </si>
  <si>
    <t>高海菊</t>
  </si>
  <si>
    <t>蟹料</t>
  </si>
  <si>
    <t>四会</t>
  </si>
  <si>
    <t>汉南</t>
  </si>
  <si>
    <t>越南</t>
  </si>
  <si>
    <t>直销户</t>
  </si>
  <si>
    <t>龙虾料</t>
  </si>
  <si>
    <t>海特线</t>
  </si>
  <si>
    <t>销售吨数</t>
  </si>
  <si>
    <t>变动成本</t>
  </si>
  <si>
    <t>53010201\研发支出\人员人工\工资</t>
  </si>
  <si>
    <t>人工薪酬（工资、五险一金）</t>
  </si>
  <si>
    <t>唐山</t>
  </si>
  <si>
    <t>梁文雅</t>
  </si>
  <si>
    <t>普通膨化鱼料</t>
  </si>
  <si>
    <t>玉林</t>
  </si>
  <si>
    <t>荆州</t>
  </si>
  <si>
    <t>澳保</t>
  </si>
  <si>
    <t>代工客户</t>
  </si>
  <si>
    <t>普鱼线</t>
  </si>
  <si>
    <t>销售标准吨数</t>
  </si>
  <si>
    <t>提成奖励</t>
  </si>
  <si>
    <t>53010202\研发支出\人员人工\绩效工资</t>
  </si>
  <si>
    <t>惠州</t>
  </si>
  <si>
    <t>王虎伟</t>
  </si>
  <si>
    <t>沉水鱼料</t>
  </si>
  <si>
    <t>广西</t>
  </si>
  <si>
    <t>江西</t>
  </si>
  <si>
    <t>伟凝</t>
  </si>
  <si>
    <t>海特料</t>
  </si>
  <si>
    <t>畜禽线</t>
  </si>
  <si>
    <t>销售人数</t>
  </si>
  <si>
    <t>年终提成</t>
  </si>
  <si>
    <t>530124\研发支出\水电物业费</t>
  </si>
  <si>
    <t>能耗</t>
  </si>
  <si>
    <t>淮安</t>
  </si>
  <si>
    <t>曹杰</t>
  </si>
  <si>
    <t>高档膨化鱼料</t>
  </si>
  <si>
    <t>澳源</t>
  </si>
  <si>
    <t>贵州</t>
  </si>
  <si>
    <t>池州</t>
  </si>
  <si>
    <t>总部</t>
  </si>
  <si>
    <t>工资和薪金</t>
  </si>
  <si>
    <t>固定</t>
  </si>
  <si>
    <t>人力费用（固定工资、五险一金、职工福利）</t>
  </si>
  <si>
    <t>成长分享</t>
  </si>
  <si>
    <t>53010204\研发支出\人员人工\公积金</t>
  </si>
  <si>
    <t>泰州</t>
  </si>
  <si>
    <t>豆业晶</t>
  </si>
  <si>
    <t>浓缩/预混料</t>
  </si>
  <si>
    <t>海南</t>
  </si>
  <si>
    <t>洛阳水产</t>
  </si>
  <si>
    <t>变动</t>
  </si>
  <si>
    <t>运输费</t>
  </si>
  <si>
    <t>5301020501\研发支出\人员人工\社保\养老保险</t>
  </si>
  <si>
    <t>南京</t>
  </si>
  <si>
    <t>郭良</t>
  </si>
  <si>
    <t>猪饲料</t>
  </si>
  <si>
    <t>大粤西</t>
  </si>
  <si>
    <t>洛阳陕西</t>
  </si>
  <si>
    <t>技术服务费</t>
  </si>
  <si>
    <t>5301020502\研发支出\人员人工\社保\医疗保险</t>
  </si>
  <si>
    <t>邓洪才</t>
  </si>
  <si>
    <t>禽料</t>
  </si>
  <si>
    <t>湛江</t>
  </si>
  <si>
    <t>洛阳畜禽</t>
  </si>
  <si>
    <t>固定成本</t>
  </si>
  <si>
    <t>5301020503\研发支出\人员人工\社保\工伤保险</t>
  </si>
  <si>
    <t>张裕华</t>
  </si>
  <si>
    <t>反刍料</t>
  </si>
  <si>
    <t>江苏</t>
  </si>
  <si>
    <t>四川</t>
  </si>
  <si>
    <t>湖南</t>
  </si>
  <si>
    <t>劳务费</t>
  </si>
  <si>
    <t>5301020504\研发支出\人员人工\社保\失业保险</t>
  </si>
  <si>
    <t>龙玉杰</t>
  </si>
  <si>
    <t>云南</t>
  </si>
  <si>
    <t>湖南澳源</t>
  </si>
  <si>
    <t>浓缩预混料</t>
  </si>
  <si>
    <t>社保费</t>
  </si>
  <si>
    <t>差旅费</t>
  </si>
  <si>
    <t>5301020505\研发支出\人员人工\社保\生育医疗</t>
  </si>
  <si>
    <t>李小婷</t>
  </si>
  <si>
    <t>销售公司</t>
  </si>
  <si>
    <t>岳阳</t>
  </si>
  <si>
    <t>动保</t>
  </si>
  <si>
    <t>住房公积金</t>
  </si>
  <si>
    <t>车辆使用费</t>
  </si>
  <si>
    <t>530125\研发支出\成长分享</t>
  </si>
  <si>
    <t>蒙鸿娟</t>
  </si>
  <si>
    <t>益阳</t>
  </si>
  <si>
    <t>职工福利金</t>
  </si>
  <si>
    <t>应酬费</t>
  </si>
  <si>
    <t>530103\研发支出\折旧费</t>
  </si>
  <si>
    <t>石玉琴</t>
  </si>
  <si>
    <t>衡阳</t>
  </si>
  <si>
    <t>全年</t>
  </si>
  <si>
    <t>差旅补助</t>
  </si>
  <si>
    <t>推广、会务</t>
  </si>
  <si>
    <t>530101\研发支出\直接材料及燃动力</t>
  </si>
  <si>
    <t>办公费用</t>
  </si>
  <si>
    <t>曾君</t>
  </si>
  <si>
    <t>固定资产折旧费</t>
  </si>
  <si>
    <t>530111\研发支出\车辆使用费</t>
  </si>
  <si>
    <t>何栩童</t>
  </si>
  <si>
    <t>事业部</t>
  </si>
  <si>
    <t>诉讼费</t>
  </si>
  <si>
    <t>53010203\研发支出\人员人工\奖金</t>
  </si>
  <si>
    <t>蒋晓玲</t>
  </si>
  <si>
    <t>530122\研发支出\办公费</t>
  </si>
  <si>
    <t>余俊</t>
  </si>
  <si>
    <t>销售推广费</t>
  </si>
  <si>
    <t>530109\研发支出\技术服务费</t>
  </si>
  <si>
    <t>孙子明</t>
  </si>
  <si>
    <t>会务费</t>
  </si>
  <si>
    <t>530108\研发支出\差旅费</t>
  </si>
  <si>
    <t>卞淑芬</t>
  </si>
  <si>
    <t>530121\研发支出\业务招待费</t>
  </si>
  <si>
    <t>韩玉可</t>
  </si>
  <si>
    <t>中转仓储费</t>
  </si>
  <si>
    <t>530119\研发支出\职工福利费</t>
  </si>
  <si>
    <t>变动费用</t>
  </si>
  <si>
    <t>530123\研发支出\维护费</t>
  </si>
  <si>
    <t>维修费</t>
  </si>
  <si>
    <t>郭佳</t>
  </si>
  <si>
    <t>其他</t>
  </si>
  <si>
    <t>530116\研发支出\外聘劳务费</t>
  </si>
  <si>
    <t>罗燕红</t>
  </si>
  <si>
    <t>运输费（对内）</t>
  </si>
  <si>
    <t>股份支付</t>
  </si>
  <si>
    <t>530117\研发支出\购置费及检验费</t>
  </si>
  <si>
    <t>肖阿林</t>
  </si>
  <si>
    <t>办公费</t>
  </si>
  <si>
    <t>固定费用</t>
  </si>
  <si>
    <t>530112\研发支出\会务费</t>
  </si>
  <si>
    <t>路鑫</t>
  </si>
  <si>
    <t>530126\研发支出\运输费</t>
  </si>
  <si>
    <t>陈小冰</t>
  </si>
  <si>
    <t>使用权资产折旧费</t>
  </si>
  <si>
    <t>530120\研发支出\使用权资产折旧费</t>
  </si>
  <si>
    <t>陈晓佳</t>
  </si>
  <si>
    <t>530113\研发支出\知识产权费</t>
  </si>
  <si>
    <t>无形资产摊销费</t>
  </si>
  <si>
    <t>培训招聘费</t>
  </si>
  <si>
    <t>530115\研发支出\长期待摊费用摊销</t>
  </si>
  <si>
    <t>长期待摊费用摊销</t>
  </si>
  <si>
    <t>水电费</t>
  </si>
  <si>
    <t>530118\研发支出\设计制定费及试验费</t>
  </si>
  <si>
    <t>所属公司</t>
  </si>
  <si>
    <t>启用状态</t>
  </si>
  <si>
    <t>物料编码</t>
  </si>
  <si>
    <t>物料名称</t>
  </si>
  <si>
    <t>大类</t>
  </si>
  <si>
    <t>小类</t>
  </si>
  <si>
    <t>5+2分类</t>
  </si>
  <si>
    <t>助记码</t>
  </si>
  <si>
    <t>产品系列</t>
  </si>
  <si>
    <t>湖南澳华农牧科技有限公司</t>
  </si>
  <si>
    <t>已启用</t>
  </si>
  <si>
    <t>2201020561</t>
  </si>
  <si>
    <t>花鲢1号Φ1.0</t>
  </si>
  <si>
    <t>鳙鱼料</t>
  </si>
  <si>
    <t>WUH1-HL1-1.0</t>
  </si>
  <si>
    <t>花鲢1号</t>
  </si>
  <si>
    <t>Φ</t>
  </si>
  <si>
    <t>2201020564</t>
  </si>
  <si>
    <t>贵妃宝Φ5.0</t>
  </si>
  <si>
    <t>草鱼料</t>
  </si>
  <si>
    <t>鱼安康系列-草鱼安康</t>
  </si>
  <si>
    <t>WUH1-GFB-5.0</t>
  </si>
  <si>
    <t>贵妃宝</t>
  </si>
  <si>
    <t>2201020566</t>
  </si>
  <si>
    <t>草鱼安康Φ2.0</t>
  </si>
  <si>
    <t>WUH1-CYAK-2.0</t>
  </si>
  <si>
    <t>草鱼安康</t>
  </si>
  <si>
    <t>2201020567</t>
  </si>
  <si>
    <t>草鱼安康Φ3.0</t>
  </si>
  <si>
    <t>WUH1-CYAK-3.0</t>
  </si>
  <si>
    <t>2201020569</t>
  </si>
  <si>
    <t>淡水鱼1号料Φ2.0</t>
  </si>
  <si>
    <t>WUH1-DSY1-2.0</t>
  </si>
  <si>
    <t>淡水鱼1号料</t>
  </si>
  <si>
    <t>2201020570</t>
  </si>
  <si>
    <t>淡水鱼1号料Φ3.0</t>
  </si>
  <si>
    <t>WUH1-DSY1-3.0</t>
  </si>
  <si>
    <t>鱼料线</t>
  </si>
  <si>
    <t>已停用</t>
  </si>
  <si>
    <t>2201020571</t>
  </si>
  <si>
    <t>淡水鱼1号料Φ5.0</t>
  </si>
  <si>
    <t>WUH1-DSY1-5.0</t>
  </si>
  <si>
    <t>2201020576</t>
  </si>
  <si>
    <t>冬藏宝Φ3.0</t>
  </si>
  <si>
    <t>四季料</t>
  </si>
  <si>
    <t>WUH1-DSDCB-3.0</t>
  </si>
  <si>
    <t>冬藏宝</t>
  </si>
  <si>
    <t>2201020582</t>
  </si>
  <si>
    <t>混养2号Φ3.0</t>
  </si>
  <si>
    <t>WUH1-HY2-3.0</t>
  </si>
  <si>
    <t>混养2号</t>
  </si>
  <si>
    <t>2201020316</t>
  </si>
  <si>
    <t>驯化宝Φ2.0</t>
  </si>
  <si>
    <t>无</t>
  </si>
  <si>
    <t>HUN1-XHB-2.0</t>
  </si>
  <si>
    <t>驯化宝</t>
  </si>
  <si>
    <t>2201020317</t>
  </si>
  <si>
    <t>驯化宝Φ3.0</t>
  </si>
  <si>
    <t>HUN1-XHB-3.0</t>
  </si>
  <si>
    <t>2201020322</t>
  </si>
  <si>
    <t>HUN1-DCB-3.0</t>
  </si>
  <si>
    <t>2201020327</t>
  </si>
  <si>
    <t>膨化混养1号Φ3.0</t>
  </si>
  <si>
    <t>HUN1-PHHY1-3.0</t>
  </si>
  <si>
    <t>膨化混养1号</t>
  </si>
  <si>
    <t>2201050001</t>
  </si>
  <si>
    <t>叉尾鮰2号Φ2.0</t>
  </si>
  <si>
    <t>叉尾鮰料</t>
  </si>
  <si>
    <t>ZJ1-CWH2-2.0</t>
  </si>
  <si>
    <t>叉尾鮰2号</t>
  </si>
  <si>
    <t>2201050002</t>
  </si>
  <si>
    <t>叉尾鮰2号Φ3.0</t>
  </si>
  <si>
    <t>ZJ1-CWH2-3.0</t>
  </si>
  <si>
    <t>2201050008</t>
  </si>
  <si>
    <t>特种鱼苗料Φ1.0</t>
  </si>
  <si>
    <t>鱼苗料</t>
  </si>
  <si>
    <t>WUH1-TZYML-1.0</t>
  </si>
  <si>
    <t>特种鱼苗料</t>
  </si>
  <si>
    <t>2201050009</t>
  </si>
  <si>
    <t>翘嘴安康Φ2.0</t>
  </si>
  <si>
    <t>翘嘴料</t>
  </si>
  <si>
    <t>海特料-翘嘴安康</t>
  </si>
  <si>
    <t>WUH1-QZAK-2.0</t>
  </si>
  <si>
    <t>翘嘴安康</t>
  </si>
  <si>
    <t>2201050010</t>
  </si>
  <si>
    <t>翘嘴安康Φ3.0</t>
  </si>
  <si>
    <t>WUH1-QZAK-3.0</t>
  </si>
  <si>
    <t>2201050011</t>
  </si>
  <si>
    <t>翘嘴安康Φ5.0</t>
  </si>
  <si>
    <t>WUH1-QZAK-5.0</t>
  </si>
  <si>
    <t>2201050012</t>
  </si>
  <si>
    <t>鲌鱼2号Φ2.0</t>
  </si>
  <si>
    <t>WUH1-BY2H-2.0</t>
  </si>
  <si>
    <t>鲌鱼2号</t>
  </si>
  <si>
    <t>2201050013</t>
  </si>
  <si>
    <t>鲌鱼2号Φ3.0</t>
  </si>
  <si>
    <t>WUH1-BY2H-3.0</t>
  </si>
  <si>
    <t>2201050014</t>
  </si>
  <si>
    <t>鲌鱼2号Φ5.0</t>
  </si>
  <si>
    <t>WUH1-BY2H-5.0</t>
  </si>
  <si>
    <t>2201020584</t>
  </si>
  <si>
    <t>渔家旺Φ2.0</t>
  </si>
  <si>
    <t>WUH1-YJW-2.0</t>
  </si>
  <si>
    <t>渔家旺</t>
  </si>
  <si>
    <t>2201020585</t>
  </si>
  <si>
    <t>渔家旺Φ3.0</t>
  </si>
  <si>
    <t>WUH1-YJW-3.0</t>
  </si>
  <si>
    <t>2201020587</t>
  </si>
  <si>
    <t>WUH1-XHB-2.0</t>
  </si>
  <si>
    <t>2201020588</t>
  </si>
  <si>
    <t>WUH1-XHB-3.0</t>
  </si>
  <si>
    <t>2201020596</t>
  </si>
  <si>
    <t>淡水肝肠安康Ⅱ型Φ2.0</t>
  </si>
  <si>
    <t>功能料</t>
  </si>
  <si>
    <t>功能料系列-肝肠安康</t>
  </si>
  <si>
    <t>WUH1-DSGCAKⅡ-2.0</t>
  </si>
  <si>
    <t>淡水肝肠安康Ⅱ型</t>
  </si>
  <si>
    <t>2201020698</t>
  </si>
  <si>
    <t>贵妃宝Φ3.0</t>
  </si>
  <si>
    <t>WUH1-GFB-3.0</t>
  </si>
  <si>
    <t>2201020722</t>
  </si>
  <si>
    <t>贵妃宝Φ2.0</t>
  </si>
  <si>
    <t>WUH1-GFB-2.0</t>
  </si>
  <si>
    <t>2201100091</t>
  </si>
  <si>
    <t>叉尾鮰3号Φ2.0</t>
  </si>
  <si>
    <t>WUH1-CWH3-2.0</t>
  </si>
  <si>
    <t>叉尾鮰3号</t>
  </si>
  <si>
    <t>2201100092</t>
  </si>
  <si>
    <t>叉尾鮰3号Φ3.0</t>
  </si>
  <si>
    <t>WUH1-CWH3-3.0</t>
  </si>
  <si>
    <t>2201100093</t>
  </si>
  <si>
    <t>叉尾鮰3号Φ5.0</t>
  </si>
  <si>
    <t>WUH1-CWH3-5.0</t>
  </si>
  <si>
    <t>2201100097</t>
  </si>
  <si>
    <t>叉尾安康Φ2.0</t>
  </si>
  <si>
    <t>鱼安康系列-叉尾安康</t>
  </si>
  <si>
    <t>WUH1-CWAK-2.0</t>
  </si>
  <si>
    <t>叉尾安康</t>
  </si>
  <si>
    <t>2201100098</t>
  </si>
  <si>
    <t>叉尾安康Φ3.0</t>
  </si>
  <si>
    <t>WUH1-CWAK-3.0</t>
  </si>
  <si>
    <t>2201100099</t>
  </si>
  <si>
    <t>叉尾安康Φ5.0</t>
  </si>
  <si>
    <t>WUH1-CWAK-5.0</t>
  </si>
  <si>
    <t>2202010176</t>
  </si>
  <si>
    <t>青蛙1号AΦ1.5</t>
  </si>
  <si>
    <t>蛙料</t>
  </si>
  <si>
    <t>WUH1-QW1A-1.5</t>
  </si>
  <si>
    <t>青蛙1号A</t>
  </si>
  <si>
    <t>2202010179</t>
  </si>
  <si>
    <t>蛙粉A料Φ粉</t>
  </si>
  <si>
    <t>WUH18-WFA-F</t>
  </si>
  <si>
    <t>蛙粉A料</t>
  </si>
  <si>
    <t>2202010183</t>
  </si>
  <si>
    <t>青蛙1号Φ1.5</t>
  </si>
  <si>
    <t>WUH18-QW1-1.5</t>
  </si>
  <si>
    <t>青蛙1号</t>
  </si>
  <si>
    <t>2202010184</t>
  </si>
  <si>
    <t>青蛙2号Φ2.0</t>
  </si>
  <si>
    <t>WUH18-QW2-2.0</t>
  </si>
  <si>
    <t>青蛙2号</t>
  </si>
  <si>
    <t>2202010185</t>
  </si>
  <si>
    <t>青蛙3号Φ3.0</t>
  </si>
  <si>
    <t>WUH18-QW3-3.0</t>
  </si>
  <si>
    <t>青蛙3号</t>
  </si>
  <si>
    <t>2202010187</t>
  </si>
  <si>
    <t>WUH18-QW1A-1.5</t>
  </si>
  <si>
    <t>2202010188</t>
  </si>
  <si>
    <t>青蛙2号AΦ2.0</t>
  </si>
  <si>
    <t>WUH18-QW2A-2.0</t>
  </si>
  <si>
    <t>青蛙2号A</t>
  </si>
  <si>
    <t>2202010189</t>
  </si>
  <si>
    <t>青蛙3号AΦ3.0</t>
  </si>
  <si>
    <t>WUH18-QW3A-3.0</t>
  </si>
  <si>
    <t>青蛙3号A</t>
  </si>
  <si>
    <t>2202010195</t>
  </si>
  <si>
    <t>8822Φ2.0</t>
  </si>
  <si>
    <t>WUH2-8822-2.0</t>
  </si>
  <si>
    <t>8822</t>
  </si>
  <si>
    <t>2202010196</t>
  </si>
  <si>
    <t>8823Φ3.0</t>
  </si>
  <si>
    <t>WUH2-8823-3.0</t>
  </si>
  <si>
    <t>8823</t>
  </si>
  <si>
    <t>2202010198</t>
  </si>
  <si>
    <t>8811Φ1.5</t>
  </si>
  <si>
    <t>WUH2-8811-1.5</t>
  </si>
  <si>
    <t>8811</t>
  </si>
  <si>
    <t>2202010199</t>
  </si>
  <si>
    <t>8812Φ2.0</t>
  </si>
  <si>
    <t>WUH2-8812-2.0</t>
  </si>
  <si>
    <t>8812</t>
  </si>
  <si>
    <t>2202010200</t>
  </si>
  <si>
    <t>8813Φ3.0</t>
  </si>
  <si>
    <t>WUH2-8813-3.0</t>
  </si>
  <si>
    <t>8813</t>
  </si>
  <si>
    <t>2202010252</t>
  </si>
  <si>
    <t>8868Φ2.0</t>
  </si>
  <si>
    <t>海特料-蛙料</t>
  </si>
  <si>
    <t>WUH2-8868-2.0</t>
  </si>
  <si>
    <t>8868</t>
  </si>
  <si>
    <t>2202010253</t>
  </si>
  <si>
    <t>8878Φ3.0</t>
  </si>
  <si>
    <t>WUH2-8878-3.0</t>
  </si>
  <si>
    <t>8878</t>
  </si>
  <si>
    <t>2202010254</t>
  </si>
  <si>
    <t>8828Φ3.0</t>
  </si>
  <si>
    <t>WUH2-8828-3.0</t>
  </si>
  <si>
    <t>8828</t>
  </si>
  <si>
    <t>2201110012</t>
  </si>
  <si>
    <t>鱼康宝Φ2.0</t>
  </si>
  <si>
    <t>生物料</t>
  </si>
  <si>
    <t>WUH1-YKB-2.0</t>
  </si>
  <si>
    <t>鱼康宝</t>
  </si>
  <si>
    <t>2201110013</t>
  </si>
  <si>
    <t>鱼康宝Φ3.0</t>
  </si>
  <si>
    <t>WUH1-YKB-3.0</t>
  </si>
  <si>
    <t>2202010058</t>
  </si>
  <si>
    <t>牛蛙3号Φ3.0</t>
  </si>
  <si>
    <t>牛蛙料</t>
  </si>
  <si>
    <t>HUN1-NW3-3.0</t>
  </si>
  <si>
    <t>牛蛙3号</t>
  </si>
  <si>
    <t>2202010059</t>
  </si>
  <si>
    <t>牛蛙4号Φ4.0</t>
  </si>
  <si>
    <t>HUN1-NW4-4.0</t>
  </si>
  <si>
    <t>牛蛙4号</t>
  </si>
  <si>
    <t>2202010060</t>
  </si>
  <si>
    <t>牛蛙5号Φ5.0</t>
  </si>
  <si>
    <t>HUN1-NW5-5.0</t>
  </si>
  <si>
    <t>牛蛙5号</t>
  </si>
  <si>
    <t>2202010062</t>
  </si>
  <si>
    <t>青蛙料2号AΦ2.0</t>
  </si>
  <si>
    <t>青蛙料</t>
  </si>
  <si>
    <t>HUN18-QW2A-2.0</t>
  </si>
  <si>
    <t>青蛙料2号A</t>
  </si>
  <si>
    <t>2202010087</t>
  </si>
  <si>
    <t>青蛙料3号AΦ3.0</t>
  </si>
  <si>
    <t>HUN18-QW3A-3.0</t>
  </si>
  <si>
    <t>青蛙料3号A</t>
  </si>
  <si>
    <t>2202010110</t>
  </si>
  <si>
    <t>蛙料0号Φ1.0</t>
  </si>
  <si>
    <t>HUN18-WL0-1.0</t>
  </si>
  <si>
    <t>蛙料0号</t>
  </si>
  <si>
    <t>2202010112</t>
  </si>
  <si>
    <t>青蛙料1号AΦ1.5</t>
  </si>
  <si>
    <t>HUN18-QWL1A-1.5</t>
  </si>
  <si>
    <t>青蛙料1号A</t>
  </si>
  <si>
    <t>2202010168</t>
  </si>
  <si>
    <t>WUH1-WFA-F</t>
  </si>
  <si>
    <t>2202030176</t>
  </si>
  <si>
    <t>铂金加州鲈安康0号Φ1.0</t>
  </si>
  <si>
    <t>加州鲈鱼料</t>
  </si>
  <si>
    <t>海特料-铂金版加州安康</t>
  </si>
  <si>
    <t>WUH1-BJJZLAK0-1.0</t>
  </si>
  <si>
    <t>铂金加州鲈安康0号</t>
  </si>
  <si>
    <t>2202030178</t>
  </si>
  <si>
    <t>鱼宝宝Φ0.3</t>
  </si>
  <si>
    <t>海特料-加州鲈料</t>
  </si>
  <si>
    <t>WUH1-YBB-0.3</t>
  </si>
  <si>
    <t>鱼宝宝</t>
  </si>
  <si>
    <t>2202030181</t>
  </si>
  <si>
    <t>铂金加州鲈安康1号Φ1.5</t>
  </si>
  <si>
    <t>WUH1-BJJZLAK1-1.5</t>
  </si>
  <si>
    <t>铂金加州鲈安康1号</t>
  </si>
  <si>
    <t>2202040020</t>
  </si>
  <si>
    <t>黄颡鱼A料1号Φ1.5</t>
  </si>
  <si>
    <t>黄颡鱼料</t>
  </si>
  <si>
    <t>ZJ1-HSYA1-1.5</t>
  </si>
  <si>
    <t>黄颡鱼A料1号</t>
  </si>
  <si>
    <t>2202040046</t>
  </si>
  <si>
    <t>黄颡安康Φ2.0</t>
  </si>
  <si>
    <t>海特料-黄颡安康</t>
  </si>
  <si>
    <t>ZJ1-HSAK-2.0</t>
  </si>
  <si>
    <t>黄颡安康</t>
  </si>
  <si>
    <t>2202040102</t>
  </si>
  <si>
    <t>黄颡安康Φ1.5</t>
  </si>
  <si>
    <t>WUH1-HSAK-1.5</t>
  </si>
  <si>
    <t>2202040103</t>
  </si>
  <si>
    <t>WUH1-HSAK-2.0</t>
  </si>
  <si>
    <t>2202040104</t>
  </si>
  <si>
    <t>黄颡鱼1号Φ1.5</t>
  </si>
  <si>
    <t>WUH1-HSY1-1.5</t>
  </si>
  <si>
    <t>黄颡鱼1号</t>
  </si>
  <si>
    <t>2202040105</t>
  </si>
  <si>
    <t>黄颡鱼1号Φ2.0</t>
  </si>
  <si>
    <t>WUH1-HSY1-2.0</t>
  </si>
  <si>
    <t>2202040107</t>
  </si>
  <si>
    <t>黄颡鱼冬藏宝Φ1.5</t>
  </si>
  <si>
    <t>WUH1-HSDCB-1.5</t>
  </si>
  <si>
    <t>黄颡鱼冬藏宝</t>
  </si>
  <si>
    <t>2202040108</t>
  </si>
  <si>
    <t>黄颡鱼冬藏宝Φ2.0</t>
  </si>
  <si>
    <t>WUH1-HSDCB-2.0</t>
  </si>
  <si>
    <t>2202040113</t>
  </si>
  <si>
    <t>黄颡鱼料Φ粉</t>
  </si>
  <si>
    <t>ZJ1-HSYL-F</t>
  </si>
  <si>
    <t>2202030008</t>
  </si>
  <si>
    <t>加州安康2号Φ2.0</t>
  </si>
  <si>
    <t>海特料-加州安康</t>
  </si>
  <si>
    <t>JM1-JZAK2-2.0</t>
  </si>
  <si>
    <t>加州安康2号</t>
  </si>
  <si>
    <t>2202040128</t>
  </si>
  <si>
    <t>铂金黄颡安康Φ1.5</t>
  </si>
  <si>
    <t>WUH1-BJHSAK-1.5</t>
  </si>
  <si>
    <t>铂金黄颡安康</t>
  </si>
  <si>
    <t>2202040129</t>
  </si>
  <si>
    <t>铂金黄颡安康Φ2.0</t>
  </si>
  <si>
    <t>WUH1-BJHSAK-2.0</t>
  </si>
  <si>
    <t>2202040140</t>
  </si>
  <si>
    <t>铂金黄颡安康Φ1.0</t>
  </si>
  <si>
    <t>WUH1-BJHSAK-1.0</t>
  </si>
  <si>
    <t>2202030081</t>
  </si>
  <si>
    <t>鱼宝宝Φ0.5</t>
  </si>
  <si>
    <t>JM1-YBB-0.5</t>
  </si>
  <si>
    <t>2202030124</t>
  </si>
  <si>
    <t>加州鲈安康3号Φ3.0</t>
  </si>
  <si>
    <t>海特料-加州鲈安康</t>
  </si>
  <si>
    <t>WUH1-JZLAK3-3.0</t>
  </si>
  <si>
    <t>加州鲈安康3号</t>
  </si>
  <si>
    <t>2202030125</t>
  </si>
  <si>
    <t>加州鲈安康4号Φ4.0</t>
  </si>
  <si>
    <t>WUH1-JZLAK4-4.0</t>
  </si>
  <si>
    <t>加州鲈安康4号</t>
  </si>
  <si>
    <t>2202030126</t>
  </si>
  <si>
    <t>加州鲈安康5号Φ5.0</t>
  </si>
  <si>
    <t>WUH1-JZLAK5-5.0</t>
  </si>
  <si>
    <t>加州鲈安康5号</t>
  </si>
  <si>
    <t>2202030127</t>
  </si>
  <si>
    <t>加州鲈安康6号Φ6.0</t>
  </si>
  <si>
    <t>WUH1-JZLAK6-6.0</t>
  </si>
  <si>
    <t>加州鲈安康6号</t>
  </si>
  <si>
    <t>2202030128</t>
  </si>
  <si>
    <t>加州鲈安康7号Φ7.0</t>
  </si>
  <si>
    <t>WUH1-JZLAK7-7.0</t>
  </si>
  <si>
    <t>加州鲈安康7号</t>
  </si>
  <si>
    <t>2202030130</t>
  </si>
  <si>
    <t>铂金加州鲈安康1号Φ1.0</t>
  </si>
  <si>
    <t>WUH1-BJJZLAK1-1.0</t>
  </si>
  <si>
    <t>2202030131</t>
  </si>
  <si>
    <t>铂金加州鲈安康2号Φ2.0</t>
  </si>
  <si>
    <t>WUH1-BJJZLAK2-2.0</t>
  </si>
  <si>
    <t>铂金加州鲈安康2号</t>
  </si>
  <si>
    <t>2202030132</t>
  </si>
  <si>
    <t>铂金加州鲈安康3号Φ3.0</t>
  </si>
  <si>
    <t>WUH1-BJJZLAK3-3.0</t>
  </si>
  <si>
    <t>铂金加州鲈安康3号</t>
  </si>
  <si>
    <t>2202030133</t>
  </si>
  <si>
    <t>铂金加州鲈安康4号Φ4.0</t>
  </si>
  <si>
    <t>WUH1-BJJZLAK4-4.0</t>
  </si>
  <si>
    <t>铂金加州鲈安康4号</t>
  </si>
  <si>
    <t>2202030134</t>
  </si>
  <si>
    <t>铂金加州鲈安康5号Φ5.0</t>
  </si>
  <si>
    <t>WUH1-BJJZLAK5-5.0</t>
  </si>
  <si>
    <t>铂金加州鲈安康5号</t>
  </si>
  <si>
    <t>2202030135</t>
  </si>
  <si>
    <t>铂金加州鲈安康6号Φ6.0</t>
  </si>
  <si>
    <t>WUH1-BJJZLAK6-6.0</t>
  </si>
  <si>
    <t>铂金加州鲈安康6号</t>
  </si>
  <si>
    <t>2202030136</t>
  </si>
  <si>
    <t>铂金加州鲈安康7号Φ7.0</t>
  </si>
  <si>
    <t>WUH1-BJJZLAK7-7.0</t>
  </si>
  <si>
    <t>铂金加州鲈安康7号</t>
  </si>
  <si>
    <t>2202080006</t>
  </si>
  <si>
    <t>黄鳝鱼1号Φ1.5</t>
  </si>
  <si>
    <t>黄鳝鱼料</t>
  </si>
  <si>
    <t>WUH1-HSHY1-1.5</t>
  </si>
  <si>
    <t>黄鳝鱼1号</t>
  </si>
  <si>
    <t>2202330032</t>
  </si>
  <si>
    <t>牛蛙0号Φ1.0</t>
  </si>
  <si>
    <t>HUN1-NW0-1.0</t>
  </si>
  <si>
    <t>牛蛙0号</t>
  </si>
  <si>
    <t>2202330033</t>
  </si>
  <si>
    <t>牛蛙1号Φ1.5</t>
  </si>
  <si>
    <t>HUN1-NW1-1.5</t>
  </si>
  <si>
    <t>牛蛙1号</t>
  </si>
  <si>
    <t>2202330034</t>
  </si>
  <si>
    <t>牛蛙2号Φ2.0</t>
  </si>
  <si>
    <t>HUN1-NW2-2.0</t>
  </si>
  <si>
    <t>牛蛙2号</t>
  </si>
  <si>
    <t>2202130015</t>
  </si>
  <si>
    <t>优力肽Φ2.0</t>
  </si>
  <si>
    <t>WUH1-YLT-2.0</t>
  </si>
  <si>
    <t>优力肽</t>
  </si>
  <si>
    <t>2203030052</t>
  </si>
  <si>
    <t>鳊鱼专用料621Φ2.0</t>
  </si>
  <si>
    <t>鳊鱼料</t>
  </si>
  <si>
    <t>WUH1-621-2.0</t>
  </si>
  <si>
    <t>鳊鱼专用料621</t>
  </si>
  <si>
    <t>2203030053</t>
  </si>
  <si>
    <t>鳊鱼专用料621Φ2.5</t>
  </si>
  <si>
    <t>WUH1-621-2.5</t>
  </si>
  <si>
    <t>2203030054</t>
  </si>
  <si>
    <t>鳊鱼专用料621Φ3.0</t>
  </si>
  <si>
    <t>WUH1-621-3.0</t>
  </si>
  <si>
    <t>2203040028</t>
  </si>
  <si>
    <t>膨化混养1号Φ2.0</t>
  </si>
  <si>
    <t>HUN1-PHHY1-2.0</t>
  </si>
  <si>
    <t>2203010205</t>
  </si>
  <si>
    <t>混养鱼料610Φ小碎</t>
  </si>
  <si>
    <t>WUH1-610-XS</t>
  </si>
  <si>
    <t>混养鱼料610</t>
  </si>
  <si>
    <t>2203010206</t>
  </si>
  <si>
    <t>混养鱼料610Φ大碎</t>
  </si>
  <si>
    <t>WUH1-610-DS</t>
  </si>
  <si>
    <t>2203010207</t>
  </si>
  <si>
    <t>混养鱼料610Φ1.5</t>
  </si>
  <si>
    <t>WUH1-610-1.5</t>
  </si>
  <si>
    <t>2203010208</t>
  </si>
  <si>
    <t>混养鱼料610Φ2.0</t>
  </si>
  <si>
    <t>WUH1-610-2.0</t>
  </si>
  <si>
    <t>2203010209</t>
  </si>
  <si>
    <t>混养鱼料610Φ2.5</t>
  </si>
  <si>
    <t>WUH1-610-2.5</t>
  </si>
  <si>
    <t>2203010210</t>
  </si>
  <si>
    <t>混养鱼料610Φ3.0</t>
  </si>
  <si>
    <t>WUH1-610-3.0</t>
  </si>
  <si>
    <t>2203010211</t>
  </si>
  <si>
    <t>混养鱼料610Φ4.0</t>
  </si>
  <si>
    <t>WUH1-610-4.0</t>
  </si>
  <si>
    <t>2203010218</t>
  </si>
  <si>
    <t>混养鱼料618Φ2.0</t>
  </si>
  <si>
    <t>618高端颗粒鱼料</t>
  </si>
  <si>
    <t>WUH1-618-2.0</t>
  </si>
  <si>
    <t>混养鱼料618</t>
  </si>
  <si>
    <t>2203010219</t>
  </si>
  <si>
    <t>混养鱼料618Φ2.5</t>
  </si>
  <si>
    <t>WUH1-618-2.5</t>
  </si>
  <si>
    <t>2203010220</t>
  </si>
  <si>
    <t>混养鱼料618Φ3.0</t>
  </si>
  <si>
    <t>WUH1-618-3.0</t>
  </si>
  <si>
    <t>2203010235</t>
  </si>
  <si>
    <t>叉尾鮰料661Φ3.0</t>
  </si>
  <si>
    <t>WUH1-661-3.0</t>
  </si>
  <si>
    <t>叉尾鮰料661</t>
  </si>
  <si>
    <t>2203010241</t>
  </si>
  <si>
    <t>肝肠宝Ⅱ型Φ2.0</t>
  </si>
  <si>
    <t>功能料系列-肝肠宝</t>
  </si>
  <si>
    <t>WUH1-GCBⅡ-2.0</t>
  </si>
  <si>
    <t>肝肠宝Ⅱ型</t>
  </si>
  <si>
    <t>2203010243</t>
  </si>
  <si>
    <t>肝肠宝Ⅱ型Φ3.0</t>
  </si>
  <si>
    <t>WUH1-GCBⅡ-3.0</t>
  </si>
  <si>
    <t>2203010245</t>
  </si>
  <si>
    <t>花鲢宝Φ粉</t>
  </si>
  <si>
    <t>WUH1-HLB-F</t>
  </si>
  <si>
    <t>花鲢宝</t>
  </si>
  <si>
    <t>2203010327</t>
  </si>
  <si>
    <t>鲲丰宝Φ3.0</t>
  </si>
  <si>
    <t>WUH1-KFB-3.0</t>
  </si>
  <si>
    <t>鲲丰宝</t>
  </si>
  <si>
    <t>2203010328</t>
  </si>
  <si>
    <t>鲲丰宝Φ4.0</t>
  </si>
  <si>
    <t>WUH1-KFB-4.0</t>
  </si>
  <si>
    <t>2203010337</t>
  </si>
  <si>
    <t>澳冬宝Φ2.0</t>
  </si>
  <si>
    <t>WUH1-ADB-2.0</t>
  </si>
  <si>
    <t>澳冬宝</t>
  </si>
  <si>
    <t>2203010338</t>
  </si>
  <si>
    <t>澳冬宝Φ3.0</t>
  </si>
  <si>
    <t>WUH1-ADB-3.0</t>
  </si>
  <si>
    <t>2203010339</t>
  </si>
  <si>
    <t>混养成鱼料610Φ粉</t>
  </si>
  <si>
    <t>WH1-610-F</t>
  </si>
  <si>
    <t>混养成鱼料610</t>
  </si>
  <si>
    <t>2203040350</t>
  </si>
  <si>
    <t>JX1-610-F</t>
  </si>
  <si>
    <t>2203040391</t>
  </si>
  <si>
    <t>混养鱼料610Φ粉</t>
  </si>
  <si>
    <t>混养料</t>
  </si>
  <si>
    <t>WUH1-610-F</t>
  </si>
  <si>
    <t>2203100015</t>
  </si>
  <si>
    <t>叉尾鮰料662Φ2.0</t>
  </si>
  <si>
    <t>WUH1-662-2.0</t>
  </si>
  <si>
    <t>叉尾鮰料662</t>
  </si>
  <si>
    <t>2203100016</t>
  </si>
  <si>
    <t>叉尾鮰料662Φ2.5</t>
  </si>
  <si>
    <t>WUH1-662-2.5</t>
  </si>
  <si>
    <t>2203100017</t>
  </si>
  <si>
    <t>叉尾鮰料662Φ3.0</t>
  </si>
  <si>
    <t>WUH1-662-3.0</t>
  </si>
  <si>
    <t>2203100018</t>
  </si>
  <si>
    <t>叉尾鮰料662Φ4.0</t>
  </si>
  <si>
    <t>WUH1-662-4.0</t>
  </si>
  <si>
    <t>2203110008</t>
  </si>
  <si>
    <t>鱼苗宝3号Φ1.0</t>
  </si>
  <si>
    <t>鱼安康系列-鱼安康</t>
  </si>
  <si>
    <t>JX1-YMB3-1.0</t>
  </si>
  <si>
    <t>鱼苗宝3号</t>
  </si>
  <si>
    <t>2203120004</t>
  </si>
  <si>
    <t>鳊鱼专用料621Φ1.5</t>
  </si>
  <si>
    <t>WUH1-621-1.5</t>
  </si>
  <si>
    <t>2203080023</t>
  </si>
  <si>
    <t>鲫鱼料632Φ1.8</t>
  </si>
  <si>
    <t>鲫鱼料</t>
  </si>
  <si>
    <t>ZJ1-JYL632-1.8</t>
  </si>
  <si>
    <t>鲫鱼料632</t>
  </si>
  <si>
    <t>2203080024</t>
  </si>
  <si>
    <t>鲫鱼料632Φ2.5</t>
  </si>
  <si>
    <t>ZJ1-JYL632-2.5</t>
  </si>
  <si>
    <t>2203080068</t>
  </si>
  <si>
    <t>鲫鱼料632Φ2.0</t>
  </si>
  <si>
    <t>WUH1-JYL632-2.0</t>
  </si>
  <si>
    <t>2203080069</t>
  </si>
  <si>
    <t>WUH1-JYL632-2.5</t>
  </si>
  <si>
    <t>2203040280</t>
  </si>
  <si>
    <t>肝肠宝II型Φ2.0</t>
  </si>
  <si>
    <t>WH1-GCBII-2.0</t>
  </si>
  <si>
    <t>肝肠宝II型</t>
  </si>
  <si>
    <t>2204010189</t>
  </si>
  <si>
    <t>虾奶粉II段（有内袋）</t>
  </si>
  <si>
    <t>虾安康</t>
  </si>
  <si>
    <t>虾蟹安康-虾奶粉</t>
  </si>
  <si>
    <t>ZJ1-XNF2D-FY</t>
  </si>
  <si>
    <t>2204010255</t>
  </si>
  <si>
    <t>虾安康1号Φ1.0</t>
  </si>
  <si>
    <t>虾蟹安康-虾安康</t>
  </si>
  <si>
    <t>JM1-XAK1-1.0</t>
  </si>
  <si>
    <t>虾安康1号</t>
  </si>
  <si>
    <t>2204010001</t>
  </si>
  <si>
    <t>虾奶粉III段（有内袋）</t>
  </si>
  <si>
    <t>ZJ1-XNF3D-FY</t>
  </si>
  <si>
    <t>2204010004</t>
  </si>
  <si>
    <t>ZHJ1-XNF3D-FY</t>
  </si>
  <si>
    <t>2204010051</t>
  </si>
  <si>
    <t>虾奶粉Ⅱ段</t>
  </si>
  <si>
    <t>FJ1-XNFL2D-F</t>
  </si>
  <si>
    <t>2204010139</t>
  </si>
  <si>
    <t>虾安康0号Φ小碎（有内袋）</t>
  </si>
  <si>
    <t>ZJ1-XAK0-SY</t>
  </si>
  <si>
    <t>虾安康0号</t>
  </si>
  <si>
    <t>2204010140</t>
  </si>
  <si>
    <t>虾安康1号Φ碎（有内袋）</t>
  </si>
  <si>
    <t>ZJ1-XAK1-SY</t>
  </si>
  <si>
    <t>2204010155</t>
  </si>
  <si>
    <t>虾奶粉料（有内袋）</t>
  </si>
  <si>
    <t>ZJ1-XNFL-FY</t>
  </si>
  <si>
    <t>2204010159</t>
  </si>
  <si>
    <t>虾安康0号Φ碎（有内袋）</t>
  </si>
  <si>
    <t>JM1-XAK0-SY</t>
  </si>
  <si>
    <t>2204010160</t>
  </si>
  <si>
    <t>虾安康1号Φ1.2</t>
  </si>
  <si>
    <t>JM1-XAK1-1.2</t>
  </si>
  <si>
    <t>2204010162</t>
  </si>
  <si>
    <t>JM1-XAK1-SY</t>
  </si>
  <si>
    <t>2204020078</t>
  </si>
  <si>
    <t>南美白对虾1号Φ1.2</t>
  </si>
  <si>
    <t>中档南美白对虾料</t>
  </si>
  <si>
    <t>JM1-NMBDX1-1.2</t>
  </si>
  <si>
    <t>南美白对虾1号</t>
  </si>
  <si>
    <t>2204020084</t>
  </si>
  <si>
    <t>南美白对虾1号Φ碎（有内袋）</t>
  </si>
  <si>
    <t>JM1-NMBDX1-SY</t>
  </si>
  <si>
    <t>2204020087</t>
  </si>
  <si>
    <t>(停用)南美白对虾2号Φ1.6</t>
  </si>
  <si>
    <t>JM1-NMBDX2-1.6</t>
  </si>
  <si>
    <t>(停用)南美白对虾2号</t>
  </si>
  <si>
    <t>2204030143</t>
  </si>
  <si>
    <t>南美白对虾2号Φ1.6</t>
  </si>
  <si>
    <t>南美白对虾2号</t>
  </si>
  <si>
    <t>2204030165</t>
  </si>
  <si>
    <t>WUH1-NMBDX1-1.2</t>
  </si>
  <si>
    <t>2204100271</t>
  </si>
  <si>
    <t>旺虾宝Φ1.8</t>
  </si>
  <si>
    <t>颗粒料</t>
  </si>
  <si>
    <t>虾蟹安康-淡水虾蟹安康</t>
  </si>
  <si>
    <t>WUH2-WXB-1.8</t>
  </si>
  <si>
    <t>旺虾宝</t>
  </si>
  <si>
    <t>2204100272</t>
  </si>
  <si>
    <t>旺虾宝Φ2.5</t>
  </si>
  <si>
    <t>WUH2-WXB-2.5</t>
  </si>
  <si>
    <t>2204100273</t>
  </si>
  <si>
    <t>小龙虾2号Φ1.8</t>
  </si>
  <si>
    <t>WUH2-LX2-1.8</t>
  </si>
  <si>
    <t>小龙虾2号</t>
  </si>
  <si>
    <t>2204100274</t>
  </si>
  <si>
    <t>小龙虾2号Φ2.5</t>
  </si>
  <si>
    <t>WUH2-LX2-2.5</t>
  </si>
  <si>
    <t>2204100275</t>
  </si>
  <si>
    <t>小龙虾3号Φ2.5</t>
  </si>
  <si>
    <t>WUH2-LX3-2.5</t>
  </si>
  <si>
    <t>小龙虾3号</t>
  </si>
  <si>
    <t>2204100282</t>
  </si>
  <si>
    <t>膨化龙虾安康Φ2.0</t>
  </si>
  <si>
    <t>膨化沉性料</t>
  </si>
  <si>
    <t>WUH1-PHLXAK-2.0</t>
  </si>
  <si>
    <t>膨化龙虾安康</t>
  </si>
  <si>
    <t>2204100283</t>
  </si>
  <si>
    <t>膨化龙虾安康Φ3.0</t>
  </si>
  <si>
    <t>WUH1-PHLXAK-3.0</t>
  </si>
  <si>
    <t>2204100286</t>
  </si>
  <si>
    <t>膨化龙虾30Φ3.0</t>
  </si>
  <si>
    <t>WUH1-PHLX30-3.0</t>
  </si>
  <si>
    <t>膨化龙虾30</t>
  </si>
  <si>
    <t>2204100287</t>
  </si>
  <si>
    <t>膨化旺虾宝Φ2.0</t>
  </si>
  <si>
    <t>WUH5-PHWXB-2.0</t>
  </si>
  <si>
    <t>膨化旺虾宝</t>
  </si>
  <si>
    <t>2204100291</t>
  </si>
  <si>
    <t>小龙虾膨化料730Φ3.0</t>
  </si>
  <si>
    <t>WUH5-730-3.0</t>
  </si>
  <si>
    <t>小龙虾膨化料730</t>
  </si>
  <si>
    <t>2204100292</t>
  </si>
  <si>
    <t>WUH2-PHWXB-2.0</t>
  </si>
  <si>
    <t>2204100296</t>
  </si>
  <si>
    <t>小龙虾料830Φ3.0</t>
  </si>
  <si>
    <t>WUH2-830-3.0</t>
  </si>
  <si>
    <t>小龙虾料830</t>
  </si>
  <si>
    <t>2204100306</t>
  </si>
  <si>
    <t>小龙虾膨化料820Φ3.0</t>
  </si>
  <si>
    <t>WUH2-820-3.0</t>
  </si>
  <si>
    <t>小龙虾膨化料820</t>
  </si>
  <si>
    <t>2204100307</t>
  </si>
  <si>
    <t>小龙虾膨化料720Φ3.0</t>
  </si>
  <si>
    <t xml:space="preserve"> WUH5-720-3.0</t>
  </si>
  <si>
    <t>小龙虾膨化料720</t>
  </si>
  <si>
    <t>2204100308</t>
  </si>
  <si>
    <t>龙虾33Φ2.5</t>
  </si>
  <si>
    <t>WUH1-LX33-2.5</t>
  </si>
  <si>
    <t>龙虾33</t>
  </si>
  <si>
    <t>2204100309</t>
  </si>
  <si>
    <t>膨化龙虾33Φ2.0</t>
  </si>
  <si>
    <t>WUH1-PHLX33-2.0</t>
  </si>
  <si>
    <t>膨化龙虾33</t>
  </si>
  <si>
    <t>2204100310</t>
  </si>
  <si>
    <t>膨化龙虾33Φ3.0</t>
  </si>
  <si>
    <t>WUH1-PHLX33-3.0</t>
  </si>
  <si>
    <t>2204100311</t>
  </si>
  <si>
    <t>小龙虾膨化料733Φ2.0</t>
  </si>
  <si>
    <t>WUH5-733-2.0</t>
  </si>
  <si>
    <t>小龙虾膨化料733</t>
  </si>
  <si>
    <t>2204100312</t>
  </si>
  <si>
    <t>小龙虾膨化料733Φ3.0</t>
  </si>
  <si>
    <t>WUH5-733-3.0</t>
  </si>
  <si>
    <t>2204100313</t>
  </si>
  <si>
    <t>小龙虾膨化料833Φ2.0</t>
  </si>
  <si>
    <t>WUH2-833-2.0</t>
  </si>
  <si>
    <t>小龙虾膨化料833</t>
  </si>
  <si>
    <t>2204100314</t>
  </si>
  <si>
    <t>小龙虾膨化料833Φ3.0</t>
  </si>
  <si>
    <t>WUH2-833-3.0</t>
  </si>
  <si>
    <t>2204100328</t>
  </si>
  <si>
    <t>虾蟹混养膨化料8636Φ2.0</t>
  </si>
  <si>
    <t>WUH5-8636-2.0</t>
  </si>
  <si>
    <t>虾蟹混养膨化料8636</t>
  </si>
  <si>
    <t>2204100329</t>
  </si>
  <si>
    <t>虾蟹混养膨化料8636Φ3.0</t>
  </si>
  <si>
    <t>WUH5-8636-3.0</t>
  </si>
  <si>
    <t>2204100330</t>
  </si>
  <si>
    <t>虾蟹混养膨化料8633Φ2.0</t>
  </si>
  <si>
    <t>WUH5-8633-2.0</t>
  </si>
  <si>
    <t>虾蟹混养膨化料8633</t>
  </si>
  <si>
    <t>2204100331</t>
  </si>
  <si>
    <t>虾蟹混养膨化料8633Φ3.0</t>
  </si>
  <si>
    <t>WUH5-8633-3.0</t>
  </si>
  <si>
    <t>2204100332</t>
  </si>
  <si>
    <t>虾蟹混养膨化料8630Φ3.0</t>
  </si>
  <si>
    <t>WUH5-8630-3.0</t>
  </si>
  <si>
    <t>虾蟹混养膨化料8630</t>
  </si>
  <si>
    <t>2204100345</t>
  </si>
  <si>
    <t>WUH23-WXB-1.8</t>
  </si>
  <si>
    <t>2204100346</t>
  </si>
  <si>
    <t>WUH23-WXB-2.5</t>
  </si>
  <si>
    <t>2204100347</t>
  </si>
  <si>
    <t>WUH23-LX2-1.8</t>
  </si>
  <si>
    <t>2204100348</t>
  </si>
  <si>
    <t>WUH23-LX2-2.5</t>
  </si>
  <si>
    <t>2204100349</t>
  </si>
  <si>
    <t>WUH23-LX3-2.5</t>
  </si>
  <si>
    <t>2204060045</t>
  </si>
  <si>
    <t>沼虾43 1号Φ碎（有内袋）</t>
  </si>
  <si>
    <t>罗虾料</t>
  </si>
  <si>
    <t>ZJ1-ZX43 1-SY</t>
  </si>
  <si>
    <t>沼虾43 1号</t>
  </si>
  <si>
    <t>2204060046</t>
  </si>
  <si>
    <t>沼虾43 1号Φ1.0</t>
  </si>
  <si>
    <t>ZJ1-ZX43 1-1.0</t>
  </si>
  <si>
    <t>2204060047</t>
  </si>
  <si>
    <t>沼虾43 1号Φ1.2</t>
  </si>
  <si>
    <t>ZJ1-ZX43 1-1.2</t>
  </si>
  <si>
    <t>2204060049</t>
  </si>
  <si>
    <t>沼虾41 1号Φ1.0</t>
  </si>
  <si>
    <t>ZJ1-ZX41 1-1.0</t>
  </si>
  <si>
    <t>沼虾41 1号</t>
  </si>
  <si>
    <t>2204060050</t>
  </si>
  <si>
    <t>沼虾41 1号Φ1.2</t>
  </si>
  <si>
    <t>ZJ1-ZX41 1-1.2</t>
  </si>
  <si>
    <t>2204060052</t>
  </si>
  <si>
    <t>沼虾43 0号Φ小碎（有内袋）</t>
  </si>
  <si>
    <t>ZJ1-ZX43 0-SY</t>
  </si>
  <si>
    <t>沼虾43 0号</t>
  </si>
  <si>
    <t>2204100259</t>
  </si>
  <si>
    <t>龙虾安康Φ1.8</t>
  </si>
  <si>
    <t>WUH1-LXAK-1.8</t>
  </si>
  <si>
    <t>龙虾安康</t>
  </si>
  <si>
    <t>2204100260</t>
  </si>
  <si>
    <t>龙虾安康Φ2.5</t>
  </si>
  <si>
    <t>WUH1-LXAK-2.5</t>
  </si>
  <si>
    <t>2204100263</t>
  </si>
  <si>
    <t>龙虾30Φ2.5</t>
  </si>
  <si>
    <t>WUH1-LX30-2.5</t>
  </si>
  <si>
    <t>龙虾30</t>
  </si>
  <si>
    <t>2204130021</t>
  </si>
  <si>
    <t>龙虾肽宝Φ2.0</t>
  </si>
  <si>
    <t>功能料系列-丰虾肽宝</t>
  </si>
  <si>
    <t>WUH2-LXTB-2.0</t>
  </si>
  <si>
    <t>龙虾肽宝</t>
  </si>
  <si>
    <t>2204130023</t>
  </si>
  <si>
    <t>WUH18-LXTB-2.0</t>
  </si>
  <si>
    <t>2205050244</t>
  </si>
  <si>
    <t>旺蟹宝Φ2.0</t>
  </si>
  <si>
    <t>WUH2-PHWXB1-2.0</t>
  </si>
  <si>
    <t>旺蟹宝</t>
  </si>
  <si>
    <t>2205050245</t>
  </si>
  <si>
    <t>旺蟹宝Φ3.0</t>
  </si>
  <si>
    <t>WUH2-PHWXB1-3.0</t>
  </si>
  <si>
    <t>2205050246</t>
  </si>
  <si>
    <t>螃蟹膨化料P34Φ2.0</t>
  </si>
  <si>
    <t>WUH2-P34-2.0</t>
  </si>
  <si>
    <t>螃蟹膨化料P34</t>
  </si>
  <si>
    <t>武汉澳华农牧有限公司</t>
  </si>
  <si>
    <t>2205050247</t>
  </si>
  <si>
    <t>螃蟹膨化料P34Φ3.0</t>
  </si>
  <si>
    <t>WUH2-P34-3.0</t>
  </si>
  <si>
    <t>2205050248</t>
  </si>
  <si>
    <t>螃蟹膨化料P30Φ3.0</t>
  </si>
  <si>
    <t>WUH2-P30-3.0</t>
  </si>
  <si>
    <t>螃蟹膨化料P30</t>
  </si>
  <si>
    <t>2205050249</t>
  </si>
  <si>
    <t>WUH5-P34-2.0</t>
  </si>
  <si>
    <t>2205050250</t>
  </si>
  <si>
    <t>WUH5-P34-3.0</t>
  </si>
  <si>
    <t>2205050251</t>
  </si>
  <si>
    <t>WUH5-P30-3.0</t>
  </si>
  <si>
    <t>2205050269</t>
  </si>
  <si>
    <t>螃蟹2号Φ1.8</t>
  </si>
  <si>
    <t>WUH2-PX2-1.8</t>
  </si>
  <si>
    <t>螃蟹2号</t>
  </si>
  <si>
    <t>2205050270</t>
  </si>
  <si>
    <t>螃蟹2号Φ2.5</t>
  </si>
  <si>
    <t>WUH2-PX2-2.5</t>
  </si>
  <si>
    <t>2205050271</t>
  </si>
  <si>
    <t>螃蟹4号AΦ2.5</t>
  </si>
  <si>
    <t>WUH2-PX4A-2.5</t>
  </si>
  <si>
    <t>螃蟹4号A</t>
  </si>
  <si>
    <t>2205050272</t>
  </si>
  <si>
    <t>螃蟹4号AΦ3.5</t>
  </si>
  <si>
    <t>WUH2-PX4A-3.5</t>
  </si>
  <si>
    <t>2205050293</t>
  </si>
  <si>
    <t>膨化螃蟹4号AΦ3.0</t>
  </si>
  <si>
    <t>WUH1-PHPX4A-3.0</t>
  </si>
  <si>
    <t>膨化螃蟹4号A</t>
  </si>
  <si>
    <t>2205050295</t>
  </si>
  <si>
    <t>膨化旺蟹宝Φ2.0</t>
  </si>
  <si>
    <t>WUH5-PHWXB1-2.0</t>
  </si>
  <si>
    <t>膨化旺蟹宝</t>
  </si>
  <si>
    <t>2205050296</t>
  </si>
  <si>
    <t>膨化旺蟹宝Φ3.0</t>
  </si>
  <si>
    <t>WUH5-PHWXB1-3.0</t>
  </si>
  <si>
    <t>2205050298</t>
  </si>
  <si>
    <t>WUH23-PX2-1.8</t>
  </si>
  <si>
    <t>2205140018</t>
  </si>
  <si>
    <t>WUH23-PX2-2.5</t>
  </si>
  <si>
    <t>2205140019</t>
  </si>
  <si>
    <t>螃蟹3号Φ1.8</t>
  </si>
  <si>
    <t>WUH23-PX3-1.8</t>
  </si>
  <si>
    <t>螃蟹3号</t>
  </si>
  <si>
    <t>2205140020</t>
  </si>
  <si>
    <t>螃蟹3号Φ2.5</t>
  </si>
  <si>
    <t>WUH23-PX3-2.5</t>
  </si>
  <si>
    <t>2205140021</t>
  </si>
  <si>
    <t>WUH23-PX4A-2.5</t>
  </si>
  <si>
    <t>2205140022</t>
  </si>
  <si>
    <t>WUH2-PX3-1.8</t>
  </si>
  <si>
    <t>2205140023</t>
  </si>
  <si>
    <t>WUH2-PX3-2.5</t>
  </si>
  <si>
    <t>2205150006</t>
  </si>
  <si>
    <t>螃蟹膨化料B833Φ2.0</t>
  </si>
  <si>
    <t>WUH99-B833-2.0</t>
  </si>
  <si>
    <t>螃蟹膨化料B833</t>
  </si>
  <si>
    <t>2205150007</t>
  </si>
  <si>
    <t>螃蟹膨化料B833Φ3.0</t>
  </si>
  <si>
    <t>WUH99-B833-3.0</t>
  </si>
  <si>
    <t>2205150028</t>
  </si>
  <si>
    <t>WUH23-PHWXB-2.0</t>
  </si>
  <si>
    <t>2205150029</t>
  </si>
  <si>
    <t>WUH23-PHWXB-3.0</t>
  </si>
  <si>
    <t>2205150030</t>
  </si>
  <si>
    <t>WUH23-P34-2.0</t>
  </si>
  <si>
    <t>2205150031</t>
  </si>
  <si>
    <t>WUH23-P34-3.0</t>
  </si>
  <si>
    <t>2205150032</t>
  </si>
  <si>
    <t>WUH23-P30-3.0</t>
  </si>
  <si>
    <t>2205150042</t>
  </si>
  <si>
    <t>螃蟹膨化料P30Φ4.0</t>
  </si>
  <si>
    <t>WUH2-P30-4.0</t>
  </si>
  <si>
    <t>2205150043</t>
  </si>
  <si>
    <t>WUH23-P30-4.0</t>
  </si>
  <si>
    <t>2206010001</t>
  </si>
  <si>
    <t>小龙虾1号Φ1.8</t>
  </si>
  <si>
    <t>WUH99-XLX1-1.8</t>
  </si>
  <si>
    <t>小龙虾1号</t>
  </si>
  <si>
    <t>2206010002</t>
  </si>
  <si>
    <t>WUH99-XLX2-1.8</t>
  </si>
  <si>
    <t>2206010003</t>
  </si>
  <si>
    <t>小龙虾1号Φ2.5</t>
  </si>
  <si>
    <t>WUH99-XLX1-2.5</t>
  </si>
  <si>
    <t>2206010004</t>
  </si>
  <si>
    <t>WUH99-XLX2-2.5</t>
  </si>
  <si>
    <t>2206020003</t>
  </si>
  <si>
    <t>膨化龙虾6836Φ2.0</t>
  </si>
  <si>
    <t>WUH99-6836-2.0</t>
  </si>
  <si>
    <t>膨化龙虾6836</t>
  </si>
  <si>
    <t>2206020004</t>
  </si>
  <si>
    <t>膨化龙虾6836Φ3.0</t>
  </si>
  <si>
    <t>WUH99-6836-3.0</t>
  </si>
  <si>
    <t>2206020005</t>
  </si>
  <si>
    <t>膨化龙虾6833Φ2.0</t>
  </si>
  <si>
    <t>WUH99-6833-2.0</t>
  </si>
  <si>
    <t>膨化龙虾6833</t>
  </si>
  <si>
    <t>2206020006</t>
  </si>
  <si>
    <t>膨化龙虾6833Φ3.0</t>
  </si>
  <si>
    <t>WUH99-6833-3.0</t>
  </si>
  <si>
    <t>2206020007</t>
  </si>
  <si>
    <t>膨化龙虾6830Φ3.0</t>
  </si>
  <si>
    <t>WUH99-6830-3.0</t>
  </si>
  <si>
    <t>膨化龙虾6830</t>
  </si>
  <si>
    <t>2206030001</t>
  </si>
  <si>
    <t>WUH23-LXTB-2.0</t>
  </si>
  <si>
    <t>2206030003</t>
  </si>
  <si>
    <t>龙虾肽宝Φ碎</t>
  </si>
  <si>
    <t>WUH2-LXTB-S</t>
  </si>
  <si>
    <t>2206030005</t>
  </si>
  <si>
    <t>WUH23-LXTB-S</t>
  </si>
  <si>
    <t>财务指标审核表</t>
  </si>
  <si>
    <t>公司</t>
  </si>
  <si>
    <t>指标</t>
  </si>
  <si>
    <t>2026年预测</t>
  </si>
  <si>
    <t>2025年全年</t>
  </si>
  <si>
    <t>2026年预算</t>
  </si>
  <si>
    <t>预算增长额</t>
  </si>
  <si>
    <t>预算增长率</t>
  </si>
  <si>
    <t>异常数据说明</t>
  </si>
  <si>
    <t>华东一区</t>
  </si>
  <si>
    <t>福建公司</t>
  </si>
  <si>
    <t>外销销量(万吨）</t>
  </si>
  <si>
    <t>取&lt;年度利润表-销售量合计(吨)(序号11）&gt;F列</t>
  </si>
  <si>
    <t>取&lt;年度利润表-销售量合计(吨)(序号11）&gt;G列</t>
  </si>
  <si>
    <t>取&lt;年度利润表-销售量合计(吨)(序号11）&gt;H列</t>
  </si>
  <si>
    <t>本行D列-本行E列</t>
  </si>
  <si>
    <t>本行G列/本行E列</t>
  </si>
  <si>
    <t>单位手工填写</t>
  </si>
  <si>
    <t>月度指标</t>
  </si>
  <si>
    <t>主营业务收入(万元）</t>
  </si>
  <si>
    <t>取&lt;年度利润表-一、主营业务收入(序号12）&gt;F列</t>
  </si>
  <si>
    <t>取&lt;年度利润表-一、主营业务收入(序号12）&gt;G列</t>
  </si>
  <si>
    <t>取&lt;年度利润表-一、主营业务收入(序号12）&gt;H列</t>
  </si>
  <si>
    <t>产线贡献</t>
  </si>
  <si>
    <t>毛利(万元）</t>
  </si>
  <si>
    <t>取&lt;年度利润表-二、毛利(序号14）&gt;F列</t>
  </si>
  <si>
    <t>取&lt;年度利润表-二、毛利(序号14）&gt;G列</t>
  </si>
  <si>
    <t>取&lt;年度利润表-二、毛利(序号14）&gt;H列</t>
  </si>
  <si>
    <t>人效</t>
  </si>
  <si>
    <t>毛利率</t>
  </si>
  <si>
    <t>=D6/D5</t>
  </si>
  <si>
    <t>=E6/E5</t>
  </si>
  <si>
    <t>=F6/F5</t>
  </si>
  <si>
    <t>NC利润</t>
  </si>
  <si>
    <t>取&lt;年度利润表-五、净利润(序号40）&gt;F列</t>
  </si>
  <si>
    <t>取&lt;年度利润表-五、净利润(序号40）&gt;G列</t>
  </si>
  <si>
    <t>取&lt;年度利润表-五、净利润(序号40）&gt;H列</t>
  </si>
  <si>
    <t>特殊考核调整</t>
  </si>
  <si>
    <t>取&lt;年度利润表-考核调整-合计(序号52）&gt;F列</t>
  </si>
  <si>
    <t>取&lt;年度利润表-考核调整-合计(序号52）&gt;G列</t>
  </si>
  <si>
    <t>取&lt;年度利润表-考核调整-合计(序号52）&gt;H列</t>
  </si>
  <si>
    <t>聚焦镇指标</t>
  </si>
  <si>
    <t>考核利润(万元）</t>
  </si>
  <si>
    <t>取&lt;年度利润表-NC利润(序号54）&gt;F列</t>
  </si>
  <si>
    <t>取&lt;年度利润表-NC利润(序号54）&gt;G列</t>
  </si>
  <si>
    <t>取&lt;年度利润表-NC利润(序号54）&gt;H列</t>
  </si>
  <si>
    <t>其他业务利润(万元）</t>
  </si>
  <si>
    <t>取&lt;年度利润表-F列对应序号15~20计算&gt;，计算公司：15-16+17-18+19+20</t>
  </si>
  <si>
    <t>取&lt;年度利润表-G列对应序号15~20计算&gt;，计算公司：15-16+17-18+19+20</t>
  </si>
  <si>
    <t>取&lt;年度利润表-H列对应序号15~20计算&gt;，计算公司：15-16+17-18+19+20</t>
  </si>
  <si>
    <t>取&lt;年度利润表-销售费用(序号22）&gt;F列</t>
  </si>
  <si>
    <t>取&lt;年度利润表-销售费用(序号22）&gt;G列</t>
  </si>
  <si>
    <t>取&lt;年度利润表-销售费用(序号22）&gt;H列</t>
  </si>
  <si>
    <t>配销差吨毛利</t>
  </si>
  <si>
    <t>取&lt;年度利润表-管理费用(序号23）&gt;F列</t>
  </si>
  <si>
    <t>取&lt;年度利润表-管理费用(序号23）&gt;G列</t>
  </si>
  <si>
    <t>取&lt;年度利润表-管理费用(序号23）&gt;H列</t>
  </si>
  <si>
    <t>取&lt;年度利润表-财务费用(序号25）&gt;F列</t>
  </si>
  <si>
    <t>取&lt;年度利润表-财务费用(序号25）&gt;G列</t>
  </si>
  <si>
    <t>取&lt;年度利润表-财务费用(序号25）&gt;H列</t>
  </si>
  <si>
    <t>毛利表（内销）</t>
  </si>
  <si>
    <t>销售E值(万元）</t>
  </si>
  <si>
    <t>取&lt;人工成本明细-人资-销售费用-E值&gt;G列</t>
  </si>
  <si>
    <t>取&lt;人工成本明细-人资-销售费用-E值&gt;F列</t>
  </si>
  <si>
    <t>生产成本</t>
  </si>
  <si>
    <t>管理E值(万元）</t>
  </si>
  <si>
    <t>取&lt;人工成本明细-人资-管理费用-E值&gt;G列</t>
  </si>
  <si>
    <t>取&lt;人工成本明细-人资-管理费用-E值&gt;F列</t>
  </si>
  <si>
    <t>取&lt;表7.1 表样-销费科目明细-销售人数(序号61）&gt;E列</t>
  </si>
  <si>
    <t>取&lt;表7.1 表样-销费科目明细-销售人数(序号61）&gt;H列</t>
  </si>
  <si>
    <t>管理人数</t>
  </si>
  <si>
    <t>动保大类毛利</t>
  </si>
  <si>
    <t>生产人数</t>
  </si>
  <si>
    <t>取&lt;制造费用-填报生产部-生产人数&gt;D列</t>
  </si>
  <si>
    <t>取&lt;制造费用-填报生产部-生产人数&gt;E列</t>
  </si>
  <si>
    <t>动保公司毛利</t>
  </si>
  <si>
    <t>人均销量(吨/人)</t>
  </si>
  <si>
    <t>本表D4/D17</t>
  </si>
  <si>
    <t>本表E4/E17</t>
  </si>
  <si>
    <t>本表F4/F17</t>
  </si>
  <si>
    <t>动保产品毛利</t>
  </si>
  <si>
    <t>单吨销售费用(元/吨）</t>
  </si>
  <si>
    <t>本表D12/D4</t>
  </si>
  <si>
    <t>本表E12/E4</t>
  </si>
  <si>
    <t>本表F12/F4</t>
  </si>
  <si>
    <t>销售费用率</t>
  </si>
  <si>
    <t>本表D12/D5</t>
  </si>
  <si>
    <t>本表E12/E5</t>
  </si>
  <si>
    <t>本表F12/F5</t>
  </si>
  <si>
    <t>管理费用率</t>
  </si>
  <si>
    <t>本表D13/D5</t>
  </si>
  <si>
    <t>本表E13/E5</t>
  </si>
  <si>
    <t>本表F13/F5</t>
  </si>
  <si>
    <t>销售E/M值</t>
  </si>
  <si>
    <t>本表D15/D6</t>
  </si>
  <si>
    <t>本表E15/E6</t>
  </si>
  <si>
    <t>本表F15/F6</t>
  </si>
  <si>
    <t>管理E/M值</t>
  </si>
  <si>
    <t>本表D16/D6</t>
  </si>
  <si>
    <t>本表E16/E6</t>
  </si>
  <si>
    <t>本表F16/F6</t>
  </si>
  <si>
    <t>动保销量</t>
  </si>
  <si>
    <t>说明：所有指标同比偏差±30%以上，请填报人员必须说明原因，财务复核其合理性。</t>
  </si>
  <si>
    <t>动保成本</t>
  </si>
  <si>
    <t>内部代工</t>
  </si>
  <si>
    <t>产品折扣</t>
  </si>
  <si>
    <t>采购原料价格</t>
  </si>
  <si>
    <t>生产产量</t>
  </si>
  <si>
    <r>
      <rPr>
        <sz val="11"/>
        <color rgb="FF0000FF"/>
        <rFont val="宋体"/>
        <charset val="134"/>
        <scheme val="minor"/>
      </rPr>
      <t>生产</t>
    </r>
    <r>
      <rPr>
        <u/>
        <sz val="11"/>
        <color rgb="FF0000FF"/>
        <rFont val="宋体"/>
        <charset val="134"/>
        <scheme val="minor"/>
      </rPr>
      <t>产量</t>
    </r>
  </si>
  <si>
    <t>人资报表</t>
  </si>
  <si>
    <t>专项激励</t>
  </si>
  <si>
    <t>报表项目</t>
  </si>
  <si>
    <t>当期值</t>
  </si>
  <si>
    <t>累计值</t>
  </si>
  <si>
    <t>异常说明</t>
  </si>
  <si>
    <t>预测值</t>
  </si>
  <si>
    <t>预算值</t>
  </si>
  <si>
    <t>同期值</t>
  </si>
  <si>
    <t>同比增减</t>
  </si>
  <si>
    <t>预算差</t>
  </si>
  <si>
    <t>损益总表</t>
  </si>
  <si>
    <t>销售量</t>
  </si>
  <si>
    <t>标题</t>
  </si>
  <si>
    <t>取&lt;月度利润表-(行号2）&gt;R列</t>
  </si>
  <si>
    <t>取&lt;月度利润表-(行号2）&gt;AE列</t>
  </si>
  <si>
    <t>取&lt;月度利润表-(行号2）&gt;AR列</t>
  </si>
  <si>
    <t>取&lt;月度利润表-(行号3）&gt;R列</t>
  </si>
  <si>
    <t>取&lt;月度利润表-(行号3）&gt;AE列</t>
  </si>
  <si>
    <t>取&lt;月度利润表-(行号3）&gt;AR列</t>
  </si>
  <si>
    <t>取&lt;月度利润表-(行号4）&gt;R列</t>
  </si>
  <si>
    <t>取&lt;月度利润表-(行号4）&gt;AE列</t>
  </si>
  <si>
    <t>取&lt;月度利润表-(行号4）&gt;AR列</t>
  </si>
  <si>
    <t>取&lt;月度利润表-(行号5）&gt;R列</t>
  </si>
  <si>
    <t>取&lt;月度利润表-(行号5）&gt;AE列</t>
  </si>
  <si>
    <t>取&lt;月度利润表-(行号5）&gt;AR列</t>
  </si>
  <si>
    <t>A1</t>
  </si>
  <si>
    <t>取&lt;月度利润表-(行号A1）&gt;R列</t>
  </si>
  <si>
    <t>取&lt;月度利润表-(行号A1）&gt;AE列</t>
  </si>
  <si>
    <t>取&lt;月度利润表-(行号A1）&gt;AR列</t>
  </si>
  <si>
    <t>取&lt;月度利润表-(行号6）&gt;R列</t>
  </si>
  <si>
    <t>取&lt;月度利润表-(行号6）&gt;AE列</t>
  </si>
  <si>
    <t>取&lt;月度利润表-(行号6）&gt;AR列</t>
  </si>
  <si>
    <t>取&lt;月度利润表-(行号7）&gt;R列</t>
  </si>
  <si>
    <t>取&lt;月度利润表-(行号7）&gt;AE列</t>
  </si>
  <si>
    <t>取&lt;月度利润表-(行号7）&gt;AR列</t>
  </si>
  <si>
    <t>取&lt;月度利润表-(行号8）&gt;R列</t>
  </si>
  <si>
    <t>取&lt;月度利润表-(行号8）&gt;AE列</t>
  </si>
  <si>
    <t>取&lt;月度利润表-(行号8）&gt;AR列</t>
  </si>
  <si>
    <t>取&lt;月度利润表-(行号9）&gt;R列</t>
  </si>
  <si>
    <t>取&lt;月度利润表-(行号9）&gt;AE列</t>
  </si>
  <si>
    <t>取&lt;月度利润表-(行号9）&gt;AR列</t>
  </si>
  <si>
    <t>取&lt;月度利润表-(行号10）&gt;R列</t>
  </si>
  <si>
    <t>取&lt;月度利润表-(行号10）&gt;AE列</t>
  </si>
  <si>
    <t>取&lt;月度利润表-(行号10）&gt;AR列</t>
  </si>
  <si>
    <t>销售量合计(吨)</t>
  </si>
  <si>
    <t>SUM(F4:F13)</t>
  </si>
  <si>
    <t>SUM(G4:G13)</t>
  </si>
  <si>
    <t>SUM(H4:H13)</t>
  </si>
  <si>
    <t>一、主营业务收入</t>
  </si>
  <si>
    <t>取&lt;月度利润表-(行号12）&gt;R列</t>
  </si>
  <si>
    <t>计算</t>
  </si>
  <si>
    <t>减：主营业务成本</t>
  </si>
  <si>
    <t>取&lt;月度利润表-(行号13）&gt;R列</t>
  </si>
  <si>
    <t>二、毛利</t>
  </si>
  <si>
    <t>=F15-F16</t>
  </si>
  <si>
    <t>=G15-G16</t>
  </si>
  <si>
    <t>=H15-H16</t>
  </si>
  <si>
    <t>加：其它业务收入（代加工收入净额）</t>
  </si>
  <si>
    <t>取&lt;月度利润表-(行号15）&gt;R列</t>
  </si>
  <si>
    <t>取&lt;月度利润表-(行号15）&gt;AE列</t>
  </si>
  <si>
    <t>取&lt;月度利润表-(行号15）&gt;AR列</t>
  </si>
  <si>
    <t>减：其它业务成本（代加工成本）</t>
  </si>
  <si>
    <t>取&lt;月度利润表-(行号16）&gt;R列</t>
  </si>
  <si>
    <t>取&lt;月度利润表-(行号16）&gt;AE列</t>
  </si>
  <si>
    <t>取&lt;月度利润表-(行号16）&gt;AR列</t>
  </si>
  <si>
    <t>加：其它业务收入（外卖原料收益）</t>
  </si>
  <si>
    <t>取&lt;月度利润表-(行号17）&gt;R列</t>
  </si>
  <si>
    <t>取&lt;月度利润表-(行号17）&gt;AE列</t>
  </si>
  <si>
    <t>取&lt;月度利润表-(行号17）&gt;AR列</t>
  </si>
  <si>
    <t>减：其它业务成本（外卖原料收益）</t>
  </si>
  <si>
    <t>取&lt;月度利润表-(行号18）&gt;R列</t>
  </si>
  <si>
    <t>取&lt;月度利润表-(行号18）&gt;AE列</t>
  </si>
  <si>
    <t>取&lt;月度利润表-(行号18）&gt;AR列</t>
  </si>
  <si>
    <t>加：其它业务利润（废旧物资收益）</t>
  </si>
  <si>
    <t>取&lt;月度利润表-(行号19）&gt;R列</t>
  </si>
  <si>
    <t>取&lt;月度利润表-(行号19）&gt;AE列</t>
  </si>
  <si>
    <t>取&lt;月度利润表-(行号19）&gt;AR列</t>
  </si>
  <si>
    <t>加：其他业务收入（其他）</t>
  </si>
  <si>
    <t>取&lt;月度利润表-(行号20）&gt;R列</t>
  </si>
  <si>
    <t>取&lt;月度利润表-(行号20）&gt;AE列</t>
  </si>
  <si>
    <t>取&lt;月度利润表-(行号20）&gt;AR列</t>
  </si>
  <si>
    <t>减：税金及附加</t>
  </si>
  <si>
    <t>取&lt;月度利润表-(行号21）&gt;R列</t>
  </si>
  <si>
    <t>取&lt;月度利润表-(行号21）&gt;AE列</t>
  </si>
  <si>
    <t>取&lt;月度利润表-(行号21）&gt;AR列</t>
  </si>
  <si>
    <t>取&lt;月度利润表-(行号22）&gt;R列</t>
  </si>
  <si>
    <t>取&lt;月度利润表-(行号22）&gt;AE列</t>
  </si>
  <si>
    <t>取&lt;月度利润表-(行号22）&gt;AR列</t>
  </si>
  <si>
    <t>取&lt;月度利润表-(行号23）&gt;R列</t>
  </si>
  <si>
    <t>取&lt;月度利润表-(行号23）&gt;AE列</t>
  </si>
  <si>
    <t>取&lt;月度利润表-(行号23）&gt;AR列</t>
  </si>
  <si>
    <t xml:space="preserve">   其中：研发费用</t>
  </si>
  <si>
    <t>取&lt;月度利润表-(行号24）&gt;R列</t>
  </si>
  <si>
    <t>取&lt;月度利润表-(行号24）&gt;AE列</t>
  </si>
  <si>
    <t>取&lt;月度利润表-(行号24）&gt;AR列</t>
  </si>
  <si>
    <t>取&lt;月度利润表-(行号25）&gt;R列</t>
  </si>
  <si>
    <t>取&lt;月度利润表-(行号25）&gt;AE列</t>
  </si>
  <si>
    <t>取&lt;月度利润表-(行号25）&gt;AR列</t>
  </si>
  <si>
    <t xml:space="preserve">   其中：利息费用</t>
  </si>
  <si>
    <t>取&lt;月度利润表-(行号26）&gt;R列</t>
  </si>
  <si>
    <t>取&lt;月度利润表-(行号26）&gt;AE列</t>
  </si>
  <si>
    <t>取&lt;月度利润表-(行号26）&gt;AR列</t>
  </si>
  <si>
    <t xml:space="preserve">         利息收入</t>
  </si>
  <si>
    <t>取&lt;月度利润表-(行号27）&gt;R列</t>
  </si>
  <si>
    <t>取&lt;月度利润表-(行号27）&gt;AE列</t>
  </si>
  <si>
    <t>取&lt;月度利润表-(行号27）&gt;AR列</t>
  </si>
  <si>
    <t>信用减值损失</t>
  </si>
  <si>
    <t>取&lt;月度利润表-(行号28）&gt;R列</t>
  </si>
  <si>
    <t>取&lt;月度利润表-(行号28）&gt;AE列</t>
  </si>
  <si>
    <t>取&lt;月度利润表-(行号28）&gt;AR列</t>
  </si>
  <si>
    <t>资产减值损失</t>
  </si>
  <si>
    <t>取&lt;月度利润表-(行号29）&gt;R列</t>
  </si>
  <si>
    <t>取&lt;月度利润表-(行号29）&gt;AE列</t>
  </si>
  <si>
    <t>取&lt;月度利润表-(行号29）&gt;AR列</t>
  </si>
  <si>
    <t>加：公允价值变动收益</t>
  </si>
  <si>
    <t>取&lt;月度利润表-(行号30）&gt;R列</t>
  </si>
  <si>
    <t>取&lt;月度利润表-(行号30）&gt;AE列</t>
  </si>
  <si>
    <t>取&lt;月度利润表-(行号30）&gt;AR列</t>
  </si>
  <si>
    <t>加：投资收益</t>
  </si>
  <si>
    <t>取&lt;月度利润表-(行号31）&gt;R列</t>
  </si>
  <si>
    <t>取&lt;月度利润表-(行号31）&gt;AE列</t>
  </si>
  <si>
    <t>取&lt;月度利润表-(行号31）&gt;AR列</t>
  </si>
  <si>
    <t>其中：对联营企业和合营企业的投资收益</t>
  </si>
  <si>
    <t>取&lt;月度利润表-(行号32）&gt;R列</t>
  </si>
  <si>
    <t>取&lt;月度利润表-(行号32）&gt;AE列</t>
  </si>
  <si>
    <t>取&lt;月度利润表-(行号32）&gt;AR列</t>
  </si>
  <si>
    <t>加：资产处置收益</t>
  </si>
  <si>
    <t>取&lt;月度利润表-(行号33）&gt;R列</t>
  </si>
  <si>
    <t>取&lt;月度利润表-(行号33）&gt;AE列</t>
  </si>
  <si>
    <t>取&lt;月度利润表-(行号33）&gt;AR列</t>
  </si>
  <si>
    <t>加：其他收益</t>
  </si>
  <si>
    <t>取&lt;月度利润表-(行号34）&gt;R列</t>
  </si>
  <si>
    <t>取&lt;月度利润表-(行号34）&gt;AE列</t>
  </si>
  <si>
    <t>取&lt;月度利润表-(行号34）&gt;AR列</t>
  </si>
  <si>
    <t>三、营业利润</t>
  </si>
  <si>
    <t>=F17+F18-F19+F20-F21+F22+F23-F24-F25-F26-F28-F31-F32+F33+F34+F36+F37</t>
  </si>
  <si>
    <t>=G17+G18-G19+G20-G21+G22+G23-G24-G25-G26-G28-G31-G32+G33+G34+G36+G37</t>
  </si>
  <si>
    <t>=H17+H18-H19+H20-H21+H22+H23-H24-H25-H26-H28-H31-H32+H33+H34+H36+H37</t>
  </si>
  <si>
    <t>加：营业外收入</t>
  </si>
  <si>
    <t>取&lt;月度利润表-(行号36）&gt;R列</t>
  </si>
  <si>
    <t>取&lt;月度利润表-(行号36）&gt;AE列</t>
  </si>
  <si>
    <t>取&lt;月度利润表-(行号36）&gt;AR列</t>
  </si>
  <si>
    <t>减：营业外支出</t>
  </si>
  <si>
    <t>取&lt;月度利润表-(行号37）&gt;R列</t>
  </si>
  <si>
    <t>取&lt;月度利润表-(行号37）&gt;AE列</t>
  </si>
  <si>
    <t>取&lt;月度利润表-(行号37）&gt;AR列</t>
  </si>
  <si>
    <t>四、利润总额</t>
  </si>
  <si>
    <t>=F38+F39-F40</t>
  </si>
  <si>
    <t>减：所得税费用</t>
  </si>
  <si>
    <t>取&lt;月度利润表-(行号39）&gt;R列</t>
  </si>
  <si>
    <t>取&lt;月度利润表-(行号39）&gt;AE列</t>
  </si>
  <si>
    <t>取&lt;月度利润表-(行号39）&gt;AR列</t>
  </si>
  <si>
    <t>五、净利润</t>
  </si>
  <si>
    <t>=F41-F42</t>
  </si>
  <si>
    <t>=G41-G42</t>
  </si>
  <si>
    <t>=H41-H42</t>
  </si>
  <si>
    <t>服务中心费用</t>
  </si>
  <si>
    <t>取&lt;月度利润表-(行号44）&gt;R列</t>
  </si>
  <si>
    <t>取&lt;月度利润表-(行号44）&gt;AE列</t>
  </si>
  <si>
    <t>取&lt;月度利润表-(行号44）&gt;AR列</t>
  </si>
  <si>
    <t>考核调整事项</t>
  </si>
  <si>
    <t>服务中心费用NC入账额对冲</t>
  </si>
  <si>
    <t>取&lt;月度利润表-(行号45）&gt;R列</t>
  </si>
  <si>
    <t>取&lt;月度利润表-(行号45）&gt;AE列</t>
  </si>
  <si>
    <t>取&lt;月度利润表-(行号45）&gt;AR列</t>
  </si>
  <si>
    <t>资金占用费-应收</t>
  </si>
  <si>
    <t>取&lt;月度利润表-(行号46）&gt;R列</t>
  </si>
  <si>
    <t>取&lt;月度利润表-(行号46）&gt;AE列</t>
  </si>
  <si>
    <t>取&lt;月度利润表-(行号46）&gt;AR列</t>
  </si>
  <si>
    <t>资金占用费-应付</t>
  </si>
  <si>
    <t>取&lt;月度利润表-(行号47）&gt;R列</t>
  </si>
  <si>
    <t>取&lt;月度利润表-(行号47）&gt;AE列</t>
  </si>
  <si>
    <t>取&lt;月度利润表-(行号47）&gt;AR列</t>
  </si>
  <si>
    <t>大区费用分摊</t>
  </si>
  <si>
    <t>取&lt;月度利润表-(行号48）&gt;R列</t>
  </si>
  <si>
    <t>取&lt;月度利润表-(行号48）&gt;AE列</t>
  </si>
  <si>
    <t>取&lt;月度利润表-(行号48）&gt;AR列</t>
  </si>
  <si>
    <t>大区费用NC入账额对冲</t>
  </si>
  <si>
    <t>取&lt;月度利润表-(行号49）&gt;R列</t>
  </si>
  <si>
    <t>取&lt;月度利润表-(行号49）&gt;AE列</t>
  </si>
  <si>
    <t>取&lt;月度利润表-(行号49）&gt;AR列</t>
  </si>
  <si>
    <t>代偿逾期费用</t>
  </si>
  <si>
    <t>取&lt;月度利润表-(行号50）&gt;R列</t>
  </si>
  <si>
    <t>取&lt;月度利润表-(行号50）&gt;AE列</t>
  </si>
  <si>
    <t>取&lt;月度利润表-(行号50）&gt;AR列</t>
  </si>
  <si>
    <t>兄弟公司间的原料买卖收益</t>
  </si>
  <si>
    <t>取&lt;月度利润表-(行号51）&gt;R列</t>
  </si>
  <si>
    <t>取&lt;月度利润表-(行号51）&gt;AE列</t>
  </si>
  <si>
    <t>取&lt;月度利润表-(行号51）&gt;AR列</t>
  </si>
  <si>
    <t xml:space="preserve"> 合计</t>
  </si>
  <si>
    <t>=F43-F47-F48-F49-F50-F51-F52-F53-F54</t>
  </si>
  <si>
    <t>=G43-G47-G48-G49-G50-G51-G52-G53-G54</t>
  </si>
  <si>
    <t>=H43-H47-H48-H49-H50-H51-H52-H53-H54</t>
  </si>
  <si>
    <t>=F55</t>
  </si>
  <si>
    <t>=G55</t>
  </si>
  <si>
    <t>=H55</t>
  </si>
  <si>
    <t>当月预测值</t>
  </si>
  <si>
    <t>2026年预算值</t>
  </si>
  <si>
    <t>预算差距（预测-预算）</t>
  </si>
  <si>
    <t>主营业务收入</t>
  </si>
  <si>
    <t>毛利额</t>
  </si>
  <si>
    <t>吨毛利</t>
  </si>
  <si>
    <t>配销差额</t>
  </si>
  <si>
    <t>吨配销差</t>
  </si>
  <si>
    <t>本表计算</t>
  </si>
  <si>
    <t>其中：高价值虾蟹</t>
  </si>
  <si>
    <t>其中：高价值鱼料</t>
  </si>
  <si>
    <t>其中：高价值产品</t>
  </si>
  <si>
    <t>水产小计</t>
  </si>
  <si>
    <t>其中：高价值猪料（含浓缩/预混料）</t>
  </si>
  <si>
    <t>其中：高价值禽料</t>
  </si>
  <si>
    <t>畜禽料小计</t>
  </si>
  <si>
    <t>公司合计</t>
  </si>
  <si>
    <t>其中：高价值产品合计</t>
  </si>
  <si>
    <t>其中：高价值占比</t>
  </si>
  <si>
    <t>大黄鱼料</t>
  </si>
  <si>
    <t>石斑鱼料</t>
  </si>
  <si>
    <t>任务名称：</t>
  </si>
  <si>
    <t>1.1销量预算表_编制</t>
  </si>
  <si>
    <t>年份：</t>
  </si>
  <si>
    <t>月份：</t>
  </si>
  <si>
    <t>01,02,03</t>
  </si>
  <si>
    <t>版本类型：</t>
  </si>
  <si>
    <t>年度</t>
  </si>
  <si>
    <t>版本：</t>
  </si>
  <si>
    <t>v1</t>
  </si>
  <si>
    <t>业务单元：</t>
  </si>
  <si>
    <t>江门澳华</t>
  </si>
  <si>
    <t>版本</t>
  </si>
  <si>
    <t>区域/聚焦镇</t>
  </si>
  <si>
    <t>客户编码</t>
  </si>
  <si>
    <t>客户</t>
  </si>
  <si>
    <t>是否大客户</t>
  </si>
  <si>
    <t>产品系列编码</t>
  </si>
  <si>
    <t>产品系列名称</t>
  </si>
  <si>
    <t>战略产品</t>
  </si>
  <si>
    <t>销售吨位</t>
  </si>
  <si>
    <t>赠送吨位</t>
  </si>
  <si>
    <t>单吨售价</t>
  </si>
  <si>
    <t>售价总额</t>
  </si>
  <si>
    <t>单吨折扣</t>
  </si>
  <si>
    <t>折扣总额</t>
  </si>
  <si>
    <t>单吨净收</t>
  </si>
  <si>
    <t>销售净收入额</t>
  </si>
  <si>
    <t>销售成本</t>
  </si>
  <si>
    <t>单吨销售成本</t>
  </si>
  <si>
    <t>赠送成本</t>
  </si>
  <si>
    <t>单吨配方成本</t>
  </si>
  <si>
    <t>单吨配销差</t>
  </si>
  <si>
    <t>配销差总额</t>
  </si>
  <si>
    <t>单吨毛利</t>
  </si>
  <si>
    <t>销售总毛利</t>
  </si>
  <si>
    <t>销售费用额</t>
  </si>
  <si>
    <t>销售净贡献</t>
  </si>
  <si>
    <t>V1</t>
  </si>
  <si>
    <t>华南大区</t>
  </si>
  <si>
    <t>JK001</t>
  </si>
  <si>
    <t>高价值</t>
  </si>
  <si>
    <t>自动生成</t>
  </si>
  <si>
    <t>预算差额（预测-预算）</t>
  </si>
  <si>
    <t>销售额</t>
  </si>
  <si>
    <t>软颗粒</t>
  </si>
  <si>
    <t>肽康宝</t>
  </si>
  <si>
    <t>虾酸奶</t>
  </si>
  <si>
    <t>单吨包装物</t>
  </si>
  <si>
    <t>单吨制造费用</t>
  </si>
  <si>
    <t>其中：单吨燃动</t>
  </si>
  <si>
    <t>其中：单吨人工</t>
  </si>
  <si>
    <t>其中：单吨其他变动费用</t>
  </si>
  <si>
    <t>其中：单吨固定制造费用</t>
  </si>
  <si>
    <t>填录说明：
第一步，选择年、公司、版本、场景；
第二步，下拉选择产品系列；
第三步，分月填录单吨包装物成本数据；
第四步，填制数据完成后，单击【提交】按钮，将数据提交至系统。
单位：元/吨</t>
  </si>
  <si>
    <t>责任部门：采购部、财务部</t>
  </si>
  <si>
    <t>年</t>
  </si>
  <si>
    <t>2026年</t>
  </si>
  <si>
    <t>xx澳华</t>
  </si>
  <si>
    <t>场景</t>
  </si>
  <si>
    <t>月度</t>
  </si>
  <si>
    <t>单吨包材费预测值=上期单吨包材实际费</t>
  </si>
  <si>
    <t>单吨包材费预测值</t>
  </si>
  <si>
    <t>单吨包材费预算值</t>
  </si>
  <si>
    <t>单吨包材费同期值</t>
  </si>
  <si>
    <t>备注</t>
  </si>
  <si>
    <t>填录说明：
第一步，选择年、公司、版本、场景；
第二步，下拉选择产品系列；
第四步，系统将根据生产预算表自动计算产品系列的单吨制造费用数据。
第四步，填制数据完成后，单击【提交】按钮，将数据提交至系统。
单位：元/吨</t>
  </si>
  <si>
    <t>责任部门：生产部、财务部</t>
  </si>
  <si>
    <t>生产大类</t>
  </si>
  <si>
    <t>预测单吨</t>
  </si>
  <si>
    <t>预算单吨</t>
  </si>
  <si>
    <t>同期单吨</t>
  </si>
  <si>
    <t>填录说明：
第一步，选择年、公司、版本、场景；
第二步，分月填写各项目数据
第三步，填制数据完成后，单击【提交】按钮，将数据提交至系统。
单位：元</t>
  </si>
  <si>
    <t>责任部门：生产部门</t>
  </si>
  <si>
    <t>单吨制造费用参考值</t>
  </si>
  <si>
    <t>生产大类（引用）</t>
  </si>
  <si>
    <t>属性</t>
  </si>
  <si>
    <t>说明</t>
  </si>
  <si>
    <t>/</t>
  </si>
  <si>
    <t>生产吨数</t>
  </si>
  <si>
    <t>人工费</t>
  </si>
  <si>
    <t>能耗-电耗</t>
  </si>
  <si>
    <t>能耗-汽耗</t>
  </si>
  <si>
    <t>机物料费</t>
  </si>
  <si>
    <t>其他变动费用</t>
  </si>
  <si>
    <t>合计</t>
  </si>
  <si>
    <t>单吨变动费用</t>
  </si>
  <si>
    <t>单吨人工费</t>
  </si>
  <si>
    <t>单吨能耗-电耗</t>
  </si>
  <si>
    <t>单吨能耗-汽耗</t>
  </si>
  <si>
    <t>单吨机物料费</t>
  </si>
  <si>
    <t>单吨其他变动费用</t>
  </si>
  <si>
    <t>单吨固定费用</t>
  </si>
  <si>
    <t>单吨费用小计</t>
  </si>
  <si>
    <t>膨化鱼料</t>
  </si>
  <si>
    <t>膨化虾料</t>
  </si>
  <si>
    <t>NC大类系数</t>
  </si>
  <si>
    <t>单位填写</t>
  </si>
  <si>
    <t>CUBE:</t>
  </si>
  <si>
    <t>TONGWEI:02外销量（按客户）-导入</t>
  </si>
  <si>
    <t>币种</t>
  </si>
  <si>
    <t>Local</t>
  </si>
  <si>
    <t>新老客户</t>
  </si>
  <si>
    <t>备用维1</t>
  </si>
  <si>
    <t>备用1不区分</t>
  </si>
  <si>
    <t>备用维2</t>
  </si>
  <si>
    <t>备用2不区分</t>
  </si>
  <si>
    <t>外销量</t>
  </si>
  <si>
    <t>输入项</t>
  </si>
  <si>
    <t>值</t>
  </si>
  <si>
    <t>F0100xxx饲料外销销量录入表</t>
  </si>
  <si>
    <t>填录说明：
第一步，选择年、公司、部门、版本、场景；
第二步，下拉选择客户名称、是否大客户、产品系列；
第三步，系统将显示上年销量数，按照产品系列分月填录销量数据；
第四步，填制数据完成后，单击【提交】按钮，将数据提交至系统。
单位：吨</t>
  </si>
  <si>
    <t>责任部门：营销部</t>
  </si>
  <si>
    <t>虾蟹料一部</t>
  </si>
  <si>
    <t>行</t>
  </si>
  <si>
    <t>聚焦镇</t>
  </si>
  <si>
    <t>战略产品系列</t>
  </si>
  <si>
    <t>选择</t>
  </si>
  <si>
    <t>行1</t>
  </si>
  <si>
    <t>是</t>
  </si>
  <si>
    <t>行2</t>
  </si>
  <si>
    <t>否</t>
  </si>
  <si>
    <t>行3</t>
  </si>
  <si>
    <t>行4</t>
  </si>
  <si>
    <t>行5</t>
  </si>
  <si>
    <t>行6</t>
  </si>
  <si>
    <t>行8</t>
  </si>
  <si>
    <t>行9</t>
  </si>
  <si>
    <t>行10</t>
  </si>
  <si>
    <t>行11</t>
  </si>
  <si>
    <t>行12</t>
  </si>
  <si>
    <t>行13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</si>
  <si>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</si>
  <si>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</si>
  <si>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</si>
  <si>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</si>
  <si>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</si>
  <si>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</si>
  <si>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</si>
  <si>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</si>
  <si>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</si>
  <si>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</si>
  <si>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</si>
  <si>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</si>
  <si>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</si>
  <si>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</si>
  <si>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</si>
  <si>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</si>
  <si>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</si>
  <si>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</si>
  <si>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</si>
  <si>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</si>
  <si>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</si>
  <si>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</si>
  <si>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</si>
  <si>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</si>
  <si>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</si>
  <si>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</si>
  <si>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</si>
  <si>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</si>
  <si>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</si>
  <si>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</si>
  <si>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</si>
  <si>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</si>
  <si>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</si>
  <si>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</si>
  <si>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</si>
  <si>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</si>
  <si>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</si>
  <si>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</si>
  <si>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</si>
  <si>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</si>
  <si>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</si>
  <si>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</si>
  <si>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</si>
  <si>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</si>
  <si>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</si>
  <si>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</si>
  <si>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</si>
  <si>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</si>
  <si>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</si>
  <si>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</si>
  <si>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</si>
  <si>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</si>
  <si>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</si>
  <si>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</si>
  <si>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/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</si>
  <si>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</si>
  <si>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</si>
  <si>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</si>
  <si>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</si>
  <si>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</si>
  <si>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</si>
  <si>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</si>
  <si>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</si>
  <si>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</si>
  <si>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</si>
  <si>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</si>
  <si>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</si>
  <si>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</si>
  <si>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</si>
  <si>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</si>
  <si>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</si>
  <si>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</si>
  <si>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</si>
  <si>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</si>
  <si>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</si>
  <si>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</si>
  <si>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</si>
  <si>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</si>
  <si>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</si>
  <si>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</si>
  <si>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</si>
  <si>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</si>
  <si>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</si>
  <si>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</si>
  <si>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F0100xxx动保销售额录入表（除发酵料外）</t>
  </si>
  <si>
    <t>填录说明：
第一步，选择年、公司、部门、版本、场景；
第二步，下拉选择客户名称、是否大客户、产品系列；
第三步，系统将显示上年销售额，按照产品系列分月填录销售额数据；
第四步，填制数据完成后，单击【提交】按钮，将数据提交至系统。
单位：元</t>
  </si>
  <si>
    <t>常规动保</t>
  </si>
  <si>
    <t>F0100xxx动保发酵料录入表</t>
  </si>
  <si>
    <t>填录说明：
第一步，选择年、公司、部门、版本、场景；
第二步，下拉选择客户名称、是否大客户、产品系列；
第三步，系统将显示上年销售吨位，按照产品系列分月填录销量数据；
第四步，填制数据完成后，单击【提交】按钮，将数据提交至系统。
单位：吨</t>
  </si>
  <si>
    <t>填录说明：</t>
  </si>
  <si>
    <t>第一步，选择年、公司、版本、场景；</t>
  </si>
  <si>
    <t>第二步，下拉选择产品系列；</t>
  </si>
  <si>
    <t>第三步，分月填录单吨牌价数据；</t>
  </si>
  <si>
    <t>第四步，填制数据完成后，单击【提交】按钮，将数据提交至系统。</t>
  </si>
  <si>
    <t>责任部门：财务部</t>
  </si>
  <si>
    <t>单位：元/吨</t>
  </si>
  <si>
    <t>单吨折扣（含基本折扣、临时促销、年奖、月奖、买赠等所有折扣）</t>
  </si>
  <si>
    <t>牌价</t>
  </si>
  <si>
    <t>平均单吨折扣</t>
  </si>
  <si>
    <t>销售净价</t>
  </si>
  <si>
    <r>
      <rPr>
        <b/>
        <sz val="9"/>
        <color theme="1"/>
        <rFont val="宋体"/>
        <charset val="134"/>
        <scheme val="minor"/>
      </rPr>
      <t>平均</t>
    </r>
    <r>
      <rPr>
        <b/>
        <sz val="9"/>
        <color rgb="FFFF0000"/>
        <rFont val="宋体"/>
        <charset val="134"/>
        <scheme val="minor"/>
      </rPr>
      <t>预测</t>
    </r>
    <r>
      <rPr>
        <b/>
        <sz val="9"/>
        <rFont val="宋体"/>
        <charset val="134"/>
        <scheme val="minor"/>
      </rPr>
      <t>牌价</t>
    </r>
  </si>
  <si>
    <r>
      <rPr>
        <b/>
        <sz val="9"/>
        <color theme="1"/>
        <rFont val="宋体"/>
        <charset val="134"/>
        <scheme val="minor"/>
      </rPr>
      <t>平均</t>
    </r>
    <r>
      <rPr>
        <b/>
        <sz val="9"/>
        <color rgb="FFFF0000"/>
        <rFont val="宋体"/>
        <charset val="134"/>
        <scheme val="minor"/>
      </rPr>
      <t>预算</t>
    </r>
    <r>
      <rPr>
        <b/>
        <sz val="9"/>
        <color theme="1"/>
        <rFont val="宋体"/>
        <charset val="134"/>
        <scheme val="minor"/>
      </rPr>
      <t>牌价</t>
    </r>
  </si>
  <si>
    <t>平均同期牌价</t>
  </si>
  <si>
    <t>同比平均牌价增减</t>
  </si>
  <si>
    <t>预算牌价差距</t>
  </si>
  <si>
    <t>平均预测单吨折扣</t>
  </si>
  <si>
    <t>平均预算单吨折扣</t>
  </si>
  <si>
    <t>平均同期单吨折扣</t>
  </si>
  <si>
    <t>同比平均单吨折扣增减</t>
  </si>
  <si>
    <t>预算单吨折扣差距</t>
  </si>
  <si>
    <t>平均预测净价</t>
  </si>
  <si>
    <t>平均预算净价</t>
  </si>
  <si>
    <t>平均同期净价</t>
  </si>
  <si>
    <t>同比平均净价增减</t>
  </si>
  <si>
    <t>预算净价差距</t>
  </si>
  <si>
    <t>填入</t>
  </si>
  <si>
    <t>说明：单吨折扣（含基本折扣、临时促销、年奖、月奖、买赠等所有折扣）</t>
  </si>
  <si>
    <t>公司简称</t>
  </si>
  <si>
    <t>产品线</t>
  </si>
  <si>
    <t>销售大类</t>
  </si>
  <si>
    <t>生产工艺大类分类</t>
  </si>
  <si>
    <t>产量用途（外销、内销）</t>
  </si>
  <si>
    <t>产量对外销售公司</t>
  </si>
  <si>
    <t>预测产量</t>
  </si>
  <si>
    <t>预算产量</t>
  </si>
  <si>
    <t>同期产量</t>
  </si>
  <si>
    <t>海特料线</t>
  </si>
  <si>
    <t>内销</t>
  </si>
  <si>
    <t>第三步，分月填录单吨配方成本数据；</t>
  </si>
  <si>
    <t>责任部门：配方师</t>
  </si>
  <si>
    <t>预测</t>
  </si>
  <si>
    <t>预算</t>
  </si>
  <si>
    <t>同期</t>
  </si>
  <si>
    <t>费用属性</t>
  </si>
  <si>
    <t>费用归属</t>
  </si>
  <si>
    <t>工资和薪金生产工资</t>
  </si>
  <si>
    <t>工资和薪金仓储工资</t>
  </si>
  <si>
    <t>工资和薪金叉车工资</t>
  </si>
  <si>
    <t>工资和薪金劳务工资</t>
  </si>
  <si>
    <t>绩效工资及奖金生产绩效</t>
  </si>
  <si>
    <t>绩效工资及奖金仓储绩效</t>
  </si>
  <si>
    <t>绩效工资及奖金叉车绩效</t>
  </si>
  <si>
    <t>绩效工资及奖金劳务绩效</t>
  </si>
  <si>
    <t>水费</t>
  </si>
  <si>
    <t>电费</t>
  </si>
  <si>
    <t>经营物料</t>
  </si>
  <si>
    <t>叉车费用</t>
  </si>
  <si>
    <t>实验费用</t>
  </si>
  <si>
    <t>蒸汽费用</t>
  </si>
  <si>
    <t>环保费</t>
  </si>
  <si>
    <t>房屋及设备租金</t>
  </si>
  <si>
    <t>待摊费用摊销</t>
  </si>
  <si>
    <t>无形资产摊销</t>
  </si>
  <si>
    <t>吨费用</t>
  </si>
  <si>
    <t>每吨变动费用</t>
  </si>
  <si>
    <t>每吨固定费用</t>
  </si>
  <si>
    <t>人均成本</t>
  </si>
  <si>
    <t>填录说明：
第一步，选择年、公司、版本、场景；
第二步，分月填录其他销售费用数据；
第三步，填制数据完成后，单击【提交】按钮，将数据提交至系统。
单位：元</t>
  </si>
  <si>
    <t>责任部门：人力资源部</t>
  </si>
  <si>
    <t>1、应届生费用拆分出来工资和社保，不单独列示</t>
  </si>
  <si>
    <t>2、公司专项奖金主要用于大部分都用于销售和月度评优，预算放在销售部的绩效奖金。</t>
  </si>
  <si>
    <t>辅助列-不改</t>
  </si>
  <si>
    <t>费用归类</t>
  </si>
  <si>
    <t>项目</t>
  </si>
  <si>
    <t>科目
（对应财务科目）</t>
  </si>
  <si>
    <t>科目
（人资预算科目）</t>
  </si>
  <si>
    <t xml:space="preserve"> 固定类薪资</t>
  </si>
  <si>
    <t>标准月薪</t>
  </si>
  <si>
    <t>季度绩效工资</t>
  </si>
  <si>
    <t>过节费</t>
  </si>
  <si>
    <t>调薪包</t>
  </si>
  <si>
    <t>提成奖金类</t>
  </si>
  <si>
    <t>月度提成</t>
  </si>
  <si>
    <t>-饲料提成</t>
  </si>
  <si>
    <t>-动保提成</t>
  </si>
  <si>
    <t>营销年奖</t>
  </si>
  <si>
    <t>浮动薪酬</t>
  </si>
  <si>
    <t>加班费</t>
  </si>
  <si>
    <t>其他变动项</t>
  </si>
  <si>
    <t>社保公积金</t>
  </si>
  <si>
    <t>其他薪酬</t>
  </si>
  <si>
    <t xml:space="preserve"> 成长分享</t>
  </si>
  <si>
    <t>销售费用-E值</t>
  </si>
  <si>
    <t>固定类薪资</t>
  </si>
  <si>
    <t>车辆补贴</t>
  </si>
  <si>
    <t>绩效工资</t>
  </si>
  <si>
    <t>专项及后勤年终奖</t>
  </si>
  <si>
    <t>年终奖</t>
  </si>
  <si>
    <t>劳务外包</t>
  </si>
  <si>
    <t>员工意外保险</t>
  </si>
  <si>
    <t>商业险</t>
  </si>
  <si>
    <t>管理费用-E值</t>
  </si>
  <si>
    <t>生产奖金</t>
  </si>
  <si>
    <t>制造费用-E值</t>
  </si>
  <si>
    <t>费用分类</t>
  </si>
  <si>
    <t>浙江公司</t>
  </si>
  <si>
    <t>专业及政府费用</t>
  </si>
  <si>
    <t>通讯费</t>
  </si>
  <si>
    <t>员工培训</t>
  </si>
  <si>
    <t>招聘费用</t>
  </si>
  <si>
    <t>房屋租金</t>
  </si>
  <si>
    <t>存货盘盈盘亏</t>
  </si>
  <si>
    <t>财产保险</t>
  </si>
  <si>
    <t>集团服务费</t>
  </si>
  <si>
    <t>诉讼及补偿</t>
  </si>
  <si>
    <t>离职补助</t>
  </si>
  <si>
    <t>工会经费</t>
  </si>
  <si>
    <t>成本差异</t>
  </si>
  <si>
    <t>残障金</t>
  </si>
  <si>
    <t>检测费</t>
  </si>
  <si>
    <t>研发耗材及其他</t>
  </si>
  <si>
    <t>大区费用分摊-E值</t>
  </si>
  <si>
    <t>大区费用分摊-非E值</t>
  </si>
  <si>
    <t>公车费用</t>
  </si>
  <si>
    <t>A2</t>
  </si>
  <si>
    <t>手续费</t>
  </si>
  <si>
    <t>利息收入</t>
  </si>
  <si>
    <t>利息支出</t>
  </si>
  <si>
    <t>汇兑损益</t>
  </si>
  <si>
    <t>营业税金及附加</t>
  </si>
  <si>
    <t>增值税</t>
  </si>
  <si>
    <t>城市建设维护税</t>
  </si>
  <si>
    <t>教育费附加</t>
  </si>
  <si>
    <t>地方教育费附加</t>
  </si>
  <si>
    <t>消费税</t>
  </si>
  <si>
    <t>资源税</t>
  </si>
  <si>
    <t>土地使用税</t>
  </si>
  <si>
    <t>车船使用税</t>
  </si>
  <si>
    <t>印花税</t>
  </si>
  <si>
    <t>堤围费</t>
  </si>
  <si>
    <t>企业所得税</t>
  </si>
  <si>
    <t>环境保护税</t>
  </si>
  <si>
    <t>房产税</t>
  </si>
  <si>
    <t>责任部门：各公司</t>
  </si>
  <si>
    <t>内部代工收入</t>
  </si>
  <si>
    <t>内部代工成本</t>
  </si>
  <si>
    <t>外卖原料收入</t>
  </si>
  <si>
    <t>外卖原料成本</t>
  </si>
  <si>
    <t>废旧物资收益</t>
  </si>
  <si>
    <t>其他收入</t>
  </si>
  <si>
    <t>公允价值变动损益</t>
  </si>
  <si>
    <t>投资收益</t>
  </si>
  <si>
    <t>资产处置损益</t>
  </si>
  <si>
    <t>其他收益</t>
  </si>
  <si>
    <t>营业外收入-合计</t>
  </si>
  <si>
    <t>违约赔偿收入</t>
  </si>
  <si>
    <t>罚款收入</t>
  </si>
  <si>
    <t>无法支付的应付款项</t>
  </si>
  <si>
    <t>营业外支出-合计</t>
  </si>
  <si>
    <t>罚款支出</t>
  </si>
  <si>
    <t>捐赠支出</t>
  </si>
  <si>
    <t>滞纳金</t>
  </si>
  <si>
    <t>赔偿支出</t>
  </si>
  <si>
    <t>预算项目</t>
  </si>
  <si>
    <t>年份（选择）</t>
  </si>
  <si>
    <t>数值</t>
  </si>
  <si>
    <t>会计利润总额</t>
  </si>
  <si>
    <t>2026预算</t>
  </si>
  <si>
    <t>2026预测</t>
  </si>
  <si>
    <t>达成率</t>
  </si>
  <si>
    <t>所得税率</t>
  </si>
  <si>
    <t>所得税费用-当期所得税</t>
  </si>
  <si>
    <t>所得税费用-递延所得税</t>
  </si>
  <si>
    <t>单位</t>
  </si>
  <si>
    <t>元</t>
  </si>
  <si>
    <t>注：根据会计利润测算所得税</t>
  </si>
  <si>
    <t>责任部门：养殖基地</t>
  </si>
  <si>
    <t>养殖基地</t>
  </si>
  <si>
    <t>养殖品种</t>
  </si>
  <si>
    <t>销售收入明细</t>
  </si>
  <si>
    <t>养殖品种1</t>
  </si>
  <si>
    <t>加州鲈：销量</t>
  </si>
  <si>
    <t>加州鲈：单价</t>
  </si>
  <si>
    <t>加州鲈：销售收入合计</t>
  </si>
  <si>
    <t>养殖品种2</t>
  </si>
  <si>
    <t>生鱼：销量</t>
  </si>
  <si>
    <t>生鱼：单价</t>
  </si>
  <si>
    <t>生鱼：销售收入合计</t>
  </si>
  <si>
    <t>养殖品种3</t>
  </si>
  <si>
    <t>鳜鱼名称：销量</t>
  </si>
  <si>
    <t>鳜鱼：单价</t>
  </si>
  <si>
    <t>鳜鱼：销售收入合计</t>
  </si>
  <si>
    <t>养殖品种4</t>
  </si>
  <si>
    <t>花鲢：销量</t>
  </si>
  <si>
    <t>花鲢：单价</t>
  </si>
  <si>
    <t>花鲢：销售收入合计</t>
  </si>
  <si>
    <t>总销售收入</t>
  </si>
  <si>
    <t>费用项目-</t>
  </si>
  <si>
    <t>人员薪酬（人资填写）</t>
  </si>
  <si>
    <t>临时劳务人员费（无编制）</t>
  </si>
  <si>
    <t>职工福利费</t>
  </si>
  <si>
    <t>职工福利（伙食费）标准25元/人/天</t>
  </si>
  <si>
    <t>职工福利（团建费）</t>
  </si>
  <si>
    <t>塘租</t>
  </si>
  <si>
    <t>塘租税费</t>
  </si>
  <si>
    <t>差旅费总额</t>
  </si>
  <si>
    <t>业务招待费</t>
  </si>
  <si>
    <t>应酬招待费</t>
  </si>
  <si>
    <t>专业机构服务费</t>
  </si>
  <si>
    <t>日常办公用品费用</t>
  </si>
  <si>
    <t>运费</t>
  </si>
  <si>
    <t>研发耗材</t>
  </si>
  <si>
    <t>实验仪器支出</t>
  </si>
  <si>
    <t>实验物料支出</t>
  </si>
  <si>
    <t>实验检测费支出</t>
  </si>
  <si>
    <t>实验用品支出</t>
  </si>
  <si>
    <t>饲料支出</t>
  </si>
  <si>
    <t>动保支出</t>
  </si>
  <si>
    <t>外购药费</t>
  </si>
  <si>
    <t>鱼苗支出</t>
  </si>
  <si>
    <t>虾苗支出</t>
  </si>
  <si>
    <t>海水费用</t>
  </si>
  <si>
    <t>器具购置费用（绳子等）</t>
  </si>
  <si>
    <t>器具维修费用</t>
  </si>
  <si>
    <t>长期待摊费用</t>
  </si>
  <si>
    <t>新增大额资产总额</t>
  </si>
  <si>
    <t>资产折旧摊销（财务填写）</t>
  </si>
  <si>
    <t>总销售成本</t>
  </si>
  <si>
    <t>小计</t>
  </si>
  <si>
    <t>养殖基地收益（收入-成本）</t>
  </si>
  <si>
    <t>差旅费需按人填写：</t>
  </si>
  <si>
    <t>人员</t>
  </si>
  <si>
    <t>莫永顺</t>
  </si>
  <si>
    <t>新增大额资产需按明细填写：</t>
  </si>
  <si>
    <t>明细</t>
  </si>
  <si>
    <t>使用年限</t>
  </si>
  <si>
    <t>三轮车1台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</si>
  <si>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年</t>
    </r>
  </si>
  <si>
    <t>住人集装箱2个</t>
  </si>
  <si>
    <t>货物集装箱2个</t>
  </si>
  <si>
    <t>增氧机</t>
  </si>
  <si>
    <t>水族箱-物料</t>
  </si>
  <si>
    <t>水族箱-人工</t>
  </si>
  <si>
    <t>网箱-物料</t>
  </si>
  <si>
    <t>网箱-人工</t>
  </si>
  <si>
    <t>苗种支出明细填写：</t>
  </si>
  <si>
    <t>种苗类型</t>
  </si>
  <si>
    <t>虾苗</t>
  </si>
  <si>
    <t>数量</t>
  </si>
  <si>
    <t>单价</t>
  </si>
  <si>
    <t>金额</t>
  </si>
  <si>
    <t>鱼苗</t>
  </si>
  <si>
    <t>责任部门：各部门</t>
  </si>
  <si>
    <t>考核利润调整明细表</t>
  </si>
  <si>
    <t>1、调整金额：减少利润的填负数，调增利润的填正数。</t>
  </si>
  <si>
    <t>2、调整科目为“管理费用”或“销售费用”、“财务费用”时必须要填写费用项目</t>
  </si>
  <si>
    <t xml:space="preserve">单位：元                           </t>
  </si>
  <si>
    <t>调整影响对方公司</t>
  </si>
  <si>
    <t>调整项目（选择）</t>
  </si>
  <si>
    <t>调整科目</t>
  </si>
  <si>
    <t>费用项目</t>
  </si>
  <si>
    <t>调整说明</t>
  </si>
  <si>
    <t>三方利息</t>
  </si>
  <si>
    <t>兄弟公司间往来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</si>
</sst>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DBNum2][$-804]General"/>
    <numFmt numFmtId="178" formatCode="_([$€-2]* #,##0.00_);_([$€-2]* \(#,##0.00\);_([$€-2]* &quot;-&quot;??_)"/>
    <numFmt numFmtId="179" formatCode="_(* #,##0.00_);_(* \(#,##0.00\);_(* &quot;-&quot;??_);_(@_)"/>
    <numFmt numFmtId="180" formatCode="_ * #,##0.0000_ ;_ * \-#,##0.0000_ ;_ * &quot;-&quot;????_ ;_ @_ "/>
    <numFmt numFmtId="181" formatCode="0_);[Red]\(0\)"/>
    <numFmt numFmtId="182" formatCode="_ * #,##0_ ;_ * \-#,##0_ ;_ * &quot;-&quot;??_ ;_ @_ "/>
    <numFmt numFmtId="183" formatCode="#,##0_ ;[Red]\-#,##0\ "/>
    <numFmt numFmtId="184" formatCode="_-* #,##0_-;\-* #,##0_-;_-* &quot;-&quot;??_-;_-@_-"/>
    <numFmt numFmtId="185" formatCode="0.0%"/>
    <numFmt numFmtId="186" formatCode="#,##0.000_ ;[Red]\-#,##0.000\ "/>
    <numFmt numFmtId="187" formatCode="#,##0_ "/>
    <numFmt numFmtId="188" formatCode="0.00_);[Red]\(0.00\)"/>
    <numFmt numFmtId="189" formatCode="#,##0.00_ "/>
    <numFmt numFmtId="190" formatCode="0.000"/>
    <numFmt numFmtId="191" formatCode="0&quot;月&quot;"/>
  </numFmts>
  <fonts count="11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charset val="134"/>
    </font>
    <font>
      <sz val="10"/>
      <name val="Arial"/>
      <charset val="134"/>
    </font>
    <font>
      <b/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0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宋体"/>
      <charset val="134"/>
    </font>
    <font>
      <b/>
      <sz val="16"/>
      <color theme="1"/>
      <name val="宋体"/>
      <charset val="134"/>
    </font>
    <font>
      <u/>
      <sz val="10"/>
      <color indexed="12"/>
      <name val="Arial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b/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b/>
      <sz val="11"/>
      <name val="宋体"/>
      <charset val="134"/>
    </font>
    <font>
      <sz val="11"/>
      <color theme="1"/>
      <name val="等线"/>
      <charset val="134"/>
    </font>
    <font>
      <b/>
      <sz val="10"/>
      <color rgb="FF1E5FC1"/>
      <name val="宋体"/>
      <charset val="134"/>
    </font>
    <font>
      <b/>
      <sz val="11"/>
      <color rgb="FF1E5FC1"/>
      <name val="宋体"/>
      <charset val="134"/>
    </font>
    <font>
      <b/>
      <sz val="10"/>
      <name val="宋体"/>
      <charset val="134"/>
      <scheme val="minor"/>
    </font>
    <font>
      <b/>
      <sz val="10"/>
      <name val="微软雅黑"/>
      <charset val="134"/>
    </font>
    <font>
      <b/>
      <sz val="10"/>
      <name val="宋体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b/>
      <sz val="9"/>
      <color rgb="FFFF0000"/>
      <name val="微软雅黑"/>
      <charset val="134"/>
    </font>
    <font>
      <b/>
      <sz val="8"/>
      <color theme="1"/>
      <name val="微软雅黑"/>
      <charset val="134"/>
    </font>
    <font>
      <b/>
      <sz val="8"/>
      <color rgb="FF00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indexed="8"/>
      <name val="微软雅黑 Light"/>
      <charset val="134"/>
    </font>
    <font>
      <b/>
      <sz val="9"/>
      <color theme="1"/>
      <name val="微软雅黑"/>
      <charset val="134"/>
    </font>
    <font>
      <sz val="9"/>
      <color rgb="FFFF000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b/>
      <sz val="10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FF0000"/>
      <name val="宋体"/>
      <charset val="134"/>
      <scheme val="minor"/>
    </font>
    <font>
      <sz val="10"/>
      <color theme="1"/>
      <name val="宋体"/>
      <charset val="134"/>
      <scheme val="major"/>
    </font>
    <font>
      <b/>
      <sz val="10"/>
      <name val="宋体"/>
      <charset val="134"/>
      <scheme val="major"/>
    </font>
    <font>
      <sz val="10"/>
      <name val="宋体"/>
      <charset val="134"/>
      <scheme val="maj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 tint="0.0499893185216834"/>
      <name val="微软雅黑"/>
      <charset val="134"/>
    </font>
    <font>
      <b/>
      <sz val="10"/>
      <color rgb="FFFF0000"/>
      <name val="微软雅黑"/>
      <charset val="134"/>
    </font>
    <font>
      <u/>
      <sz val="11"/>
      <color theme="10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6"/>
      <color indexed="8"/>
      <name val="宋体"/>
      <charset val="134"/>
    </font>
    <font>
      <sz val="10"/>
      <color indexed="8"/>
      <name val="宋体"/>
      <charset val="134"/>
    </font>
    <font>
      <sz val="6"/>
      <color theme="1"/>
      <name val="Calibri"/>
      <charset val="134"/>
    </font>
    <font>
      <sz val="11"/>
      <color indexed="8"/>
      <name val="宋体"/>
      <charset val="134"/>
    </font>
    <font>
      <u/>
      <sz val="11"/>
      <color rgb="FF800080"/>
      <name val="宋体"/>
      <charset val="134"/>
      <scheme val="minor"/>
    </font>
    <font>
      <b/>
      <sz val="9"/>
      <color rgb="FF003366"/>
      <name val="微软雅黑"/>
      <charset val="134"/>
    </font>
    <font>
      <b/>
      <sz val="9"/>
      <color indexed="9"/>
      <name val="微软雅黑"/>
      <charset val="134"/>
    </font>
    <font>
      <u/>
      <sz val="9"/>
      <color theme="10"/>
      <name val="微软雅黑"/>
      <charset val="134"/>
    </font>
    <font>
      <b/>
      <sz val="9"/>
      <color rgb="FFFFFFFF"/>
      <name val="微软雅黑"/>
      <charset val="134"/>
    </font>
    <font>
      <sz val="11"/>
      <color theme="1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1"/>
      <color indexed="8"/>
      <name val="Times New Roman"/>
      <charset val="134"/>
    </font>
    <font>
      <sz val="9"/>
      <name val="宋体"/>
      <charset val="134"/>
    </font>
    <font>
      <sz val="11"/>
      <color indexed="2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66">
    <fill>
      <patternFill patternType="none"/>
    </fill>
    <fill>
      <patternFill patternType="gray125"/>
    </fill>
    <fill>
      <patternFill patternType="solid">
        <fgColor theme="8" tint="0.79992065187536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85961485641"/>
        <bgColor theme="4" tint="0.79985961485641"/>
      </patternFill>
    </fill>
    <fill>
      <patternFill patternType="solid">
        <fgColor indexed="4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D4FF"/>
      </left>
      <right/>
      <top style="thin">
        <color rgb="FFB0D4FF"/>
      </top>
      <bottom/>
      <diagonal/>
    </border>
    <border>
      <left/>
      <right/>
      <top style="thin">
        <color rgb="FFB0D4FF"/>
      </top>
      <bottom/>
      <diagonal/>
    </border>
    <border>
      <left/>
      <right style="thin">
        <color rgb="FFB0D4FF"/>
      </right>
      <top/>
      <bottom/>
      <diagonal/>
    </border>
    <border>
      <left style="thin">
        <color rgb="FFB0D4FF"/>
      </left>
      <right style="thin">
        <color rgb="FFB0D4FF"/>
      </right>
      <top style="thin">
        <color rgb="FFB0D4FF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theme="4" tint="0.399853511154515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>
      <alignment vertical="center"/>
    </xf>
    <xf numFmtId="43" fontId="0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90" fillId="0" borderId="0" applyNumberFormat="0" applyFill="0" applyBorder="0" applyAlignment="0" applyProtection="0">
      <alignment vertical="center"/>
    </xf>
    <xf numFmtId="0" fontId="0" fillId="41" borderId="30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31" applyNumberFormat="0" applyFill="0" applyAlignment="0" applyProtection="0">
      <alignment vertical="center"/>
    </xf>
    <xf numFmtId="0" fontId="95" fillId="0" borderId="31" applyNumberFormat="0" applyFill="0" applyAlignment="0" applyProtection="0">
      <alignment vertical="center"/>
    </xf>
    <xf numFmtId="0" fontId="96" fillId="0" borderId="32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42" borderId="33" applyNumberFormat="0" applyAlignment="0" applyProtection="0">
      <alignment vertical="center"/>
    </xf>
    <xf numFmtId="0" fontId="98" fillId="43" borderId="34" applyNumberFormat="0" applyAlignment="0" applyProtection="0">
      <alignment vertical="center"/>
    </xf>
    <xf numFmtId="0" fontId="99" fillId="43" borderId="33" applyNumberFormat="0" applyAlignment="0" applyProtection="0">
      <alignment vertical="center"/>
    </xf>
    <xf numFmtId="0" fontId="100" fillId="44" borderId="35" applyNumberFormat="0" applyAlignment="0" applyProtection="0">
      <alignment vertical="center"/>
    </xf>
    <xf numFmtId="0" fontId="101" fillId="0" borderId="36" applyNumberFormat="0" applyFill="0" applyAlignment="0" applyProtection="0">
      <alignment vertical="center"/>
    </xf>
    <xf numFmtId="0" fontId="102" fillId="0" borderId="37" applyNumberFormat="0" applyFill="0" applyAlignment="0" applyProtection="0">
      <alignment vertical="center"/>
    </xf>
    <xf numFmtId="0" fontId="103" fillId="45" borderId="0" applyNumberFormat="0" applyBorder="0" applyAlignment="0" applyProtection="0">
      <alignment vertical="center"/>
    </xf>
    <xf numFmtId="0" fontId="104" fillId="46" borderId="0" applyNumberFormat="0" applyBorder="0" applyAlignment="0" applyProtection="0">
      <alignment vertical="center"/>
    </xf>
    <xf numFmtId="0" fontId="105" fillId="47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7" fillId="49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4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56" borderId="0" applyNumberFormat="0" applyBorder="0" applyAlignment="0" applyProtection="0">
      <alignment vertical="center"/>
    </xf>
    <xf numFmtId="0" fontId="106" fillId="57" borderId="0" applyNumberFormat="0" applyBorder="0" applyAlignment="0" applyProtection="0">
      <alignment vertical="center"/>
    </xf>
    <xf numFmtId="0" fontId="107" fillId="58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06" fillId="60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33" borderId="0" applyNumberFormat="0" applyBorder="0" applyAlignment="0" applyProtection="0">
      <alignment vertical="center"/>
    </xf>
    <xf numFmtId="0" fontId="106" fillId="61" borderId="0" applyNumberFormat="0" applyBorder="0" applyAlignment="0" applyProtection="0">
      <alignment vertical="center"/>
    </xf>
    <xf numFmtId="0" fontId="0" fillId="0" borderId="0">
      <alignment vertical="center"/>
    </xf>
    <xf numFmtId="176" fontId="52" fillId="0" borderId="0"/>
    <xf numFmtId="177" fontId="108" fillId="0" borderId="0"/>
    <xf numFmtId="9" fontId="3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178" fontId="26" fillId="0" borderId="0">
      <alignment vertical="center"/>
    </xf>
    <xf numFmtId="178" fontId="110" fillId="62" borderId="1">
      <alignment horizontal="right" vertical="center" wrapText="1"/>
      <protection locked="0"/>
    </xf>
    <xf numFmtId="178" fontId="7" fillId="63" borderId="1">
      <alignment horizontal="right" vertical="center" wrapText="1"/>
    </xf>
    <xf numFmtId="177" fontId="111" fillId="64" borderId="0" applyBorder="0" applyAlignment="0" applyProtection="0">
      <alignment vertical="center"/>
    </xf>
    <xf numFmtId="0" fontId="0" fillId="0" borderId="0">
      <alignment vertical="center"/>
    </xf>
    <xf numFmtId="178" fontId="2" fillId="0" borderId="0">
      <alignment vertical="center"/>
    </xf>
    <xf numFmtId="0" fontId="3" fillId="0" borderId="0"/>
    <xf numFmtId="177" fontId="22" fillId="0" borderId="0"/>
    <xf numFmtId="0" fontId="0" fillId="0" borderId="0">
      <alignment vertical="center"/>
    </xf>
    <xf numFmtId="0" fontId="3" fillId="0" borderId="0"/>
    <xf numFmtId="0" fontId="52" fillId="0" borderId="0">
      <alignment vertical="center"/>
    </xf>
    <xf numFmtId="177" fontId="22" fillId="0" borderId="0"/>
    <xf numFmtId="0" fontId="0" fillId="0" borderId="0">
      <alignment vertical="center"/>
    </xf>
    <xf numFmtId="0" fontId="0" fillId="0" borderId="0"/>
    <xf numFmtId="0" fontId="52" fillId="0" borderId="0"/>
    <xf numFmtId="177" fontId="83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/>
    <xf numFmtId="178" fontId="110" fillId="65" borderId="1">
      <alignment horizontal="right" vertical="center" wrapText="1"/>
      <protection locked="0"/>
    </xf>
    <xf numFmtId="179" fontId="3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09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79" fontId="109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>
      <alignment vertical="center"/>
    </xf>
    <xf numFmtId="178" fontId="7" fillId="0" borderId="1">
      <alignment horizontal="right" vertical="center" wrapText="1"/>
    </xf>
  </cellStyleXfs>
  <cellXfs count="66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61" applyAlignment="1" applyProtection="1">
      <alignment horizontal="center" vertical="center"/>
      <protection locked="0"/>
    </xf>
    <xf numFmtId="178" fontId="2" fillId="0" borderId="0" xfId="61" applyProtection="1">
      <alignment vertical="center"/>
      <protection locked="0"/>
    </xf>
    <xf numFmtId="0" fontId="3" fillId="0" borderId="0" xfId="0" applyFont="1" applyAlignment="1" applyProtection="1">
      <protection locked="0"/>
    </xf>
    <xf numFmtId="0" fontId="4" fillId="0" borderId="0" xfId="6" applyFont="1">
      <alignment vertical="center"/>
    </xf>
    <xf numFmtId="178" fontId="5" fillId="2" borderId="1" xfId="56" applyFont="1" applyFill="1" applyBorder="1" applyAlignment="1">
      <alignment horizontal="center" vertical="center"/>
    </xf>
    <xf numFmtId="0" fontId="6" fillId="3" borderId="2" xfId="49" applyFont="1" applyFill="1" applyBorder="1" applyAlignment="1">
      <alignment vertical="center" wrapText="1"/>
    </xf>
    <xf numFmtId="0" fontId="6" fillId="3" borderId="3" xfId="49" applyFont="1" applyFill="1" applyBorder="1">
      <alignment vertical="center"/>
    </xf>
    <xf numFmtId="0" fontId="6" fillId="3" borderId="4" xfId="49" applyFont="1" applyFill="1" applyBorder="1">
      <alignment vertical="center"/>
    </xf>
    <xf numFmtId="0" fontId="6" fillId="3" borderId="5" xfId="49" applyFont="1" applyFill="1" applyBorder="1">
      <alignment vertical="center"/>
    </xf>
    <xf numFmtId="0" fontId="6" fillId="3" borderId="0" xfId="49" applyFont="1" applyFill="1">
      <alignment vertical="center"/>
    </xf>
    <xf numFmtId="0" fontId="6" fillId="3" borderId="6" xfId="49" applyFont="1" applyFill="1" applyBorder="1">
      <alignment vertical="center"/>
    </xf>
    <xf numFmtId="0" fontId="7" fillId="3" borderId="1" xfId="49" applyFont="1" applyFill="1" applyBorder="1" applyAlignment="1">
      <alignment horizontal="center" vertical="center"/>
    </xf>
    <xf numFmtId="0" fontId="6" fillId="3" borderId="7" xfId="49" applyFont="1" applyFill="1" applyBorder="1">
      <alignment vertical="center"/>
    </xf>
    <xf numFmtId="0" fontId="6" fillId="3" borderId="8" xfId="49" applyFont="1" applyFill="1" applyBorder="1">
      <alignment vertical="center"/>
    </xf>
    <xf numFmtId="0" fontId="6" fillId="3" borderId="9" xfId="49" applyFont="1" applyFill="1" applyBorder="1">
      <alignment vertical="center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/>
    </xf>
    <xf numFmtId="0" fontId="9" fillId="4" borderId="1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1" fillId="0" borderId="10" xfId="49" applyFont="1" applyBorder="1" applyAlignment="1">
      <alignment horizontal="center" vertical="center"/>
    </xf>
    <xf numFmtId="0" fontId="1" fillId="0" borderId="11" xfId="49" applyFont="1" applyBorder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43" fontId="11" fillId="0" borderId="0" xfId="1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2" fillId="0" borderId="0" xfId="61" applyAlignment="1">
      <alignment horizontal="center" vertical="center"/>
    </xf>
    <xf numFmtId="9" fontId="10" fillId="0" borderId="0" xfId="3" applyFont="1" applyAlignment="1">
      <alignment horizontal="center" vertical="center"/>
    </xf>
    <xf numFmtId="179" fontId="12" fillId="0" borderId="0" xfId="82" applyFont="1" applyFill="1" applyBorder="1" applyAlignment="1" applyProtection="1">
      <alignment horizontal="center" vertical="center"/>
    </xf>
    <xf numFmtId="43" fontId="11" fillId="0" borderId="0" xfId="1" applyFont="1">
      <alignment vertical="center"/>
    </xf>
    <xf numFmtId="178" fontId="13" fillId="0" borderId="0" xfId="61" applyFont="1" applyAlignment="1">
      <alignment horizontal="left" vertical="center"/>
    </xf>
    <xf numFmtId="178" fontId="12" fillId="0" borderId="0" xfId="61" applyFont="1" applyAlignment="1">
      <alignment horizontal="center" vertical="center"/>
    </xf>
    <xf numFmtId="9" fontId="14" fillId="0" borderId="0" xfId="55" applyFont="1" applyFill="1" applyAlignment="1" applyProtection="1">
      <alignment horizontal="left" vertical="center"/>
    </xf>
    <xf numFmtId="178" fontId="11" fillId="0" borderId="0" xfId="61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43" fontId="11" fillId="0" borderId="0" xfId="80" applyFont="1" applyFill="1" applyAlignment="1" applyProtection="1">
      <alignment horizontal="center" vertical="center"/>
    </xf>
    <xf numFmtId="43" fontId="11" fillId="0" borderId="0" xfId="80" applyFont="1" applyFill="1" applyProtection="1">
      <alignment vertical="center"/>
    </xf>
    <xf numFmtId="178" fontId="16" fillId="0" borderId="0" xfId="61" applyFont="1">
      <alignment vertical="center"/>
    </xf>
    <xf numFmtId="14" fontId="10" fillId="0" borderId="0" xfId="61" applyNumberFormat="1" applyFont="1" applyAlignment="1">
      <alignment horizontal="center" vertical="center"/>
    </xf>
    <xf numFmtId="178" fontId="17" fillId="0" borderId="0" xfId="61" applyFont="1" applyAlignment="1">
      <alignment horizontal="left" vertical="center"/>
    </xf>
    <xf numFmtId="181" fontId="15" fillId="0" borderId="0" xfId="0" applyNumberFormat="1" applyFont="1">
      <alignment vertical="center"/>
    </xf>
    <xf numFmtId="178" fontId="17" fillId="0" borderId="0" xfId="61" applyFont="1" applyAlignment="1">
      <alignment horizontal="center" vertical="center"/>
    </xf>
    <xf numFmtId="178" fontId="18" fillId="0" borderId="0" xfId="61" applyFont="1" applyAlignment="1">
      <alignment horizontal="center" vertical="center"/>
    </xf>
    <xf numFmtId="178" fontId="19" fillId="5" borderId="1" xfId="61" applyFont="1" applyFill="1" applyBorder="1" applyAlignment="1">
      <alignment horizontal="center" vertical="center"/>
    </xf>
    <xf numFmtId="178" fontId="20" fillId="0" borderId="1" xfId="61" applyFont="1" applyBorder="1" applyAlignment="1" applyProtection="1">
      <alignment horizontal="center" vertical="center" shrinkToFit="1"/>
      <protection locked="0"/>
    </xf>
    <xf numFmtId="178" fontId="2" fillId="0" borderId="1" xfId="61" applyBorder="1" applyAlignment="1" applyProtection="1">
      <alignment horizontal="center" vertical="center" shrinkToFit="1"/>
      <protection locked="0"/>
    </xf>
    <xf numFmtId="178" fontId="2" fillId="0" borderId="1" xfId="61" applyBorder="1" applyAlignment="1" applyProtection="1">
      <alignment horizontal="center" vertical="center"/>
      <protection locked="0"/>
    </xf>
    <xf numFmtId="178" fontId="21" fillId="0" borderId="1" xfId="61" applyFont="1" applyBorder="1" applyAlignment="1" applyProtection="1">
      <alignment horizontal="center" vertical="center"/>
      <protection locked="0"/>
    </xf>
    <xf numFmtId="178" fontId="17" fillId="0" borderId="1" xfId="61" applyFont="1" applyBorder="1" applyAlignment="1" applyProtection="1">
      <alignment horizontal="center" vertical="center"/>
      <protection locked="0"/>
    </xf>
    <xf numFmtId="43" fontId="18" fillId="6" borderId="1" xfId="80" applyFont="1" applyFill="1" applyBorder="1" applyAlignment="1" applyProtection="1">
      <alignment horizontal="center" vertical="center"/>
    </xf>
    <xf numFmtId="0" fontId="22" fillId="6" borderId="1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protection locked="0"/>
    </xf>
    <xf numFmtId="178" fontId="20" fillId="7" borderId="1" xfId="61" applyFont="1" applyFill="1" applyBorder="1" applyAlignment="1" applyProtection="1">
      <alignment horizontal="center" vertical="center"/>
      <protection locked="0"/>
    </xf>
    <xf numFmtId="43" fontId="18" fillId="0" borderId="1" xfId="80" applyFont="1" applyFill="1" applyBorder="1" applyAlignment="1" applyProtection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4" fillId="8" borderId="0" xfId="0" applyFont="1" applyFill="1" applyAlignment="1" applyProtection="1">
      <protection locked="0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43" fontId="2" fillId="8" borderId="0" xfId="1" applyFont="1" applyFill="1">
      <alignment vertical="center"/>
    </xf>
    <xf numFmtId="0" fontId="25" fillId="0" borderId="0" xfId="6" applyFont="1">
      <alignment vertical="center"/>
    </xf>
    <xf numFmtId="178" fontId="26" fillId="8" borderId="1" xfId="56" applyFill="1" applyBorder="1" applyAlignment="1">
      <alignment horizontal="center" vertical="center"/>
    </xf>
    <xf numFmtId="0" fontId="27" fillId="8" borderId="1" xfId="49" applyFont="1" applyFill="1" applyBorder="1" applyAlignment="1">
      <alignment horizontal="left" vertical="center" wrapText="1"/>
    </xf>
    <xf numFmtId="0" fontId="27" fillId="8" borderId="1" xfId="49" applyFont="1" applyFill="1" applyBorder="1" applyAlignment="1">
      <alignment horizontal="left" vertical="center"/>
    </xf>
    <xf numFmtId="0" fontId="0" fillId="8" borderId="1" xfId="49" applyFill="1" applyBorder="1" applyAlignment="1">
      <alignment horizontal="center" vertical="center"/>
    </xf>
    <xf numFmtId="0" fontId="0" fillId="8" borderId="0" xfId="49" applyFill="1" applyAlignment="1">
      <alignment horizontal="center" vertical="center"/>
    </xf>
    <xf numFmtId="0" fontId="0" fillId="8" borderId="0" xfId="49" applyFill="1">
      <alignment vertical="center"/>
    </xf>
    <xf numFmtId="0" fontId="0" fillId="8" borderId="0" xfId="0" applyFill="1">
      <alignment vertical="center"/>
    </xf>
    <xf numFmtId="0" fontId="26" fillId="8" borderId="0" xfId="49" applyFont="1" applyFill="1" applyAlignment="1">
      <alignment horizontal="center" vertical="center"/>
    </xf>
    <xf numFmtId="0" fontId="28" fillId="4" borderId="1" xfId="49" applyFont="1" applyFill="1" applyBorder="1" applyAlignment="1">
      <alignment horizontal="center" vertical="center"/>
    </xf>
    <xf numFmtId="0" fontId="0" fillId="5" borderId="1" xfId="49" applyFill="1" applyBorder="1" applyAlignment="1">
      <alignment horizontal="center" vertical="center"/>
    </xf>
    <xf numFmtId="0" fontId="23" fillId="8" borderId="1" xfId="49" applyFont="1" applyFill="1" applyBorder="1" applyAlignment="1">
      <alignment horizontal="center" vertical="center"/>
    </xf>
    <xf numFmtId="178" fontId="29" fillId="8" borderId="0" xfId="0" applyNumberFormat="1" applyFont="1" applyFill="1" applyAlignment="1">
      <alignment horizontal="center" vertical="center"/>
    </xf>
    <xf numFmtId="9" fontId="2" fillId="8" borderId="0" xfId="3" applyFont="1" applyFill="1" applyAlignment="1">
      <alignment horizontal="center" vertical="center"/>
    </xf>
    <xf numFmtId="178" fontId="2" fillId="8" borderId="0" xfId="0" applyNumberFormat="1" applyFont="1" applyFill="1" applyAlignment="1">
      <alignment horizontal="center" vertical="center"/>
    </xf>
    <xf numFmtId="178" fontId="2" fillId="8" borderId="0" xfId="61" applyFill="1" applyAlignment="1">
      <alignment horizontal="center" vertical="center"/>
    </xf>
    <xf numFmtId="9" fontId="29" fillId="8" borderId="0" xfId="3" applyFont="1" applyFill="1" applyAlignment="1">
      <alignment horizontal="center" vertical="center"/>
    </xf>
    <xf numFmtId="179" fontId="30" fillId="8" borderId="0" xfId="82" applyFont="1" applyFill="1" applyBorder="1" applyAlignment="1" applyProtection="1">
      <alignment horizontal="center" vertical="center"/>
    </xf>
    <xf numFmtId="43" fontId="30" fillId="8" borderId="1" xfId="1" applyFont="1" applyFill="1" applyBorder="1" applyAlignment="1">
      <alignment horizontal="center" vertical="center"/>
    </xf>
    <xf numFmtId="43" fontId="30" fillId="8" borderId="10" xfId="1" applyFont="1" applyFill="1" applyBorder="1" applyAlignment="1">
      <alignment horizontal="center" vertical="center" wrapText="1"/>
    </xf>
    <xf numFmtId="0" fontId="31" fillId="9" borderId="10" xfId="0" applyFont="1" applyFill="1" applyBorder="1" applyAlignment="1">
      <alignment horizontal="left" vertical="center" wrapText="1"/>
    </xf>
    <xf numFmtId="0" fontId="31" fillId="9" borderId="12" xfId="0" applyFont="1" applyFill="1" applyBorder="1" applyAlignment="1">
      <alignment horizontal="left" vertical="center"/>
    </xf>
    <xf numFmtId="178" fontId="2" fillId="8" borderId="1" xfId="0" applyNumberFormat="1" applyFont="1" applyFill="1" applyBorder="1" applyAlignment="1">
      <alignment horizontal="center" vertical="center"/>
    </xf>
    <xf numFmtId="178" fontId="2" fillId="8" borderId="1" xfId="61" applyFill="1" applyBorder="1" applyAlignment="1">
      <alignment horizontal="center" vertical="center"/>
    </xf>
    <xf numFmtId="43" fontId="2" fillId="8" borderId="1" xfId="1" applyFont="1" applyFill="1" applyBorder="1">
      <alignment vertical="center"/>
    </xf>
    <xf numFmtId="0" fontId="24" fillId="8" borderId="1" xfId="0" applyFont="1" applyFill="1" applyBorder="1" applyAlignment="1" applyProtection="1">
      <protection locked="0"/>
    </xf>
    <xf numFmtId="0" fontId="31" fillId="8" borderId="13" xfId="0" applyFont="1" applyFill="1" applyBorder="1" applyAlignment="1">
      <alignment horizontal="center" vertical="center"/>
    </xf>
    <xf numFmtId="178" fontId="20" fillId="8" borderId="1" xfId="0" applyNumberFormat="1" applyFont="1" applyFill="1" applyBorder="1" applyAlignment="1">
      <alignment horizontal="center" vertical="center"/>
    </xf>
    <xf numFmtId="179" fontId="30" fillId="8" borderId="1" xfId="82" applyFont="1" applyFill="1" applyBorder="1" applyAlignment="1" applyProtection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0" fontId="31" fillId="8" borderId="15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43" fontId="29" fillId="8" borderId="10" xfId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/>
    </xf>
    <xf numFmtId="43" fontId="33" fillId="10" borderId="10" xfId="1" applyFont="1" applyFill="1" applyBorder="1" applyAlignment="1">
      <alignment horizontal="center" vertical="center" wrapText="1"/>
    </xf>
    <xf numFmtId="0" fontId="31" fillId="10" borderId="10" xfId="0" applyFont="1" applyFill="1" applyBorder="1" applyAlignment="1">
      <alignment horizontal="left" vertical="center" wrapText="1"/>
    </xf>
    <xf numFmtId="0" fontId="31" fillId="10" borderId="12" xfId="0" applyFont="1" applyFill="1" applyBorder="1" applyAlignment="1">
      <alignment horizontal="left" vertical="center" wrapText="1"/>
    </xf>
    <xf numFmtId="43" fontId="20" fillId="8" borderId="1" xfId="1" applyFont="1" applyFill="1" applyBorder="1" applyAlignment="1">
      <alignment horizontal="center" vertical="center"/>
    </xf>
    <xf numFmtId="43" fontId="20" fillId="8" borderId="0" xfId="1" applyFont="1" applyFill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43" fontId="33" fillId="10" borderId="1" xfId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0" xfId="69"/>
    <xf numFmtId="0" fontId="0" fillId="8" borderId="0" xfId="69" applyFill="1"/>
    <xf numFmtId="0" fontId="17" fillId="0" borderId="0" xfId="69" applyFont="1" applyAlignment="1">
      <alignment horizontal="left" vertical="center" wrapText="1"/>
    </xf>
    <xf numFmtId="0" fontId="0" fillId="0" borderId="0" xfId="69" applyAlignment="1">
      <alignment horizontal="left" vertical="center" wrapText="1"/>
    </xf>
    <xf numFmtId="0" fontId="17" fillId="0" borderId="0" xfId="69" applyFont="1"/>
    <xf numFmtId="0" fontId="25" fillId="0" borderId="2" xfId="6" applyFont="1" applyBorder="1" applyAlignment="1">
      <alignment horizontal="center" vertical="center"/>
    </xf>
    <xf numFmtId="0" fontId="4" fillId="0" borderId="3" xfId="6" applyFont="1" applyFill="1" applyBorder="1" applyAlignment="1">
      <alignment horizontal="center" vertical="center"/>
    </xf>
    <xf numFmtId="0" fontId="4" fillId="0" borderId="4" xfId="6" applyFont="1" applyFill="1" applyBorder="1" applyAlignment="1">
      <alignment horizontal="center" vertical="center"/>
    </xf>
    <xf numFmtId="0" fontId="4" fillId="0" borderId="5" xfId="6" applyFont="1" applyFill="1" applyBorder="1" applyAlignment="1">
      <alignment horizontal="center" vertical="center"/>
    </xf>
    <xf numFmtId="0" fontId="4" fillId="0" borderId="0" xfId="6" applyFont="1" applyFill="1" applyAlignment="1">
      <alignment horizontal="center" vertical="center"/>
    </xf>
    <xf numFmtId="0" fontId="4" fillId="0" borderId="6" xfId="6" applyFont="1" applyFill="1" applyBorder="1" applyAlignment="1">
      <alignment horizontal="center" vertical="center"/>
    </xf>
    <xf numFmtId="0" fontId="4" fillId="0" borderId="7" xfId="6" applyFont="1" applyFill="1" applyBorder="1" applyAlignment="1">
      <alignment horizontal="center" vertical="center"/>
    </xf>
    <xf numFmtId="0" fontId="4" fillId="0" borderId="8" xfId="6" applyFont="1" applyFill="1" applyBorder="1" applyAlignment="1">
      <alignment horizontal="center" vertical="center"/>
    </xf>
    <xf numFmtId="0" fontId="4" fillId="0" borderId="9" xfId="6" applyFont="1" applyFill="1" applyBorder="1" applyAlignment="1">
      <alignment horizontal="center" vertical="center"/>
    </xf>
    <xf numFmtId="0" fontId="7" fillId="3" borderId="10" xfId="49" applyFont="1" applyFill="1" applyBorder="1" applyAlignment="1">
      <alignment horizontal="center" vertical="center"/>
    </xf>
    <xf numFmtId="0" fontId="7" fillId="3" borderId="12" xfId="49" applyFont="1" applyFill="1" applyBorder="1" applyAlignment="1">
      <alignment horizontal="center" vertical="center"/>
    </xf>
    <xf numFmtId="0" fontId="7" fillId="3" borderId="11" xfId="49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6" fillId="0" borderId="0" xfId="69" applyFont="1" applyAlignment="1">
      <alignment horizontal="center" vertical="center" wrapText="1"/>
    </xf>
    <xf numFmtId="0" fontId="30" fillId="5" borderId="1" xfId="69" applyFont="1" applyFill="1" applyBorder="1" applyAlignment="1">
      <alignment horizontal="center" vertical="center" wrapText="1"/>
    </xf>
    <xf numFmtId="0" fontId="12" fillId="5" borderId="13" xfId="69" applyFont="1" applyFill="1" applyBorder="1" applyAlignment="1">
      <alignment horizontal="center" vertical="center" wrapText="1"/>
    </xf>
    <xf numFmtId="0" fontId="12" fillId="5" borderId="1" xfId="69" applyFont="1" applyFill="1" applyBorder="1" applyAlignment="1">
      <alignment horizontal="center" vertical="center" wrapText="1"/>
    </xf>
    <xf numFmtId="0" fontId="12" fillId="5" borderId="15" xfId="69" applyFont="1" applyFill="1" applyBorder="1" applyAlignment="1">
      <alignment horizontal="center" vertical="center" wrapText="1"/>
    </xf>
    <xf numFmtId="0" fontId="0" fillId="8" borderId="14" xfId="69" applyFill="1" applyBorder="1" applyAlignment="1">
      <alignment horizontal="center" vertical="center" wrapText="1"/>
    </xf>
    <xf numFmtId="0" fontId="0" fillId="8" borderId="15" xfId="69" applyFill="1" applyBorder="1" applyAlignment="1">
      <alignment horizontal="center" vertical="center" wrapText="1"/>
    </xf>
    <xf numFmtId="182" fontId="0" fillId="8" borderId="15" xfId="69" applyNumberFormat="1" applyFill="1" applyBorder="1" applyAlignment="1">
      <alignment horizontal="center" vertical="center" wrapText="1"/>
    </xf>
    <xf numFmtId="183" fontId="0" fillId="8" borderId="15" xfId="69" applyNumberFormat="1" applyFill="1" applyBorder="1" applyAlignment="1">
      <alignment horizontal="center" vertical="center" wrapText="1"/>
    </xf>
    <xf numFmtId="182" fontId="0" fillId="5" borderId="15" xfId="69" applyNumberFormat="1" applyFill="1" applyBorder="1" applyAlignment="1">
      <alignment horizontal="center" vertical="center" wrapText="1"/>
    </xf>
    <xf numFmtId="0" fontId="35" fillId="8" borderId="16" xfId="69" applyFont="1" applyFill="1" applyBorder="1" applyAlignment="1">
      <alignment horizontal="center" vertical="center" wrapText="1"/>
    </xf>
    <xf numFmtId="0" fontId="35" fillId="8" borderId="17" xfId="69" applyFont="1" applyFill="1" applyBorder="1" applyAlignment="1">
      <alignment horizontal="center" vertical="center" wrapText="1"/>
    </xf>
    <xf numFmtId="0" fontId="19" fillId="8" borderId="0" xfId="69" applyFont="1" applyFill="1" applyAlignment="1">
      <alignment horizontal="left" vertical="center" wrapText="1"/>
    </xf>
    <xf numFmtId="0" fontId="26" fillId="8" borderId="0" xfId="69" applyFont="1" applyFill="1"/>
    <xf numFmtId="0" fontId="26" fillId="8" borderId="18" xfId="69" applyFont="1" applyFill="1" applyBorder="1"/>
    <xf numFmtId="0" fontId="36" fillId="8" borderId="19" xfId="69" applyFont="1" applyFill="1" applyBorder="1" applyAlignment="1">
      <alignment horizontal="center" vertical="center" wrapText="1"/>
    </xf>
    <xf numFmtId="0" fontId="26" fillId="8" borderId="14" xfId="69" applyFont="1" applyFill="1" applyBorder="1" applyAlignment="1">
      <alignment horizontal="center" vertical="center" wrapText="1"/>
    </xf>
    <xf numFmtId="0" fontId="37" fillId="9" borderId="0" xfId="69" applyFont="1" applyFill="1" applyAlignment="1">
      <alignment vertical="center"/>
    </xf>
    <xf numFmtId="0" fontId="37" fillId="8" borderId="0" xfId="69" applyFont="1" applyFill="1" applyAlignment="1">
      <alignment horizontal="left" vertical="center" wrapText="1"/>
    </xf>
    <xf numFmtId="184" fontId="38" fillId="11" borderId="1" xfId="0" applyNumberFormat="1" applyFont="1" applyFill="1" applyBorder="1" applyAlignment="1">
      <alignment horizontal="center" vertical="center"/>
    </xf>
    <xf numFmtId="0" fontId="39" fillId="11" borderId="1" xfId="69" applyFont="1" applyFill="1" applyBorder="1" applyAlignment="1">
      <alignment horizontal="center" vertical="center" wrapText="1"/>
    </xf>
    <xf numFmtId="9" fontId="39" fillId="11" borderId="1" xfId="3" applyFont="1" applyFill="1" applyBorder="1" applyAlignment="1">
      <alignment horizontal="center" vertical="center" wrapText="1"/>
    </xf>
    <xf numFmtId="0" fontId="26" fillId="8" borderId="1" xfId="69" applyFont="1" applyFill="1" applyBorder="1" applyAlignment="1">
      <alignment horizontal="left" vertical="center" wrapText="1"/>
    </xf>
    <xf numFmtId="1" fontId="4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8" borderId="1" xfId="69" applyFill="1" applyBorder="1" applyAlignment="1">
      <alignment horizontal="left" vertical="center" wrapText="1"/>
    </xf>
    <xf numFmtId="183" fontId="7" fillId="12" borderId="1" xfId="6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>
      <alignment vertical="center"/>
    </xf>
    <xf numFmtId="0" fontId="0" fillId="0" borderId="1" xfId="69" applyBorder="1" applyAlignment="1">
      <alignment horizontal="left" vertical="center" wrapText="1"/>
    </xf>
    <xf numFmtId="0" fontId="0" fillId="0" borderId="1" xfId="69" applyBorder="1" applyAlignment="1">
      <alignment horizontal="left" vertical="center"/>
    </xf>
    <xf numFmtId="1" fontId="41" fillId="0" borderId="1" xfId="0" applyNumberFormat="1" applyFont="1" applyBorder="1" applyAlignment="1">
      <alignment horizontal="center" vertical="center" wrapText="1"/>
    </xf>
    <xf numFmtId="0" fontId="0" fillId="8" borderId="1" xfId="69" applyFill="1" applyBorder="1" applyAlignment="1">
      <alignment horizontal="center" vertical="center" wrapText="1"/>
    </xf>
    <xf numFmtId="0" fontId="0" fillId="0" borderId="15" xfId="69" applyBorder="1" applyAlignment="1">
      <alignment horizontal="center" vertical="center" wrapText="1"/>
    </xf>
    <xf numFmtId="0" fontId="33" fillId="5" borderId="1" xfId="69" applyFont="1" applyFill="1" applyBorder="1" applyAlignment="1">
      <alignment horizontal="center" vertical="center" wrapText="1"/>
    </xf>
    <xf numFmtId="0" fontId="27" fillId="8" borderId="2" xfId="49" applyFont="1" applyFill="1" applyBorder="1" applyAlignment="1">
      <alignment vertical="center" wrapText="1"/>
    </xf>
    <xf numFmtId="0" fontId="27" fillId="8" borderId="3" xfId="49" applyFont="1" applyFill="1" applyBorder="1">
      <alignment vertical="center"/>
    </xf>
    <xf numFmtId="0" fontId="27" fillId="8" borderId="4" xfId="49" applyFont="1" applyFill="1" applyBorder="1">
      <alignment vertical="center"/>
    </xf>
    <xf numFmtId="0" fontId="27" fillId="8" borderId="5" xfId="49" applyFont="1" applyFill="1" applyBorder="1">
      <alignment vertical="center"/>
    </xf>
    <xf numFmtId="0" fontId="27" fillId="8" borderId="0" xfId="49" applyFont="1" applyFill="1">
      <alignment vertical="center"/>
    </xf>
    <xf numFmtId="0" fontId="27" fillId="8" borderId="6" xfId="49" applyFont="1" applyFill="1" applyBorder="1">
      <alignment vertical="center"/>
    </xf>
    <xf numFmtId="0" fontId="27" fillId="8" borderId="7" xfId="49" applyFont="1" applyFill="1" applyBorder="1">
      <alignment vertical="center"/>
    </xf>
    <xf numFmtId="0" fontId="27" fillId="8" borderId="8" xfId="49" applyFont="1" applyFill="1" applyBorder="1">
      <alignment vertical="center"/>
    </xf>
    <xf numFmtId="0" fontId="27" fillId="8" borderId="9" xfId="49" applyFont="1" applyFill="1" applyBorder="1">
      <alignment vertical="center"/>
    </xf>
    <xf numFmtId="0" fontId="1" fillId="0" borderId="12" xfId="49" applyFont="1" applyBorder="1" applyAlignment="1">
      <alignment horizontal="center" vertical="center"/>
    </xf>
    <xf numFmtId="0" fontId="38" fillId="13" borderId="15" xfId="0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0" fontId="42" fillId="11" borderId="13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0" fontId="42" fillId="11" borderId="15" xfId="0" applyFont="1" applyFill="1" applyBorder="1" applyAlignment="1">
      <alignment horizontal="center" vertical="center"/>
    </xf>
    <xf numFmtId="0" fontId="43" fillId="0" borderId="1" xfId="0" applyFont="1" applyBorder="1">
      <alignment vertical="center"/>
    </xf>
    <xf numFmtId="0" fontId="43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vertical="center" wrapText="1"/>
    </xf>
    <xf numFmtId="0" fontId="40" fillId="0" borderId="15" xfId="0" applyFont="1" applyBorder="1" applyAlignment="1">
      <alignment horizontal="left" vertical="center" wrapText="1"/>
    </xf>
    <xf numFmtId="0" fontId="44" fillId="14" borderId="1" xfId="0" applyFont="1" applyFill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left" vertical="center" wrapText="1"/>
    </xf>
    <xf numFmtId="0" fontId="45" fillId="0" borderId="1" xfId="0" applyFont="1" applyBorder="1">
      <alignment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47" fillId="13" borderId="1" xfId="0" applyFont="1" applyFill="1" applyBorder="1" applyAlignment="1">
      <alignment horizontal="center" vertical="center"/>
    </xf>
    <xf numFmtId="0" fontId="48" fillId="15" borderId="13" xfId="0" applyFont="1" applyFill="1" applyBorder="1" applyAlignment="1">
      <alignment horizontal="center" vertical="center"/>
    </xf>
    <xf numFmtId="184" fontId="47" fillId="15" borderId="13" xfId="0" applyNumberFormat="1" applyFont="1" applyFill="1" applyBorder="1" applyAlignment="1">
      <alignment horizontal="center" vertical="center"/>
    </xf>
    <xf numFmtId="0" fontId="48" fillId="15" borderId="15" xfId="0" applyFont="1" applyFill="1" applyBorder="1" applyAlignment="1">
      <alignment horizontal="center" vertical="center"/>
    </xf>
    <xf numFmtId="184" fontId="47" fillId="15" borderId="15" xfId="0" applyNumberFormat="1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vertical="center" wrapText="1"/>
    </xf>
    <xf numFmtId="0" fontId="40" fillId="0" borderId="14" xfId="0" applyFont="1" applyBorder="1" applyAlignment="1">
      <alignment horizontal="center" vertical="center" wrapText="1"/>
    </xf>
    <xf numFmtId="1" fontId="48" fillId="16" borderId="15" xfId="0" applyNumberFormat="1" applyFont="1" applyFill="1" applyBorder="1" applyAlignment="1">
      <alignment vertical="center" wrapText="1"/>
    </xf>
    <xf numFmtId="1" fontId="40" fillId="14" borderId="1" xfId="0" applyNumberFormat="1" applyFont="1" applyFill="1" applyBorder="1" applyAlignment="1">
      <alignment vertical="center" wrapText="1"/>
    </xf>
    <xf numFmtId="1" fontId="48" fillId="16" borderId="1" xfId="0" applyNumberFormat="1" applyFont="1" applyFill="1" applyBorder="1" applyAlignment="1">
      <alignment vertical="center" wrapText="1"/>
    </xf>
    <xf numFmtId="1" fontId="40" fillId="8" borderId="1" xfId="0" applyNumberFormat="1" applyFont="1" applyFill="1" applyBorder="1" applyAlignment="1">
      <alignment vertical="center" wrapText="1"/>
    </xf>
    <xf numFmtId="1" fontId="41" fillId="16" borderId="1" xfId="0" applyNumberFormat="1" applyFont="1" applyFill="1" applyBorder="1" applyAlignment="1">
      <alignment vertical="center" wrapText="1"/>
    </xf>
    <xf numFmtId="1" fontId="44" fillId="6" borderId="1" xfId="0" applyNumberFormat="1" applyFont="1" applyFill="1" applyBorder="1" applyAlignment="1">
      <alignment vertical="center" wrapText="1"/>
    </xf>
    <xf numFmtId="1" fontId="49" fillId="8" borderId="1" xfId="0" applyNumberFormat="1" applyFont="1" applyFill="1" applyBorder="1" applyAlignment="1">
      <alignment vertical="center" wrapText="1"/>
    </xf>
    <xf numFmtId="1" fontId="41" fillId="14" borderId="1" xfId="0" applyNumberFormat="1" applyFont="1" applyFill="1" applyBorder="1" applyAlignment="1">
      <alignment vertical="center" wrapText="1"/>
    </xf>
    <xf numFmtId="183" fontId="4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7" fillId="15" borderId="1" xfId="0" applyFont="1" applyFill="1" applyBorder="1" applyAlignment="1">
      <alignment horizontal="center" vertical="center"/>
    </xf>
    <xf numFmtId="0" fontId="47" fillId="15" borderId="13" xfId="0" applyFont="1" applyFill="1" applyBorder="1" applyAlignment="1">
      <alignment horizontal="center" vertical="center"/>
    </xf>
    <xf numFmtId="184" fontId="47" fillId="15" borderId="1" xfId="0" applyNumberFormat="1" applyFont="1" applyFill="1" applyBorder="1" applyAlignment="1">
      <alignment horizontal="center" vertical="center"/>
    </xf>
    <xf numFmtId="0" fontId="47" fillId="15" borderId="15" xfId="0" applyFont="1" applyFill="1" applyBorder="1" applyAlignment="1">
      <alignment horizontal="center" vertical="center"/>
    </xf>
    <xf numFmtId="0" fontId="40" fillId="0" borderId="13" xfId="0" applyFont="1" applyBorder="1" applyAlignment="1">
      <alignment vertical="center" wrapText="1"/>
    </xf>
    <xf numFmtId="0" fontId="43" fillId="0" borderId="15" xfId="0" applyFont="1" applyBorder="1" applyAlignment="1">
      <alignment horizontal="center" vertical="center"/>
    </xf>
    <xf numFmtId="0" fontId="48" fillId="17" borderId="1" xfId="0" applyFont="1" applyFill="1" applyBorder="1">
      <alignment vertical="center"/>
    </xf>
    <xf numFmtId="0" fontId="47" fillId="14" borderId="1" xfId="0" applyFont="1" applyFill="1" applyBorder="1">
      <alignment vertical="center"/>
    </xf>
    <xf numFmtId="0" fontId="49" fillId="17" borderId="1" xfId="0" applyFont="1" applyFill="1" applyBorder="1">
      <alignment vertical="center"/>
    </xf>
    <xf numFmtId="0" fontId="48" fillId="0" borderId="1" xfId="0" applyFont="1" applyBorder="1">
      <alignment vertical="center"/>
    </xf>
    <xf numFmtId="0" fontId="50" fillId="0" borderId="1" xfId="0" applyFont="1" applyBorder="1">
      <alignment vertical="center"/>
    </xf>
    <xf numFmtId="0" fontId="50" fillId="0" borderId="1" xfId="0" applyFont="1" applyBorder="1" applyAlignment="1">
      <alignment horizontal="center" vertical="center"/>
    </xf>
    <xf numFmtId="0" fontId="42" fillId="0" borderId="1" xfId="0" applyFont="1" applyBorder="1">
      <alignment vertical="center"/>
    </xf>
    <xf numFmtId="0" fontId="38" fillId="14" borderId="1" xfId="0" applyFont="1" applyFill="1" applyBorder="1">
      <alignment vertical="center"/>
    </xf>
    <xf numFmtId="0" fontId="43" fillId="0" borderId="10" xfId="0" applyFont="1" applyBorder="1" applyAlignment="1">
      <alignment horizontal="center" vertical="center"/>
    </xf>
    <xf numFmtId="0" fontId="42" fillId="8" borderId="1" xfId="0" applyFont="1" applyFill="1" applyBorder="1">
      <alignment vertical="center"/>
    </xf>
    <xf numFmtId="0" fontId="16" fillId="8" borderId="1" xfId="0" applyFont="1" applyFill="1" applyBorder="1" applyAlignment="1">
      <alignment horizontal="left" vertical="center"/>
    </xf>
    <xf numFmtId="0" fontId="48" fillId="0" borderId="15" xfId="0" applyFont="1" applyBorder="1">
      <alignment vertical="center"/>
    </xf>
    <xf numFmtId="0" fontId="51" fillId="0" borderId="0" xfId="0" applyFont="1">
      <alignment vertical="center"/>
    </xf>
    <xf numFmtId="0" fontId="48" fillId="8" borderId="0" xfId="0" applyFont="1" applyFill="1">
      <alignment vertical="center"/>
    </xf>
    <xf numFmtId="0" fontId="47" fillId="0" borderId="0" xfId="0" applyFont="1">
      <alignment vertical="center"/>
    </xf>
    <xf numFmtId="0" fontId="52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182" fontId="52" fillId="0" borderId="0" xfId="0" applyNumberFormat="1" applyFont="1" applyAlignment="1">
      <alignment horizontal="center" vertical="center"/>
    </xf>
    <xf numFmtId="178" fontId="5" fillId="18" borderId="1" xfId="56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182" fontId="51" fillId="0" borderId="0" xfId="0" applyNumberFormat="1" applyFont="1" applyAlignment="1">
      <alignment horizontal="center" vertical="center"/>
    </xf>
    <xf numFmtId="0" fontId="37" fillId="19" borderId="1" xfId="0" applyFont="1" applyFill="1" applyBorder="1" applyAlignment="1">
      <alignment horizontal="center" vertical="center" shrinkToFit="1"/>
    </xf>
    <xf numFmtId="0" fontId="37" fillId="19" borderId="1" xfId="0" applyFont="1" applyFill="1" applyBorder="1" applyAlignment="1">
      <alignment horizontal="center" vertical="center" wrapText="1" shrinkToFit="1"/>
    </xf>
    <xf numFmtId="0" fontId="47" fillId="8" borderId="1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 shrinkToFit="1"/>
    </xf>
    <xf numFmtId="0" fontId="48" fillId="8" borderId="13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/>
    </xf>
    <xf numFmtId="0" fontId="48" fillId="8" borderId="1" xfId="51" applyNumberFormat="1" applyFont="1" applyFill="1" applyBorder="1" applyAlignment="1">
      <alignment horizontal="center" vertical="center"/>
    </xf>
    <xf numFmtId="41" fontId="40" fillId="0" borderId="1" xfId="0" applyNumberFormat="1" applyFont="1" applyBorder="1" applyAlignment="1">
      <alignment horizontal="center" vertical="center" wrapText="1"/>
    </xf>
    <xf numFmtId="0" fontId="48" fillId="8" borderId="14" xfId="0" applyFont="1" applyFill="1" applyBorder="1" applyAlignment="1">
      <alignment horizontal="center" vertical="center"/>
    </xf>
    <xf numFmtId="0" fontId="49" fillId="8" borderId="1" xfId="0" applyFont="1" applyFill="1" applyBorder="1" applyAlignment="1">
      <alignment horizontal="center" vertical="center"/>
    </xf>
    <xf numFmtId="0" fontId="47" fillId="8" borderId="1" xfId="51" applyNumberFormat="1" applyFont="1" applyFill="1" applyBorder="1" applyAlignment="1">
      <alignment horizontal="center" vertical="center"/>
    </xf>
    <xf numFmtId="0" fontId="48" fillId="8" borderId="15" xfId="0" applyFont="1" applyFill="1" applyBorder="1" applyAlignment="1">
      <alignment horizontal="center" vertical="center"/>
    </xf>
    <xf numFmtId="0" fontId="49" fillId="8" borderId="1" xfId="51" applyNumberFormat="1" applyFont="1" applyFill="1" applyBorder="1" applyAlignment="1">
      <alignment horizontal="center" vertical="center"/>
    </xf>
    <xf numFmtId="0" fontId="47" fillId="8" borderId="13" xfId="0" applyFont="1" applyFill="1" applyBorder="1" applyAlignment="1">
      <alignment horizontal="center" vertical="center"/>
    </xf>
    <xf numFmtId="0" fontId="48" fillId="8" borderId="13" xfId="0" applyFont="1" applyFill="1" applyBorder="1" applyAlignment="1">
      <alignment horizontal="center" vertical="center" shrinkToFit="1"/>
    </xf>
    <xf numFmtId="0" fontId="47" fillId="8" borderId="14" xfId="0" applyFont="1" applyFill="1" applyBorder="1" applyAlignment="1">
      <alignment horizontal="center" vertical="center"/>
    </xf>
    <xf numFmtId="0" fontId="48" fillId="8" borderId="14" xfId="0" applyFont="1" applyFill="1" applyBorder="1" applyAlignment="1">
      <alignment horizontal="center" vertical="center" shrinkToFit="1"/>
    </xf>
    <xf numFmtId="0" fontId="47" fillId="8" borderId="15" xfId="0" applyFont="1" applyFill="1" applyBorder="1" applyAlignment="1">
      <alignment horizontal="center" vertical="center"/>
    </xf>
    <xf numFmtId="0" fontId="48" fillId="8" borderId="15" xfId="0" applyFont="1" applyFill="1" applyBorder="1" applyAlignment="1">
      <alignment horizontal="center" vertical="center" shrinkToFit="1"/>
    </xf>
    <xf numFmtId="1" fontId="48" fillId="8" borderId="1" xfId="67" applyNumberFormat="1" applyFont="1" applyFill="1" applyBorder="1" applyAlignment="1">
      <alignment horizontal="center" vertical="center"/>
    </xf>
    <xf numFmtId="0" fontId="48" fillId="20" borderId="1" xfId="51" applyNumberFormat="1" applyFont="1" applyFill="1" applyBorder="1" applyAlignment="1">
      <alignment horizontal="center" vertical="center"/>
    </xf>
    <xf numFmtId="0" fontId="48" fillId="8" borderId="20" xfId="0" applyFont="1" applyFill="1" applyBorder="1" applyAlignment="1" applyProtection="1">
      <alignment horizontal="left" vertical="center"/>
      <protection locked="0"/>
    </xf>
    <xf numFmtId="0" fontId="48" fillId="8" borderId="1" xfId="51" applyNumberFormat="1" applyFont="1" applyFill="1" applyBorder="1" applyAlignment="1">
      <alignment vertical="center"/>
    </xf>
    <xf numFmtId="0" fontId="47" fillId="8" borderId="20" xfId="0" applyFont="1" applyFill="1" applyBorder="1" applyAlignment="1" applyProtection="1">
      <alignment horizontal="left" vertical="center"/>
      <protection locked="0"/>
    </xf>
    <xf numFmtId="0" fontId="47" fillId="21" borderId="1" xfId="0" applyFont="1" applyFill="1" applyBorder="1" applyAlignment="1">
      <alignment horizontal="center" vertical="center"/>
    </xf>
    <xf numFmtId="0" fontId="53" fillId="21" borderId="1" xfId="0" applyFont="1" applyFill="1" applyBorder="1" applyAlignment="1">
      <alignment horizontal="center" vertical="center" shrinkToFit="1"/>
    </xf>
    <xf numFmtId="182" fontId="53" fillId="21" borderId="1" xfId="0" applyNumberFormat="1" applyFont="1" applyFill="1" applyBorder="1" applyAlignment="1" applyProtection="1">
      <alignment horizontal="center" vertical="center"/>
      <protection locked="0"/>
    </xf>
    <xf numFmtId="0" fontId="54" fillId="8" borderId="1" xfId="0" applyFont="1" applyFill="1" applyBorder="1" applyAlignment="1">
      <alignment horizontal="center" vertical="center" shrinkToFit="1"/>
    </xf>
    <xf numFmtId="1" fontId="54" fillId="8" borderId="1" xfId="67" applyNumberFormat="1" applyFont="1" applyFill="1" applyBorder="1" applyAlignment="1">
      <alignment horizontal="center" vertical="center"/>
    </xf>
    <xf numFmtId="1" fontId="40" fillId="8" borderId="1" xfId="0" applyNumberFormat="1" applyFont="1" applyFill="1" applyBorder="1" applyAlignment="1">
      <alignment horizontal="center" vertical="center" wrapText="1"/>
    </xf>
    <xf numFmtId="0" fontId="54" fillId="8" borderId="20" xfId="0" applyFont="1" applyFill="1" applyBorder="1" applyAlignment="1" applyProtection="1">
      <alignment horizontal="left" vertical="center"/>
      <protection locked="0"/>
    </xf>
    <xf numFmtId="0" fontId="53" fillId="8" borderId="20" xfId="0" applyFont="1" applyFill="1" applyBorder="1" applyAlignment="1" applyProtection="1">
      <alignment horizontal="left" vertical="center"/>
      <protection locked="0"/>
    </xf>
    <xf numFmtId="182" fontId="52" fillId="0" borderId="0" xfId="1" applyNumberFormat="1" applyFont="1" applyAlignment="1">
      <alignment horizontal="center" vertical="center"/>
    </xf>
    <xf numFmtId="0" fontId="55" fillId="0" borderId="0" xfId="0" applyFont="1">
      <alignment vertical="center"/>
    </xf>
    <xf numFmtId="0" fontId="43" fillId="0" borderId="0" xfId="0" applyFont="1">
      <alignment vertical="center"/>
    </xf>
    <xf numFmtId="0" fontId="25" fillId="0" borderId="0" xfId="6" applyFont="1" applyAlignment="1">
      <alignment horizontal="center" vertical="center"/>
    </xf>
    <xf numFmtId="0" fontId="25" fillId="0" borderId="0" xfId="6" applyFont="1" applyFill="1" applyAlignment="1">
      <alignment horizontal="center" vertical="center"/>
    </xf>
    <xf numFmtId="0" fontId="25" fillId="0" borderId="6" xfId="6" applyFont="1" applyFill="1" applyBorder="1" applyAlignment="1">
      <alignment horizontal="center" vertical="center"/>
    </xf>
    <xf numFmtId="0" fontId="27" fillId="8" borderId="2" xfId="49" applyFont="1" applyFill="1" applyBorder="1" applyAlignment="1">
      <alignment horizontal="left" vertical="center" wrapText="1"/>
    </xf>
    <xf numFmtId="0" fontId="27" fillId="8" borderId="3" xfId="49" applyFont="1" applyFill="1" applyBorder="1" applyAlignment="1">
      <alignment horizontal="left" vertical="center" wrapText="1"/>
    </xf>
    <xf numFmtId="0" fontId="27" fillId="8" borderId="4" xfId="49" applyFont="1" applyFill="1" applyBorder="1" applyAlignment="1">
      <alignment horizontal="left" vertical="center" wrapText="1"/>
    </xf>
    <xf numFmtId="0" fontId="27" fillId="8" borderId="5" xfId="49" applyFont="1" applyFill="1" applyBorder="1" applyAlignment="1">
      <alignment horizontal="left" vertical="center" wrapText="1"/>
    </xf>
    <xf numFmtId="0" fontId="27" fillId="8" borderId="0" xfId="49" applyFont="1" applyFill="1" applyAlignment="1">
      <alignment horizontal="left" vertical="center" wrapText="1"/>
    </xf>
    <xf numFmtId="0" fontId="27" fillId="8" borderId="6" xfId="49" applyFont="1" applyFill="1" applyBorder="1" applyAlignment="1">
      <alignment horizontal="left" vertical="center" wrapText="1"/>
    </xf>
    <xf numFmtId="0" fontId="25" fillId="0" borderId="8" xfId="6" applyFont="1" applyFill="1" applyBorder="1" applyAlignment="1">
      <alignment horizontal="center" vertical="center"/>
    </xf>
    <xf numFmtId="0" fontId="25" fillId="0" borderId="9" xfId="6" applyFont="1" applyFill="1" applyBorder="1" applyAlignment="1">
      <alignment horizontal="center" vertical="center"/>
    </xf>
    <xf numFmtId="0" fontId="0" fillId="8" borderId="10" xfId="49" applyFill="1" applyBorder="1" applyAlignment="1">
      <alignment horizontal="center" vertical="center"/>
    </xf>
    <xf numFmtId="0" fontId="0" fillId="8" borderId="12" xfId="49" applyFill="1" applyBorder="1" applyAlignment="1">
      <alignment horizontal="center" vertical="center"/>
    </xf>
    <xf numFmtId="0" fontId="0" fillId="8" borderId="11" xfId="49" applyFill="1" applyBorder="1" applyAlignment="1">
      <alignment horizontal="center" vertical="center"/>
    </xf>
    <xf numFmtId="0" fontId="27" fillId="8" borderId="7" xfId="49" applyFont="1" applyFill="1" applyBorder="1" applyAlignment="1">
      <alignment horizontal="left" vertical="center" wrapText="1"/>
    </xf>
    <xf numFmtId="0" fontId="27" fillId="8" borderId="8" xfId="49" applyFont="1" applyFill="1" applyBorder="1" applyAlignment="1">
      <alignment horizontal="left" vertical="center" wrapText="1"/>
    </xf>
    <xf numFmtId="0" fontId="27" fillId="8" borderId="9" xfId="49" applyFont="1" applyFill="1" applyBorder="1" applyAlignment="1">
      <alignment horizontal="left" vertical="center" wrapText="1"/>
    </xf>
    <xf numFmtId="43" fontId="56" fillId="0" borderId="8" xfId="0" applyNumberFormat="1" applyFont="1" applyBorder="1" applyAlignment="1">
      <alignment horizontal="center" vertical="center" shrinkToFit="1"/>
    </xf>
    <xf numFmtId="43" fontId="56" fillId="0" borderId="0" xfId="0" applyNumberFormat="1" applyFont="1" applyAlignment="1">
      <alignment horizontal="center" vertical="center" shrinkToFit="1"/>
    </xf>
    <xf numFmtId="0" fontId="47" fillId="11" borderId="13" xfId="0" applyFont="1" applyFill="1" applyBorder="1" applyAlignment="1">
      <alignment horizontal="center" vertical="center" wrapText="1"/>
    </xf>
    <xf numFmtId="184" fontId="47" fillId="11" borderId="1" xfId="0" applyNumberFormat="1" applyFont="1" applyFill="1" applyBorder="1" applyAlignment="1">
      <alignment horizontal="center" vertical="center"/>
    </xf>
    <xf numFmtId="184" fontId="47" fillId="11" borderId="13" xfId="0" applyNumberFormat="1" applyFont="1" applyFill="1" applyBorder="1" applyAlignment="1">
      <alignment horizontal="center" vertical="center"/>
    </xf>
    <xf numFmtId="0" fontId="39" fillId="11" borderId="13" xfId="69" applyFont="1" applyFill="1" applyBorder="1" applyAlignment="1">
      <alignment horizontal="center" vertical="center" wrapText="1"/>
    </xf>
    <xf numFmtId="9" fontId="39" fillId="11" borderId="13" xfId="3" applyFont="1" applyFill="1" applyBorder="1" applyAlignment="1">
      <alignment horizontal="center" vertical="center" wrapText="1"/>
    </xf>
    <xf numFmtId="0" fontId="47" fillId="11" borderId="15" xfId="0" applyFont="1" applyFill="1" applyBorder="1" applyAlignment="1">
      <alignment horizontal="center" vertical="center" wrapText="1"/>
    </xf>
    <xf numFmtId="184" fontId="47" fillId="11" borderId="15" xfId="0" applyNumberFormat="1" applyFont="1" applyFill="1" applyBorder="1" applyAlignment="1">
      <alignment horizontal="center" vertical="center"/>
    </xf>
    <xf numFmtId="0" fontId="39" fillId="11" borderId="15" xfId="69" applyFont="1" applyFill="1" applyBorder="1" applyAlignment="1">
      <alignment horizontal="center" vertical="center" wrapText="1"/>
    </xf>
    <xf numFmtId="9" fontId="39" fillId="11" borderId="15" xfId="3" applyFont="1" applyFill="1" applyBorder="1" applyAlignment="1">
      <alignment horizontal="center" vertical="center" wrapText="1"/>
    </xf>
    <xf numFmtId="1" fontId="40" fillId="0" borderId="15" xfId="0" applyNumberFormat="1" applyFont="1" applyBorder="1" applyAlignment="1">
      <alignment horizontal="center" vertical="center" wrapText="1"/>
    </xf>
    <xf numFmtId="41" fontId="40" fillId="0" borderId="1" xfId="0" applyNumberFormat="1" applyFont="1" applyBorder="1" applyAlignment="1">
      <alignment horizontal="right" vertical="center" wrapText="1"/>
    </xf>
    <xf numFmtId="1" fontId="41" fillId="0" borderId="15" xfId="0" applyNumberFormat="1" applyFont="1" applyBorder="1" applyAlignment="1">
      <alignment vertical="center" wrapText="1"/>
    </xf>
    <xf numFmtId="41" fontId="40" fillId="0" borderId="15" xfId="0" applyNumberFormat="1" applyFont="1" applyBorder="1" applyAlignment="1">
      <alignment horizontal="right" vertical="center" wrapText="1"/>
    </xf>
    <xf numFmtId="1" fontId="41" fillId="0" borderId="1" xfId="0" applyNumberFormat="1" applyFont="1" applyBorder="1" applyAlignment="1">
      <alignment vertical="center" wrapText="1"/>
    </xf>
    <xf numFmtId="183" fontId="57" fillId="0" borderId="20" xfId="0" applyNumberFormat="1" applyFont="1" applyBorder="1" applyAlignment="1" applyProtection="1">
      <alignment horizontal="center" vertical="center"/>
      <protection locked="0"/>
    </xf>
    <xf numFmtId="41" fontId="48" fillId="0" borderId="1" xfId="0" applyNumberFormat="1" applyFont="1" applyBorder="1" applyAlignment="1">
      <alignment horizontal="right" vertical="center" wrapText="1"/>
    </xf>
    <xf numFmtId="41" fontId="49" fillId="0" borderId="1" xfId="0" applyNumberFormat="1" applyFont="1" applyBorder="1" applyAlignment="1">
      <alignment horizontal="right" vertical="center" wrapText="1"/>
    </xf>
    <xf numFmtId="1" fontId="48" fillId="0" borderId="1" xfId="0" applyNumberFormat="1" applyFont="1" applyBorder="1" applyAlignment="1">
      <alignment vertical="center" wrapText="1"/>
    </xf>
    <xf numFmtId="41" fontId="41" fillId="0" borderId="1" xfId="0" applyNumberFormat="1" applyFont="1" applyBorder="1" applyAlignment="1">
      <alignment horizontal="right" vertical="center" wrapText="1"/>
    </xf>
    <xf numFmtId="41" fontId="40" fillId="14" borderId="1" xfId="0" applyNumberFormat="1" applyFont="1" applyFill="1" applyBorder="1" applyAlignment="1">
      <alignment horizontal="right" vertical="center" wrapText="1"/>
    </xf>
    <xf numFmtId="0" fontId="43" fillId="0" borderId="0" xfId="0" applyFont="1" applyAlignment="1">
      <alignment horizontal="center" vertical="center"/>
    </xf>
    <xf numFmtId="1" fontId="40" fillId="0" borderId="0" xfId="0" applyNumberFormat="1" applyFont="1" applyAlignment="1">
      <alignment vertical="center" wrapText="1"/>
    </xf>
    <xf numFmtId="41" fontId="40" fillId="0" borderId="0" xfId="0" applyNumberFormat="1" applyFont="1" applyAlignment="1">
      <alignment horizontal="right" vertical="center" wrapText="1"/>
    </xf>
    <xf numFmtId="0" fontId="58" fillId="0" borderId="1" xfId="0" applyFont="1" applyBorder="1" applyAlignment="1">
      <alignment horizontal="center" vertical="center"/>
    </xf>
    <xf numFmtId="43" fontId="43" fillId="21" borderId="1" xfId="1" applyFont="1" applyFill="1" applyBorder="1">
      <alignment vertical="center"/>
    </xf>
    <xf numFmtId="0" fontId="55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3" borderId="2" xfId="49" applyFont="1" applyFill="1" applyBorder="1">
      <alignment vertical="center"/>
    </xf>
    <xf numFmtId="0" fontId="7" fillId="3" borderId="3" xfId="49" applyFont="1" applyFill="1" applyBorder="1">
      <alignment vertical="center"/>
    </xf>
    <xf numFmtId="0" fontId="7" fillId="3" borderId="4" xfId="49" applyFont="1" applyFill="1" applyBorder="1">
      <alignment vertical="center"/>
    </xf>
    <xf numFmtId="0" fontId="7" fillId="3" borderId="0" xfId="49" applyFont="1" applyFill="1">
      <alignment vertical="center"/>
    </xf>
    <xf numFmtId="0" fontId="7" fillId="3" borderId="6" xfId="49" applyFont="1" applyFill="1" applyBorder="1">
      <alignment vertical="center"/>
    </xf>
    <xf numFmtId="0" fontId="59" fillId="3" borderId="8" xfId="49" applyFont="1" applyFill="1" applyBorder="1">
      <alignment vertical="center"/>
    </xf>
    <xf numFmtId="0" fontId="7" fillId="3" borderId="8" xfId="49" applyFont="1" applyFill="1" applyBorder="1">
      <alignment vertical="center"/>
    </xf>
    <xf numFmtId="0" fontId="7" fillId="3" borderId="9" xfId="49" applyFont="1" applyFill="1" applyBorder="1">
      <alignment vertical="center"/>
    </xf>
    <xf numFmtId="0" fontId="1" fillId="0" borderId="1" xfId="49" applyFont="1" applyBorder="1" applyAlignment="1">
      <alignment horizontal="center" vertical="center"/>
    </xf>
    <xf numFmtId="0" fontId="8" fillId="22" borderId="1" xfId="60" applyFont="1" applyFill="1" applyBorder="1" applyAlignment="1" applyProtection="1">
      <alignment horizontal="center" vertical="center"/>
      <protection locked="0"/>
    </xf>
    <xf numFmtId="0" fontId="8" fillId="23" borderId="1" xfId="60" applyFont="1" applyFill="1" applyBorder="1" applyAlignment="1" applyProtection="1">
      <alignment horizontal="center" vertical="center" wrapText="1"/>
      <protection locked="0"/>
    </xf>
    <xf numFmtId="0" fontId="60" fillId="22" borderId="13" xfId="60" applyFont="1" applyFill="1" applyBorder="1" applyAlignment="1" applyProtection="1">
      <alignment horizontal="center" vertical="center" wrapText="1"/>
      <protection locked="0"/>
    </xf>
    <xf numFmtId="0" fontId="8" fillId="22" borderId="13" xfId="60" applyFont="1" applyFill="1" applyBorder="1" applyAlignment="1" applyProtection="1">
      <alignment horizontal="center" vertical="center" wrapText="1"/>
      <protection locked="0"/>
    </xf>
    <xf numFmtId="0" fontId="8" fillId="23" borderId="1" xfId="49" applyFont="1" applyFill="1" applyBorder="1" applyAlignment="1">
      <alignment horizontal="center" vertical="center" wrapText="1"/>
    </xf>
    <xf numFmtId="183" fontId="7" fillId="22" borderId="1" xfId="60" applyNumberFormat="1" applyFont="1" applyFill="1" applyBorder="1" applyAlignment="1">
      <alignment horizontal="center" vertical="center"/>
    </xf>
    <xf numFmtId="183" fontId="7" fillId="0" borderId="1" xfId="60" applyNumberFormat="1" applyFont="1" applyBorder="1" applyAlignment="1" applyProtection="1">
      <alignment horizontal="center" vertical="center"/>
      <protection locked="0"/>
    </xf>
    <xf numFmtId="0" fontId="17" fillId="8" borderId="0" xfId="64" applyFont="1" applyFill="1">
      <alignment vertical="center"/>
    </xf>
    <xf numFmtId="0" fontId="50" fillId="8" borderId="0" xfId="64" applyFont="1" applyFill="1">
      <alignment vertical="center"/>
    </xf>
    <xf numFmtId="0" fontId="17" fillId="0" borderId="0" xfId="64" applyFont="1">
      <alignment vertical="center"/>
    </xf>
    <xf numFmtId="0" fontId="27" fillId="8" borderId="1" xfId="49" applyFont="1" applyFill="1" applyBorder="1" applyAlignment="1">
      <alignment horizontal="left" vertical="center" wrapText="1"/>
    </xf>
    <xf numFmtId="0" fontId="60" fillId="0" borderId="0" xfId="49" applyFont="1">
      <alignment vertical="center"/>
    </xf>
    <xf numFmtId="0" fontId="17" fillId="8" borderId="0" xfId="64" applyFont="1" applyFill="1" applyAlignment="1">
      <alignment horizontal="center" vertical="center"/>
    </xf>
    <xf numFmtId="0" fontId="50" fillId="8" borderId="0" xfId="64" applyFont="1" applyFill="1" applyAlignment="1" applyProtection="1">
      <alignment horizontal="center" vertical="center"/>
      <protection locked="0"/>
    </xf>
    <xf numFmtId="0" fontId="50" fillId="8" borderId="0" xfId="64" applyFont="1" applyFill="1" applyProtection="1">
      <alignment vertical="center"/>
      <protection locked="0"/>
    </xf>
    <xf numFmtId="0" fontId="17" fillId="8" borderId="0" xfId="64" applyFont="1" applyFill="1" applyAlignment="1">
      <alignment vertical="center" wrapText="1"/>
    </xf>
    <xf numFmtId="0" fontId="61" fillId="24" borderId="13" xfId="64" applyFont="1" applyFill="1" applyBorder="1" applyAlignment="1">
      <alignment horizontal="center" vertical="center"/>
    </xf>
    <xf numFmtId="0" fontId="61" fillId="24" borderId="13" xfId="64" applyFont="1" applyFill="1" applyBorder="1" applyAlignment="1" applyProtection="1">
      <alignment horizontal="center" vertical="center"/>
      <protection locked="0"/>
    </xf>
    <xf numFmtId="0" fontId="61" fillId="24" borderId="13" xfId="64" applyFont="1" applyFill="1" applyBorder="1" applyAlignment="1">
      <alignment horizontal="center" vertical="center" wrapText="1"/>
    </xf>
    <xf numFmtId="43" fontId="61" fillId="24" borderId="13" xfId="76" applyFont="1" applyFill="1" applyBorder="1" applyAlignment="1">
      <alignment horizontal="center" vertical="center"/>
    </xf>
    <xf numFmtId="185" fontId="61" fillId="24" borderId="13" xfId="53" applyNumberFormat="1" applyFont="1" applyFill="1" applyBorder="1" applyAlignment="1">
      <alignment horizontal="center" vertical="center"/>
    </xf>
    <xf numFmtId="0" fontId="55" fillId="21" borderId="1" xfId="0" applyFont="1" applyFill="1" applyBorder="1">
      <alignment vertical="center"/>
    </xf>
    <xf numFmtId="0" fontId="55" fillId="21" borderId="1" xfId="0" applyFont="1" applyFill="1" applyBorder="1" applyProtection="1">
      <alignment vertical="center"/>
      <protection locked="0"/>
    </xf>
    <xf numFmtId="0" fontId="55" fillId="21" borderId="1" xfId="0" applyFont="1" applyFill="1" applyBorder="1" applyAlignment="1">
      <alignment horizontal="center" vertical="center"/>
    </xf>
    <xf numFmtId="0" fontId="55" fillId="25" borderId="1" xfId="0" applyFont="1" applyFill="1" applyBorder="1">
      <alignment vertical="center"/>
    </xf>
    <xf numFmtId="0" fontId="62" fillId="0" borderId="0" xfId="0" applyFont="1">
      <alignment vertical="center"/>
    </xf>
    <xf numFmtId="178" fontId="7" fillId="3" borderId="0" xfId="85" applyFill="1" applyBorder="1">
      <alignment horizontal="right" vertical="center" wrapText="1"/>
    </xf>
    <xf numFmtId="178" fontId="1" fillId="3" borderId="0" xfId="74" applyFont="1" applyFill="1" applyBorder="1">
      <alignment horizontal="right" vertical="center" wrapText="1"/>
      <protection locked="0"/>
    </xf>
    <xf numFmtId="178" fontId="1" fillId="3" borderId="8" xfId="74" applyFont="1" applyFill="1" applyBorder="1">
      <alignment horizontal="right" vertical="center" wrapText="1"/>
      <protection locked="0"/>
    </xf>
    <xf numFmtId="178" fontId="7" fillId="3" borderId="8" xfId="85" applyFill="1" applyBorder="1">
      <alignment horizontal="right" vertical="center" wrapText="1"/>
    </xf>
    <xf numFmtId="0" fontId="7" fillId="0" borderId="10" xfId="49" applyFont="1" applyBorder="1" applyAlignment="1">
      <alignment horizontal="center" vertical="center"/>
    </xf>
    <xf numFmtId="0" fontId="7" fillId="0" borderId="12" xfId="49" applyFont="1" applyBorder="1" applyAlignment="1">
      <alignment horizontal="center" vertical="center"/>
    </xf>
    <xf numFmtId="0" fontId="7" fillId="0" borderId="11" xfId="49" applyFont="1" applyBorder="1" applyAlignment="1">
      <alignment horizontal="center" vertical="center"/>
    </xf>
    <xf numFmtId="0" fontId="8" fillId="14" borderId="13" xfId="49" applyFont="1" applyFill="1" applyBorder="1" applyAlignment="1">
      <alignment horizontal="center" vertical="center" wrapText="1"/>
    </xf>
    <xf numFmtId="0" fontId="8" fillId="26" borderId="1" xfId="49" applyFont="1" applyFill="1" applyBorder="1" applyAlignment="1">
      <alignment horizontal="center" vertical="center"/>
    </xf>
    <xf numFmtId="0" fontId="8" fillId="14" borderId="15" xfId="49" applyFont="1" applyFill="1" applyBorder="1" applyAlignment="1">
      <alignment horizontal="center" vertical="center" wrapText="1"/>
    </xf>
    <xf numFmtId="0" fontId="8" fillId="22" borderId="1" xfId="60" applyFont="1" applyFill="1" applyBorder="1" applyAlignment="1" applyProtection="1">
      <alignment horizontal="center" vertical="center" wrapText="1"/>
      <protection locked="0"/>
    </xf>
    <xf numFmtId="183" fontId="59" fillId="27" borderId="1" xfId="60" applyNumberFormat="1" applyFont="1" applyFill="1" applyBorder="1" applyAlignment="1" applyProtection="1">
      <alignment horizontal="center" vertical="center"/>
      <protection locked="0"/>
    </xf>
    <xf numFmtId="183" fontId="7" fillId="27" borderId="1" xfId="60" applyNumberFormat="1" applyFont="1" applyFill="1" applyBorder="1" applyAlignment="1" applyProtection="1">
      <alignment horizontal="center" vertical="center"/>
      <protection locked="0"/>
    </xf>
    <xf numFmtId="186" fontId="7" fillId="0" borderId="0" xfId="49" applyNumberFormat="1" applyFont="1" applyAlignment="1" applyProtection="1">
      <alignment horizontal="center" vertical="center"/>
      <protection locked="0"/>
    </xf>
    <xf numFmtId="186" fontId="60" fillId="0" borderId="0" xfId="49" applyNumberFormat="1" applyFont="1" applyAlignment="1" applyProtection="1">
      <alignment horizontal="center" vertical="center"/>
      <protection locked="0"/>
    </xf>
    <xf numFmtId="0" fontId="7" fillId="0" borderId="0" xfId="49" applyFont="1" applyAlignment="1">
      <alignment vertical="center" wrapText="1"/>
    </xf>
    <xf numFmtId="0" fontId="8" fillId="0" borderId="0" xfId="49" applyFont="1">
      <alignment vertical="center"/>
    </xf>
    <xf numFmtId="178" fontId="8" fillId="0" borderId="0" xfId="56" applyFont="1">
      <alignment vertical="center"/>
    </xf>
    <xf numFmtId="178" fontId="7" fillId="0" borderId="0" xfId="56" applyFont="1">
      <alignment vertical="center"/>
    </xf>
    <xf numFmtId="0" fontId="8" fillId="8" borderId="0" xfId="49" applyFont="1" applyFill="1" applyAlignment="1">
      <alignment horizontal="center" vertical="center"/>
    </xf>
    <xf numFmtId="0" fontId="8" fillId="8" borderId="8" xfId="49" applyFont="1" applyFill="1" applyBorder="1" applyAlignment="1">
      <alignment horizontal="center" vertical="center"/>
    </xf>
    <xf numFmtId="0" fontId="8" fillId="3" borderId="13" xfId="49" applyFont="1" applyFill="1" applyBorder="1" applyAlignment="1">
      <alignment horizontal="center" vertical="center" wrapText="1"/>
    </xf>
    <xf numFmtId="0" fontId="8" fillId="23" borderId="13" xfId="49" applyFont="1" applyFill="1" applyBorder="1" applyAlignment="1">
      <alignment horizontal="center" vertical="center" wrapText="1"/>
    </xf>
    <xf numFmtId="0" fontId="60" fillId="3" borderId="13" xfId="49" applyFont="1" applyFill="1" applyBorder="1" applyAlignment="1">
      <alignment horizontal="center" vertical="center" wrapText="1"/>
    </xf>
    <xf numFmtId="0" fontId="8" fillId="3" borderId="15" xfId="49" applyFont="1" applyFill="1" applyBorder="1" applyAlignment="1">
      <alignment horizontal="center" vertical="center" wrapText="1"/>
    </xf>
    <xf numFmtId="0" fontId="8" fillId="23" borderId="15" xfId="49" applyFont="1" applyFill="1" applyBorder="1" applyAlignment="1">
      <alignment horizontal="center" vertical="center" wrapText="1"/>
    </xf>
    <xf numFmtId="0" fontId="60" fillId="3" borderId="15" xfId="49" applyFont="1" applyFill="1" applyBorder="1" applyAlignment="1">
      <alignment horizontal="center" vertical="center" wrapText="1"/>
    </xf>
    <xf numFmtId="0" fontId="8" fillId="3" borderId="1" xfId="49" applyFont="1" applyFill="1" applyBorder="1" applyAlignment="1">
      <alignment horizontal="center" vertical="center" wrapText="1"/>
    </xf>
    <xf numFmtId="0" fontId="60" fillId="12" borderId="1" xfId="49" applyFont="1" applyFill="1" applyBorder="1" applyAlignment="1">
      <alignment horizontal="center" vertical="center" wrapText="1"/>
    </xf>
    <xf numFmtId="0" fontId="8" fillId="3" borderId="1" xfId="49" applyFont="1" applyFill="1" applyBorder="1" applyAlignment="1">
      <alignment horizontal="center" vertical="center"/>
    </xf>
    <xf numFmtId="0" fontId="8" fillId="27" borderId="1" xfId="49" applyFont="1" applyFill="1" applyBorder="1" applyAlignment="1">
      <alignment horizontal="right" vertical="center" indent="1"/>
    </xf>
    <xf numFmtId="0" fontId="8" fillId="27" borderId="1" xfId="49" applyFont="1" applyFill="1" applyBorder="1" applyAlignment="1">
      <alignment horizontal="center" vertical="center"/>
    </xf>
    <xf numFmtId="0" fontId="7" fillId="0" borderId="1" xfId="49" applyFont="1" applyBorder="1">
      <alignment vertical="center"/>
    </xf>
    <xf numFmtId="0" fontId="7" fillId="0" borderId="1" xfId="49" applyFont="1" applyBorder="1" applyProtection="1">
      <alignment vertical="center"/>
      <protection locked="0"/>
    </xf>
    <xf numFmtId="0" fontId="0" fillId="0" borderId="1" xfId="60" applyBorder="1" applyAlignment="1" applyProtection="1">
      <alignment horizontal="center" vertical="center" wrapText="1"/>
      <protection locked="0"/>
    </xf>
    <xf numFmtId="0" fontId="0" fillId="0" borderId="1" xfId="60" applyBorder="1" applyAlignment="1">
      <alignment horizontal="center" vertical="center" wrapText="1"/>
    </xf>
    <xf numFmtId="178" fontId="1" fillId="0" borderId="0" xfId="57" applyFont="1" applyFill="1" applyBorder="1">
      <alignment horizontal="right" vertical="center" wrapText="1"/>
      <protection locked="0"/>
    </xf>
    <xf numFmtId="0" fontId="7" fillId="0" borderId="1" xfId="49" applyFont="1" applyBorder="1" applyAlignment="1">
      <alignment horizontal="center" vertical="center"/>
    </xf>
    <xf numFmtId="0" fontId="7" fillId="0" borderId="12" xfId="49" applyFont="1" applyFill="1" applyBorder="1" applyAlignment="1">
      <alignment horizontal="center" vertical="center"/>
    </xf>
    <xf numFmtId="0" fontId="59" fillId="0" borderId="10" xfId="49" applyFont="1" applyBorder="1" applyAlignment="1">
      <alignment horizontal="center" vertical="center"/>
    </xf>
    <xf numFmtId="0" fontId="59" fillId="0" borderId="12" xfId="49" applyFont="1" applyBorder="1" applyAlignment="1">
      <alignment horizontal="center" vertical="center"/>
    </xf>
    <xf numFmtId="0" fontId="59" fillId="0" borderId="11" xfId="49" applyFont="1" applyBorder="1" applyAlignment="1">
      <alignment horizontal="center" vertical="center"/>
    </xf>
    <xf numFmtId="186" fontId="8" fillId="27" borderId="1" xfId="49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0" fontId="58" fillId="10" borderId="1" xfId="0" applyFont="1" applyFill="1" applyBorder="1" applyAlignment="1">
      <alignment horizontal="center" vertical="center" wrapText="1"/>
    </xf>
    <xf numFmtId="0" fontId="64" fillId="10" borderId="1" xfId="0" applyFont="1" applyFill="1" applyBorder="1" applyAlignment="1">
      <alignment horizontal="center" vertical="center"/>
    </xf>
    <xf numFmtId="0" fontId="55" fillId="10" borderId="10" xfId="0" applyFont="1" applyFill="1" applyBorder="1" applyAlignment="1">
      <alignment horizontal="center" vertical="center"/>
    </xf>
    <xf numFmtId="0" fontId="55" fillId="10" borderId="11" xfId="0" applyFont="1" applyFill="1" applyBorder="1" applyAlignment="1">
      <alignment horizontal="center" vertical="center"/>
    </xf>
    <xf numFmtId="183" fontId="7" fillId="14" borderId="1" xfId="60" applyNumberFormat="1" applyFont="1" applyFill="1" applyBorder="1" applyAlignment="1" applyProtection="1">
      <alignment horizontal="center" vertical="center"/>
      <protection locked="0"/>
    </xf>
    <xf numFmtId="0" fontId="55" fillId="0" borderId="1" xfId="0" applyFont="1" applyBorder="1" applyAlignment="1">
      <alignment horizontal="center" vertical="center"/>
    </xf>
    <xf numFmtId="0" fontId="58" fillId="28" borderId="1" xfId="0" applyFont="1" applyFill="1" applyBorder="1" applyAlignment="1">
      <alignment horizontal="center" vertical="center"/>
    </xf>
    <xf numFmtId="0" fontId="64" fillId="28" borderId="10" xfId="0" applyFont="1" applyFill="1" applyBorder="1" applyAlignment="1">
      <alignment horizontal="center" vertical="center"/>
    </xf>
    <xf numFmtId="0" fontId="64" fillId="28" borderId="11" xfId="0" applyFont="1" applyFill="1" applyBorder="1" applyAlignment="1">
      <alignment horizontal="center" vertical="center"/>
    </xf>
    <xf numFmtId="0" fontId="64" fillId="2" borderId="10" xfId="0" applyFont="1" applyFill="1" applyBorder="1" applyAlignment="1">
      <alignment horizontal="center" vertical="center"/>
    </xf>
    <xf numFmtId="0" fontId="64" fillId="2" borderId="11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 vertical="center"/>
    </xf>
    <xf numFmtId="43" fontId="43" fillId="21" borderId="1" xfId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left" vertical="center" wrapText="1"/>
    </xf>
    <xf numFmtId="0" fontId="8" fillId="14" borderId="1" xfId="49" applyFont="1" applyFill="1" applyBorder="1" applyAlignment="1">
      <alignment horizontal="center" vertical="center" wrapText="1"/>
    </xf>
    <xf numFmtId="0" fontId="60" fillId="22" borderId="1" xfId="60" applyFont="1" applyFill="1" applyBorder="1" applyAlignment="1" applyProtection="1">
      <alignment horizontal="center" vertical="center" wrapText="1"/>
      <protection locked="0"/>
    </xf>
    <xf numFmtId="183" fontId="7" fillId="6" borderId="1" xfId="6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3" borderId="1" xfId="49" applyFont="1" applyFill="1" applyBorder="1" applyAlignment="1">
      <alignment vertical="center" wrapText="1"/>
    </xf>
    <xf numFmtId="0" fontId="6" fillId="3" borderId="1" xfId="49" applyFont="1" applyFill="1" applyBorder="1">
      <alignment vertical="center"/>
    </xf>
    <xf numFmtId="0" fontId="1" fillId="0" borderId="5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60" fillId="3" borderId="5" xfId="49" applyFont="1" applyFill="1" applyBorder="1" applyAlignment="1">
      <alignment horizontal="left" vertical="center" wrapText="1"/>
    </xf>
    <xf numFmtId="0" fontId="60" fillId="3" borderId="0" xfId="49" applyFont="1" applyFill="1" applyAlignment="1">
      <alignment horizontal="left" vertical="center" wrapText="1"/>
    </xf>
    <xf numFmtId="0" fontId="60" fillId="3" borderId="1" xfId="49" applyFont="1" applyFill="1" applyBorder="1" applyAlignment="1">
      <alignment horizontal="center" vertical="center" wrapText="1"/>
    </xf>
    <xf numFmtId="0" fontId="8" fillId="6" borderId="1" xfId="49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19" fillId="23" borderId="1" xfId="68" applyFont="1" applyFill="1" applyBorder="1" applyAlignment="1">
      <alignment horizontal="center" vertical="center" wrapText="1"/>
    </xf>
    <xf numFmtId="0" fontId="19" fillId="23" borderId="2" xfId="68" applyFont="1" applyFill="1" applyBorder="1" applyAlignment="1">
      <alignment horizontal="center" vertical="center" wrapText="1"/>
    </xf>
    <xf numFmtId="0" fontId="19" fillId="23" borderId="3" xfId="68" applyFont="1" applyFill="1" applyBorder="1" applyAlignment="1">
      <alignment horizontal="center" vertical="center" wrapText="1"/>
    </xf>
    <xf numFmtId="187" fontId="19" fillId="23" borderId="2" xfId="68" applyNumberFormat="1" applyFont="1" applyFill="1" applyBorder="1" applyAlignment="1">
      <alignment horizontal="center" vertical="center" wrapText="1"/>
    </xf>
    <xf numFmtId="187" fontId="19" fillId="23" borderId="3" xfId="68" applyNumberFormat="1" applyFont="1" applyFill="1" applyBorder="1" applyAlignment="1">
      <alignment horizontal="center" vertical="center" wrapText="1"/>
    </xf>
    <xf numFmtId="187" fontId="19" fillId="23" borderId="4" xfId="68" applyNumberFormat="1" applyFont="1" applyFill="1" applyBorder="1" applyAlignment="1">
      <alignment horizontal="center" vertical="center" wrapText="1"/>
    </xf>
    <xf numFmtId="9" fontId="19" fillId="23" borderId="1" xfId="53" applyFont="1" applyFill="1" applyBorder="1" applyAlignment="1">
      <alignment horizontal="center" vertical="center" wrapText="1"/>
    </xf>
    <xf numFmtId="0" fontId="19" fillId="23" borderId="1" xfId="68" applyFont="1" applyFill="1" applyBorder="1" applyAlignment="1">
      <alignment vertical="center" wrapText="1"/>
    </xf>
    <xf numFmtId="0" fontId="17" fillId="0" borderId="1" xfId="68" applyFont="1" applyBorder="1" applyAlignment="1">
      <alignment horizontal="center" vertical="center"/>
    </xf>
    <xf numFmtId="0" fontId="17" fillId="29" borderId="1" xfId="68" applyFont="1" applyFill="1" applyBorder="1" applyAlignment="1">
      <alignment horizontal="center" vertical="center"/>
    </xf>
    <xf numFmtId="182" fontId="17" fillId="0" borderId="1" xfId="78" applyNumberFormat="1" applyFont="1" applyBorder="1" applyAlignment="1">
      <alignment horizontal="center" vertical="center" shrinkToFit="1"/>
    </xf>
    <xf numFmtId="0" fontId="17" fillId="0" borderId="0" xfId="0" applyFont="1">
      <alignment vertical="center"/>
    </xf>
    <xf numFmtId="187" fontId="65" fillId="23" borderId="2" xfId="68" applyNumberFormat="1" applyFont="1" applyFill="1" applyBorder="1" applyAlignment="1">
      <alignment horizontal="center" vertical="center" wrapText="1"/>
    </xf>
    <xf numFmtId="0" fontId="65" fillId="23" borderId="2" xfId="68" applyFont="1" applyFill="1" applyBorder="1" applyAlignment="1">
      <alignment horizontal="center" vertical="center" wrapText="1"/>
    </xf>
    <xf numFmtId="0" fontId="19" fillId="23" borderId="4" xfId="68" applyFont="1" applyFill="1" applyBorder="1" applyAlignment="1">
      <alignment horizontal="center" vertical="center" wrapText="1"/>
    </xf>
    <xf numFmtId="9" fontId="65" fillId="23" borderId="2" xfId="53" applyFont="1" applyFill="1" applyBorder="1" applyAlignment="1">
      <alignment horizontal="center" vertical="center" wrapText="1"/>
    </xf>
    <xf numFmtId="9" fontId="65" fillId="23" borderId="3" xfId="53" applyFont="1" applyFill="1" applyBorder="1" applyAlignment="1">
      <alignment horizontal="center" vertical="center" wrapText="1"/>
    </xf>
    <xf numFmtId="9" fontId="65" fillId="23" borderId="4" xfId="53" applyFont="1" applyFill="1" applyBorder="1" applyAlignment="1">
      <alignment horizontal="center" vertical="center" wrapText="1"/>
    </xf>
    <xf numFmtId="0" fontId="19" fillId="23" borderId="13" xfId="68" applyFont="1" applyFill="1" applyBorder="1" applyAlignment="1">
      <alignment horizontal="center" vertical="center" wrapText="1"/>
    </xf>
    <xf numFmtId="187" fontId="19" fillId="23" borderId="7" xfId="68" applyNumberFormat="1" applyFont="1" applyFill="1" applyBorder="1" applyAlignment="1">
      <alignment horizontal="center" vertical="center" wrapText="1"/>
    </xf>
    <xf numFmtId="187" fontId="19" fillId="23" borderId="8" xfId="68" applyNumberFormat="1" applyFont="1" applyFill="1" applyBorder="1" applyAlignment="1">
      <alignment horizontal="center" vertical="center" wrapText="1"/>
    </xf>
    <xf numFmtId="187" fontId="19" fillId="23" borderId="9" xfId="68" applyNumberFormat="1" applyFont="1" applyFill="1" applyBorder="1" applyAlignment="1">
      <alignment horizontal="center" vertical="center" wrapText="1"/>
    </xf>
    <xf numFmtId="0" fontId="19" fillId="23" borderId="7" xfId="68" applyFont="1" applyFill="1" applyBorder="1" applyAlignment="1">
      <alignment horizontal="center" vertical="center" wrapText="1"/>
    </xf>
    <xf numFmtId="0" fontId="19" fillId="23" borderId="8" xfId="68" applyFont="1" applyFill="1" applyBorder="1" applyAlignment="1">
      <alignment horizontal="center" vertical="center" wrapText="1"/>
    </xf>
    <xf numFmtId="0" fontId="19" fillId="23" borderId="9" xfId="68" applyFont="1" applyFill="1" applyBorder="1" applyAlignment="1">
      <alignment horizontal="center" vertical="center" wrapText="1"/>
    </xf>
    <xf numFmtId="9" fontId="65" fillId="23" borderId="7" xfId="53" applyFont="1" applyFill="1" applyBorder="1" applyAlignment="1">
      <alignment horizontal="center" vertical="center" wrapText="1"/>
    </xf>
    <xf numFmtId="9" fontId="65" fillId="23" borderId="8" xfId="53" applyFont="1" applyFill="1" applyBorder="1" applyAlignment="1">
      <alignment horizontal="center" vertical="center" wrapText="1"/>
    </xf>
    <xf numFmtId="9" fontId="65" fillId="23" borderId="9" xfId="53" applyFont="1" applyFill="1" applyBorder="1" applyAlignment="1">
      <alignment horizontal="center" vertical="center" wrapText="1"/>
    </xf>
    <xf numFmtId="0" fontId="19" fillId="23" borderId="13" xfId="68" applyFont="1" applyFill="1" applyBorder="1" applyAlignment="1">
      <alignment vertical="center" wrapText="1"/>
    </xf>
    <xf numFmtId="182" fontId="19" fillId="23" borderId="13" xfId="78" applyNumberFormat="1" applyFont="1" applyFill="1" applyBorder="1" applyAlignment="1">
      <alignment horizontal="center" vertical="center" wrapText="1"/>
    </xf>
    <xf numFmtId="0" fontId="19" fillId="23" borderId="13" xfId="78" applyNumberFormat="1" applyFont="1" applyFill="1" applyBorder="1" applyAlignment="1">
      <alignment horizontal="center" vertical="center" wrapText="1"/>
    </xf>
    <xf numFmtId="9" fontId="19" fillId="23" borderId="13" xfId="53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0" fontId="66" fillId="0" borderId="0" xfId="0" applyFont="1">
      <alignment vertical="center"/>
    </xf>
    <xf numFmtId="0" fontId="19" fillId="18" borderId="1" xfId="0" applyFont="1" applyFill="1" applyBorder="1">
      <alignment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right" vertical="center"/>
    </xf>
    <xf numFmtId="0" fontId="67" fillId="23" borderId="1" xfId="62" applyFont="1" applyFill="1" applyBorder="1" applyAlignment="1">
      <alignment horizontal="center" vertical="center"/>
    </xf>
    <xf numFmtId="188" fontId="67" fillId="23" borderId="1" xfId="66" applyNumberFormat="1" applyFont="1" applyFill="1" applyBorder="1" applyAlignment="1">
      <alignment horizontal="center" vertical="center"/>
    </xf>
    <xf numFmtId="189" fontId="67" fillId="23" borderId="1" xfId="77" applyNumberFormat="1" applyFont="1" applyFill="1" applyBorder="1" applyAlignment="1">
      <alignment horizontal="center" vertical="center"/>
    </xf>
    <xf numFmtId="189" fontId="67" fillId="23" borderId="1" xfId="84" applyNumberFormat="1" applyFont="1" applyFill="1" applyBorder="1" applyAlignment="1">
      <alignment horizontal="center" vertical="center" wrapText="1"/>
    </xf>
    <xf numFmtId="189" fontId="67" fillId="14" borderId="1" xfId="84" applyNumberFormat="1" applyFont="1" applyFill="1" applyBorder="1" applyAlignment="1">
      <alignment horizontal="center" vertical="center" wrapText="1"/>
    </xf>
    <xf numFmtId="189" fontId="67" fillId="14" borderId="1" xfId="77" applyNumberFormat="1" applyFont="1" applyFill="1" applyBorder="1" applyAlignment="1">
      <alignment horizontal="center" vertical="center" wrapText="1"/>
    </xf>
    <xf numFmtId="189" fontId="67" fillId="23" borderId="1" xfId="77" applyNumberFormat="1" applyFont="1" applyFill="1" applyBorder="1" applyAlignment="1">
      <alignment horizontal="center" vertical="center" wrapText="1"/>
    </xf>
    <xf numFmtId="0" fontId="68" fillId="0" borderId="1" xfId="65" applyFont="1" applyBorder="1" applyAlignment="1" applyProtection="1">
      <alignment vertical="center"/>
      <protection locked="0"/>
    </xf>
    <xf numFmtId="0" fontId="68" fillId="25" borderId="1" xfId="65" applyFont="1" applyFill="1" applyBorder="1" applyAlignment="1" applyProtection="1">
      <alignment horizontal="center" vertical="center"/>
      <protection locked="0"/>
    </xf>
    <xf numFmtId="0" fontId="19" fillId="0" borderId="0" xfId="68" applyFont="1" applyAlignment="1">
      <alignment vertical="center" wrapText="1"/>
    </xf>
    <xf numFmtId="0" fontId="17" fillId="0" borderId="0" xfId="68" applyFont="1">
      <alignment vertical="center"/>
    </xf>
    <xf numFmtId="189" fontId="17" fillId="8" borderId="0" xfId="68" applyNumberFormat="1" applyFont="1" applyFill="1">
      <alignment vertical="center"/>
    </xf>
    <xf numFmtId="0" fontId="65" fillId="0" borderId="0" xfId="0" applyFont="1">
      <alignment vertical="center"/>
    </xf>
    <xf numFmtId="0" fontId="19" fillId="0" borderId="0" xfId="68" applyFont="1" applyAlignment="1">
      <alignment horizontal="center" vertical="center" wrapText="1"/>
    </xf>
    <xf numFmtId="182" fontId="19" fillId="23" borderId="1" xfId="78" applyNumberFormat="1" applyFont="1" applyFill="1" applyBorder="1" applyAlignment="1">
      <alignment horizontal="center" vertical="center" wrapText="1"/>
    </xf>
    <xf numFmtId="0" fontId="17" fillId="0" borderId="0" xfId="68" applyFont="1" applyAlignment="1">
      <alignment horizontal="center" vertical="center"/>
    </xf>
    <xf numFmtId="0" fontId="17" fillId="0" borderId="0" xfId="68" applyFont="1" applyAlignment="1"/>
    <xf numFmtId="187" fontId="65" fillId="23" borderId="10" xfId="68" applyNumberFormat="1" applyFont="1" applyFill="1" applyBorder="1" applyAlignment="1">
      <alignment horizontal="center" vertical="center" wrapText="1"/>
    </xf>
    <xf numFmtId="187" fontId="65" fillId="23" borderId="12" xfId="68" applyNumberFormat="1" applyFont="1" applyFill="1" applyBorder="1" applyAlignment="1">
      <alignment horizontal="center" vertical="center" wrapText="1"/>
    </xf>
    <xf numFmtId="187" fontId="65" fillId="23" borderId="11" xfId="68" applyNumberFormat="1" applyFont="1" applyFill="1" applyBorder="1" applyAlignment="1">
      <alignment horizontal="center" vertical="center" wrapText="1"/>
    </xf>
    <xf numFmtId="0" fontId="19" fillId="23" borderId="10" xfId="68" applyFont="1" applyFill="1" applyBorder="1" applyAlignment="1">
      <alignment horizontal="center" vertical="center" wrapText="1"/>
    </xf>
    <xf numFmtId="0" fontId="19" fillId="23" borderId="12" xfId="68" applyFont="1" applyFill="1" applyBorder="1" applyAlignment="1">
      <alignment horizontal="center" vertical="center" wrapText="1"/>
    </xf>
    <xf numFmtId="0" fontId="19" fillId="23" borderId="11" xfId="68" applyFont="1" applyFill="1" applyBorder="1" applyAlignment="1">
      <alignment horizontal="center" vertical="center" wrapText="1"/>
    </xf>
    <xf numFmtId="0" fontId="19" fillId="23" borderId="14" xfId="68" applyFont="1" applyFill="1" applyBorder="1" applyAlignment="1">
      <alignment horizontal="center" vertical="center" wrapText="1"/>
    </xf>
    <xf numFmtId="189" fontId="17" fillId="8" borderId="1" xfId="68" applyNumberFormat="1" applyFont="1" applyFill="1" applyBorder="1" applyAlignment="1">
      <alignment horizontal="center" vertical="center"/>
    </xf>
    <xf numFmtId="0" fontId="17" fillId="0" borderId="1" xfId="68" applyFont="1" applyBorder="1">
      <alignment vertical="center"/>
    </xf>
    <xf numFmtId="182" fontId="17" fillId="0" borderId="1" xfId="78" applyNumberFormat="1" applyFont="1" applyBorder="1" applyAlignment="1">
      <alignment horizontal="right" vertical="center" shrinkToFit="1"/>
    </xf>
    <xf numFmtId="189" fontId="17" fillId="22" borderId="1" xfId="68" applyNumberFormat="1" applyFont="1" applyFill="1" applyBorder="1" applyAlignment="1">
      <alignment horizontal="center" vertical="center"/>
    </xf>
    <xf numFmtId="0" fontId="17" fillId="22" borderId="1" xfId="68" applyFont="1" applyFill="1" applyBorder="1" applyAlignment="1">
      <alignment horizontal="center" vertical="center"/>
    </xf>
    <xf numFmtId="0" fontId="17" fillId="22" borderId="1" xfId="68" applyFont="1" applyFill="1" applyBorder="1">
      <alignment vertical="center"/>
    </xf>
    <xf numFmtId="182" fontId="17" fillId="22" borderId="1" xfId="78" applyNumberFormat="1" applyFont="1" applyFill="1" applyBorder="1" applyAlignment="1">
      <alignment horizontal="center" vertical="center" shrinkToFit="1"/>
    </xf>
    <xf numFmtId="182" fontId="17" fillId="22" borderId="1" xfId="78" applyNumberFormat="1" applyFont="1" applyFill="1" applyBorder="1" applyAlignment="1">
      <alignment horizontal="right" vertical="center" shrinkToFit="1"/>
    </xf>
    <xf numFmtId="0" fontId="21" fillId="22" borderId="1" xfId="68" applyFont="1" applyFill="1" applyBorder="1">
      <alignment vertical="center"/>
    </xf>
    <xf numFmtId="189" fontId="17" fillId="21" borderId="1" xfId="68" applyNumberFormat="1" applyFont="1" applyFill="1" applyBorder="1" applyAlignment="1">
      <alignment horizontal="center" vertical="center"/>
    </xf>
    <xf numFmtId="0" fontId="17" fillId="21" borderId="1" xfId="68" applyFont="1" applyFill="1" applyBorder="1" applyAlignment="1">
      <alignment horizontal="center" vertical="center"/>
    </xf>
    <xf numFmtId="0" fontId="19" fillId="21" borderId="1" xfId="68" applyFont="1" applyFill="1" applyBorder="1">
      <alignment vertical="center"/>
    </xf>
    <xf numFmtId="182" fontId="17" fillId="21" borderId="1" xfId="78" applyNumberFormat="1" applyFont="1" applyFill="1" applyBorder="1" applyAlignment="1">
      <alignment horizontal="right" vertical="center" shrinkToFit="1"/>
    </xf>
    <xf numFmtId="0" fontId="69" fillId="22" borderId="1" xfId="68" applyFont="1" applyFill="1" applyBorder="1">
      <alignment vertical="center"/>
    </xf>
    <xf numFmtId="0" fontId="37" fillId="21" borderId="1" xfId="68" applyFont="1" applyFill="1" applyBorder="1">
      <alignment vertical="center"/>
    </xf>
    <xf numFmtId="0" fontId="70" fillId="21" borderId="1" xfId="68" applyFont="1" applyFill="1" applyBorder="1">
      <alignment vertical="center"/>
    </xf>
    <xf numFmtId="0" fontId="70" fillId="22" borderId="1" xfId="68" applyFont="1" applyFill="1" applyBorder="1">
      <alignment vertical="center"/>
    </xf>
    <xf numFmtId="0" fontId="19" fillId="22" borderId="1" xfId="68" applyFont="1" applyFill="1" applyBorder="1" applyAlignment="1">
      <alignment horizontal="left" vertical="center"/>
    </xf>
    <xf numFmtId="0" fontId="61" fillId="0" borderId="0" xfId="0" applyFont="1" applyAlignment="1">
      <alignment horizontal="center" vertical="center"/>
    </xf>
    <xf numFmtId="0" fontId="50" fillId="0" borderId="0" xfId="0" applyFont="1">
      <alignment vertical="center"/>
    </xf>
    <xf numFmtId="0" fontId="38" fillId="13" borderId="13" xfId="0" applyFont="1" applyFill="1" applyBorder="1" applyAlignment="1">
      <alignment horizontal="center" vertical="center"/>
    </xf>
    <xf numFmtId="0" fontId="38" fillId="13" borderId="2" xfId="0" applyFont="1" applyFill="1" applyBorder="1" applyAlignment="1">
      <alignment horizontal="center" vertical="center"/>
    </xf>
    <xf numFmtId="184" fontId="38" fillId="13" borderId="4" xfId="0" applyNumberFormat="1" applyFont="1" applyFill="1" applyBorder="1" applyAlignment="1">
      <alignment horizontal="center" vertical="center"/>
    </xf>
    <xf numFmtId="182" fontId="61" fillId="30" borderId="10" xfId="1" applyNumberFormat="1" applyFont="1" applyFill="1" applyBorder="1" applyAlignment="1">
      <alignment horizontal="center" vertical="center"/>
    </xf>
    <xf numFmtId="182" fontId="61" fillId="30" borderId="12" xfId="1" applyNumberFormat="1" applyFont="1" applyFill="1" applyBorder="1" applyAlignment="1">
      <alignment horizontal="center" vertical="center"/>
    </xf>
    <xf numFmtId="182" fontId="61" fillId="30" borderId="11" xfId="1" applyNumberFormat="1" applyFont="1" applyFill="1" applyBorder="1" applyAlignment="1">
      <alignment horizontal="center" vertical="center"/>
    </xf>
    <xf numFmtId="9" fontId="38" fillId="13" borderId="13" xfId="3" applyFont="1" applyFill="1" applyBorder="1" applyAlignment="1">
      <alignment horizontal="center" vertical="center"/>
    </xf>
    <xf numFmtId="0" fontId="38" fillId="13" borderId="15" xfId="0" applyFont="1" applyFill="1" applyBorder="1" applyAlignment="1">
      <alignment horizontal="center" vertical="center"/>
    </xf>
    <xf numFmtId="0" fontId="38" fillId="13" borderId="14" xfId="0" applyFont="1" applyFill="1" applyBorder="1" applyAlignment="1">
      <alignment horizontal="center" vertical="center"/>
    </xf>
    <xf numFmtId="0" fontId="38" fillId="13" borderId="5" xfId="0" applyFont="1" applyFill="1" applyBorder="1" applyAlignment="1">
      <alignment horizontal="center" vertical="center"/>
    </xf>
    <xf numFmtId="184" fontId="38" fillId="13" borderId="6" xfId="0" applyNumberFormat="1" applyFont="1" applyFill="1" applyBorder="1" applyAlignment="1">
      <alignment horizontal="center" vertical="center"/>
    </xf>
    <xf numFmtId="182" fontId="61" fillId="30" borderId="15" xfId="1" applyNumberFormat="1" applyFont="1" applyFill="1" applyBorder="1" applyAlignment="1">
      <alignment horizontal="center" vertical="center"/>
    </xf>
    <xf numFmtId="182" fontId="61" fillId="30" borderId="15" xfId="1" applyNumberFormat="1" applyFont="1" applyFill="1" applyBorder="1" applyAlignment="1">
      <alignment horizontal="center" vertical="center" wrapText="1"/>
    </xf>
    <xf numFmtId="9" fontId="38" fillId="13" borderId="15" xfId="3" applyFont="1" applyFill="1" applyBorder="1" applyAlignment="1">
      <alignment horizontal="center" vertical="center"/>
    </xf>
    <xf numFmtId="0" fontId="50" fillId="22" borderId="1" xfId="0" applyFont="1" applyFill="1" applyBorder="1">
      <alignment vertical="center"/>
    </xf>
    <xf numFmtId="0" fontId="50" fillId="0" borderId="15" xfId="0" applyFont="1" applyBorder="1" applyAlignment="1">
      <alignment horizontal="center" vertical="center"/>
    </xf>
    <xf numFmtId="0" fontId="56" fillId="0" borderId="21" xfId="0" applyFont="1" applyBorder="1" applyAlignment="1">
      <alignment horizontal="left" vertical="center"/>
    </xf>
    <xf numFmtId="184" fontId="71" fillId="8" borderId="22" xfId="0" applyNumberFormat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/>
    </xf>
    <xf numFmtId="43" fontId="72" fillId="0" borderId="1" xfId="1" applyFont="1" applyBorder="1" applyAlignment="1">
      <alignment horizontal="left" vertical="center" wrapText="1"/>
    </xf>
    <xf numFmtId="183" fontId="50" fillId="8" borderId="1" xfId="65" applyNumberFormat="1" applyFont="1" applyFill="1" applyBorder="1" applyAlignment="1">
      <alignment horizontal="center" vertical="center" wrapText="1"/>
    </xf>
    <xf numFmtId="0" fontId="42" fillId="14" borderId="23" xfId="0" applyFont="1" applyFill="1" applyBorder="1" applyAlignment="1">
      <alignment horizontal="left" vertical="center"/>
    </xf>
    <xf numFmtId="0" fontId="56" fillId="31" borderId="23" xfId="0" applyFont="1" applyFill="1" applyBorder="1">
      <alignment vertical="center"/>
    </xf>
    <xf numFmtId="182" fontId="71" fillId="8" borderId="24" xfId="1" applyNumberFormat="1" applyFont="1" applyFill="1" applyBorder="1" applyAlignment="1">
      <alignment horizontal="center" vertical="center"/>
    </xf>
    <xf numFmtId="43" fontId="50" fillId="0" borderId="0" xfId="0" applyNumberFormat="1" applyFont="1">
      <alignment vertical="center"/>
    </xf>
    <xf numFmtId="0" fontId="71" fillId="0" borderId="23" xfId="0" applyFont="1" applyBorder="1">
      <alignment vertical="center"/>
    </xf>
    <xf numFmtId="184" fontId="71" fillId="8" borderId="15" xfId="0" applyNumberFormat="1" applyFont="1" applyFill="1" applyBorder="1" applyAlignment="1">
      <alignment horizontal="center" vertical="center"/>
    </xf>
    <xf numFmtId="182" fontId="50" fillId="0" borderId="0" xfId="0" applyNumberFormat="1" applyFont="1">
      <alignment vertical="center"/>
    </xf>
    <xf numFmtId="0" fontId="71" fillId="31" borderId="23" xfId="0" applyFont="1" applyFill="1" applyBorder="1">
      <alignment vertical="center"/>
    </xf>
    <xf numFmtId="49" fontId="71" fillId="8" borderId="24" xfId="1" applyNumberFormat="1" applyFont="1" applyFill="1" applyBorder="1" applyAlignment="1">
      <alignment horizontal="center" vertical="center"/>
    </xf>
    <xf numFmtId="0" fontId="42" fillId="0" borderId="23" xfId="0" applyFont="1" applyBorder="1">
      <alignment vertical="center"/>
    </xf>
    <xf numFmtId="0" fontId="38" fillId="0" borderId="23" xfId="0" applyFont="1" applyBorder="1">
      <alignment vertical="center"/>
    </xf>
    <xf numFmtId="49" fontId="71" fillId="8" borderId="24" xfId="1" applyNumberFormat="1" applyFont="1" applyFill="1" applyBorder="1" applyAlignment="1">
      <alignment horizontal="left" vertical="center" wrapText="1"/>
    </xf>
    <xf numFmtId="190" fontId="50" fillId="0" borderId="0" xfId="0" applyNumberFormat="1" applyFont="1">
      <alignment vertical="center"/>
    </xf>
    <xf numFmtId="43" fontId="71" fillId="0" borderId="0" xfId="0" applyNumberFormat="1" applyFont="1" applyAlignment="1">
      <alignment vertical="center" shrinkToFit="1"/>
    </xf>
    <xf numFmtId="43" fontId="71" fillId="16" borderId="1" xfId="1" applyFont="1" applyFill="1" applyBorder="1" applyAlignment="1">
      <alignment horizontal="center" vertical="center"/>
    </xf>
    <xf numFmtId="184" fontId="38" fillId="13" borderId="1" xfId="0" applyNumberFormat="1" applyFont="1" applyFill="1" applyBorder="1" applyAlignment="1">
      <alignment horizontal="center" vertical="center"/>
    </xf>
    <xf numFmtId="191" fontId="38" fillId="13" borderId="1" xfId="0" applyNumberFormat="1" applyFont="1" applyFill="1" applyBorder="1" applyAlignment="1">
      <alignment horizontal="center" vertical="center"/>
    </xf>
    <xf numFmtId="9" fontId="38" fillId="13" borderId="11" xfId="3" applyFont="1" applyFill="1" applyBorder="1" applyAlignment="1">
      <alignment horizontal="center" vertical="center"/>
    </xf>
    <xf numFmtId="0" fontId="71" fillId="0" borderId="1" xfId="0" applyFont="1" applyBorder="1">
      <alignment vertical="center"/>
    </xf>
    <xf numFmtId="0" fontId="50" fillId="0" borderId="0" xfId="0" applyFont="1" applyAlignment="1">
      <alignment horizontal="center" vertical="center" wrapText="1"/>
    </xf>
    <xf numFmtId="0" fontId="73" fillId="0" borderId="1" xfId="0" applyFont="1" applyBorder="1">
      <alignment vertical="center"/>
    </xf>
    <xf numFmtId="0" fontId="56" fillId="0" borderId="1" xfId="0" applyFont="1" applyBorder="1" applyAlignment="1">
      <alignment vertical="center" wrapText="1"/>
    </xf>
    <xf numFmtId="0" fontId="71" fillId="0" borderId="1" xfId="0" applyFont="1" applyBorder="1" applyAlignment="1">
      <alignment vertical="center" wrapText="1"/>
    </xf>
    <xf numFmtId="182" fontId="71" fillId="0" borderId="1" xfId="1" applyNumberFormat="1" applyFont="1" applyBorder="1" applyAlignment="1">
      <alignment horizontal="center" vertical="center" wrapText="1"/>
    </xf>
    <xf numFmtId="0" fontId="50" fillId="0" borderId="11" xfId="0" applyFont="1" applyBorder="1">
      <alignment vertical="center"/>
    </xf>
    <xf numFmtId="0" fontId="71" fillId="10" borderId="1" xfId="0" applyFont="1" applyFill="1" applyBorder="1" applyAlignment="1">
      <alignment vertical="center" wrapText="1"/>
    </xf>
    <xf numFmtId="1" fontId="71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74" fillId="8" borderId="0" xfId="6" applyFont="1" applyFill="1" applyAlignment="1">
      <alignment horizontal="center" vertical="center"/>
    </xf>
    <xf numFmtId="0" fontId="75" fillId="0" borderId="1" xfId="6" applyFont="1" applyBorder="1" applyAlignment="1">
      <alignment horizontal="left" vertical="center"/>
    </xf>
    <xf numFmtId="0" fontId="75" fillId="0" borderId="1" xfId="6" applyFont="1" applyBorder="1">
      <alignment vertical="center"/>
    </xf>
    <xf numFmtId="0" fontId="61" fillId="30" borderId="1" xfId="65" applyFont="1" applyFill="1" applyBorder="1" applyAlignment="1">
      <alignment horizontal="center" vertical="center"/>
    </xf>
    <xf numFmtId="182" fontId="61" fillId="30" borderId="1" xfId="1" applyNumberFormat="1" applyFont="1" applyFill="1" applyBorder="1" applyAlignment="1">
      <alignment horizontal="center" vertical="center"/>
    </xf>
    <xf numFmtId="182" fontId="61" fillId="30" borderId="1" xfId="1" applyNumberFormat="1" applyFont="1" applyFill="1" applyBorder="1" applyAlignment="1">
      <alignment horizontal="center" vertical="center" wrapText="1"/>
    </xf>
    <xf numFmtId="185" fontId="61" fillId="30" borderId="1" xfId="52" applyNumberFormat="1" applyFont="1" applyFill="1" applyBorder="1" applyAlignment="1">
      <alignment horizontal="center" vertical="center"/>
    </xf>
    <xf numFmtId="183" fontId="61" fillId="30" borderId="1" xfId="65" applyNumberFormat="1" applyFont="1" applyFill="1" applyBorder="1" applyAlignment="1">
      <alignment horizontal="center" vertical="center" wrapText="1"/>
    </xf>
    <xf numFmtId="0" fontId="42" fillId="32" borderId="1" xfId="65" applyFont="1" applyFill="1" applyBorder="1" applyAlignment="1">
      <alignment horizontal="center" vertical="center"/>
    </xf>
    <xf numFmtId="0" fontId="50" fillId="32" borderId="1" xfId="65" applyFont="1" applyFill="1" applyBorder="1" applyAlignment="1">
      <alignment horizontal="left" vertical="center"/>
    </xf>
    <xf numFmtId="49" fontId="72" fillId="0" borderId="1" xfId="1" applyNumberFormat="1" applyFont="1" applyBorder="1" applyAlignment="1">
      <alignment horizontal="center" vertical="center" wrapText="1"/>
    </xf>
    <xf numFmtId="0" fontId="42" fillId="8" borderId="1" xfId="65" applyFont="1" applyFill="1" applyBorder="1" applyAlignment="1">
      <alignment horizontal="center" vertical="center"/>
    </xf>
    <xf numFmtId="0" fontId="50" fillId="8" borderId="1" xfId="65" applyFont="1" applyFill="1" applyBorder="1" applyAlignment="1">
      <alignment horizontal="left" vertical="center"/>
    </xf>
    <xf numFmtId="49" fontId="72" fillId="0" borderId="1" xfId="1" applyNumberFormat="1" applyFont="1" applyBorder="1" applyAlignment="1">
      <alignment horizontal="left" vertical="center" wrapText="1"/>
    </xf>
    <xf numFmtId="0" fontId="61" fillId="32" borderId="1" xfId="65" applyFont="1" applyFill="1" applyBorder="1" applyAlignment="1">
      <alignment horizontal="left" vertical="center"/>
    </xf>
    <xf numFmtId="0" fontId="50" fillId="8" borderId="1" xfId="65" applyFont="1" applyFill="1" applyBorder="1" applyAlignment="1">
      <alignment vertical="center"/>
    </xf>
    <xf numFmtId="0" fontId="42" fillId="8" borderId="1" xfId="65" applyFont="1" applyFill="1" applyBorder="1" applyAlignment="1">
      <alignment vertical="center"/>
    </xf>
    <xf numFmtId="0" fontId="76" fillId="0" borderId="1" xfId="6" applyFont="1" applyBorder="1" applyAlignment="1">
      <alignment horizontal="left" vertical="center"/>
    </xf>
    <xf numFmtId="43" fontId="72" fillId="6" borderId="1" xfId="1" applyFont="1" applyFill="1" applyBorder="1" applyAlignment="1">
      <alignment horizontal="left" vertical="center" wrapText="1"/>
    </xf>
    <xf numFmtId="0" fontId="38" fillId="8" borderId="1" xfId="65" applyFont="1" applyFill="1" applyBorder="1" applyAlignment="1">
      <alignment vertical="center"/>
    </xf>
    <xf numFmtId="43" fontId="72" fillId="0" borderId="1" xfId="1" applyFont="1" applyBorder="1" applyAlignment="1">
      <alignment horizontal="left" vertical="center"/>
    </xf>
    <xf numFmtId="0" fontId="38" fillId="32" borderId="1" xfId="65" applyFont="1" applyFill="1" applyBorder="1" applyAlignment="1">
      <alignment vertical="center"/>
    </xf>
    <xf numFmtId="0" fontId="73" fillId="8" borderId="0" xfId="65" applyFont="1" applyFill="1" applyAlignment="1">
      <alignment vertical="center"/>
    </xf>
    <xf numFmtId="0" fontId="42" fillId="8" borderId="0" xfId="65" applyFont="1" applyFill="1" applyAlignment="1">
      <alignment vertical="center"/>
    </xf>
    <xf numFmtId="0" fontId="50" fillId="8" borderId="0" xfId="65" applyFont="1" applyFill="1" applyAlignment="1">
      <alignment vertical="center"/>
    </xf>
    <xf numFmtId="182" fontId="42" fillId="8" borderId="0" xfId="1" applyNumberFormat="1" applyFont="1" applyFill="1" applyAlignment="1">
      <alignment horizontal="center" vertical="center"/>
    </xf>
    <xf numFmtId="182" fontId="50" fillId="8" borderId="0" xfId="1" applyNumberFormat="1" applyFont="1" applyFill="1" applyAlignment="1">
      <alignment horizontal="center" vertical="center"/>
    </xf>
    <xf numFmtId="185" fontId="50" fillId="8" borderId="0" xfId="52" applyNumberFormat="1" applyFont="1" applyFill="1" applyAlignment="1">
      <alignment horizontal="center" vertical="center"/>
    </xf>
    <xf numFmtId="0" fontId="77" fillId="0" borderId="1" xfId="6" applyBorder="1" applyAlignment="1">
      <alignment horizontal="left" vertical="center"/>
    </xf>
    <xf numFmtId="0" fontId="78" fillId="0" borderId="0" xfId="0" applyFont="1">
      <alignment vertical="center"/>
    </xf>
    <xf numFmtId="49" fontId="79" fillId="33" borderId="20" xfId="62" applyNumberFormat="1" applyFont="1" applyFill="1" applyBorder="1" applyAlignment="1" applyProtection="1">
      <alignment horizontal="center" vertical="center"/>
      <protection locked="0"/>
    </xf>
    <xf numFmtId="0" fontId="79" fillId="33" borderId="20" xfId="62" applyFont="1" applyFill="1" applyBorder="1" applyAlignment="1" applyProtection="1">
      <alignment horizontal="center" vertical="center"/>
      <protection locked="0"/>
    </xf>
    <xf numFmtId="0" fontId="79" fillId="33" borderId="25" xfId="62" applyFont="1" applyFill="1" applyBorder="1" applyAlignment="1" applyProtection="1">
      <alignment horizontal="center" vertical="center"/>
      <protection locked="0"/>
    </xf>
    <xf numFmtId="0" fontId="65" fillId="33" borderId="1" xfId="0" applyFont="1" applyFill="1" applyBorder="1" applyAlignment="1">
      <alignment horizontal="center" vertical="center"/>
    </xf>
    <xf numFmtId="0" fontId="80" fillId="0" borderId="20" xfId="62" applyFont="1" applyBorder="1" applyAlignment="1" applyProtection="1">
      <alignment horizontal="center" vertical="center"/>
      <protection locked="0"/>
    </xf>
    <xf numFmtId="49" fontId="81" fillId="14" borderId="20" xfId="62" applyNumberFormat="1" applyFont="1" applyFill="1" applyBorder="1" applyAlignment="1" applyProtection="1">
      <alignment horizontal="center" vertical="center"/>
      <protection locked="0"/>
    </xf>
    <xf numFmtId="1" fontId="81" fillId="14" borderId="20" xfId="62" applyNumberFormat="1" applyFont="1" applyFill="1" applyBorder="1" applyAlignment="1" applyProtection="1">
      <alignment horizontal="center" vertical="center"/>
      <protection locked="0"/>
    </xf>
    <xf numFmtId="0" fontId="81" fillId="14" borderId="20" xfId="62" applyFont="1" applyFill="1" applyBorder="1" applyAlignment="1" applyProtection="1">
      <alignment horizontal="center" vertical="center"/>
      <protection locked="0"/>
    </xf>
    <xf numFmtId="0" fontId="81" fillId="14" borderId="20" xfId="62" applyFont="1" applyFill="1" applyBorder="1" applyAlignment="1" applyProtection="1">
      <alignment horizontal="left" vertical="center"/>
      <protection locked="0"/>
    </xf>
    <xf numFmtId="0" fontId="19" fillId="16" borderId="1" xfId="0" applyFont="1" applyFill="1" applyBorder="1" applyAlignment="1">
      <alignment horizontal="center" vertical="center"/>
    </xf>
    <xf numFmtId="0" fontId="82" fillId="0" borderId="0" xfId="0" applyFont="1">
      <alignment vertical="center"/>
    </xf>
    <xf numFmtId="177" fontId="30" fillId="34" borderId="26" xfId="0" applyNumberFormat="1" applyFont="1" applyFill="1" applyBorder="1">
      <alignment vertical="center"/>
    </xf>
    <xf numFmtId="177" fontId="83" fillId="0" borderId="0" xfId="0" applyNumberFormat="1" applyFont="1">
      <alignment vertical="center"/>
    </xf>
    <xf numFmtId="177" fontId="30" fillId="0" borderId="0" xfId="0" applyNumberFormat="1" applyFont="1">
      <alignment vertical="center"/>
    </xf>
    <xf numFmtId="177" fontId="30" fillId="0" borderId="26" xfId="0" applyNumberFormat="1" applyFont="1" applyBorder="1">
      <alignment vertical="center"/>
    </xf>
    <xf numFmtId="0" fontId="43" fillId="0" borderId="0" xfId="69" applyFont="1"/>
    <xf numFmtId="43" fontId="47" fillId="35" borderId="0" xfId="79" applyFont="1" applyFill="1" applyAlignment="1">
      <alignment vertical="center" shrinkToFit="1"/>
    </xf>
    <xf numFmtId="0" fontId="84" fillId="0" borderId="0" xfId="6" applyFont="1">
      <alignment vertical="center"/>
    </xf>
    <xf numFmtId="0" fontId="58" fillId="14" borderId="0" xfId="69" applyFont="1" applyFill="1"/>
    <xf numFmtId="182" fontId="85" fillId="36" borderId="27" xfId="69" applyNumberFormat="1" applyFont="1" applyFill="1" applyBorder="1" applyAlignment="1">
      <alignment vertical="center"/>
    </xf>
    <xf numFmtId="0" fontId="43" fillId="0" borderId="0" xfId="69" applyFont="1" applyAlignment="1">
      <alignment vertical="center"/>
    </xf>
    <xf numFmtId="0" fontId="58" fillId="0" borderId="1" xfId="69" applyFont="1" applyBorder="1" applyAlignment="1">
      <alignment horizontal="center" vertical="center"/>
    </xf>
    <xf numFmtId="0" fontId="58" fillId="22" borderId="1" xfId="69" applyFont="1" applyFill="1" applyBorder="1" applyAlignment="1">
      <alignment horizontal="center" vertical="center"/>
    </xf>
    <xf numFmtId="0" fontId="41" fillId="22" borderId="28" xfId="69" applyFont="1" applyFill="1" applyBorder="1" applyAlignment="1">
      <alignment horizontal="center" vertical="center"/>
    </xf>
    <xf numFmtId="0" fontId="58" fillId="0" borderId="10" xfId="69" applyFont="1" applyBorder="1" applyAlignment="1">
      <alignment horizontal="center" vertical="center"/>
    </xf>
    <xf numFmtId="0" fontId="58" fillId="0" borderId="0" xfId="69" applyFont="1" applyAlignment="1">
      <alignment vertical="center"/>
    </xf>
    <xf numFmtId="0" fontId="43" fillId="0" borderId="0" xfId="69" applyFont="1" applyAlignment="1">
      <alignment horizontal="center" vertical="center"/>
    </xf>
    <xf numFmtId="0" fontId="43" fillId="14" borderId="0" xfId="69" applyFont="1" applyFill="1" applyAlignment="1">
      <alignment vertical="center"/>
    </xf>
    <xf numFmtId="0" fontId="58" fillId="14" borderId="0" xfId="69" applyFont="1" applyFill="1" applyAlignment="1">
      <alignment vertical="center"/>
    </xf>
    <xf numFmtId="0" fontId="86" fillId="37" borderId="1" xfId="63" applyNumberFormat="1" applyFont="1" applyFill="1" applyBorder="1" applyAlignment="1">
      <alignment horizontal="center" vertical="center"/>
    </xf>
    <xf numFmtId="0" fontId="47" fillId="38" borderId="13" xfId="69" applyFont="1" applyFill="1" applyBorder="1" applyAlignment="1">
      <alignment horizontal="center" vertical="center"/>
    </xf>
    <xf numFmtId="182" fontId="85" fillId="36" borderId="1" xfId="69" applyNumberFormat="1" applyFont="1" applyFill="1" applyBorder="1" applyAlignment="1">
      <alignment horizontal="center" vertical="center"/>
    </xf>
    <xf numFmtId="0" fontId="85" fillId="36" borderId="1" xfId="69" applyFont="1" applyFill="1" applyBorder="1" applyAlignment="1">
      <alignment horizontal="center" vertical="center"/>
    </xf>
    <xf numFmtId="0" fontId="43" fillId="0" borderId="1" xfId="69" applyFont="1" applyBorder="1" applyAlignment="1">
      <alignment vertical="center"/>
    </xf>
    <xf numFmtId="0" fontId="43" fillId="39" borderId="1" xfId="69" applyFont="1" applyFill="1" applyBorder="1" applyAlignment="1">
      <alignment horizontal="center" vertical="center"/>
    </xf>
    <xf numFmtId="0" fontId="40" fillId="39" borderId="28" xfId="69" applyFont="1" applyFill="1" applyBorder="1" applyAlignment="1">
      <alignment horizontal="center"/>
    </xf>
    <xf numFmtId="0" fontId="43" fillId="0" borderId="10" xfId="69" applyFont="1" applyBorder="1" applyAlignment="1">
      <alignment horizontal="center" vertical="center"/>
    </xf>
    <xf numFmtId="0" fontId="43" fillId="0" borderId="1" xfId="69" applyFont="1" applyBorder="1" applyAlignment="1">
      <alignment horizontal="left" vertical="center"/>
    </xf>
    <xf numFmtId="0" fontId="87" fillId="0" borderId="0" xfId="72" applyFont="1" applyAlignment="1">
      <alignment vertical="center"/>
    </xf>
    <xf numFmtId="0" fontId="43" fillId="0" borderId="1" xfId="69" applyFont="1" applyBorder="1" applyAlignment="1">
      <alignment horizontal="center" vertical="center"/>
    </xf>
    <xf numFmtId="0" fontId="43" fillId="40" borderId="0" xfId="69" applyFont="1" applyFill="1" applyAlignment="1">
      <alignment horizontal="center" vertical="center"/>
    </xf>
    <xf numFmtId="0" fontId="88" fillId="37" borderId="1" xfId="63" applyNumberFormat="1" applyFont="1" applyFill="1" applyBorder="1" applyAlignment="1">
      <alignment horizontal="center" vertical="center"/>
    </xf>
    <xf numFmtId="0" fontId="47" fillId="38" borderId="15" xfId="69" applyFont="1" applyFill="1" applyBorder="1" applyAlignment="1">
      <alignment horizontal="center" vertical="center"/>
    </xf>
    <xf numFmtId="182" fontId="43" fillId="0" borderId="1" xfId="69" applyNumberFormat="1" applyFont="1" applyBorder="1" applyAlignment="1">
      <alignment vertical="center"/>
    </xf>
    <xf numFmtId="0" fontId="43" fillId="0" borderId="1" xfId="67" applyNumberFormat="1" applyFont="1" applyBorder="1" applyAlignment="1">
      <alignment vertical="center"/>
    </xf>
    <xf numFmtId="0" fontId="47" fillId="0" borderId="1" xfId="69" applyFont="1" applyBorder="1" applyAlignment="1">
      <alignment vertical="center"/>
    </xf>
    <xf numFmtId="0" fontId="44" fillId="14" borderId="0" xfId="69" applyFont="1" applyFill="1" applyAlignment="1">
      <alignment vertical="center"/>
    </xf>
    <xf numFmtId="182" fontId="44" fillId="39" borderId="1" xfId="69" applyNumberFormat="1" applyFont="1" applyFill="1" applyBorder="1" applyAlignment="1">
      <alignment vertical="center"/>
    </xf>
    <xf numFmtId="0" fontId="44" fillId="39" borderId="1" xfId="69" applyFont="1" applyFill="1" applyBorder="1" applyAlignment="1">
      <alignment vertical="center"/>
    </xf>
    <xf numFmtId="0" fontId="48" fillId="14" borderId="1" xfId="51" applyNumberFormat="1" applyFont="1" applyFill="1" applyBorder="1" applyAlignment="1">
      <alignment vertical="center"/>
    </xf>
    <xf numFmtId="0" fontId="43" fillId="22" borderId="1" xfId="69" applyFont="1" applyFill="1" applyBorder="1" applyAlignment="1">
      <alignment horizontal="center" vertical="center"/>
    </xf>
    <xf numFmtId="0" fontId="40" fillId="22" borderId="28" xfId="69" applyFont="1" applyFill="1" applyBorder="1" applyAlignment="1">
      <alignment horizontal="center"/>
    </xf>
    <xf numFmtId="0" fontId="58" fillId="39" borderId="1" xfId="69" applyFont="1" applyFill="1" applyBorder="1" applyAlignment="1">
      <alignment vertical="center"/>
    </xf>
    <xf numFmtId="0" fontId="43" fillId="0" borderId="29" xfId="69" applyFont="1" applyBorder="1" applyAlignment="1">
      <alignment vertical="center"/>
    </xf>
    <xf numFmtId="0" fontId="47" fillId="0" borderId="1" xfId="69" applyFont="1" applyBorder="1" applyAlignment="1">
      <alignment horizontal="center" vertical="center"/>
    </xf>
    <xf numFmtId="0" fontId="58" fillId="39" borderId="1" xfId="69" applyFont="1" applyFill="1" applyBorder="1" applyAlignment="1">
      <alignment horizontal="center" vertical="center"/>
    </xf>
    <xf numFmtId="182" fontId="49" fillId="0" borderId="1" xfId="69" applyNumberFormat="1" applyFont="1" applyBorder="1" applyAlignment="1">
      <alignment vertical="center"/>
    </xf>
    <xf numFmtId="0" fontId="58" fillId="14" borderId="1" xfId="69" applyFont="1" applyFill="1" applyBorder="1" applyAlignment="1">
      <alignment horizontal="center" vertical="center"/>
    </xf>
    <xf numFmtId="0" fontId="40" fillId="8" borderId="0" xfId="69" applyFont="1" applyFill="1"/>
    <xf numFmtId="0" fontId="43" fillId="8" borderId="0" xfId="69" applyFont="1" applyFill="1" applyAlignment="1">
      <alignment vertical="center"/>
    </xf>
    <xf numFmtId="0" fontId="26" fillId="0" borderId="0" xfId="0" applyFont="1">
      <alignment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4" fillId="0" borderId="1" xfId="6" applyFont="1" applyBorder="1">
      <alignment vertical="center"/>
    </xf>
    <xf numFmtId="0" fontId="75" fillId="0" borderId="1" xfId="6" applyFont="1" applyBorder="1" applyAlignment="1">
      <alignment horizontal="center" vertical="center"/>
    </xf>
    <xf numFmtId="0" fontId="75" fillId="0" borderId="1" xfId="6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89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7" fillId="0" borderId="1" xfId="6" applyFont="1" applyBorder="1" applyAlignment="1">
      <alignment horizontal="left" vertical="center"/>
    </xf>
    <xf numFmtId="0" fontId="48" fillId="8" borderId="1" xfId="51" applyNumberFormat="1" applyFont="1" applyFill="1" applyBorder="1" applyAlignment="1" quotePrefix="1">
      <alignment horizontal="center" vertical="center"/>
    </xf>
  </cellXfs>
  <cellStyles count="8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ปกติ_manpower by organize" xfId="50"/>
    <cellStyle name="_9710" xfId="51"/>
    <cellStyle name="百分比 2" xfId="52"/>
    <cellStyle name="百分比 2 3" xfId="53"/>
    <cellStyle name="百分比 6" xfId="54"/>
    <cellStyle name="百分比 69" xfId="55"/>
    <cellStyle name="表单名" xfId="56"/>
    <cellStyle name="表间黄表体" xfId="57"/>
    <cellStyle name="不编灰表体" xfId="58"/>
    <cellStyle name="差_销售清单 4 4" xfId="59"/>
    <cellStyle name="常规 10" xfId="60"/>
    <cellStyle name="常规 12 16" xfId="61"/>
    <cellStyle name="常规 128" xfId="62"/>
    <cellStyle name="常规 17 3 2 3" xfId="63"/>
    <cellStyle name="常规 2" xfId="64"/>
    <cellStyle name="常规 2 2" xfId="65"/>
    <cellStyle name="常规 2 3" xfId="66"/>
    <cellStyle name="常规 22 2 2 2 2 2" xfId="67"/>
    <cellStyle name="常规 3" xfId="68"/>
    <cellStyle name="常规 4" xfId="69"/>
    <cellStyle name="常规 6" xfId="70"/>
    <cellStyle name="常规 8 2" xfId="71"/>
    <cellStyle name="超链接 2 2" xfId="72"/>
    <cellStyle name="超链接 3" xfId="73"/>
    <cellStyle name="计算绿表体" xfId="74"/>
    <cellStyle name="千位分隔 2" xfId="75"/>
    <cellStyle name="千位分隔 2 2" xfId="76"/>
    <cellStyle name="千位分隔 2 2 2" xfId="77"/>
    <cellStyle name="千位分隔 4" xfId="78"/>
    <cellStyle name="千位分隔 5" xfId="79"/>
    <cellStyle name="千位分隔 6 2" xfId="80"/>
    <cellStyle name="千位分隔 7" xfId="81"/>
    <cellStyle name="千位分隔 79" xfId="82"/>
    <cellStyle name="千位分隔 8" xfId="83"/>
    <cellStyle name="千位分隔_2011年基层预算报表_营销部" xfId="84"/>
    <cellStyle name="填写白表体" xfId="85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family val="2"/>
        <b val="0"/>
        <i val="0"/>
        <strike val="0"/>
        <u val="none"/>
        <sz val="10"/>
        <color rgb="FFFF0000"/>
      </font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externalLink" Target="externalLinks/externalLink5.xml"/><Relationship Id="rId35" Type="http://schemas.openxmlformats.org/officeDocument/2006/relationships/externalLink" Target="externalLinks/externalLink4.xml"/><Relationship Id="rId34" Type="http://schemas.openxmlformats.org/officeDocument/2006/relationships/externalLink" Target="externalLinks/externalLink3.xml"/><Relationship Id="rId33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ohua\Desktop\&#28595;&#21326;&#38598;&#22242;2025&#24180;&#20154;&#21592;&#32534;&#21046;&#21450;E&#20540;&#39044;&#31639;&#27169;&#26495;&#65288;11.18&#23450;&#31295;&#26684;&#24335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2;&#23433;&#28595;&#21326;\2025&#24180;&#39044;&#31639;\2025&#24180;&#39044;&#31639;\&#28595;&#21326;&#38598;&#22242;2025&#24180;&#20154;&#21592;&#32534;&#21046;&#21450;E&#20540;&#39044;&#316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ohua\Desktop\2026&#24180;&#38598;&#22242;&#21508;&#21333;&#20301;&#39044;&#31639;&#23450;&#31295;\1-&#31119;&#24314;-&#12304;1&#12305;2026&#24180;&#39044;&#31639;&#22871;&#34920;-&#31119;&#24314;&#20844;&#21496;%20-&#21512;&#29702;&#29256;1&#26376;19&#26085;&#25913;%20O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309;&#28385;&#24179;&#36164;&#26009;\6&#12289;2026&#24180;&#25991;&#20214;\2026&#24180;&#24180;&#24230;&#39044;&#31639;\26&#24180;&#39044;&#31639;&#20998;&#23376;&#20844;&#21496;&#22871;&#34920;&#27169;&#26495;\&#12304;1&#12305;26&#24180;&#39044;&#31639;&#22871;&#34920;-XX&#20844;&#21496;%20-2025.11.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700;&#38754;&#25991;&#20214;\4&#26376;&#28378;&#21160;&#39044;&#27979;\2-&#27993;&#27743;&#20844;&#21496;-2026&#24180;4&#26376;&#28378;&#21160;&#39044;&#27979;&#65288;&#20462;&#27491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填写指引"/>
      <sheetName val="表一、预算汇总表（科目-费用类别）"/>
      <sheetName val="项目组费用"/>
      <sheetName val="表二、人员定编表"/>
      <sheetName val="公式下拉表辅助"/>
      <sheetName val="表三、预算明细表"/>
      <sheetName val="辅助表1、月度饲料提成"/>
      <sheetName val="辅助表2、营销年奖"/>
      <sheetName val="辅助表3、动保提成"/>
      <sheetName val="辅助表4、生产奖金"/>
      <sheetName val="辅助表5、岗位职级体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填写指引"/>
      <sheetName val="表一、预算汇总表（科目-费用类别）"/>
      <sheetName val="表二、人员定编表"/>
      <sheetName val="公式下拉表辅助"/>
      <sheetName val="表三、预算明细表"/>
      <sheetName val="辅助表1、月度饲料提成"/>
      <sheetName val="辅助表2、营销年奖"/>
      <sheetName val="辅助表3、动保提成"/>
      <sheetName val="辅助表4、生产奖金"/>
      <sheetName val="辅助表5、岗位职级体系表"/>
      <sheetName val="人员明细"/>
      <sheetName val="24年工资"/>
      <sheetName val="24年差旅"/>
      <sheetName val="25年销量明细"/>
      <sheetName val="Sheet1"/>
      <sheetName val="23年年奖"/>
      <sheetName val="月度提成"/>
      <sheetName val="Sheet2"/>
      <sheetName val="Sheet3"/>
      <sheetName val="25年动保"/>
      <sheetName val="1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导航目录"/>
      <sheetName val="XM1-立项明细表"/>
      <sheetName val="XM2-项目利润表"/>
      <sheetName val="XM3-专项费用"/>
      <sheetName val="A1 预算指标总览"/>
      <sheetName val="A2 考核利润表-年度"/>
      <sheetName val="A3 考核利润表-月度"/>
      <sheetName val="A4 盈亏平衡表预算（填）"/>
      <sheetName val="A5 销量到聚焦镇表"/>
      <sheetName val="A6 大类毛利"/>
      <sheetName val="A7 小类毛利"/>
      <sheetName val="A8-产线贡献预算值"/>
      <sheetName val="B1-基础资料"/>
      <sheetName val="B2 物料对应产品对照表"/>
      <sheetName val="B3-特殊考核调整"/>
      <sheetName val="B4-c.b（考核）"/>
      <sheetName val="B5-产品毛益（25年）填写"/>
      <sheetName val="B6-产品毛益 (24年)填写"/>
      <sheetName val="B7-客户毛益表（25年）填写"/>
      <sheetName val="B8-客户毛益表（24年）填写"/>
      <sheetName val="表1、客户产品毛利表（汇总）"/>
      <sheetName val="表1.1、XX1客户产品销量表-（销售部填）填"/>
      <sheetName val="表1.2、产品价目表(财务）"/>
      <sheetName val="表1.3 客户折扣（财务总经理）"/>
      <sheetName val="表1.4 产品成本"/>
      <sheetName val="表1.4.1 配方成本（配方师）"/>
      <sheetName val="1.4.1.1 配方成本（产品定位定价）"/>
      <sheetName val="表1.4.2 包材成本（采购）"/>
      <sheetName val="表1.4.3 产品制费（生产+财务）"/>
      <sheetName val="表1.5 销售额-动保"/>
      <sheetName val="表2 预算外销产品毛利表(公式）"/>
      <sheetName val="表3 产量（订单交付中心统筹 ）"/>
      <sheetName val="表3.1 内销预算（财务）"/>
      <sheetName val="表4 人员定编表（四定表）部门汇总"/>
      <sheetName val="表4.1 人员定编表（四定表）明细"/>
      <sheetName val="表5人力资源成本预算（合计）"/>
      <sheetName val="表5.1 人力资源成本预算（总）"/>
      <sheetName val="表5.2 人力资源成本预算（项目）"/>
      <sheetName val="表6 制造费用（汇总）"/>
      <sheetName val="表6.1 制造费用(明细)"/>
      <sheetName val="表7 销售费用预算(汇总）"/>
      <sheetName val="表7.1 销售费用(明细) "/>
      <sheetName val="表7.2 销售费用(明细) -项目费用"/>
      <sheetName val="表8 管理费用(汇总）"/>
      <sheetName val="表8.1 管理费用预算(明细)"/>
      <sheetName val="表9 财务费用预算"/>
      <sheetName val="表10 固定资产预算"/>
      <sheetName val="表10.1 固定资产预算(生产明细)"/>
      <sheetName val="表11 在建工程"/>
      <sheetName val="表11.1 在建工程预算(生产明细) "/>
      <sheetName val="表12 无形资产"/>
      <sheetName val="表12.1 无形资产预算(生产明细）"/>
      <sheetName val="表13 长摊费用预算"/>
      <sheetName val="表13.1 长摊费用预算(生产明细）"/>
      <sheetName val="表14 外部采购预算（金额)"/>
      <sheetName val="表14.1 外部采购数量预算"/>
      <sheetName val="表14.2 外部采购价格趋势预算"/>
      <sheetName val="表15-单吨降本计算（粒径）"/>
      <sheetName val="表16 成本归集"/>
      <sheetName val="表17 主营业务成本预算"/>
      <sheetName val="表18 应收款预算（销售）"/>
      <sheetName val="表19 存货预算"/>
      <sheetName val="表19.1 存货预算（原材料）"/>
      <sheetName val="表19.2 存货预算（产成品）生产"/>
      <sheetName val="表20 应付款预算（采购）"/>
      <sheetName val="表21 预付款预算（采购）"/>
      <sheetName val="表22 固定资产折旧预算"/>
      <sheetName val="表22.1 累计折旧预算"/>
      <sheetName val="表23 无形资产摊销预算（净残值率=0）"/>
      <sheetName val="表23.1 累计无形资产摊销预算"/>
      <sheetName val="表24 长摊费用摊销预算（净残值率=0）"/>
      <sheetName val="表24.1 累计长摊费用摊销预算"/>
      <sheetName val="表25 主营业务成本预算（变固）"/>
      <sheetName val="表26 营业税金及附加预算"/>
      <sheetName val="表27 营业外收支预算"/>
      <sheetName val="表28 所得税预算"/>
      <sheetName val="表29 其他损益类项目预算"/>
    </sheetNames>
    <sheetDataSet>
      <sheetData sheetId="0"/>
      <sheetData sheetId="1"/>
      <sheetData sheetId="2"/>
      <sheetData sheetId="3"/>
      <sheetData sheetId="4">
        <row r="3">
          <cell r="A3" t="str">
            <v>华东一区</v>
          </cell>
          <cell r="B3" t="str">
            <v>福建公司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导航目录"/>
      <sheetName val="XM1-立项明细表"/>
      <sheetName val="XM2-项目利润表"/>
      <sheetName val="XM3-专项费用"/>
      <sheetName val="A1 预算指标总览"/>
      <sheetName val="A2 考核利润表-年度"/>
      <sheetName val="A3 考核利润表-月度"/>
      <sheetName val="A4 盈亏平衡表预算（填）"/>
      <sheetName val="A5 销量到聚焦镇表"/>
      <sheetName val="A6 大类毛利"/>
      <sheetName val="A7 小类毛利"/>
      <sheetName val="A8-产线贡献预算值"/>
      <sheetName val="B1-基础资料"/>
      <sheetName val="B2 物料对应产品对照表"/>
      <sheetName val="B3-特殊考核调整"/>
      <sheetName val="B4-c.b（考核）"/>
      <sheetName val="B5-产品毛益（25年）填写"/>
      <sheetName val="B6-产品毛益 (24年)填写"/>
      <sheetName val="B7-客户毛益表（25年）填写"/>
      <sheetName val="B8-客户毛益表（24年）填写"/>
      <sheetName val="表1、客户产品毛利表（汇总）"/>
      <sheetName val="表1.1、XX1客户产品销量表-（销售部填）填"/>
      <sheetName val="表1.2、产品价目表(财务）"/>
      <sheetName val="表1.3 客户折扣（财务总经理）"/>
      <sheetName val="表1.4 产品成本"/>
      <sheetName val="表1.4.1 配方成本（配方师）"/>
      <sheetName val="表1.4.2 包材成本（采购）"/>
      <sheetName val="表1.4.3 产品制费（生产+财务）"/>
      <sheetName val="表1.5 销售额-动保"/>
      <sheetName val="表2 预算外销产品毛利表(公式）"/>
      <sheetName val="表3 产量（订单交付中心统筹 ）"/>
      <sheetName val="表3.1 内销预算（财务）"/>
      <sheetName val="表4 人员定编表（四定表）部门汇总"/>
      <sheetName val="表4.1 人员定编表（四定表）明细"/>
      <sheetName val="表5人力资源成本预算（合计）"/>
      <sheetName val="表5.1 人力资源成本预算（总）"/>
      <sheetName val="表5.2 人力资源成本预算（项目）"/>
      <sheetName val="表6 制造费用（汇总）"/>
      <sheetName val="表6.1 制造费用(明细)"/>
      <sheetName val="表7 销售费用预算(汇总）"/>
      <sheetName val="表7.1 销售费用(明细) "/>
      <sheetName val="表7.2 销售费用(明细) -项目费用"/>
      <sheetName val="表8 管理费用(汇总）"/>
      <sheetName val="表8.1 管理费用预算(明细)"/>
      <sheetName val="表9 财务费用预算"/>
      <sheetName val="表10 固定资产预算"/>
      <sheetName val="表10.1 固定资产预算(生产明细)"/>
      <sheetName val="表11 在建工程"/>
      <sheetName val="表11.1 在建工程预算(生产明细) "/>
      <sheetName val="表12 无形资产"/>
      <sheetName val="表12.1 无形资产预算(生产明细）"/>
      <sheetName val="表13 长摊费用预算"/>
      <sheetName val="表13.1 长摊费用预算(生产明细）"/>
      <sheetName val="表14 外部采购预算（金额)"/>
      <sheetName val="表14.1 外部采购数量预算"/>
      <sheetName val="表14.2 外部采购价格趋势预算"/>
      <sheetName val="表15-单吨降本计算（粒径）"/>
      <sheetName val="表16 成本归集"/>
      <sheetName val="表17 主营业务成本预算"/>
      <sheetName val="表18 应收款预算（销售）"/>
      <sheetName val="表19 存货预算"/>
      <sheetName val="表19.1 存货预算（原材料）"/>
      <sheetName val="表19.2 存货预算（产成品）生产"/>
      <sheetName val="表20 应付款预算（采购）"/>
      <sheetName val="表21 预付款预算（采购）"/>
      <sheetName val="表22 固定资产折旧预算"/>
      <sheetName val="表22.1 累计折旧预算"/>
      <sheetName val="表23 无形资产摊销预算（净残值率=0）"/>
      <sheetName val="表23.1 累计无形资产摊销预算"/>
      <sheetName val="表24 长摊费用摊销预算（净残值率=0）"/>
      <sheetName val="表24.1 累计长摊费用摊销预算"/>
      <sheetName val="表25 主营业务成本预算（变固）"/>
      <sheetName val="表26 营业税金及附加预算"/>
      <sheetName val="表27 营业外收支预算"/>
      <sheetName val="表28 所得税预算"/>
      <sheetName val="表29 其他损益类项目预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8">
          <cell r="A108" t="str">
            <v>工资和薪金生产工资</v>
          </cell>
          <cell r="B108" t="str">
            <v>固定</v>
          </cell>
          <cell r="C108" t="str">
            <v>车间人工薪酬（工资、五险一金）</v>
          </cell>
        </row>
        <row r="109">
          <cell r="A109" t="str">
            <v>工资和薪金仓储工资</v>
          </cell>
          <cell r="B109" t="str">
            <v>固定</v>
          </cell>
          <cell r="C109" t="str">
            <v>车间人工薪酬（工资、五险一金）</v>
          </cell>
        </row>
        <row r="110">
          <cell r="A110" t="str">
            <v>工资和薪金叉车工资</v>
          </cell>
          <cell r="B110" t="str">
            <v>固定</v>
          </cell>
          <cell r="C110" t="str">
            <v>车间人工薪酬（工资、五险一金）</v>
          </cell>
        </row>
        <row r="111">
          <cell r="A111" t="str">
            <v>工资和薪金劳务工资</v>
          </cell>
          <cell r="B111" t="str">
            <v>固定</v>
          </cell>
          <cell r="C111" t="str">
            <v>车间人工薪酬（工资、五险一金）</v>
          </cell>
        </row>
        <row r="112">
          <cell r="A112" t="str">
            <v>绩效工资及奖金生产绩效</v>
          </cell>
          <cell r="B112" t="str">
            <v>变动</v>
          </cell>
          <cell r="C112" t="str">
            <v>车间人工提成奖金、绩效</v>
          </cell>
        </row>
        <row r="113">
          <cell r="A113" t="str">
            <v>绩效工资及奖金仓储绩效</v>
          </cell>
          <cell r="B113" t="str">
            <v>变动</v>
          </cell>
          <cell r="C113" t="str">
            <v>车间人工提成奖金、绩效</v>
          </cell>
        </row>
        <row r="114">
          <cell r="A114" t="str">
            <v>绩效工资及奖金叉车绩效</v>
          </cell>
          <cell r="B114" t="str">
            <v>变动</v>
          </cell>
          <cell r="C114" t="str">
            <v>车间人工提成奖金、绩效</v>
          </cell>
        </row>
        <row r="115">
          <cell r="A115" t="str">
            <v>绩效工资及奖金劳务绩效</v>
          </cell>
          <cell r="B115" t="str">
            <v>变动</v>
          </cell>
          <cell r="C115" t="str">
            <v>车间人工提成奖金、绩效</v>
          </cell>
        </row>
        <row r="116">
          <cell r="A116" t="str">
            <v>社保费</v>
          </cell>
          <cell r="B116" t="str">
            <v>固定</v>
          </cell>
          <cell r="C116" t="str">
            <v>车间人工薪酬（工资、五险一金）</v>
          </cell>
        </row>
        <row r="117">
          <cell r="A117" t="str">
            <v>住房公积金</v>
          </cell>
          <cell r="B117" t="str">
            <v>固定</v>
          </cell>
          <cell r="C117" t="str">
            <v>车间人工薪酬（工资、五险一金）</v>
          </cell>
        </row>
        <row r="118">
          <cell r="A118" t="str">
            <v>职工福利金</v>
          </cell>
          <cell r="B118" t="str">
            <v>固定</v>
          </cell>
          <cell r="C118" t="str">
            <v>车间人工薪酬（工资、五险一金）</v>
          </cell>
        </row>
        <row r="119">
          <cell r="A119" t="str">
            <v>水费</v>
          </cell>
          <cell r="B119" t="str">
            <v>变动</v>
          </cell>
          <cell r="C119" t="str">
            <v>能耗—水电费</v>
          </cell>
        </row>
        <row r="120">
          <cell r="A120" t="str">
            <v>电费</v>
          </cell>
          <cell r="B120" t="str">
            <v>变动</v>
          </cell>
          <cell r="C120" t="str">
            <v>能耗—水电费</v>
          </cell>
        </row>
        <row r="121">
          <cell r="A121" t="str">
            <v>经营物料</v>
          </cell>
          <cell r="B121" t="str">
            <v>变动</v>
          </cell>
          <cell r="C121" t="str">
            <v>经营物料</v>
          </cell>
        </row>
        <row r="122">
          <cell r="A122" t="str">
            <v>维修费</v>
          </cell>
          <cell r="B122" t="str">
            <v>变动</v>
          </cell>
          <cell r="C122" t="str">
            <v>维修费</v>
          </cell>
        </row>
        <row r="123">
          <cell r="A123" t="str">
            <v>折旧费</v>
          </cell>
          <cell r="B123" t="str">
            <v>固定</v>
          </cell>
          <cell r="C123" t="str">
            <v>折旧费</v>
          </cell>
        </row>
        <row r="124">
          <cell r="A124" t="str">
            <v>叉车费用</v>
          </cell>
          <cell r="B124" t="str">
            <v>变动</v>
          </cell>
          <cell r="C124" t="str">
            <v>维修费</v>
          </cell>
        </row>
        <row r="125">
          <cell r="A125" t="str">
            <v>实验费用</v>
          </cell>
          <cell r="B125" t="str">
            <v>变动</v>
          </cell>
          <cell r="C125" t="str">
            <v>经营物料</v>
          </cell>
        </row>
        <row r="126">
          <cell r="A126" t="str">
            <v>蒸汽费用</v>
          </cell>
          <cell r="B126" t="str">
            <v>变动</v>
          </cell>
          <cell r="C126" t="str">
            <v>能耗—汽耗</v>
          </cell>
        </row>
        <row r="127">
          <cell r="A127" t="str">
            <v>其他</v>
          </cell>
          <cell r="B127" t="str">
            <v>变动</v>
          </cell>
          <cell r="C127" t="str">
            <v>经营物料</v>
          </cell>
        </row>
        <row r="128">
          <cell r="A128" t="str">
            <v>劳务费</v>
          </cell>
          <cell r="B128" t="str">
            <v>变动</v>
          </cell>
          <cell r="C128" t="str">
            <v>车间人工提成奖金、绩效</v>
          </cell>
        </row>
        <row r="129">
          <cell r="A129" t="str">
            <v>环保费</v>
          </cell>
          <cell r="B129" t="str">
            <v>变动</v>
          </cell>
          <cell r="C129" t="str">
            <v>其他</v>
          </cell>
        </row>
        <row r="130">
          <cell r="A130" t="str">
            <v>差旅费</v>
          </cell>
          <cell r="B130" t="str">
            <v>固定</v>
          </cell>
          <cell r="C130" t="str">
            <v>车间人工薪酬（工资、五险一金）</v>
          </cell>
        </row>
        <row r="131">
          <cell r="A131" t="str">
            <v>办公费</v>
          </cell>
          <cell r="B131" t="str">
            <v>变动</v>
          </cell>
          <cell r="C131" t="str">
            <v>经营物料</v>
          </cell>
        </row>
        <row r="132">
          <cell r="A132" t="str">
            <v>房屋及设备租金</v>
          </cell>
          <cell r="B132" t="str">
            <v>固定</v>
          </cell>
          <cell r="C132" t="str">
            <v>资产折旧摊销费</v>
          </cell>
        </row>
        <row r="133">
          <cell r="A133" t="str">
            <v>待摊费用摊销</v>
          </cell>
          <cell r="B133" t="str">
            <v>固定</v>
          </cell>
          <cell r="C133" t="str">
            <v>资产折旧摊销费</v>
          </cell>
        </row>
        <row r="134">
          <cell r="A134" t="str">
            <v>无形资产摊销</v>
          </cell>
          <cell r="B134" t="str">
            <v>固定</v>
          </cell>
          <cell r="C134" t="str">
            <v>资产折旧摊销费</v>
          </cell>
        </row>
        <row r="135">
          <cell r="A135" t="str">
            <v>使用权资产折旧费</v>
          </cell>
          <cell r="B135" t="str">
            <v>固定</v>
          </cell>
          <cell r="C135" t="str">
            <v>资产折旧摊销费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封面"/>
      <sheetName val="填表说明"/>
      <sheetName val="行动计划表"/>
      <sheetName val="考核利润表-月度预测"/>
      <sheetName val="考核利润表底稿（大区合并）"/>
      <sheetName val="考核利润表底稿"/>
      <sheetName val="分析表1-大类毛利"/>
      <sheetName val="分析表2-核心市场&amp;客户"/>
      <sheetName val="分析表3-负毛利"/>
      <sheetName val="大类毛利底稿数据"/>
      <sheetName val="B5-产品毛益（25年）填写"/>
      <sheetName val="B7-客户毛益表（25年）填写"/>
      <sheetName val="表1-销量预测"/>
      <sheetName val="销售预测底稿"/>
      <sheetName val="政策预测底稿（可选）"/>
      <sheetName val="表2- 制造费用预测"/>
      <sheetName val="制造费用底稿（大区合并）"/>
      <sheetName val="制造费用底稿"/>
      <sheetName val="表3-  销售费用预测"/>
      <sheetName val="销售费用底稿（大区合并）"/>
      <sheetName val="销售费用底稿"/>
      <sheetName val="表4-管理费用预测"/>
      <sheetName val="管理费用底稿(大区合并）"/>
      <sheetName val="管理费用底稿"/>
      <sheetName val="表5- 财务费用预算"/>
      <sheetName val="财务费用底稿(大区合并）"/>
      <sheetName val="财务费用底稿"/>
      <sheetName val="表6-营业税金及附加预算"/>
      <sheetName val="营业税金及附加预算底稿（大区合并）"/>
      <sheetName val="营业税金及附加预算底稿"/>
      <sheetName val="表7-营业外收支预算"/>
      <sheetName val="营业外收支预算底稿(大区合并）"/>
      <sheetName val="营业外收支预算底稿"/>
      <sheetName val="表8-所得税预算"/>
      <sheetName val="所得税预算底稿(大区合并）"/>
      <sheetName val="所得税预算底稿"/>
      <sheetName val="表9-其他损益类项目预算"/>
      <sheetName val="其他损益类项目预算底稿(大区合并）"/>
      <sheetName val="其他损益类项目预算底稿"/>
    </sheetNames>
    <sheetDataSet>
      <sheetData sheetId="0"/>
      <sheetData sheetId="1">
        <row r="2">
          <cell r="B2" t="str">
            <v>浙江公司</v>
          </cell>
        </row>
        <row r="6">
          <cell r="B6" t="str">
            <v>华东一区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xSplit="3" ySplit="1" topLeftCell="D14" activePane="bottomRight" state="frozen"/>
      <selection/>
      <selection pane="topRight"/>
      <selection pane="bottomLeft"/>
      <selection pane="bottomRight" activeCell="D34" sqref="D34"/>
    </sheetView>
  </sheetViews>
  <sheetFormatPr defaultColWidth="8.88888888888889" defaultRowHeight="14.4"/>
  <cols>
    <col min="1" max="1" width="33.6666666666667" customWidth="1"/>
    <col min="2" max="2" width="6.77777777777778" customWidth="1"/>
    <col min="4" max="4" width="18.1111111111111" customWidth="1"/>
    <col min="5" max="5" width="31.2222222222222" customWidth="1"/>
    <col min="6" max="6" width="12.2222222222222" customWidth="1"/>
    <col min="8" max="8" width="23.3333333333333" style="650" customWidth="1"/>
    <col min="9" max="9" width="46.7777777777778" customWidth="1"/>
  </cols>
  <sheetData>
    <row r="1" s="649" customFormat="1" spans="1:9">
      <c r="B1" s="651"/>
      <c r="C1" s="557" t="s">
        <v>0</v>
      </c>
      <c r="D1" s="557" t="s">
        <v>1</v>
      </c>
      <c r="E1" s="557" t="s">
        <v>2</v>
      </c>
      <c r="F1" s="557" t="s">
        <v>3</v>
      </c>
      <c r="G1" s="557" t="s">
        <v>4</v>
      </c>
      <c r="H1" s="652" t="s">
        <v>5</v>
      </c>
      <c r="I1" s="653" t="s">
        <v>6</v>
      </c>
    </row>
    <row r="2" spans="1:9">
      <c r="A2" s="654" t="s">
        <v>7</v>
      </c>
      <c r="B2" s="654"/>
      <c r="C2" s="209">
        <v>1</v>
      </c>
      <c r="D2" s="209" t="s">
        <v>8</v>
      </c>
      <c r="E2" s="655" t="s">
        <v>9</v>
      </c>
      <c r="F2" s="560" t="s">
        <v>10</v>
      </c>
      <c r="G2" s="656" t="s">
        <v>11</v>
      </c>
      <c r="H2" s="657" t="s">
        <v>12</v>
      </c>
      <c r="I2" s="209"/>
    </row>
    <row r="3" spans="1:9">
      <c r="A3" s="654" t="s">
        <v>7</v>
      </c>
      <c r="B3" s="654"/>
      <c r="C3" s="209">
        <v>2</v>
      </c>
      <c r="D3" s="209" t="s">
        <v>8</v>
      </c>
      <c r="E3" s="655" t="s">
        <v>13</v>
      </c>
      <c r="F3" s="560" t="s">
        <v>10</v>
      </c>
      <c r="G3" s="656" t="s">
        <v>11</v>
      </c>
      <c r="H3" s="657" t="s">
        <v>12</v>
      </c>
      <c r="I3" s="209"/>
    </row>
    <row r="4" spans="1:9">
      <c r="A4" s="654" t="s">
        <v>7</v>
      </c>
      <c r="B4" s="654"/>
      <c r="C4" s="209">
        <v>3</v>
      </c>
      <c r="D4" s="209" t="s">
        <v>14</v>
      </c>
      <c r="E4" s="655" t="s">
        <v>15</v>
      </c>
      <c r="F4" s="560" t="s">
        <v>15</v>
      </c>
      <c r="G4" s="656" t="s">
        <v>16</v>
      </c>
      <c r="H4" s="657"/>
      <c r="I4" s="658" t="s">
        <v>17</v>
      </c>
    </row>
    <row r="5" spans="1:9">
      <c r="A5" s="654" t="s">
        <v>7</v>
      </c>
      <c r="B5" s="654"/>
      <c r="C5" s="209">
        <v>4</v>
      </c>
      <c r="D5" s="209" t="s">
        <v>18</v>
      </c>
      <c r="E5" s="655" t="s">
        <v>19</v>
      </c>
      <c r="F5" s="560" t="s">
        <v>20</v>
      </c>
      <c r="G5" s="656" t="s">
        <v>16</v>
      </c>
      <c r="H5" s="657"/>
      <c r="I5" s="659" t="s">
        <v>21</v>
      </c>
    </row>
    <row r="6" spans="1:9">
      <c r="A6" s="654" t="s">
        <v>7</v>
      </c>
      <c r="B6" s="654"/>
      <c r="C6" s="209">
        <v>5</v>
      </c>
      <c r="D6" s="209" t="s">
        <v>22</v>
      </c>
      <c r="E6" s="655" t="s">
        <v>23</v>
      </c>
      <c r="F6" s="560" t="s">
        <v>24</v>
      </c>
      <c r="G6" s="656" t="s">
        <v>16</v>
      </c>
      <c r="H6" s="657"/>
      <c r="I6" s="659" t="s">
        <v>25</v>
      </c>
    </row>
    <row r="7" spans="1:9">
      <c r="A7" s="654" t="s">
        <v>7</v>
      </c>
      <c r="B7" s="654"/>
      <c r="C7" s="209">
        <v>6</v>
      </c>
      <c r="D7" s="209" t="s">
        <v>22</v>
      </c>
      <c r="E7" s="655" t="s">
        <v>26</v>
      </c>
      <c r="F7" s="560" t="s">
        <v>27</v>
      </c>
      <c r="G7" s="656" t="s">
        <v>16</v>
      </c>
      <c r="H7" s="657"/>
      <c r="I7" s="659" t="s">
        <v>25</v>
      </c>
    </row>
    <row r="8" ht="28.8" spans="1:9">
      <c r="A8" s="654" t="s">
        <v>7</v>
      </c>
      <c r="B8" s="654"/>
      <c r="C8" s="209">
        <v>7</v>
      </c>
      <c r="D8" s="209" t="str">
        <f>F8</f>
        <v>毛利表（外销）</v>
      </c>
      <c r="E8" s="655" t="s">
        <v>28</v>
      </c>
      <c r="F8" s="576" t="s">
        <v>29</v>
      </c>
      <c r="G8" s="656" t="s">
        <v>16</v>
      </c>
      <c r="H8" s="657"/>
      <c r="I8" s="659" t="s">
        <v>30</v>
      </c>
    </row>
    <row r="9" spans="1:9">
      <c r="A9" s="654" t="s">
        <v>7</v>
      </c>
      <c r="B9" s="654"/>
      <c r="C9" s="209">
        <v>8</v>
      </c>
      <c r="D9" s="209" t="str">
        <f>F9</f>
        <v>动保毛利</v>
      </c>
      <c r="E9" s="655" t="s">
        <v>31</v>
      </c>
      <c r="F9" s="560" t="s">
        <v>32</v>
      </c>
      <c r="G9" s="656" t="s">
        <v>16</v>
      </c>
      <c r="H9" s="657"/>
      <c r="I9" s="158"/>
    </row>
    <row r="10" spans="1:9">
      <c r="A10" s="654" t="s">
        <v>7</v>
      </c>
      <c r="B10" s="654"/>
      <c r="C10" s="209">
        <v>9</v>
      </c>
      <c r="D10" s="209" t="s">
        <v>33</v>
      </c>
      <c r="E10" s="655" t="s">
        <v>34</v>
      </c>
      <c r="F10" s="560" t="s">
        <v>33</v>
      </c>
      <c r="G10" s="656" t="s">
        <v>16</v>
      </c>
      <c r="H10" s="657"/>
      <c r="I10" s="658" t="s">
        <v>35</v>
      </c>
    </row>
    <row r="11" spans="1:9">
      <c r="A11" s="654" t="s">
        <v>7</v>
      </c>
      <c r="B11" s="654"/>
      <c r="C11" s="209">
        <v>10</v>
      </c>
      <c r="D11" s="209" t="s">
        <v>36</v>
      </c>
      <c r="E11" s="655" t="s">
        <v>37</v>
      </c>
      <c r="F11" s="560" t="s">
        <v>36</v>
      </c>
      <c r="G11" s="656" t="s">
        <v>16</v>
      </c>
      <c r="H11" s="657"/>
      <c r="I11" s="658" t="s">
        <v>38</v>
      </c>
    </row>
    <row r="12" spans="1:9">
      <c r="A12" t="s">
        <v>39</v>
      </c>
      <c r="B12" s="660"/>
      <c r="C12" s="209">
        <v>11</v>
      </c>
      <c r="D12" s="209" t="s">
        <v>40</v>
      </c>
      <c r="E12" s="655" t="s">
        <v>41</v>
      </c>
      <c r="F12" s="560" t="s">
        <v>42</v>
      </c>
      <c r="G12" s="656" t="s">
        <v>16</v>
      </c>
      <c r="H12" s="657" t="s">
        <v>12</v>
      </c>
      <c r="I12" s="158" t="s">
        <v>43</v>
      </c>
    </row>
    <row r="13" spans="1:9">
      <c r="A13" s="654" t="s">
        <v>7</v>
      </c>
      <c r="B13" s="654"/>
      <c r="C13" s="209">
        <v>12</v>
      </c>
      <c r="D13" s="209" t="s">
        <v>44</v>
      </c>
      <c r="E13" s="655" t="s">
        <v>45</v>
      </c>
      <c r="F13" s="560" t="s">
        <v>44</v>
      </c>
      <c r="G13" s="656" t="s">
        <v>16</v>
      </c>
      <c r="H13" s="657"/>
      <c r="I13" s="158" t="s">
        <v>46</v>
      </c>
    </row>
    <row r="14" spans="1:9">
      <c r="A14" s="654" t="s">
        <v>7</v>
      </c>
      <c r="C14" s="209">
        <v>13</v>
      </c>
      <c r="D14" s="209" t="str">
        <f>F14</f>
        <v>制造费用</v>
      </c>
      <c r="E14" s="655" t="s">
        <v>47</v>
      </c>
      <c r="F14" s="587" t="s">
        <v>48</v>
      </c>
      <c r="G14" s="656" t="s">
        <v>16</v>
      </c>
      <c r="H14" s="657"/>
      <c r="I14" s="158"/>
    </row>
    <row r="15" ht="28.8" spans="1:9">
      <c r="A15" s="654" t="s">
        <v>49</v>
      </c>
      <c r="B15" s="661" t="s">
        <v>50</v>
      </c>
      <c r="C15" s="662">
        <v>14</v>
      </c>
      <c r="D15" s="209" t="s">
        <v>51</v>
      </c>
      <c r="E15" s="655" t="s">
        <v>52</v>
      </c>
      <c r="F15" s="560" t="s">
        <v>53</v>
      </c>
      <c r="G15" s="656" t="s">
        <v>11</v>
      </c>
      <c r="H15" s="657" t="s">
        <v>54</v>
      </c>
      <c r="I15" s="158"/>
    </row>
    <row r="16" ht="28.8" spans="1:9">
      <c r="A16" s="654" t="s">
        <v>55</v>
      </c>
      <c r="B16" s="661" t="s">
        <v>50</v>
      </c>
      <c r="C16" s="662">
        <v>15</v>
      </c>
      <c r="D16" s="209" t="s">
        <v>56</v>
      </c>
      <c r="E16" s="655" t="s">
        <v>57</v>
      </c>
      <c r="F16" s="560" t="s">
        <v>56</v>
      </c>
      <c r="G16" s="656" t="s">
        <v>11</v>
      </c>
      <c r="H16" s="657" t="s">
        <v>54</v>
      </c>
      <c r="I16" s="158"/>
    </row>
    <row r="17" ht="57" customHeight="1" spans="1:9">
      <c r="A17" s="654" t="s">
        <v>55</v>
      </c>
      <c r="B17" s="661" t="s">
        <v>50</v>
      </c>
      <c r="C17" s="662">
        <v>16</v>
      </c>
      <c r="D17" s="209" t="s">
        <v>51</v>
      </c>
      <c r="E17" s="655" t="s">
        <v>58</v>
      </c>
      <c r="F17" s="560" t="s">
        <v>56</v>
      </c>
      <c r="G17" s="656" t="s">
        <v>11</v>
      </c>
      <c r="H17" s="657" t="s">
        <v>54</v>
      </c>
      <c r="I17" s="158"/>
    </row>
    <row r="18" spans="1:9">
      <c r="A18" s="654" t="s">
        <v>59</v>
      </c>
      <c r="B18" s="661" t="s">
        <v>50</v>
      </c>
      <c r="C18" s="662">
        <v>17</v>
      </c>
      <c r="D18" s="209" t="s">
        <v>60</v>
      </c>
      <c r="E18" s="655" t="s">
        <v>61</v>
      </c>
      <c r="F18" s="560" t="s">
        <v>62</v>
      </c>
      <c r="G18" s="656" t="s">
        <v>11</v>
      </c>
      <c r="H18" s="657" t="s">
        <v>12</v>
      </c>
      <c r="I18" s="158" t="s">
        <v>63</v>
      </c>
    </row>
    <row r="19" spans="1:9">
      <c r="A19" s="654" t="s">
        <v>64</v>
      </c>
      <c r="B19" s="661" t="s">
        <v>50</v>
      </c>
      <c r="C19" s="662">
        <v>18</v>
      </c>
      <c r="D19" s="209" t="s">
        <v>65</v>
      </c>
      <c r="E19" s="655" t="s">
        <v>66</v>
      </c>
      <c r="F19" s="560" t="s">
        <v>65</v>
      </c>
      <c r="G19" s="656" t="s">
        <v>11</v>
      </c>
      <c r="H19" s="657" t="s">
        <v>67</v>
      </c>
      <c r="I19" s="158"/>
    </row>
    <row r="20" ht="28.8" spans="1:9">
      <c r="A20" s="663" t="s">
        <v>68</v>
      </c>
      <c r="B20" s="661" t="s">
        <v>50</v>
      </c>
      <c r="C20" s="662">
        <v>19</v>
      </c>
      <c r="D20" s="209" t="s">
        <v>69</v>
      </c>
      <c r="E20" s="655" t="s">
        <v>70</v>
      </c>
      <c r="F20" s="560" t="s">
        <v>69</v>
      </c>
      <c r="G20" s="656" t="s">
        <v>11</v>
      </c>
      <c r="H20" s="657" t="s">
        <v>71</v>
      </c>
      <c r="I20" s="158" t="s">
        <v>43</v>
      </c>
    </row>
    <row r="21" spans="1:9">
      <c r="A21" s="651" t="s">
        <v>72</v>
      </c>
      <c r="B21" s="661" t="s">
        <v>50</v>
      </c>
      <c r="C21" s="662">
        <v>20</v>
      </c>
      <c r="D21" s="209" t="s">
        <v>44</v>
      </c>
      <c r="E21" s="655" t="s">
        <v>73</v>
      </c>
      <c r="F21" s="664" t="s">
        <v>48</v>
      </c>
      <c r="G21" s="656" t="s">
        <v>11</v>
      </c>
      <c r="H21" s="657" t="s">
        <v>74</v>
      </c>
      <c r="I21" s="158" t="s">
        <v>46</v>
      </c>
    </row>
    <row r="22" spans="1:9">
      <c r="A22" s="654" t="s">
        <v>64</v>
      </c>
      <c r="B22" s="661" t="s">
        <v>50</v>
      </c>
      <c r="C22" s="662">
        <v>21</v>
      </c>
      <c r="D22" s="209" t="s">
        <v>75</v>
      </c>
      <c r="E22" s="655" t="s">
        <v>76</v>
      </c>
      <c r="F22" s="587" t="s">
        <v>77</v>
      </c>
      <c r="G22" s="656" t="s">
        <v>11</v>
      </c>
      <c r="H22" s="657" t="s">
        <v>78</v>
      </c>
      <c r="I22" s="158" t="s">
        <v>79</v>
      </c>
    </row>
    <row r="23" spans="1:9">
      <c r="A23" s="654" t="s">
        <v>64</v>
      </c>
      <c r="B23" s="661" t="s">
        <v>50</v>
      </c>
      <c r="C23" s="662">
        <v>22</v>
      </c>
      <c r="D23" s="209" t="str">
        <f>F23</f>
        <v>销售费用</v>
      </c>
      <c r="E23" s="655" t="s">
        <v>80</v>
      </c>
      <c r="F23" s="576" t="s">
        <v>81</v>
      </c>
      <c r="G23" s="656" t="s">
        <v>11</v>
      </c>
      <c r="H23" s="657" t="s">
        <v>82</v>
      </c>
      <c r="I23" s="158"/>
    </row>
    <row r="24" spans="1:9">
      <c r="A24" s="654" t="s">
        <v>64</v>
      </c>
      <c r="B24" s="661" t="s">
        <v>50</v>
      </c>
      <c r="C24" s="662">
        <v>23</v>
      </c>
      <c r="D24" s="209" t="str">
        <f>F24</f>
        <v>管理费用</v>
      </c>
      <c r="E24" s="655" t="s">
        <v>83</v>
      </c>
      <c r="F24" s="560" t="s">
        <v>84</v>
      </c>
      <c r="G24" s="656" t="s">
        <v>16</v>
      </c>
      <c r="H24" s="657" t="s">
        <v>85</v>
      </c>
      <c r="I24" s="158"/>
    </row>
    <row r="25" spans="1:9">
      <c r="A25" s="654" t="s">
        <v>64</v>
      </c>
      <c r="B25" s="661" t="s">
        <v>50</v>
      </c>
      <c r="C25" s="662">
        <v>24</v>
      </c>
      <c r="D25" s="209" t="str">
        <f>F25</f>
        <v>财务费用</v>
      </c>
      <c r="E25" s="606" t="s">
        <v>86</v>
      </c>
      <c r="F25" s="560" t="s">
        <v>87</v>
      </c>
      <c r="G25" s="656" t="s">
        <v>16</v>
      </c>
      <c r="H25" s="657" t="s">
        <v>12</v>
      </c>
      <c r="I25" s="158"/>
    </row>
    <row r="26" spans="1:9">
      <c r="A26" s="654" t="s">
        <v>64</v>
      </c>
      <c r="B26" s="661" t="s">
        <v>50</v>
      </c>
      <c r="C26" s="662">
        <v>25</v>
      </c>
      <c r="D26" s="209" t="s">
        <v>88</v>
      </c>
      <c r="E26" s="655" t="s">
        <v>89</v>
      </c>
      <c r="F26" s="560" t="s">
        <v>88</v>
      </c>
      <c r="G26" s="656" t="s">
        <v>11</v>
      </c>
      <c r="H26" s="657" t="s">
        <v>12</v>
      </c>
      <c r="I26" s="158" t="s">
        <v>43</v>
      </c>
    </row>
    <row r="27" spans="1:9">
      <c r="A27" s="654" t="s">
        <v>64</v>
      </c>
      <c r="B27" s="661" t="s">
        <v>50</v>
      </c>
      <c r="C27" s="662">
        <v>26</v>
      </c>
      <c r="D27" s="209" t="s">
        <v>90</v>
      </c>
      <c r="E27" s="655" t="s">
        <v>90</v>
      </c>
      <c r="F27" s="560" t="s">
        <v>90</v>
      </c>
      <c r="G27" s="656" t="s">
        <v>11</v>
      </c>
      <c r="H27" s="657" t="s">
        <v>12</v>
      </c>
      <c r="I27" s="158"/>
    </row>
    <row r="28" spans="1:9">
      <c r="A28" s="654" t="s">
        <v>64</v>
      </c>
      <c r="B28" s="661" t="s">
        <v>50</v>
      </c>
      <c r="C28" s="662">
        <v>27</v>
      </c>
      <c r="D28" s="209" t="s">
        <v>91</v>
      </c>
      <c r="E28" s="655" t="s">
        <v>91</v>
      </c>
      <c r="F28" s="560" t="s">
        <v>91</v>
      </c>
      <c r="G28" s="656" t="s">
        <v>11</v>
      </c>
      <c r="H28" s="657" t="s">
        <v>12</v>
      </c>
      <c r="I28" s="158"/>
    </row>
    <row r="29" spans="1:9">
      <c r="A29" s="654" t="s">
        <v>64</v>
      </c>
      <c r="B29" s="661" t="s">
        <v>50</v>
      </c>
      <c r="C29" s="662">
        <v>28</v>
      </c>
      <c r="D29" s="209" t="s">
        <v>88</v>
      </c>
      <c r="E29" s="655" t="s">
        <v>92</v>
      </c>
      <c r="F29" s="560" t="s">
        <v>93</v>
      </c>
      <c r="G29" s="656" t="s">
        <v>11</v>
      </c>
      <c r="H29" s="657" t="s">
        <v>12</v>
      </c>
      <c r="I29" s="158"/>
    </row>
    <row r="30" spans="1:9">
      <c r="A30" s="654" t="s">
        <v>64</v>
      </c>
      <c r="B30" s="661" t="s">
        <v>50</v>
      </c>
      <c r="C30" s="662">
        <v>29</v>
      </c>
      <c r="D30" s="209" t="s">
        <v>94</v>
      </c>
      <c r="E30" s="655" t="s">
        <v>95</v>
      </c>
      <c r="F30" s="560" t="s">
        <v>96</v>
      </c>
      <c r="G30" s="656" t="s">
        <v>11</v>
      </c>
      <c r="H30" s="657" t="s">
        <v>97</v>
      </c>
      <c r="I30" s="158"/>
    </row>
    <row r="31" spans="1:9">
      <c r="A31" s="654" t="s">
        <v>64</v>
      </c>
      <c r="B31" s="661" t="s">
        <v>50</v>
      </c>
      <c r="C31" s="662">
        <v>30</v>
      </c>
      <c r="D31" s="209" t="s">
        <v>98</v>
      </c>
      <c r="E31" s="158" t="s">
        <v>99</v>
      </c>
      <c r="F31" s="158" t="s">
        <v>98</v>
      </c>
      <c r="G31" s="656" t="s">
        <v>11</v>
      </c>
      <c r="H31" s="657" t="s">
        <v>12</v>
      </c>
      <c r="I31" s="158"/>
    </row>
  </sheetData>
  <autoFilter xmlns:etc="http://www.wps.cn/officeDocument/2017/etCustomData" ref="A1:I31" etc:filterBottomFollowUsedRange="0">
    <extLst/>
  </autoFilter>
  <hyperlinks>
    <hyperlink ref="E4" location="'总体指标'!A1" display="总体指标"/>
    <hyperlink ref="E5" location="'年度利润表'!A1" display="年度利润表"/>
    <hyperlink ref="E2" location="'基础档案'!A1" display="基础档案"/>
    <hyperlink ref="E3" location="'物料档案'!A1" display="物料档案"/>
    <hyperlink ref="E6" location="'A6 表样-大类量利（查阅）'!A1" display="A6 表样-大类量利（查阅）"/>
    <hyperlink ref="E7" location="'A7 大类小类量利（查阅）'!A1" display="A7 大类小类量利（查阅）"/>
    <hyperlink ref="E8" location="'A9-表样-客户产品毛利表（外销）'!A1" display="A9-表样-客户产品毛利表（外销）"/>
    <hyperlink ref="E13" location="'14制造费用-生产、财务'!A1" display="查阅- 制造费用-生产、财务"/>
    <hyperlink ref="E9" location="'查阅-动保产品大类毛利'!A1" display="查阅-动保产品大类毛利"/>
    <hyperlink ref="E15" location="'填写-饲料销量-营销部'!A1" display="填写-饲料销量-营销部"/>
    <hyperlink ref="E16" location="'填写-动保销售额-营销部'!A1" display="填写-动保销售额-营销部"/>
    <hyperlink ref="E17" location="'填写-动保发酵料-营销部'!A1" display="填写-动保发酵料-营销部"/>
    <hyperlink ref="E20" location="'填写-配方成本-配方师'!A1" display="填写-配方成本-配方师"/>
    <hyperlink ref="E12" location="'填写-包材成本-采购、财务'!A1" display="填写-包材成本-采购、财务"/>
    <hyperlink ref="E21" location="'制造费用-填报生产部'!A1" display="制造费用-填报生产部"/>
    <hyperlink ref="E14" location="'单吨制费计算表'!A1" display="单吨制费计算表"/>
    <hyperlink ref="E22" location="'人工成本明细-人资'!A1" display="人工成本明细-人资"/>
    <hyperlink ref="E23" location="'销售费用-填报营销部'!A1" display="销售费用-填报营销部"/>
    <hyperlink ref="E26" location="'营业税金及附加-财务'!A1" display="营业税金及附加-财务"/>
    <hyperlink ref="E27" location="'其他业务收支'!A1" display="其他业务收支"/>
    <hyperlink ref="E28" location="'营业外收支'!A1" display="营业外收支"/>
    <hyperlink ref="E29" location="'所得税-财务'!A1" display="所得税-财务"/>
    <hyperlink ref="E30" location="'填写-养殖基地-明细'!A1" display="填写-养殖基地-明细"/>
    <hyperlink ref="E24" location="'24管理费用-职能部门'!A1" display="管理费用-各部门"/>
    <hyperlink ref="E10" location="'查阅-产品生产成本（类别）'!A1" display="查阅-产品生产成本（类别）"/>
    <hyperlink ref="E11" location="'查阅-产品生产成本（品系）'!A1" display="查阅-产品生产成本（品系）"/>
    <hyperlink ref="E19" location="' 产量-生产产量填报表'!A1" display=" 产量-生产产量填报表"/>
    <hyperlink ref="E18" location="'填写-产品价目折扣表-财务部'!A1" display="填写-产品价目折扣表-财务部"/>
    <hyperlink ref="E25" location="'25财务费用-财务部'!A1" display="财务费用-财务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18">
    <tabColor theme="0"/>
  </sheetPr>
  <dimension ref="A1:AD31"/>
  <sheetViews>
    <sheetView workbookViewId="0">
      <selection activeCell="A1" sqref="A1"/>
    </sheetView>
  </sheetViews>
  <sheetFormatPr defaultColWidth="8.90740740740741" defaultRowHeight="14.4"/>
  <cols>
    <col min="1" max="1" width="13.8148148148148" customWidth="1"/>
  </cols>
  <sheetData>
    <row r="1" s="604" customFormat="1" spans="1:30">
      <c r="A1" s="61" t="s">
        <v>100</v>
      </c>
      <c r="B1" s="605"/>
      <c r="C1" s="606" t="s">
        <v>101</v>
      </c>
      <c r="E1" s="607" t="s">
        <v>81</v>
      </c>
      <c r="F1" s="607"/>
      <c r="H1" s="608" t="s">
        <v>94</v>
      </c>
      <c r="I1" s="609" t="s">
        <v>102</v>
      </c>
      <c r="J1" s="609"/>
      <c r="K1" s="610" t="s">
        <v>103</v>
      </c>
      <c r="L1" s="610" t="s">
        <v>0</v>
      </c>
      <c r="M1" s="611" t="s">
        <v>104</v>
      </c>
      <c r="N1" s="611" t="s">
        <v>105</v>
      </c>
      <c r="O1" s="612" t="s">
        <v>106</v>
      </c>
      <c r="P1" s="613" t="s">
        <v>107</v>
      </c>
      <c r="Q1" s="610" t="s">
        <v>108</v>
      </c>
      <c r="R1" s="614"/>
      <c r="S1" s="610" t="s">
        <v>109</v>
      </c>
      <c r="T1" s="610" t="s">
        <v>110</v>
      </c>
      <c r="U1" s="610" t="s">
        <v>111</v>
      </c>
      <c r="V1" s="610" t="s">
        <v>112</v>
      </c>
      <c r="W1" s="609"/>
      <c r="X1" s="615" t="s">
        <v>113</v>
      </c>
      <c r="Y1" s="615"/>
      <c r="Z1" s="609"/>
      <c r="AA1" s="616" t="s">
        <v>107</v>
      </c>
      <c r="AB1" s="616" t="s">
        <v>114</v>
      </c>
      <c r="AC1" s="617" t="s">
        <v>115</v>
      </c>
      <c r="AD1" s="604" t="s">
        <v>116</v>
      </c>
    </row>
    <row r="2" s="604" customFormat="1" ht="13.2" spans="1:30">
      <c r="A2" s="618" t="s">
        <v>117</v>
      </c>
      <c r="B2" s="618"/>
      <c r="C2" s="618"/>
      <c r="E2" s="619" t="s">
        <v>118</v>
      </c>
      <c r="F2" s="619" t="s">
        <v>119</v>
      </c>
      <c r="H2" s="620" t="s">
        <v>117</v>
      </c>
      <c r="I2" s="621" t="s">
        <v>120</v>
      </c>
      <c r="J2" s="621" t="s">
        <v>121</v>
      </c>
      <c r="K2" s="622" t="s">
        <v>110</v>
      </c>
      <c r="L2" s="623">
        <v>1</v>
      </c>
      <c r="M2" s="623" t="s">
        <v>122</v>
      </c>
      <c r="N2" s="623" t="s">
        <v>123</v>
      </c>
      <c r="O2" s="624" t="s">
        <v>124</v>
      </c>
      <c r="P2" s="625" t="s">
        <v>125</v>
      </c>
      <c r="Q2" s="626" t="s">
        <v>126</v>
      </c>
      <c r="R2" s="627" t="s">
        <v>127</v>
      </c>
      <c r="S2" s="628" t="s">
        <v>122</v>
      </c>
      <c r="T2" s="628" t="s">
        <v>128</v>
      </c>
      <c r="U2" s="628" t="s">
        <v>129</v>
      </c>
      <c r="V2" s="628" t="s">
        <v>130</v>
      </c>
      <c r="W2" s="609"/>
      <c r="X2" s="629">
        <v>1</v>
      </c>
      <c r="Y2" s="615">
        <v>1</v>
      </c>
      <c r="Z2" s="609"/>
      <c r="AA2" s="616" t="s">
        <v>131</v>
      </c>
      <c r="AB2" s="616" t="s">
        <v>132</v>
      </c>
      <c r="AC2" s="617" t="s">
        <v>126</v>
      </c>
      <c r="AD2" s="604" t="s">
        <v>133</v>
      </c>
    </row>
    <row r="3" s="604" customFormat="1" ht="13.2" spans="1:30">
      <c r="A3" s="618"/>
      <c r="B3" s="630" t="s">
        <v>134</v>
      </c>
      <c r="C3" s="630" t="s">
        <v>135</v>
      </c>
      <c r="E3" s="631"/>
      <c r="F3" s="631"/>
      <c r="H3" s="632" t="s">
        <v>136</v>
      </c>
      <c r="I3" s="622" t="s">
        <v>84</v>
      </c>
      <c r="J3" s="622" t="s">
        <v>137</v>
      </c>
      <c r="K3" s="622" t="s">
        <v>109</v>
      </c>
      <c r="L3" s="623">
        <v>2</v>
      </c>
      <c r="M3" s="623" t="s">
        <v>138</v>
      </c>
      <c r="N3" s="623" t="s">
        <v>139</v>
      </c>
      <c r="O3" s="624" t="s">
        <v>124</v>
      </c>
      <c r="P3" s="625" t="s">
        <v>131</v>
      </c>
      <c r="Q3" s="626" t="s">
        <v>140</v>
      </c>
      <c r="R3" s="609"/>
      <c r="S3" s="628" t="s">
        <v>138</v>
      </c>
      <c r="T3" s="628" t="s">
        <v>141</v>
      </c>
      <c r="U3" s="628" t="s">
        <v>142</v>
      </c>
      <c r="V3" s="628" t="s">
        <v>143</v>
      </c>
      <c r="W3" s="609"/>
      <c r="X3" s="629">
        <v>2</v>
      </c>
      <c r="Y3" s="615">
        <v>2</v>
      </c>
      <c r="Z3" s="609"/>
      <c r="AA3" s="616" t="s">
        <v>125</v>
      </c>
      <c r="AB3" s="616" t="s">
        <v>144</v>
      </c>
      <c r="AC3" s="617" t="s">
        <v>145</v>
      </c>
      <c r="AD3" s="604" t="s">
        <v>146</v>
      </c>
    </row>
    <row r="4" s="604" customFormat="1" ht="13.2" spans="1:30">
      <c r="A4" s="633" t="s">
        <v>147</v>
      </c>
      <c r="B4" s="633"/>
      <c r="C4" s="633"/>
      <c r="E4" s="634" t="s">
        <v>148</v>
      </c>
      <c r="F4" s="634"/>
      <c r="H4" s="632" t="s">
        <v>149</v>
      </c>
      <c r="I4" s="622" t="s">
        <v>84</v>
      </c>
      <c r="J4" s="622" t="s">
        <v>150</v>
      </c>
      <c r="K4" s="622" t="s">
        <v>111</v>
      </c>
      <c r="L4" s="623">
        <v>3</v>
      </c>
      <c r="M4" s="623" t="s">
        <v>151</v>
      </c>
      <c r="N4" s="623" t="s">
        <v>152</v>
      </c>
      <c r="O4" s="624" t="s">
        <v>124</v>
      </c>
      <c r="P4" s="615"/>
      <c r="Q4" s="622" t="s">
        <v>153</v>
      </c>
      <c r="R4" s="609"/>
      <c r="S4" s="628" t="s">
        <v>151</v>
      </c>
      <c r="T4" s="628" t="s">
        <v>154</v>
      </c>
      <c r="U4" s="628" t="s">
        <v>155</v>
      </c>
      <c r="V4" s="628" t="s">
        <v>156</v>
      </c>
      <c r="W4" s="609"/>
      <c r="X4" s="629">
        <v>3</v>
      </c>
      <c r="Y4" s="615">
        <v>3</v>
      </c>
      <c r="Z4" s="609"/>
      <c r="AA4" s="616"/>
      <c r="AB4" s="635" t="s">
        <v>157</v>
      </c>
      <c r="AC4" s="617" t="s">
        <v>140</v>
      </c>
      <c r="AD4" s="604" t="s">
        <v>158</v>
      </c>
    </row>
    <row r="5" s="604" customFormat="1" ht="13.2" spans="1:30">
      <c r="A5" s="633" t="s">
        <v>159</v>
      </c>
      <c r="B5" s="633"/>
      <c r="C5" s="633"/>
      <c r="E5" s="622" t="s">
        <v>160</v>
      </c>
      <c r="F5" s="622"/>
      <c r="H5" s="632" t="s">
        <v>161</v>
      </c>
      <c r="I5" s="622" t="s">
        <v>84</v>
      </c>
      <c r="J5" s="622" t="s">
        <v>150</v>
      </c>
      <c r="K5" s="622" t="s">
        <v>112</v>
      </c>
      <c r="L5" s="623">
        <v>4</v>
      </c>
      <c r="M5" s="623" t="s">
        <v>162</v>
      </c>
      <c r="N5" s="623" t="s">
        <v>163</v>
      </c>
      <c r="O5" s="624" t="s">
        <v>124</v>
      </c>
      <c r="P5" s="615"/>
      <c r="Q5" s="622" t="s">
        <v>164</v>
      </c>
      <c r="R5" s="609"/>
      <c r="S5" s="628" t="s">
        <v>162</v>
      </c>
      <c r="T5" s="628" t="s">
        <v>165</v>
      </c>
      <c r="U5" s="628" t="s">
        <v>166</v>
      </c>
      <c r="V5" s="628" t="s">
        <v>167</v>
      </c>
      <c r="W5" s="609"/>
      <c r="X5" s="629">
        <v>4</v>
      </c>
      <c r="Y5" s="615">
        <v>4</v>
      </c>
      <c r="Z5" s="609"/>
      <c r="AA5" s="616"/>
      <c r="AB5" s="616"/>
      <c r="AC5" s="617" t="s">
        <v>168</v>
      </c>
      <c r="AD5" s="604" t="s">
        <v>169</v>
      </c>
    </row>
    <row r="6" s="604" customFormat="1" ht="13.2" spans="1:30">
      <c r="A6" s="633" t="s">
        <v>170</v>
      </c>
      <c r="B6" s="633"/>
      <c r="C6" s="633"/>
      <c r="E6" s="622" t="s">
        <v>171</v>
      </c>
      <c r="F6" s="622"/>
      <c r="H6" s="636" t="s">
        <v>172</v>
      </c>
      <c r="I6" s="637" t="s">
        <v>44</v>
      </c>
      <c r="J6" s="637" t="s">
        <v>173</v>
      </c>
      <c r="K6" s="609"/>
      <c r="L6" s="623">
        <v>5</v>
      </c>
      <c r="M6" s="623" t="s">
        <v>174</v>
      </c>
      <c r="N6" s="623" t="s">
        <v>175</v>
      </c>
      <c r="O6" s="624" t="s">
        <v>124</v>
      </c>
      <c r="P6" s="615"/>
      <c r="Q6" s="622" t="s">
        <v>176</v>
      </c>
      <c r="R6" s="609"/>
      <c r="S6" s="628" t="s">
        <v>177</v>
      </c>
      <c r="T6" s="628" t="s">
        <v>178</v>
      </c>
      <c r="U6" s="628" t="s">
        <v>179</v>
      </c>
      <c r="V6" s="628" t="s">
        <v>180</v>
      </c>
      <c r="W6" s="609"/>
      <c r="X6" s="629">
        <v>5</v>
      </c>
      <c r="Y6" s="615">
        <v>5</v>
      </c>
      <c r="Z6" s="609"/>
      <c r="AA6" s="616"/>
      <c r="AB6" s="616"/>
      <c r="AC6" s="617" t="s">
        <v>153</v>
      </c>
    </row>
    <row r="7" s="604" customFormat="1" ht="13.2" spans="1:30">
      <c r="A7" s="260" t="s">
        <v>181</v>
      </c>
      <c r="B7" s="260" t="s">
        <v>182</v>
      </c>
      <c r="C7" s="260" t="s">
        <v>183</v>
      </c>
      <c r="E7" s="622" t="s">
        <v>184</v>
      </c>
      <c r="F7" s="622"/>
      <c r="H7" s="632" t="s">
        <v>185</v>
      </c>
      <c r="I7" s="622" t="s">
        <v>84</v>
      </c>
      <c r="J7" s="622" t="s">
        <v>150</v>
      </c>
      <c r="K7" s="609"/>
      <c r="L7" s="623">
        <v>6</v>
      </c>
      <c r="M7" s="623" t="s">
        <v>186</v>
      </c>
      <c r="N7" s="623" t="s">
        <v>187</v>
      </c>
      <c r="O7" s="624" t="s">
        <v>124</v>
      </c>
      <c r="P7" s="615"/>
      <c r="Q7" s="622" t="s">
        <v>188</v>
      </c>
      <c r="R7" s="609"/>
      <c r="S7" s="628" t="s">
        <v>174</v>
      </c>
      <c r="T7" s="628" t="s">
        <v>189</v>
      </c>
      <c r="U7" s="628" t="s">
        <v>190</v>
      </c>
      <c r="V7" s="615"/>
      <c r="W7" s="609"/>
      <c r="X7" s="629">
        <v>6</v>
      </c>
      <c r="Y7" s="615">
        <v>6</v>
      </c>
      <c r="Z7" s="609"/>
      <c r="AA7" s="616"/>
      <c r="AB7" s="616"/>
      <c r="AC7" s="617" t="s">
        <v>164</v>
      </c>
    </row>
    <row r="8" s="604" customFormat="1" ht="13.2" spans="1:30">
      <c r="A8" s="638" t="s">
        <v>160</v>
      </c>
      <c r="B8" s="638" t="s">
        <v>191</v>
      </c>
      <c r="C8" s="638" t="s">
        <v>160</v>
      </c>
      <c r="E8" s="622" t="s">
        <v>192</v>
      </c>
      <c r="F8" s="622"/>
      <c r="H8" s="632" t="s">
        <v>193</v>
      </c>
      <c r="I8" s="622" t="s">
        <v>84</v>
      </c>
      <c r="J8" s="622" t="s">
        <v>150</v>
      </c>
      <c r="K8" s="609"/>
      <c r="L8" s="623">
        <v>7</v>
      </c>
      <c r="M8" s="623" t="s">
        <v>194</v>
      </c>
      <c r="N8" s="623" t="s">
        <v>195</v>
      </c>
      <c r="O8" s="624" t="s">
        <v>124</v>
      </c>
      <c r="P8" s="615"/>
      <c r="Q8" s="622" t="s">
        <v>196</v>
      </c>
      <c r="R8" s="609"/>
      <c r="S8" s="628" t="s">
        <v>186</v>
      </c>
      <c r="T8" s="628" t="s">
        <v>197</v>
      </c>
      <c r="U8" s="628" t="s">
        <v>198</v>
      </c>
      <c r="V8" s="615"/>
      <c r="W8" s="609"/>
      <c r="X8" s="629">
        <v>7</v>
      </c>
      <c r="Y8" s="615">
        <v>7</v>
      </c>
      <c r="Z8" s="609"/>
      <c r="AA8" s="609"/>
      <c r="AB8" s="609"/>
      <c r="AC8" s="617" t="s">
        <v>196</v>
      </c>
    </row>
    <row r="9" s="604" customFormat="1" ht="13.2" spans="1:30">
      <c r="A9" s="638" t="s">
        <v>171</v>
      </c>
      <c r="B9" s="638" t="s">
        <v>191</v>
      </c>
      <c r="C9" s="638" t="s">
        <v>171</v>
      </c>
      <c r="E9" s="622" t="s">
        <v>199</v>
      </c>
      <c r="F9" s="622"/>
      <c r="H9" s="632" t="s">
        <v>200</v>
      </c>
      <c r="I9" s="622" t="s">
        <v>84</v>
      </c>
      <c r="J9" s="622" t="s">
        <v>150</v>
      </c>
      <c r="K9" s="609"/>
      <c r="L9" s="628">
        <v>8</v>
      </c>
      <c r="M9" s="639" t="s">
        <v>128</v>
      </c>
      <c r="N9" s="639" t="s">
        <v>201</v>
      </c>
      <c r="O9" s="640" t="s">
        <v>124</v>
      </c>
      <c r="P9" s="615"/>
      <c r="Q9" s="622" t="s">
        <v>202</v>
      </c>
      <c r="R9" s="609"/>
      <c r="S9" s="628" t="s">
        <v>194</v>
      </c>
      <c r="T9" s="628" t="s">
        <v>203</v>
      </c>
      <c r="U9" s="628" t="s">
        <v>204</v>
      </c>
      <c r="V9" s="615"/>
      <c r="W9" s="609"/>
      <c r="X9" s="629">
        <v>8</v>
      </c>
      <c r="Y9" s="615">
        <v>8</v>
      </c>
      <c r="Z9" s="609"/>
      <c r="AA9" s="609"/>
      <c r="AB9" s="609"/>
      <c r="AC9" s="617" t="s">
        <v>202</v>
      </c>
    </row>
    <row r="10" s="604" customFormat="1" ht="13.2" spans="1:30">
      <c r="A10" s="638" t="s">
        <v>184</v>
      </c>
      <c r="B10" s="638" t="s">
        <v>191</v>
      </c>
      <c r="C10" s="638" t="s">
        <v>184</v>
      </c>
      <c r="E10" s="634" t="s">
        <v>205</v>
      </c>
      <c r="F10" s="634"/>
      <c r="H10" s="632" t="s">
        <v>206</v>
      </c>
      <c r="I10" s="622" t="s">
        <v>84</v>
      </c>
      <c r="J10" s="622" t="s">
        <v>150</v>
      </c>
      <c r="K10" s="609"/>
      <c r="L10" s="628">
        <v>9</v>
      </c>
      <c r="M10" s="639" t="s">
        <v>141</v>
      </c>
      <c r="N10" s="639" t="s">
        <v>207</v>
      </c>
      <c r="O10" s="640" t="s">
        <v>124</v>
      </c>
      <c r="P10" s="615"/>
      <c r="Q10" s="622" t="s">
        <v>208</v>
      </c>
      <c r="R10" s="609"/>
      <c r="S10" s="628" t="s">
        <v>209</v>
      </c>
      <c r="T10" s="628" t="s">
        <v>210</v>
      </c>
      <c r="U10" s="628" t="s">
        <v>211</v>
      </c>
      <c r="V10" s="615"/>
      <c r="W10" s="609"/>
      <c r="X10" s="629">
        <v>9</v>
      </c>
      <c r="Y10" s="615">
        <v>9</v>
      </c>
      <c r="Z10" s="609"/>
      <c r="AA10" s="609"/>
      <c r="AB10" s="609"/>
      <c r="AC10" s="617" t="s">
        <v>208</v>
      </c>
    </row>
    <row r="11" s="604" customFormat="1" ht="13.2" spans="1:30">
      <c r="A11" s="260" t="s">
        <v>212</v>
      </c>
      <c r="B11" s="260" t="s">
        <v>182</v>
      </c>
      <c r="C11" s="260" t="s">
        <v>183</v>
      </c>
      <c r="E11" s="622" t="s">
        <v>183</v>
      </c>
      <c r="F11" s="622"/>
      <c r="H11" s="632" t="s">
        <v>213</v>
      </c>
      <c r="I11" s="622" t="s">
        <v>84</v>
      </c>
      <c r="J11" s="622" t="s">
        <v>150</v>
      </c>
      <c r="K11" s="609"/>
      <c r="L11" s="628">
        <v>10</v>
      </c>
      <c r="M11" s="639" t="s">
        <v>165</v>
      </c>
      <c r="N11" s="639" t="s">
        <v>214</v>
      </c>
      <c r="O11" s="640" t="s">
        <v>124</v>
      </c>
      <c r="P11" s="615"/>
      <c r="Q11" s="609"/>
      <c r="R11" s="609"/>
      <c r="S11" s="615"/>
      <c r="T11" s="628" t="s">
        <v>215</v>
      </c>
      <c r="U11" s="628" t="s">
        <v>216</v>
      </c>
      <c r="V11" s="615"/>
      <c r="W11" s="609"/>
      <c r="X11" s="629">
        <v>10</v>
      </c>
      <c r="Y11" s="615">
        <v>10</v>
      </c>
      <c r="Z11" s="609"/>
      <c r="AA11" s="609"/>
      <c r="AB11" s="609"/>
      <c r="AC11" s="616" t="s">
        <v>217</v>
      </c>
    </row>
    <row r="12" s="604" customFormat="1" ht="13.2" spans="1:30">
      <c r="A12" s="260" t="s">
        <v>218</v>
      </c>
      <c r="B12" s="260" t="s">
        <v>182</v>
      </c>
      <c r="C12" s="260" t="s">
        <v>183</v>
      </c>
      <c r="E12" s="622" t="s">
        <v>219</v>
      </c>
      <c r="F12" s="622"/>
      <c r="H12" s="632" t="s">
        <v>220</v>
      </c>
      <c r="I12" s="622" t="s">
        <v>84</v>
      </c>
      <c r="J12" s="622" t="s">
        <v>150</v>
      </c>
      <c r="K12" s="609"/>
      <c r="L12" s="628">
        <v>11</v>
      </c>
      <c r="M12" s="639" t="s">
        <v>215</v>
      </c>
      <c r="N12" s="639" t="s">
        <v>221</v>
      </c>
      <c r="O12" s="640" t="s">
        <v>222</v>
      </c>
      <c r="P12" s="615"/>
      <c r="Q12" s="609"/>
      <c r="R12" s="609"/>
      <c r="S12" s="615"/>
      <c r="T12" s="615"/>
      <c r="U12" s="628" t="s">
        <v>223</v>
      </c>
      <c r="V12" s="615"/>
      <c r="W12" s="609"/>
      <c r="X12" s="629">
        <v>11</v>
      </c>
      <c r="Y12" s="615">
        <v>11</v>
      </c>
      <c r="Z12" s="609"/>
      <c r="AA12" s="609"/>
      <c r="AB12" s="609"/>
      <c r="AC12" s="609" t="s">
        <v>224</v>
      </c>
    </row>
    <row r="13" s="604" customFormat="1" ht="13.2" spans="1:30">
      <c r="A13" s="260" t="s">
        <v>225</v>
      </c>
      <c r="B13" s="260" t="s">
        <v>182</v>
      </c>
      <c r="C13" s="260" t="s">
        <v>183</v>
      </c>
      <c r="E13" s="622" t="s">
        <v>226</v>
      </c>
      <c r="F13" s="622"/>
      <c r="H13" s="632" t="s">
        <v>227</v>
      </c>
      <c r="I13" s="622" t="s">
        <v>84</v>
      </c>
      <c r="J13" s="622" t="s">
        <v>184</v>
      </c>
      <c r="K13" s="609"/>
      <c r="L13" s="628">
        <v>12</v>
      </c>
      <c r="M13" s="639" t="s">
        <v>178</v>
      </c>
      <c r="N13" s="639" t="s">
        <v>228</v>
      </c>
      <c r="O13" s="640" t="s">
        <v>222</v>
      </c>
      <c r="P13" s="615"/>
      <c r="Q13" s="609"/>
      <c r="R13" s="609"/>
      <c r="S13" s="615"/>
      <c r="T13" s="615"/>
      <c r="U13" s="628" t="s">
        <v>229</v>
      </c>
      <c r="V13" s="615"/>
      <c r="W13" s="609"/>
      <c r="X13" s="629">
        <v>12</v>
      </c>
      <c r="Y13" s="615">
        <v>12</v>
      </c>
      <c r="Z13" s="609"/>
      <c r="AA13" s="609"/>
      <c r="AB13" s="609"/>
      <c r="AC13" s="609"/>
    </row>
    <row r="14" s="604" customFormat="1" ht="13.2" spans="1:30">
      <c r="A14" s="260" t="s">
        <v>230</v>
      </c>
      <c r="B14" s="260" t="s">
        <v>182</v>
      </c>
      <c r="C14" s="260" t="s">
        <v>183</v>
      </c>
      <c r="E14" s="622" t="s">
        <v>231</v>
      </c>
      <c r="F14" s="622"/>
      <c r="H14" s="636" t="s">
        <v>232</v>
      </c>
      <c r="I14" s="641" t="s">
        <v>44</v>
      </c>
      <c r="J14" s="641" t="s">
        <v>137</v>
      </c>
      <c r="K14" s="609"/>
      <c r="L14" s="628">
        <v>13</v>
      </c>
      <c r="M14" s="639" t="s">
        <v>210</v>
      </c>
      <c r="N14" s="639" t="s">
        <v>233</v>
      </c>
      <c r="O14" s="640" t="s">
        <v>222</v>
      </c>
      <c r="P14" s="615"/>
      <c r="Q14" s="609"/>
      <c r="R14" s="609"/>
      <c r="S14" s="615"/>
      <c r="T14" s="615"/>
      <c r="U14" s="628" t="s">
        <v>234</v>
      </c>
      <c r="V14" s="615"/>
      <c r="W14" s="609"/>
      <c r="X14" s="629" t="s">
        <v>235</v>
      </c>
      <c r="Y14" s="615">
        <v>13</v>
      </c>
      <c r="Z14" s="609"/>
      <c r="AA14" s="609"/>
      <c r="AB14" s="609"/>
      <c r="AC14" s="609"/>
    </row>
    <row r="15" s="604" customFormat="1" ht="13.2" spans="1:30">
      <c r="A15" s="260" t="s">
        <v>236</v>
      </c>
      <c r="B15" s="260" t="s">
        <v>182</v>
      </c>
      <c r="C15" s="260" t="s">
        <v>219</v>
      </c>
      <c r="E15" s="622" t="s">
        <v>237</v>
      </c>
      <c r="F15" s="622"/>
      <c r="H15" s="632" t="s">
        <v>238</v>
      </c>
      <c r="I15" s="622" t="s">
        <v>84</v>
      </c>
      <c r="J15" s="622" t="s">
        <v>239</v>
      </c>
      <c r="K15" s="609"/>
      <c r="L15" s="628">
        <v>14</v>
      </c>
      <c r="M15" s="639" t="s">
        <v>203</v>
      </c>
      <c r="N15" s="639" t="s">
        <v>240</v>
      </c>
      <c r="O15" s="640" t="s">
        <v>124</v>
      </c>
      <c r="P15" s="615"/>
      <c r="Q15" s="609"/>
      <c r="R15" s="609"/>
      <c r="S15" s="615"/>
      <c r="T15" s="615"/>
      <c r="U15" s="615"/>
      <c r="V15" s="615"/>
      <c r="W15" s="609"/>
      <c r="X15" s="615"/>
      <c r="Y15" s="615"/>
      <c r="Z15" s="609"/>
      <c r="AA15" s="609"/>
      <c r="AB15" s="609"/>
      <c r="AC15" s="609"/>
    </row>
    <row r="16" s="604" customFormat="1" ht="13.2" spans="1:30">
      <c r="A16" s="260" t="s">
        <v>219</v>
      </c>
      <c r="B16" s="260" t="s">
        <v>182</v>
      </c>
      <c r="C16" s="260" t="s">
        <v>219</v>
      </c>
      <c r="E16" s="622" t="s">
        <v>241</v>
      </c>
      <c r="F16" s="622"/>
      <c r="H16" s="632" t="s">
        <v>242</v>
      </c>
      <c r="I16" s="622" t="s">
        <v>84</v>
      </c>
      <c r="J16" s="622" t="s">
        <v>239</v>
      </c>
      <c r="K16" s="609"/>
      <c r="L16" s="628">
        <v>15</v>
      </c>
      <c r="M16" s="639" t="s">
        <v>189</v>
      </c>
      <c r="N16" s="639" t="s">
        <v>243</v>
      </c>
      <c r="O16" s="640" t="s">
        <v>244</v>
      </c>
      <c r="P16" s="615"/>
      <c r="Q16" s="609"/>
      <c r="R16" s="609"/>
      <c r="S16" s="615"/>
      <c r="T16" s="615"/>
      <c r="U16" s="615"/>
      <c r="V16" s="615"/>
      <c r="W16" s="609"/>
      <c r="X16" s="615"/>
      <c r="Y16" s="615"/>
      <c r="Z16" s="609"/>
      <c r="AA16" s="609"/>
      <c r="AB16" s="609"/>
      <c r="AC16" s="609"/>
    </row>
    <row r="17" s="604" customFormat="1" ht="13.2" spans="1:29">
      <c r="A17" s="638" t="s">
        <v>226</v>
      </c>
      <c r="B17" s="260" t="s">
        <v>182</v>
      </c>
      <c r="C17" s="638" t="s">
        <v>183</v>
      </c>
      <c r="E17" s="642" t="s">
        <v>245</v>
      </c>
      <c r="F17" s="642"/>
      <c r="H17" s="632" t="s">
        <v>246</v>
      </c>
      <c r="I17" s="622" t="s">
        <v>84</v>
      </c>
      <c r="J17" s="622" t="s">
        <v>150</v>
      </c>
      <c r="K17" s="609"/>
      <c r="L17" s="628">
        <v>16</v>
      </c>
      <c r="M17" s="639" t="s">
        <v>129</v>
      </c>
      <c r="N17" s="639" t="s">
        <v>247</v>
      </c>
      <c r="O17" s="640" t="s">
        <v>124</v>
      </c>
      <c r="P17" s="615"/>
      <c r="Q17" s="609"/>
      <c r="R17" s="609"/>
      <c r="S17" s="615"/>
      <c r="T17" s="615"/>
      <c r="U17" s="615"/>
      <c r="V17" s="615"/>
      <c r="W17" s="609"/>
      <c r="X17" s="615"/>
      <c r="Y17" s="615"/>
      <c r="Z17" s="609"/>
      <c r="AA17" s="609"/>
      <c r="AB17" s="609"/>
      <c r="AC17" s="609"/>
    </row>
    <row r="18" s="604" customFormat="1" ht="13.2" spans="1:29">
      <c r="A18" s="260" t="s">
        <v>231</v>
      </c>
      <c r="B18" s="260" t="s">
        <v>182</v>
      </c>
      <c r="C18" s="260" t="s">
        <v>231</v>
      </c>
      <c r="E18" s="609"/>
      <c r="F18" s="609"/>
      <c r="H18" s="632" t="s">
        <v>248</v>
      </c>
      <c r="I18" s="622" t="s">
        <v>84</v>
      </c>
      <c r="J18" s="622" t="s">
        <v>239</v>
      </c>
      <c r="K18" s="609"/>
      <c r="L18" s="628">
        <v>17</v>
      </c>
      <c r="M18" s="639" t="s">
        <v>142</v>
      </c>
      <c r="N18" s="639" t="s">
        <v>249</v>
      </c>
      <c r="O18" s="640" t="s">
        <v>124</v>
      </c>
      <c r="P18" s="615"/>
      <c r="Q18" s="609"/>
      <c r="R18" s="609"/>
      <c r="S18" s="615"/>
      <c r="T18" s="615"/>
      <c r="U18" s="615"/>
      <c r="V18" s="615"/>
      <c r="W18" s="609"/>
      <c r="X18" s="615"/>
      <c r="Y18" s="615"/>
      <c r="Z18" s="609"/>
      <c r="AA18" s="609"/>
      <c r="AB18" s="609"/>
      <c r="AC18" s="609"/>
    </row>
    <row r="19" s="604" customFormat="1" ht="13.2" spans="1:29">
      <c r="A19" s="260" t="s">
        <v>250</v>
      </c>
      <c r="B19" s="260" t="s">
        <v>182</v>
      </c>
      <c r="C19" s="260" t="s">
        <v>237</v>
      </c>
      <c r="H19" s="632" t="s">
        <v>251</v>
      </c>
      <c r="I19" s="622" t="s">
        <v>84</v>
      </c>
      <c r="J19" s="622" t="s">
        <v>239</v>
      </c>
      <c r="K19" s="609"/>
      <c r="L19" s="628">
        <v>18</v>
      </c>
      <c r="M19" s="639" t="s">
        <v>155</v>
      </c>
      <c r="N19" s="639" t="s">
        <v>252</v>
      </c>
      <c r="O19" s="640" t="s">
        <v>222</v>
      </c>
      <c r="P19" s="615"/>
      <c r="Q19" s="609"/>
      <c r="R19" s="609"/>
      <c r="S19" s="615"/>
      <c r="T19" s="615"/>
      <c r="U19" s="615"/>
      <c r="V19" s="615"/>
      <c r="W19" s="609"/>
      <c r="X19" s="615"/>
      <c r="Y19" s="615"/>
      <c r="Z19" s="609"/>
      <c r="AA19" s="609"/>
      <c r="AB19" s="609"/>
      <c r="AC19" s="609"/>
    </row>
    <row r="20" s="604" customFormat="1" ht="13.2" spans="1:29">
      <c r="A20" s="260" t="s">
        <v>253</v>
      </c>
      <c r="B20" s="260" t="s">
        <v>182</v>
      </c>
      <c r="C20" s="260" t="s">
        <v>237</v>
      </c>
      <c r="E20" s="617" t="s">
        <v>84</v>
      </c>
      <c r="F20" s="617"/>
      <c r="H20" s="632" t="s">
        <v>254</v>
      </c>
      <c r="I20" s="622" t="s">
        <v>84</v>
      </c>
      <c r="J20" s="622" t="s">
        <v>150</v>
      </c>
      <c r="K20" s="609"/>
      <c r="L20" s="628">
        <v>19</v>
      </c>
      <c r="M20" s="639" t="s">
        <v>166</v>
      </c>
      <c r="N20" s="639" t="s">
        <v>255</v>
      </c>
      <c r="O20" s="640" t="s">
        <v>124</v>
      </c>
      <c r="P20" s="615"/>
      <c r="Q20" s="609"/>
      <c r="R20" s="609"/>
      <c r="S20" s="615"/>
      <c r="T20" s="615"/>
      <c r="U20" s="615"/>
      <c r="V20" s="615"/>
      <c r="W20" s="609"/>
      <c r="X20" s="615"/>
      <c r="Y20" s="615"/>
      <c r="Z20" s="609"/>
      <c r="AA20" s="609"/>
      <c r="AB20" s="609"/>
      <c r="AC20" s="609"/>
    </row>
    <row r="21" s="604" customFormat="1" ht="13.2" spans="1:29">
      <c r="A21" s="638" t="s">
        <v>192</v>
      </c>
      <c r="B21" s="638" t="s">
        <v>191</v>
      </c>
      <c r="C21" s="638" t="s">
        <v>192</v>
      </c>
      <c r="E21" s="643" t="s">
        <v>118</v>
      </c>
      <c r="F21" s="643"/>
      <c r="H21" s="632" t="s">
        <v>256</v>
      </c>
      <c r="I21" s="622" t="s">
        <v>84</v>
      </c>
      <c r="J21" s="622" t="s">
        <v>231</v>
      </c>
      <c r="K21" s="609"/>
      <c r="L21" s="628">
        <v>20</v>
      </c>
      <c r="M21" s="639" t="s">
        <v>190</v>
      </c>
      <c r="N21" s="644" t="s">
        <v>257</v>
      </c>
      <c r="O21" s="640" t="s">
        <v>244</v>
      </c>
      <c r="P21" s="615"/>
      <c r="Q21" s="609"/>
      <c r="R21" s="609"/>
      <c r="S21" s="615"/>
      <c r="T21" s="615"/>
      <c r="U21" s="615"/>
      <c r="V21" s="615"/>
      <c r="W21" s="609"/>
      <c r="X21" s="615"/>
      <c r="Y21" s="615"/>
      <c r="Z21" s="609"/>
      <c r="AA21" s="609"/>
      <c r="AB21" s="609"/>
      <c r="AC21" s="609"/>
    </row>
    <row r="22" s="604" customFormat="1" ht="13.2" spans="1:29">
      <c r="A22" s="260" t="s">
        <v>258</v>
      </c>
      <c r="B22" s="260" t="s">
        <v>182</v>
      </c>
      <c r="C22" s="260" t="s">
        <v>241</v>
      </c>
      <c r="E22" s="643"/>
      <c r="F22" s="643"/>
      <c r="H22" s="632" t="s">
        <v>259</v>
      </c>
      <c r="I22" s="622" t="s">
        <v>84</v>
      </c>
      <c r="J22" s="622" t="s">
        <v>150</v>
      </c>
      <c r="K22" s="609"/>
      <c r="L22" s="628">
        <v>22</v>
      </c>
      <c r="M22" s="639" t="s">
        <v>204</v>
      </c>
      <c r="N22" s="644" t="s">
        <v>257</v>
      </c>
      <c r="O22" s="640" t="s">
        <v>124</v>
      </c>
      <c r="P22" s="615"/>
      <c r="Q22" s="609"/>
      <c r="R22" s="609"/>
      <c r="S22" s="615"/>
      <c r="T22" s="615"/>
      <c r="U22" s="615"/>
      <c r="V22" s="615"/>
      <c r="W22" s="609"/>
      <c r="X22" s="615"/>
      <c r="Y22" s="615"/>
      <c r="Z22" s="609"/>
      <c r="AA22" s="609"/>
      <c r="AB22" s="609"/>
      <c r="AC22" s="609"/>
    </row>
    <row r="23" s="604" customFormat="1" ht="13.2" spans="1:29">
      <c r="A23" s="260" t="s">
        <v>245</v>
      </c>
      <c r="B23" s="260" t="s">
        <v>182</v>
      </c>
      <c r="C23" s="260" t="s">
        <v>245</v>
      </c>
      <c r="E23" s="634" t="s">
        <v>260</v>
      </c>
      <c r="F23" s="634"/>
      <c r="H23" s="636" t="s">
        <v>261</v>
      </c>
      <c r="I23" s="641" t="s">
        <v>44</v>
      </c>
      <c r="J23" s="641" t="s">
        <v>262</v>
      </c>
      <c r="K23" s="609"/>
      <c r="L23" s="628">
        <v>23</v>
      </c>
      <c r="M23" s="639" t="s">
        <v>211</v>
      </c>
      <c r="N23" s="639" t="s">
        <v>263</v>
      </c>
      <c r="O23" s="640" t="s">
        <v>124</v>
      </c>
      <c r="P23" s="615"/>
      <c r="Q23" s="609"/>
      <c r="R23" s="609"/>
      <c r="S23" s="615"/>
      <c r="T23" s="615"/>
      <c r="U23" s="615"/>
      <c r="V23" s="615"/>
      <c r="W23" s="609"/>
      <c r="X23" s="615"/>
      <c r="Y23" s="615"/>
      <c r="Z23" s="609"/>
      <c r="AA23" s="609"/>
      <c r="AB23" s="609"/>
      <c r="AC23" s="609"/>
    </row>
    <row r="24" s="604" customFormat="1" ht="13.2" spans="1:29">
      <c r="A24" s="260" t="s">
        <v>264</v>
      </c>
      <c r="B24" s="260" t="s">
        <v>182</v>
      </c>
      <c r="C24" s="260" t="s">
        <v>241</v>
      </c>
      <c r="E24" s="622" t="s">
        <v>184</v>
      </c>
      <c r="F24" s="622"/>
      <c r="H24" s="632" t="s">
        <v>265</v>
      </c>
      <c r="I24" s="622" t="s">
        <v>84</v>
      </c>
      <c r="J24" s="622" t="s">
        <v>150</v>
      </c>
      <c r="K24" s="609"/>
      <c r="L24" s="628">
        <v>24</v>
      </c>
      <c r="M24" s="639" t="s">
        <v>229</v>
      </c>
      <c r="N24" s="639" t="s">
        <v>266</v>
      </c>
      <c r="O24" s="640" t="s">
        <v>222</v>
      </c>
      <c r="P24" s="615"/>
      <c r="Q24" s="609"/>
      <c r="R24" s="609"/>
      <c r="S24" s="615"/>
      <c r="T24" s="615"/>
      <c r="U24" s="615"/>
      <c r="V24" s="615"/>
      <c r="W24" s="609"/>
      <c r="X24" s="615"/>
      <c r="Y24" s="615"/>
      <c r="Z24" s="609"/>
      <c r="AA24" s="609"/>
      <c r="AB24" s="609"/>
      <c r="AC24" s="609"/>
    </row>
    <row r="25" s="604" customFormat="1" ht="13.2" spans="1:29">
      <c r="A25" s="638" t="s">
        <v>267</v>
      </c>
      <c r="B25" s="638" t="s">
        <v>191</v>
      </c>
      <c r="C25" s="638" t="s">
        <v>192</v>
      </c>
      <c r="E25" s="622" t="s">
        <v>268</v>
      </c>
      <c r="F25" s="622"/>
      <c r="H25" s="645" t="s">
        <v>269</v>
      </c>
      <c r="I25" s="622" t="s">
        <v>44</v>
      </c>
      <c r="J25" s="622" t="s">
        <v>262</v>
      </c>
      <c r="K25" s="609"/>
      <c r="L25" s="628">
        <v>26</v>
      </c>
      <c r="M25" s="639" t="s">
        <v>143</v>
      </c>
      <c r="N25" s="646" t="s">
        <v>270</v>
      </c>
      <c r="O25" s="640" t="s">
        <v>124</v>
      </c>
      <c r="P25" s="615"/>
      <c r="Q25" s="609"/>
      <c r="R25" s="609"/>
      <c r="S25" s="615"/>
      <c r="T25" s="615"/>
      <c r="U25" s="615"/>
      <c r="V25" s="615"/>
      <c r="W25" s="609"/>
      <c r="X25" s="615"/>
      <c r="Y25" s="615"/>
      <c r="Z25" s="609"/>
      <c r="AA25" s="609"/>
      <c r="AB25" s="609"/>
      <c r="AC25" s="609"/>
    </row>
    <row r="26" s="604" customFormat="1" ht="13.2" spans="1:29">
      <c r="A26" s="260" t="s">
        <v>271</v>
      </c>
      <c r="B26" s="260" t="s">
        <v>182</v>
      </c>
      <c r="C26" s="260" t="s">
        <v>237</v>
      </c>
      <c r="E26" s="634" t="s">
        <v>272</v>
      </c>
      <c r="F26" s="634"/>
      <c r="H26" s="632" t="s">
        <v>273</v>
      </c>
      <c r="I26" s="622" t="s">
        <v>84</v>
      </c>
      <c r="J26" s="622" t="s">
        <v>253</v>
      </c>
      <c r="K26" s="609"/>
      <c r="L26" s="628">
        <v>27</v>
      </c>
      <c r="M26" s="639" t="s">
        <v>156</v>
      </c>
      <c r="N26" s="639" t="s">
        <v>274</v>
      </c>
      <c r="O26" s="640" t="s">
        <v>124</v>
      </c>
      <c r="P26" s="615"/>
      <c r="Q26" s="609"/>
      <c r="R26" s="609"/>
      <c r="S26" s="615"/>
      <c r="T26" s="615"/>
      <c r="U26" s="615"/>
      <c r="V26" s="615"/>
      <c r="W26" s="609"/>
      <c r="X26" s="615"/>
      <c r="Y26" s="615"/>
      <c r="Z26" s="609"/>
      <c r="AA26" s="609"/>
      <c r="AB26" s="609"/>
      <c r="AC26" s="609"/>
    </row>
    <row r="27" s="604" customFormat="1" ht="13.2" spans="1:29">
      <c r="A27" s="638" t="s">
        <v>199</v>
      </c>
      <c r="B27" s="638" t="s">
        <v>191</v>
      </c>
      <c r="C27" s="638" t="s">
        <v>199</v>
      </c>
      <c r="E27" s="622" t="s">
        <v>150</v>
      </c>
      <c r="F27" s="622"/>
      <c r="H27" s="632" t="s">
        <v>275</v>
      </c>
      <c r="I27" s="622" t="s">
        <v>84</v>
      </c>
      <c r="J27" s="622" t="s">
        <v>239</v>
      </c>
      <c r="K27" s="609"/>
      <c r="L27" s="628">
        <v>28</v>
      </c>
      <c r="M27" s="639" t="s">
        <v>167</v>
      </c>
      <c r="N27" s="639" t="s">
        <v>276</v>
      </c>
      <c r="O27" s="640" t="s">
        <v>222</v>
      </c>
      <c r="P27" s="615"/>
      <c r="Q27" s="609"/>
      <c r="R27" s="609"/>
      <c r="S27" s="615"/>
      <c r="T27" s="615"/>
      <c r="U27" s="615"/>
      <c r="V27" s="615"/>
      <c r="W27" s="609"/>
      <c r="X27" s="615"/>
      <c r="Y27" s="615"/>
      <c r="Z27" s="609"/>
      <c r="AA27" s="609"/>
      <c r="AB27" s="609"/>
      <c r="AC27" s="609"/>
    </row>
    <row r="28" s="604" customFormat="1" ht="13.2" spans="1:29">
      <c r="A28" s="260" t="s">
        <v>277</v>
      </c>
      <c r="B28" s="260" t="s">
        <v>182</v>
      </c>
      <c r="C28" s="260" t="s">
        <v>241</v>
      </c>
      <c r="E28" s="622" t="s">
        <v>231</v>
      </c>
      <c r="F28" s="622"/>
      <c r="H28" s="632" t="s">
        <v>278</v>
      </c>
      <c r="I28" s="622" t="s">
        <v>84</v>
      </c>
      <c r="J28" s="622" t="s">
        <v>137</v>
      </c>
      <c r="K28" s="609"/>
      <c r="L28" s="628">
        <v>29</v>
      </c>
      <c r="M28" s="639" t="s">
        <v>180</v>
      </c>
      <c r="N28" s="639" t="s">
        <v>279</v>
      </c>
      <c r="O28" s="640" t="s">
        <v>180</v>
      </c>
      <c r="P28" s="615"/>
      <c r="Q28" s="609"/>
      <c r="R28" s="609"/>
      <c r="S28" s="615"/>
      <c r="T28" s="615"/>
      <c r="U28" s="615"/>
      <c r="V28" s="615"/>
      <c r="W28" s="609"/>
      <c r="X28" s="615"/>
      <c r="Y28" s="615"/>
      <c r="Z28" s="609"/>
      <c r="AA28" s="609"/>
      <c r="AB28" s="609"/>
      <c r="AC28" s="609"/>
    </row>
    <row r="29" s="604" customFormat="1" ht="13.2" spans="1:29">
      <c r="A29" s="260" t="s">
        <v>241</v>
      </c>
      <c r="B29" s="260" t="s">
        <v>182</v>
      </c>
      <c r="C29" s="260" t="s">
        <v>241</v>
      </c>
      <c r="E29" s="622" t="s">
        <v>239</v>
      </c>
      <c r="F29" s="622"/>
      <c r="H29" s="632" t="s">
        <v>280</v>
      </c>
      <c r="I29" s="622" t="s">
        <v>84</v>
      </c>
      <c r="J29" s="622" t="s">
        <v>137</v>
      </c>
      <c r="K29" s="609"/>
      <c r="L29" s="609"/>
      <c r="M29" s="609"/>
      <c r="N29" s="609"/>
      <c r="O29" s="647"/>
      <c r="P29" s="615"/>
      <c r="Q29" s="609"/>
      <c r="R29" s="609"/>
      <c r="S29" s="615"/>
      <c r="T29" s="615"/>
      <c r="U29" s="615"/>
      <c r="V29" s="615"/>
      <c r="W29" s="609"/>
      <c r="X29" s="615"/>
      <c r="Y29" s="615"/>
      <c r="Z29" s="609"/>
      <c r="AA29" s="609"/>
      <c r="AB29" s="609"/>
      <c r="AC29" s="609"/>
    </row>
    <row r="30" s="604" customFormat="1" ht="13.2" spans="1:29">
      <c r="A30" s="260" t="s">
        <v>281</v>
      </c>
      <c r="B30" s="260" t="s">
        <v>182</v>
      </c>
      <c r="C30" s="260" t="s">
        <v>241</v>
      </c>
      <c r="E30" s="622" t="s">
        <v>282</v>
      </c>
      <c r="F30" s="622"/>
      <c r="H30" s="632" t="s">
        <v>283</v>
      </c>
      <c r="I30" s="622" t="s">
        <v>84</v>
      </c>
      <c r="J30" s="622" t="s">
        <v>137</v>
      </c>
      <c r="K30" s="609"/>
      <c r="L30" s="609"/>
      <c r="M30" s="609"/>
      <c r="N30" s="609"/>
      <c r="O30" s="648"/>
      <c r="P30" s="615"/>
      <c r="Q30" s="609"/>
      <c r="R30" s="609"/>
      <c r="S30" s="615"/>
      <c r="T30" s="615"/>
      <c r="U30" s="615"/>
      <c r="V30" s="615"/>
      <c r="W30" s="609"/>
      <c r="X30" s="615"/>
      <c r="Y30" s="615"/>
      <c r="Z30" s="609"/>
      <c r="AA30" s="609"/>
      <c r="AB30" s="609"/>
      <c r="AC30" s="609"/>
    </row>
    <row r="31" s="604" customFormat="1" ht="13.2" spans="1:29">
      <c r="A31" s="260" t="s">
        <v>284</v>
      </c>
      <c r="B31" s="260" t="s">
        <v>182</v>
      </c>
      <c r="C31" s="260" t="s">
        <v>241</v>
      </c>
      <c r="E31" s="622" t="s">
        <v>285</v>
      </c>
      <c r="F31" s="622"/>
      <c r="H31" s="636" t="s">
        <v>286</v>
      </c>
      <c r="I31" s="641" t="s">
        <v>44</v>
      </c>
      <c r="J31" s="641" t="s">
        <v>262</v>
      </c>
      <c r="K31" s="609"/>
      <c r="L31" s="609"/>
      <c r="M31" s="609"/>
      <c r="N31" s="609"/>
      <c r="O31" s="648"/>
      <c r="P31" s="615"/>
      <c r="Q31" s="609"/>
      <c r="R31" s="609"/>
      <c r="S31" s="615"/>
      <c r="T31" s="615"/>
      <c r="U31" s="615"/>
      <c r="V31" s="615"/>
      <c r="W31" s="609"/>
      <c r="X31" s="615"/>
      <c r="Y31" s="615"/>
      <c r="Z31" s="609"/>
      <c r="AA31" s="609"/>
      <c r="AB31" s="609"/>
      <c r="AC31" s="609"/>
    </row>
  </sheetData>
  <mergeCells count="4">
    <mergeCell ref="A2:A3"/>
    <mergeCell ref="E2:E3"/>
    <mergeCell ref="E21:E22"/>
    <mergeCell ref="F2:F3"/>
  </mergeCells>
  <hyperlinks>
    <hyperlink ref="R2" location="目录!A1" display="目录!A1"/>
    <hyperlink ref="C1" location="导航目录!A1" display="返回目录"/>
    <hyperlink ref="A1" location="目录!A1" display="← 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9">
    <tabColor theme="0"/>
  </sheetPr>
  <dimension ref="A1:O234"/>
  <sheetViews>
    <sheetView workbookViewId="0">
      <selection activeCell="D28" sqref="D28"/>
    </sheetView>
  </sheetViews>
  <sheetFormatPr defaultColWidth="8.90740740740741" defaultRowHeight="14.4"/>
  <sheetData>
    <row r="1" spans="1:15">
      <c r="A1" s="61" t="s">
        <v>100</v>
      </c>
    </row>
    <row r="2" s="588" customFormat="1" ht="25" customHeight="1" spans="1:15">
      <c r="A2" s="589" t="s">
        <v>287</v>
      </c>
      <c r="B2" s="589" t="s">
        <v>288</v>
      </c>
      <c r="C2" s="590" t="s">
        <v>289</v>
      </c>
      <c r="D2" s="590" t="s">
        <v>290</v>
      </c>
      <c r="E2" s="590" t="s">
        <v>289</v>
      </c>
      <c r="F2" s="590" t="s">
        <v>291</v>
      </c>
      <c r="G2" s="590" t="s">
        <v>292</v>
      </c>
      <c r="H2" s="589" t="s">
        <v>293</v>
      </c>
      <c r="I2" s="591" t="s">
        <v>294</v>
      </c>
      <c r="J2" s="592" t="s">
        <v>295</v>
      </c>
      <c r="O2" s="438"/>
    </row>
    <row r="3" s="588" customFormat="1" spans="1:15">
      <c r="A3" s="593" t="s">
        <v>296</v>
      </c>
      <c r="B3" s="594" t="s">
        <v>297</v>
      </c>
      <c r="C3" s="595" t="s">
        <v>298</v>
      </c>
      <c r="D3" s="596" t="s">
        <v>299</v>
      </c>
      <c r="E3" s="595">
        <v>2201020561</v>
      </c>
      <c r="F3" s="596" t="s">
        <v>153</v>
      </c>
      <c r="G3" s="594" t="s">
        <v>300</v>
      </c>
      <c r="H3" s="597"/>
      <c r="I3" s="597" t="s">
        <v>301</v>
      </c>
      <c r="J3" s="598" t="s">
        <v>302</v>
      </c>
      <c r="K3" s="599" t="s">
        <v>303</v>
      </c>
      <c r="N3" s="600" t="s">
        <v>291</v>
      </c>
      <c r="O3" s="600" t="s">
        <v>116</v>
      </c>
    </row>
    <row r="4" s="588" customFormat="1" spans="1:15">
      <c r="A4" s="593" t="s">
        <v>296</v>
      </c>
      <c r="B4" s="594" t="s">
        <v>297</v>
      </c>
      <c r="C4" s="595" t="s">
        <v>304</v>
      </c>
      <c r="D4" s="596" t="s">
        <v>305</v>
      </c>
      <c r="E4" s="595">
        <v>2201020564</v>
      </c>
      <c r="F4" s="596" t="s">
        <v>153</v>
      </c>
      <c r="G4" s="594" t="s">
        <v>306</v>
      </c>
      <c r="H4" s="597" t="s">
        <v>307</v>
      </c>
      <c r="I4" s="597" t="s">
        <v>308</v>
      </c>
      <c r="J4" s="598" t="s">
        <v>309</v>
      </c>
      <c r="N4" s="601" t="s">
        <v>145</v>
      </c>
      <c r="O4" s="602" t="s">
        <v>133</v>
      </c>
    </row>
    <row r="5" s="588" customFormat="1" spans="1:15">
      <c r="A5" s="593" t="s">
        <v>296</v>
      </c>
      <c r="B5" s="594" t="s">
        <v>297</v>
      </c>
      <c r="C5" s="595" t="s">
        <v>310</v>
      </c>
      <c r="D5" s="596" t="s">
        <v>311</v>
      </c>
      <c r="E5" s="595">
        <v>2201020566</v>
      </c>
      <c r="F5" s="596" t="s">
        <v>153</v>
      </c>
      <c r="G5" s="594" t="s">
        <v>306</v>
      </c>
      <c r="H5" s="597" t="s">
        <v>307</v>
      </c>
      <c r="I5" s="597" t="s">
        <v>312</v>
      </c>
      <c r="J5" s="598" t="s">
        <v>313</v>
      </c>
      <c r="N5" s="601" t="s">
        <v>126</v>
      </c>
      <c r="O5" s="602" t="s">
        <v>133</v>
      </c>
    </row>
    <row r="6" s="588" customFormat="1" spans="1:15">
      <c r="A6" s="593" t="s">
        <v>296</v>
      </c>
      <c r="B6" s="594" t="s">
        <v>297</v>
      </c>
      <c r="C6" s="595" t="s">
        <v>314</v>
      </c>
      <c r="D6" s="596" t="s">
        <v>315</v>
      </c>
      <c r="E6" s="595">
        <v>2201020567</v>
      </c>
      <c r="F6" s="596" t="s">
        <v>153</v>
      </c>
      <c r="G6" s="594" t="s">
        <v>306</v>
      </c>
      <c r="H6" s="597" t="s">
        <v>307</v>
      </c>
      <c r="I6" s="597" t="s">
        <v>316</v>
      </c>
      <c r="J6" s="598" t="s">
        <v>313</v>
      </c>
      <c r="N6" s="601" t="s">
        <v>140</v>
      </c>
      <c r="O6" s="602" t="s">
        <v>133</v>
      </c>
    </row>
    <row r="7" s="588" customFormat="1" spans="1:15">
      <c r="A7" s="593" t="s">
        <v>296</v>
      </c>
      <c r="B7" s="594" t="s">
        <v>297</v>
      </c>
      <c r="C7" s="595" t="s">
        <v>317</v>
      </c>
      <c r="D7" s="596" t="s">
        <v>318</v>
      </c>
      <c r="E7" s="595">
        <v>2201020569</v>
      </c>
      <c r="F7" s="596" t="s">
        <v>153</v>
      </c>
      <c r="G7" s="594" t="s">
        <v>306</v>
      </c>
      <c r="H7" s="597"/>
      <c r="I7" s="597" t="s">
        <v>319</v>
      </c>
      <c r="J7" s="598" t="s">
        <v>320</v>
      </c>
      <c r="N7" s="601" t="s">
        <v>168</v>
      </c>
      <c r="O7" s="603" t="s">
        <v>146</v>
      </c>
    </row>
    <row r="8" s="588" customFormat="1" spans="1:15">
      <c r="A8" s="593" t="s">
        <v>296</v>
      </c>
      <c r="B8" s="594" t="s">
        <v>297</v>
      </c>
      <c r="C8" s="595" t="s">
        <v>321</v>
      </c>
      <c r="D8" s="596" t="s">
        <v>322</v>
      </c>
      <c r="E8" s="595">
        <v>2201020570</v>
      </c>
      <c r="F8" s="596" t="s">
        <v>153</v>
      </c>
      <c r="G8" s="594" t="s">
        <v>306</v>
      </c>
      <c r="H8" s="597"/>
      <c r="I8" s="597" t="s">
        <v>323</v>
      </c>
      <c r="J8" s="598" t="s">
        <v>320</v>
      </c>
      <c r="N8" s="601" t="s">
        <v>164</v>
      </c>
      <c r="O8" s="602" t="s">
        <v>324</v>
      </c>
    </row>
    <row r="9" s="588" customFormat="1" spans="1:15">
      <c r="A9" s="593" t="s">
        <v>296</v>
      </c>
      <c r="B9" s="594" t="s">
        <v>325</v>
      </c>
      <c r="C9" s="595" t="s">
        <v>326</v>
      </c>
      <c r="D9" s="596" t="s">
        <v>327</v>
      </c>
      <c r="E9" s="595">
        <v>2201020571</v>
      </c>
      <c r="F9" s="596" t="s">
        <v>153</v>
      </c>
      <c r="G9" s="594" t="s">
        <v>306</v>
      </c>
      <c r="H9" s="597"/>
      <c r="I9" s="597" t="s">
        <v>328</v>
      </c>
      <c r="J9" s="598" t="s">
        <v>320</v>
      </c>
      <c r="N9" s="601" t="s">
        <v>153</v>
      </c>
      <c r="O9" s="603" t="s">
        <v>324</v>
      </c>
    </row>
    <row r="10" s="588" customFormat="1" spans="1:15">
      <c r="A10" s="593" t="s">
        <v>296</v>
      </c>
      <c r="B10" s="594" t="s">
        <v>325</v>
      </c>
      <c r="C10" s="595" t="s">
        <v>329</v>
      </c>
      <c r="D10" s="596" t="s">
        <v>330</v>
      </c>
      <c r="E10" s="595">
        <v>2201020576</v>
      </c>
      <c r="F10" s="596" t="s">
        <v>153</v>
      </c>
      <c r="G10" s="594" t="s">
        <v>331</v>
      </c>
      <c r="H10" s="597"/>
      <c r="I10" s="597" t="s">
        <v>332</v>
      </c>
      <c r="J10" s="598" t="s">
        <v>333</v>
      </c>
      <c r="N10" s="601" t="s">
        <v>208</v>
      </c>
      <c r="O10" s="602" t="s">
        <v>169</v>
      </c>
    </row>
    <row r="11" s="588" customFormat="1" spans="1:15">
      <c r="A11" s="593" t="s">
        <v>296</v>
      </c>
      <c r="B11" s="594" t="s">
        <v>297</v>
      </c>
      <c r="C11" s="595" t="s">
        <v>334</v>
      </c>
      <c r="D11" s="596" t="s">
        <v>335</v>
      </c>
      <c r="E11" s="595">
        <v>2201020582</v>
      </c>
      <c r="F11" s="596" t="s">
        <v>153</v>
      </c>
      <c r="G11" s="594" t="s">
        <v>306</v>
      </c>
      <c r="H11" s="597"/>
      <c r="I11" s="597" t="s">
        <v>336</v>
      </c>
      <c r="J11" s="598" t="s">
        <v>337</v>
      </c>
      <c r="N11" s="601" t="s">
        <v>188</v>
      </c>
      <c r="O11" s="602" t="s">
        <v>169</v>
      </c>
    </row>
    <row r="12" s="588" customFormat="1" spans="1:15">
      <c r="A12" s="593" t="s">
        <v>296</v>
      </c>
      <c r="B12" s="594" t="s">
        <v>297</v>
      </c>
      <c r="C12" s="595" t="s">
        <v>338</v>
      </c>
      <c r="D12" s="596" t="s">
        <v>339</v>
      </c>
      <c r="E12" s="595">
        <v>2201020316</v>
      </c>
      <c r="F12" s="596" t="s">
        <v>153</v>
      </c>
      <c r="G12" s="594" t="s">
        <v>331</v>
      </c>
      <c r="H12" s="597" t="s">
        <v>340</v>
      </c>
      <c r="I12" s="597" t="s">
        <v>341</v>
      </c>
      <c r="J12" s="598" t="s">
        <v>342</v>
      </c>
      <c r="N12" s="601" t="s">
        <v>202</v>
      </c>
      <c r="O12" s="602" t="s">
        <v>169</v>
      </c>
    </row>
    <row r="13" s="588" customFormat="1" spans="1:15">
      <c r="A13" s="593" t="s">
        <v>296</v>
      </c>
      <c r="B13" s="594" t="s">
        <v>297</v>
      </c>
      <c r="C13" s="595" t="s">
        <v>343</v>
      </c>
      <c r="D13" s="596" t="s">
        <v>344</v>
      </c>
      <c r="E13" s="595">
        <v>2201020317</v>
      </c>
      <c r="F13" s="596" t="s">
        <v>153</v>
      </c>
      <c r="G13" s="594" t="s">
        <v>331</v>
      </c>
      <c r="H13" s="597" t="s">
        <v>340</v>
      </c>
      <c r="I13" s="597" t="s">
        <v>345</v>
      </c>
      <c r="J13" s="598" t="s">
        <v>342</v>
      </c>
      <c r="N13" s="601" t="s">
        <v>196</v>
      </c>
      <c r="O13" s="602" t="s">
        <v>169</v>
      </c>
    </row>
    <row r="14" s="588" customFormat="1" spans="1:15">
      <c r="A14" s="593" t="s">
        <v>296</v>
      </c>
      <c r="B14" s="594" t="s">
        <v>297</v>
      </c>
      <c r="C14" s="595" t="s">
        <v>346</v>
      </c>
      <c r="D14" s="596" t="s">
        <v>330</v>
      </c>
      <c r="E14" s="595">
        <v>2201020322</v>
      </c>
      <c r="F14" s="596" t="s">
        <v>153</v>
      </c>
      <c r="G14" s="594" t="s">
        <v>331</v>
      </c>
      <c r="H14" s="597" t="s">
        <v>340</v>
      </c>
      <c r="I14" s="597" t="s">
        <v>347</v>
      </c>
      <c r="J14" s="598" t="s">
        <v>333</v>
      </c>
      <c r="O14"/>
    </row>
    <row r="15" s="588" customFormat="1" spans="1:15">
      <c r="A15" s="593" t="s">
        <v>296</v>
      </c>
      <c r="B15" s="594" t="s">
        <v>297</v>
      </c>
      <c r="C15" s="595" t="s">
        <v>348</v>
      </c>
      <c r="D15" s="596" t="s">
        <v>349</v>
      </c>
      <c r="E15" s="595">
        <v>2201020327</v>
      </c>
      <c r="F15" s="596" t="s">
        <v>153</v>
      </c>
      <c r="G15" s="594" t="s">
        <v>306</v>
      </c>
      <c r="H15" s="597" t="s">
        <v>340</v>
      </c>
      <c r="I15" s="597" t="s">
        <v>350</v>
      </c>
      <c r="J15" s="598" t="s">
        <v>351</v>
      </c>
      <c r="O15"/>
    </row>
    <row r="16" s="588" customFormat="1" spans="1:15">
      <c r="A16" s="593" t="s">
        <v>296</v>
      </c>
      <c r="B16" s="594" t="s">
        <v>297</v>
      </c>
      <c r="C16" s="595" t="s">
        <v>352</v>
      </c>
      <c r="D16" s="596" t="s">
        <v>353</v>
      </c>
      <c r="E16" s="595">
        <v>2201050001</v>
      </c>
      <c r="F16" s="596" t="s">
        <v>153</v>
      </c>
      <c r="G16" s="594" t="s">
        <v>354</v>
      </c>
      <c r="H16" s="597"/>
      <c r="I16" s="597" t="s">
        <v>355</v>
      </c>
      <c r="J16" s="598" t="s">
        <v>356</v>
      </c>
      <c r="O16"/>
    </row>
    <row r="17" s="588" customFormat="1" spans="1:15">
      <c r="A17" s="593" t="s">
        <v>296</v>
      </c>
      <c r="B17" s="594" t="s">
        <v>297</v>
      </c>
      <c r="C17" s="595" t="s">
        <v>357</v>
      </c>
      <c r="D17" s="596" t="s">
        <v>358</v>
      </c>
      <c r="E17" s="595">
        <v>2201050002</v>
      </c>
      <c r="F17" s="596" t="s">
        <v>153</v>
      </c>
      <c r="G17" s="594" t="s">
        <v>354</v>
      </c>
      <c r="H17" s="597"/>
      <c r="I17" s="597" t="s">
        <v>359</v>
      </c>
      <c r="J17" s="598" t="s">
        <v>356</v>
      </c>
      <c r="O17"/>
    </row>
    <row r="18" s="588" customFormat="1" spans="1:15">
      <c r="A18" s="593" t="s">
        <v>296</v>
      </c>
      <c r="B18" s="594" t="s">
        <v>297</v>
      </c>
      <c r="C18" s="595" t="s">
        <v>360</v>
      </c>
      <c r="D18" s="596" t="s">
        <v>361</v>
      </c>
      <c r="E18" s="595">
        <v>2201050008</v>
      </c>
      <c r="F18" s="596" t="s">
        <v>176</v>
      </c>
      <c r="G18" s="594" t="s">
        <v>362</v>
      </c>
      <c r="H18" s="597"/>
      <c r="I18" s="597" t="s">
        <v>363</v>
      </c>
      <c r="J18" s="598" t="s">
        <v>364</v>
      </c>
      <c r="O18"/>
    </row>
    <row r="19" s="588" customFormat="1" spans="1:15">
      <c r="A19" s="593" t="s">
        <v>296</v>
      </c>
      <c r="B19" s="594" t="s">
        <v>297</v>
      </c>
      <c r="C19" s="595" t="s">
        <v>365</v>
      </c>
      <c r="D19" s="596" t="s">
        <v>366</v>
      </c>
      <c r="E19" s="595">
        <v>2201050009</v>
      </c>
      <c r="F19" s="596" t="s">
        <v>176</v>
      </c>
      <c r="G19" s="594" t="s">
        <v>367</v>
      </c>
      <c r="H19" s="597" t="s">
        <v>368</v>
      </c>
      <c r="I19" s="597" t="s">
        <v>369</v>
      </c>
      <c r="J19" s="598" t="s">
        <v>370</v>
      </c>
      <c r="O19"/>
    </row>
    <row r="20" s="588" customFormat="1" spans="1:15">
      <c r="A20" s="593" t="s">
        <v>296</v>
      </c>
      <c r="B20" s="594" t="s">
        <v>297</v>
      </c>
      <c r="C20" s="595" t="s">
        <v>371</v>
      </c>
      <c r="D20" s="596" t="s">
        <v>372</v>
      </c>
      <c r="E20" s="595">
        <v>2201050010</v>
      </c>
      <c r="F20" s="596" t="s">
        <v>176</v>
      </c>
      <c r="G20" s="594" t="s">
        <v>367</v>
      </c>
      <c r="H20" s="597" t="s">
        <v>368</v>
      </c>
      <c r="I20" s="597" t="s">
        <v>373</v>
      </c>
      <c r="J20" s="598" t="s">
        <v>370</v>
      </c>
      <c r="O20"/>
    </row>
    <row r="21" s="588" customFormat="1" spans="1:15">
      <c r="A21" s="593" t="s">
        <v>296</v>
      </c>
      <c r="B21" s="594" t="s">
        <v>297</v>
      </c>
      <c r="C21" s="595" t="s">
        <v>374</v>
      </c>
      <c r="D21" s="596" t="s">
        <v>375</v>
      </c>
      <c r="E21" s="595">
        <v>2201050011</v>
      </c>
      <c r="F21" s="596" t="s">
        <v>176</v>
      </c>
      <c r="G21" s="594" t="s">
        <v>367</v>
      </c>
      <c r="H21" s="597" t="s">
        <v>368</v>
      </c>
      <c r="I21" s="597" t="s">
        <v>376</v>
      </c>
      <c r="J21" s="598" t="s">
        <v>370</v>
      </c>
      <c r="O21"/>
    </row>
    <row r="22" s="588" customFormat="1" spans="1:15">
      <c r="A22" s="593" t="s">
        <v>296</v>
      </c>
      <c r="B22" s="594" t="s">
        <v>297</v>
      </c>
      <c r="C22" s="595" t="s">
        <v>377</v>
      </c>
      <c r="D22" s="596" t="s">
        <v>378</v>
      </c>
      <c r="E22" s="595">
        <v>2201050012</v>
      </c>
      <c r="F22" s="596" t="s">
        <v>176</v>
      </c>
      <c r="G22" s="594" t="s">
        <v>367</v>
      </c>
      <c r="H22" s="597"/>
      <c r="I22" s="597" t="s">
        <v>379</v>
      </c>
      <c r="J22" s="598" t="s">
        <v>380</v>
      </c>
      <c r="O22"/>
    </row>
    <row r="23" s="588" customFormat="1" spans="1:15">
      <c r="A23" s="593" t="s">
        <v>296</v>
      </c>
      <c r="B23" s="594" t="s">
        <v>297</v>
      </c>
      <c r="C23" s="595" t="s">
        <v>381</v>
      </c>
      <c r="D23" s="596" t="s">
        <v>382</v>
      </c>
      <c r="E23" s="595">
        <v>2201050013</v>
      </c>
      <c r="F23" s="596" t="s">
        <v>176</v>
      </c>
      <c r="G23" s="594" t="s">
        <v>367</v>
      </c>
      <c r="H23" s="597"/>
      <c r="I23" s="597" t="s">
        <v>383</v>
      </c>
      <c r="J23" s="598" t="s">
        <v>380</v>
      </c>
      <c r="O23"/>
    </row>
    <row r="24" s="588" customFormat="1" spans="1:15">
      <c r="A24" s="593" t="s">
        <v>296</v>
      </c>
      <c r="B24" s="594" t="s">
        <v>297</v>
      </c>
      <c r="C24" s="595" t="s">
        <v>384</v>
      </c>
      <c r="D24" s="596" t="s">
        <v>385</v>
      </c>
      <c r="E24" s="595">
        <v>2201050014</v>
      </c>
      <c r="F24" s="596" t="s">
        <v>176</v>
      </c>
      <c r="G24" s="594" t="s">
        <v>367</v>
      </c>
      <c r="H24" s="597"/>
      <c r="I24" s="597" t="s">
        <v>386</v>
      </c>
      <c r="J24" s="598" t="s">
        <v>380</v>
      </c>
      <c r="O24"/>
    </row>
    <row r="25" s="588" customFormat="1" spans="1:15">
      <c r="A25" s="593" t="s">
        <v>296</v>
      </c>
      <c r="B25" s="594" t="s">
        <v>325</v>
      </c>
      <c r="C25" s="595" t="s">
        <v>387</v>
      </c>
      <c r="D25" s="596" t="s">
        <v>388</v>
      </c>
      <c r="E25" s="595">
        <v>2201020584</v>
      </c>
      <c r="F25" s="596" t="s">
        <v>153</v>
      </c>
      <c r="G25" s="594" t="s">
        <v>306</v>
      </c>
      <c r="H25" s="597"/>
      <c r="I25" s="597" t="s">
        <v>389</v>
      </c>
      <c r="J25" s="598" t="s">
        <v>390</v>
      </c>
      <c r="O25"/>
    </row>
    <row r="26" s="588" customFormat="1" spans="1:15">
      <c r="A26" s="593" t="s">
        <v>296</v>
      </c>
      <c r="B26" s="594" t="s">
        <v>297</v>
      </c>
      <c r="C26" s="595" t="s">
        <v>391</v>
      </c>
      <c r="D26" s="596" t="s">
        <v>392</v>
      </c>
      <c r="E26" s="595">
        <v>2201020585</v>
      </c>
      <c r="F26" s="596" t="s">
        <v>153</v>
      </c>
      <c r="G26" s="594" t="s">
        <v>306</v>
      </c>
      <c r="H26" s="597"/>
      <c r="I26" s="597" t="s">
        <v>393</v>
      </c>
      <c r="J26" s="598" t="s">
        <v>390</v>
      </c>
      <c r="O26"/>
    </row>
    <row r="27" s="588" customFormat="1" spans="1:15">
      <c r="A27" s="593" t="s">
        <v>296</v>
      </c>
      <c r="B27" s="594" t="s">
        <v>325</v>
      </c>
      <c r="C27" s="595" t="s">
        <v>394</v>
      </c>
      <c r="D27" s="596" t="s">
        <v>339</v>
      </c>
      <c r="E27" s="595">
        <v>2201020587</v>
      </c>
      <c r="F27" s="596" t="s">
        <v>153</v>
      </c>
      <c r="G27" s="594" t="s">
        <v>331</v>
      </c>
      <c r="H27" s="597"/>
      <c r="I27" s="597" t="s">
        <v>395</v>
      </c>
      <c r="J27" s="598" t="s">
        <v>342</v>
      </c>
      <c r="O27"/>
    </row>
    <row r="28" s="588" customFormat="1" spans="1:15">
      <c r="A28" s="593" t="s">
        <v>296</v>
      </c>
      <c r="B28" s="594" t="s">
        <v>325</v>
      </c>
      <c r="C28" s="595" t="s">
        <v>396</v>
      </c>
      <c r="D28" s="596" t="s">
        <v>344</v>
      </c>
      <c r="E28" s="595">
        <v>2201020588</v>
      </c>
      <c r="F28" s="596" t="s">
        <v>153</v>
      </c>
      <c r="G28" s="594" t="s">
        <v>331</v>
      </c>
      <c r="H28" s="597"/>
      <c r="I28" s="597" t="s">
        <v>397</v>
      </c>
      <c r="J28" s="598" t="s">
        <v>342</v>
      </c>
      <c r="O28"/>
    </row>
    <row r="29" s="588" customFormat="1" spans="1:15">
      <c r="A29" s="593" t="s">
        <v>296</v>
      </c>
      <c r="B29" s="594" t="s">
        <v>325</v>
      </c>
      <c r="C29" s="595" t="s">
        <v>398</v>
      </c>
      <c r="D29" s="596" t="s">
        <v>399</v>
      </c>
      <c r="E29" s="595">
        <v>2201020596</v>
      </c>
      <c r="F29" s="596" t="s">
        <v>153</v>
      </c>
      <c r="G29" s="594" t="s">
        <v>400</v>
      </c>
      <c r="H29" s="597" t="s">
        <v>401</v>
      </c>
      <c r="I29" s="597" t="s">
        <v>402</v>
      </c>
      <c r="J29" s="598" t="s">
        <v>403</v>
      </c>
      <c r="O29"/>
    </row>
    <row r="30" s="588" customFormat="1" spans="1:15">
      <c r="A30" s="593" t="s">
        <v>296</v>
      </c>
      <c r="B30" s="594" t="s">
        <v>297</v>
      </c>
      <c r="C30" s="595" t="s">
        <v>404</v>
      </c>
      <c r="D30" s="596" t="s">
        <v>405</v>
      </c>
      <c r="E30" s="595">
        <v>2201020698</v>
      </c>
      <c r="F30" s="596" t="s">
        <v>153</v>
      </c>
      <c r="G30" s="594" t="s">
        <v>306</v>
      </c>
      <c r="H30" s="597" t="s">
        <v>307</v>
      </c>
      <c r="I30" s="597" t="s">
        <v>406</v>
      </c>
      <c r="J30" s="598" t="s">
        <v>309</v>
      </c>
      <c r="O30"/>
    </row>
    <row r="31" s="588" customFormat="1" spans="1:15">
      <c r="A31" s="593" t="s">
        <v>296</v>
      </c>
      <c r="B31" s="594" t="s">
        <v>297</v>
      </c>
      <c r="C31" s="595" t="s">
        <v>407</v>
      </c>
      <c r="D31" s="596" t="s">
        <v>408</v>
      </c>
      <c r="E31" s="595">
        <v>2201020722</v>
      </c>
      <c r="F31" s="596" t="s">
        <v>153</v>
      </c>
      <c r="G31" s="594" t="s">
        <v>306</v>
      </c>
      <c r="H31" s="597" t="s">
        <v>340</v>
      </c>
      <c r="I31" s="597" t="s">
        <v>409</v>
      </c>
      <c r="J31" s="598" t="s">
        <v>309</v>
      </c>
      <c r="O31"/>
    </row>
    <row r="32" s="588" customFormat="1" spans="1:15">
      <c r="A32" s="593" t="s">
        <v>296</v>
      </c>
      <c r="B32" s="594" t="s">
        <v>297</v>
      </c>
      <c r="C32" s="595" t="s">
        <v>410</v>
      </c>
      <c r="D32" s="596" t="s">
        <v>411</v>
      </c>
      <c r="E32" s="595">
        <v>2201100091</v>
      </c>
      <c r="F32" s="596" t="s">
        <v>153</v>
      </c>
      <c r="G32" s="594" t="s">
        <v>354</v>
      </c>
      <c r="H32" s="597"/>
      <c r="I32" s="597" t="s">
        <v>412</v>
      </c>
      <c r="J32" s="598" t="s">
        <v>413</v>
      </c>
      <c r="O32"/>
    </row>
    <row r="33" s="588" customFormat="1" spans="1:15">
      <c r="A33" s="593" t="s">
        <v>296</v>
      </c>
      <c r="B33" s="594" t="s">
        <v>297</v>
      </c>
      <c r="C33" s="595" t="s">
        <v>414</v>
      </c>
      <c r="D33" s="596" t="s">
        <v>415</v>
      </c>
      <c r="E33" s="595">
        <v>2201100092</v>
      </c>
      <c r="F33" s="596" t="s">
        <v>153</v>
      </c>
      <c r="G33" s="594" t="s">
        <v>354</v>
      </c>
      <c r="H33" s="597"/>
      <c r="I33" s="597" t="s">
        <v>416</v>
      </c>
      <c r="J33" s="598" t="s">
        <v>413</v>
      </c>
      <c r="O33"/>
    </row>
    <row r="34" s="588" customFormat="1" spans="1:15">
      <c r="A34" s="593" t="s">
        <v>296</v>
      </c>
      <c r="B34" s="594" t="s">
        <v>297</v>
      </c>
      <c r="C34" s="595" t="s">
        <v>417</v>
      </c>
      <c r="D34" s="596" t="s">
        <v>418</v>
      </c>
      <c r="E34" s="595">
        <v>2201100093</v>
      </c>
      <c r="F34" s="596" t="s">
        <v>153</v>
      </c>
      <c r="G34" s="594" t="s">
        <v>354</v>
      </c>
      <c r="H34" s="597"/>
      <c r="I34" s="597" t="s">
        <v>419</v>
      </c>
      <c r="J34" s="598" t="s">
        <v>413</v>
      </c>
      <c r="O34"/>
    </row>
    <row r="35" s="588" customFormat="1" spans="1:15">
      <c r="A35" s="593" t="s">
        <v>296</v>
      </c>
      <c r="B35" s="594" t="s">
        <v>297</v>
      </c>
      <c r="C35" s="595" t="s">
        <v>420</v>
      </c>
      <c r="D35" s="596" t="s">
        <v>421</v>
      </c>
      <c r="E35" s="595">
        <v>2201100097</v>
      </c>
      <c r="F35" s="596" t="s">
        <v>153</v>
      </c>
      <c r="G35" s="594" t="s">
        <v>354</v>
      </c>
      <c r="H35" s="597" t="s">
        <v>422</v>
      </c>
      <c r="I35" s="597" t="s">
        <v>423</v>
      </c>
      <c r="J35" s="598" t="s">
        <v>424</v>
      </c>
      <c r="O35"/>
    </row>
    <row r="36" s="588" customFormat="1" spans="1:15">
      <c r="A36" s="593" t="s">
        <v>296</v>
      </c>
      <c r="B36" s="594" t="s">
        <v>297</v>
      </c>
      <c r="C36" s="595" t="s">
        <v>425</v>
      </c>
      <c r="D36" s="596" t="s">
        <v>426</v>
      </c>
      <c r="E36" s="595">
        <v>2201100098</v>
      </c>
      <c r="F36" s="596" t="s">
        <v>153</v>
      </c>
      <c r="G36" s="594" t="s">
        <v>354</v>
      </c>
      <c r="H36" s="597" t="s">
        <v>422</v>
      </c>
      <c r="I36" s="597" t="s">
        <v>427</v>
      </c>
      <c r="J36" s="598" t="s">
        <v>424</v>
      </c>
      <c r="O36"/>
    </row>
    <row r="37" s="588" customFormat="1" spans="1:15">
      <c r="A37" s="593" t="s">
        <v>296</v>
      </c>
      <c r="B37" s="594" t="s">
        <v>297</v>
      </c>
      <c r="C37" s="595" t="s">
        <v>428</v>
      </c>
      <c r="D37" s="596" t="s">
        <v>429</v>
      </c>
      <c r="E37" s="595">
        <v>2201100099</v>
      </c>
      <c r="F37" s="596" t="s">
        <v>153</v>
      </c>
      <c r="G37" s="594" t="s">
        <v>354</v>
      </c>
      <c r="H37" s="597" t="s">
        <v>422</v>
      </c>
      <c r="I37" s="597" t="s">
        <v>430</v>
      </c>
      <c r="J37" s="598" t="s">
        <v>424</v>
      </c>
      <c r="O37"/>
    </row>
    <row r="38" s="588" customFormat="1" spans="1:15">
      <c r="A38" s="593" t="s">
        <v>296</v>
      </c>
      <c r="B38" s="594" t="s">
        <v>297</v>
      </c>
      <c r="C38" s="595" t="s">
        <v>431</v>
      </c>
      <c r="D38" s="596" t="s">
        <v>432</v>
      </c>
      <c r="E38" s="595">
        <v>2202010176</v>
      </c>
      <c r="F38" s="596" t="s">
        <v>176</v>
      </c>
      <c r="G38" s="594" t="s">
        <v>433</v>
      </c>
      <c r="H38" s="597" t="s">
        <v>340</v>
      </c>
      <c r="I38" s="597" t="s">
        <v>434</v>
      </c>
      <c r="J38" s="598" t="s">
        <v>435</v>
      </c>
      <c r="O38"/>
    </row>
    <row r="39" s="588" customFormat="1" spans="1:15">
      <c r="A39" s="593" t="s">
        <v>296</v>
      </c>
      <c r="B39" s="594" t="s">
        <v>297</v>
      </c>
      <c r="C39" s="595" t="s">
        <v>436</v>
      </c>
      <c r="D39" s="596" t="s">
        <v>437</v>
      </c>
      <c r="E39" s="595">
        <v>2202010179</v>
      </c>
      <c r="F39" s="596" t="s">
        <v>176</v>
      </c>
      <c r="G39" s="594" t="s">
        <v>433</v>
      </c>
      <c r="H39" s="597" t="s">
        <v>340</v>
      </c>
      <c r="I39" s="597" t="s">
        <v>438</v>
      </c>
      <c r="J39" s="598" t="s">
        <v>439</v>
      </c>
      <c r="O39"/>
    </row>
    <row r="40" s="588" customFormat="1" spans="1:15">
      <c r="A40" s="593" t="s">
        <v>296</v>
      </c>
      <c r="B40" s="594" t="s">
        <v>297</v>
      </c>
      <c r="C40" s="595" t="s">
        <v>440</v>
      </c>
      <c r="D40" s="596" t="s">
        <v>441</v>
      </c>
      <c r="E40" s="595">
        <v>2202010183</v>
      </c>
      <c r="F40" s="596" t="s">
        <v>176</v>
      </c>
      <c r="G40" s="594" t="s">
        <v>433</v>
      </c>
      <c r="H40" s="597" t="s">
        <v>340</v>
      </c>
      <c r="I40" s="597" t="s">
        <v>442</v>
      </c>
      <c r="J40" s="598" t="s">
        <v>443</v>
      </c>
      <c r="O40"/>
    </row>
    <row r="41" s="588" customFormat="1" spans="1:15">
      <c r="A41" s="593" t="s">
        <v>296</v>
      </c>
      <c r="B41" s="594" t="s">
        <v>297</v>
      </c>
      <c r="C41" s="595" t="s">
        <v>444</v>
      </c>
      <c r="D41" s="596" t="s">
        <v>445</v>
      </c>
      <c r="E41" s="595">
        <v>2202010184</v>
      </c>
      <c r="F41" s="596" t="s">
        <v>176</v>
      </c>
      <c r="G41" s="594" t="s">
        <v>433</v>
      </c>
      <c r="H41" s="597" t="s">
        <v>340</v>
      </c>
      <c r="I41" s="597" t="s">
        <v>446</v>
      </c>
      <c r="J41" s="598" t="s">
        <v>447</v>
      </c>
      <c r="O41"/>
    </row>
    <row r="42" s="588" customFormat="1" spans="1:15">
      <c r="A42" s="593" t="s">
        <v>296</v>
      </c>
      <c r="B42" s="594" t="s">
        <v>297</v>
      </c>
      <c r="C42" s="595" t="s">
        <v>448</v>
      </c>
      <c r="D42" s="596" t="s">
        <v>449</v>
      </c>
      <c r="E42" s="595">
        <v>2202010185</v>
      </c>
      <c r="F42" s="596" t="s">
        <v>176</v>
      </c>
      <c r="G42" s="594" t="s">
        <v>433</v>
      </c>
      <c r="H42" s="597" t="s">
        <v>340</v>
      </c>
      <c r="I42" s="597" t="s">
        <v>450</v>
      </c>
      <c r="J42" s="598" t="s">
        <v>451</v>
      </c>
      <c r="O42"/>
    </row>
    <row r="43" s="588" customFormat="1" spans="1:15">
      <c r="A43" s="593" t="s">
        <v>296</v>
      </c>
      <c r="B43" s="594" t="s">
        <v>297</v>
      </c>
      <c r="C43" s="595" t="s">
        <v>452</v>
      </c>
      <c r="D43" s="596" t="s">
        <v>432</v>
      </c>
      <c r="E43" s="595">
        <v>2202010187</v>
      </c>
      <c r="F43" s="596" t="s">
        <v>176</v>
      </c>
      <c r="G43" s="594" t="s">
        <v>433</v>
      </c>
      <c r="H43" s="597" t="s">
        <v>340</v>
      </c>
      <c r="I43" s="597" t="s">
        <v>453</v>
      </c>
      <c r="J43" s="598" t="s">
        <v>435</v>
      </c>
      <c r="O43"/>
    </row>
    <row r="44" s="588" customFormat="1" spans="1:15">
      <c r="A44" s="593" t="s">
        <v>296</v>
      </c>
      <c r="B44" s="594" t="s">
        <v>297</v>
      </c>
      <c r="C44" s="595" t="s">
        <v>454</v>
      </c>
      <c r="D44" s="596" t="s">
        <v>455</v>
      </c>
      <c r="E44" s="595">
        <v>2202010188</v>
      </c>
      <c r="F44" s="596" t="s">
        <v>176</v>
      </c>
      <c r="G44" s="594" t="s">
        <v>433</v>
      </c>
      <c r="H44" s="597" t="s">
        <v>340</v>
      </c>
      <c r="I44" s="597" t="s">
        <v>456</v>
      </c>
      <c r="J44" s="598" t="s">
        <v>457</v>
      </c>
      <c r="O44"/>
    </row>
    <row r="45" s="588" customFormat="1" spans="1:15">
      <c r="A45" s="593" t="s">
        <v>296</v>
      </c>
      <c r="B45" s="594" t="s">
        <v>297</v>
      </c>
      <c r="C45" s="595" t="s">
        <v>458</v>
      </c>
      <c r="D45" s="596" t="s">
        <v>459</v>
      </c>
      <c r="E45" s="595">
        <v>2202010189</v>
      </c>
      <c r="F45" s="596" t="s">
        <v>176</v>
      </c>
      <c r="G45" s="594" t="s">
        <v>433</v>
      </c>
      <c r="H45" s="597" t="s">
        <v>340</v>
      </c>
      <c r="I45" s="597" t="s">
        <v>460</v>
      </c>
      <c r="J45" s="598" t="s">
        <v>461</v>
      </c>
      <c r="O45"/>
    </row>
    <row r="46" s="588" customFormat="1" spans="1:15">
      <c r="A46" s="593" t="s">
        <v>296</v>
      </c>
      <c r="B46" s="594" t="s">
        <v>325</v>
      </c>
      <c r="C46" s="595" t="s">
        <v>462</v>
      </c>
      <c r="D46" s="596" t="s">
        <v>463</v>
      </c>
      <c r="E46" s="595">
        <v>2202010195</v>
      </c>
      <c r="F46" s="596" t="s">
        <v>176</v>
      </c>
      <c r="G46" s="594" t="s">
        <v>433</v>
      </c>
      <c r="H46" s="597" t="s">
        <v>340</v>
      </c>
      <c r="I46" s="597" t="s">
        <v>464</v>
      </c>
      <c r="J46" s="598" t="s">
        <v>465</v>
      </c>
      <c r="O46"/>
    </row>
    <row r="47" s="588" customFormat="1" spans="1:15">
      <c r="A47" s="593" t="s">
        <v>296</v>
      </c>
      <c r="B47" s="594" t="s">
        <v>325</v>
      </c>
      <c r="C47" s="595" t="s">
        <v>466</v>
      </c>
      <c r="D47" s="596" t="s">
        <v>467</v>
      </c>
      <c r="E47" s="595">
        <v>2202010196</v>
      </c>
      <c r="F47" s="596" t="s">
        <v>176</v>
      </c>
      <c r="G47" s="594" t="s">
        <v>433</v>
      </c>
      <c r="H47" s="597" t="s">
        <v>340</v>
      </c>
      <c r="I47" s="597" t="s">
        <v>468</v>
      </c>
      <c r="J47" s="598" t="s">
        <v>469</v>
      </c>
      <c r="O47"/>
    </row>
    <row r="48" s="588" customFormat="1" spans="1:15">
      <c r="A48" s="593" t="s">
        <v>296</v>
      </c>
      <c r="B48" s="594" t="s">
        <v>297</v>
      </c>
      <c r="C48" s="595" t="s">
        <v>470</v>
      </c>
      <c r="D48" s="596" t="s">
        <v>471</v>
      </c>
      <c r="E48" s="595">
        <v>2202010198</v>
      </c>
      <c r="F48" s="596" t="s">
        <v>176</v>
      </c>
      <c r="G48" s="594" t="s">
        <v>433</v>
      </c>
      <c r="H48" s="597" t="s">
        <v>340</v>
      </c>
      <c r="I48" s="597" t="s">
        <v>472</v>
      </c>
      <c r="J48" s="598" t="s">
        <v>473</v>
      </c>
      <c r="O48"/>
    </row>
    <row r="49" s="588" customFormat="1" spans="1:15">
      <c r="A49" s="593" t="s">
        <v>296</v>
      </c>
      <c r="B49" s="594" t="s">
        <v>297</v>
      </c>
      <c r="C49" s="595" t="s">
        <v>474</v>
      </c>
      <c r="D49" s="596" t="s">
        <v>475</v>
      </c>
      <c r="E49" s="595">
        <v>2202010199</v>
      </c>
      <c r="F49" s="596" t="s">
        <v>176</v>
      </c>
      <c r="G49" s="594" t="s">
        <v>433</v>
      </c>
      <c r="H49" s="597" t="s">
        <v>340</v>
      </c>
      <c r="I49" s="597" t="s">
        <v>476</v>
      </c>
      <c r="J49" s="598" t="s">
        <v>477</v>
      </c>
      <c r="O49"/>
    </row>
    <row r="50" s="588" customFormat="1" spans="1:15">
      <c r="A50" s="593" t="s">
        <v>296</v>
      </c>
      <c r="B50" s="594" t="s">
        <v>297</v>
      </c>
      <c r="C50" s="595" t="s">
        <v>478</v>
      </c>
      <c r="D50" s="596" t="s">
        <v>479</v>
      </c>
      <c r="E50" s="595">
        <v>2202010200</v>
      </c>
      <c r="F50" s="596" t="s">
        <v>176</v>
      </c>
      <c r="G50" s="594" t="s">
        <v>433</v>
      </c>
      <c r="H50" s="597" t="s">
        <v>340</v>
      </c>
      <c r="I50" s="597" t="s">
        <v>480</v>
      </c>
      <c r="J50" s="598" t="s">
        <v>481</v>
      </c>
      <c r="O50"/>
    </row>
    <row r="51" s="588" customFormat="1" spans="1:15">
      <c r="A51" s="593" t="s">
        <v>296</v>
      </c>
      <c r="B51" s="594" t="s">
        <v>297</v>
      </c>
      <c r="C51" s="595" t="s">
        <v>482</v>
      </c>
      <c r="D51" s="596" t="s">
        <v>483</v>
      </c>
      <c r="E51" s="595">
        <v>2202010252</v>
      </c>
      <c r="F51" s="596" t="s">
        <v>176</v>
      </c>
      <c r="G51" s="594" t="s">
        <v>433</v>
      </c>
      <c r="H51" s="597" t="s">
        <v>484</v>
      </c>
      <c r="I51" s="597" t="s">
        <v>485</v>
      </c>
      <c r="J51" s="598" t="s">
        <v>486</v>
      </c>
      <c r="O51"/>
    </row>
    <row r="52" s="588" customFormat="1" spans="1:15">
      <c r="A52" s="593" t="s">
        <v>296</v>
      </c>
      <c r="B52" s="594" t="s">
        <v>297</v>
      </c>
      <c r="C52" s="595" t="s">
        <v>487</v>
      </c>
      <c r="D52" s="596" t="s">
        <v>488</v>
      </c>
      <c r="E52" s="595">
        <v>2202010253</v>
      </c>
      <c r="F52" s="596" t="s">
        <v>176</v>
      </c>
      <c r="G52" s="594" t="s">
        <v>433</v>
      </c>
      <c r="H52" s="597" t="s">
        <v>484</v>
      </c>
      <c r="I52" s="597" t="s">
        <v>489</v>
      </c>
      <c r="J52" s="598" t="s">
        <v>490</v>
      </c>
      <c r="O52"/>
    </row>
    <row r="53" s="588" customFormat="1" spans="1:15">
      <c r="A53" s="593" t="s">
        <v>296</v>
      </c>
      <c r="B53" s="594" t="s">
        <v>297</v>
      </c>
      <c r="C53" s="595" t="s">
        <v>491</v>
      </c>
      <c r="D53" s="596" t="s">
        <v>492</v>
      </c>
      <c r="E53" s="595">
        <v>2202010254</v>
      </c>
      <c r="F53" s="596" t="s">
        <v>176</v>
      </c>
      <c r="G53" s="594" t="s">
        <v>433</v>
      </c>
      <c r="H53" s="597" t="s">
        <v>484</v>
      </c>
      <c r="I53" s="597" t="s">
        <v>493</v>
      </c>
      <c r="J53" s="598" t="s">
        <v>494</v>
      </c>
      <c r="O53"/>
    </row>
    <row r="54" s="588" customFormat="1" spans="1:15">
      <c r="A54" s="593" t="s">
        <v>296</v>
      </c>
      <c r="B54" s="594" t="s">
        <v>297</v>
      </c>
      <c r="C54" s="595" t="s">
        <v>495</v>
      </c>
      <c r="D54" s="596" t="s">
        <v>496</v>
      </c>
      <c r="E54" s="595">
        <v>2201110012</v>
      </c>
      <c r="F54" s="596" t="s">
        <v>153</v>
      </c>
      <c r="G54" s="594" t="s">
        <v>497</v>
      </c>
      <c r="H54" s="597" t="s">
        <v>340</v>
      </c>
      <c r="I54" s="597" t="s">
        <v>498</v>
      </c>
      <c r="J54" s="598" t="s">
        <v>499</v>
      </c>
      <c r="O54"/>
    </row>
    <row r="55" s="588" customFormat="1" spans="1:15">
      <c r="A55" s="593" t="s">
        <v>296</v>
      </c>
      <c r="B55" s="594" t="s">
        <v>297</v>
      </c>
      <c r="C55" s="595" t="s">
        <v>500</v>
      </c>
      <c r="D55" s="596" t="s">
        <v>501</v>
      </c>
      <c r="E55" s="595">
        <v>2201110013</v>
      </c>
      <c r="F55" s="596" t="s">
        <v>153</v>
      </c>
      <c r="G55" s="594" t="s">
        <v>497</v>
      </c>
      <c r="H55" s="597" t="s">
        <v>340</v>
      </c>
      <c r="I55" s="597" t="s">
        <v>502</v>
      </c>
      <c r="J55" s="598" t="s">
        <v>499</v>
      </c>
      <c r="O55"/>
    </row>
    <row r="56" s="588" customFormat="1" spans="1:15">
      <c r="A56" s="593" t="s">
        <v>296</v>
      </c>
      <c r="B56" s="594" t="s">
        <v>297</v>
      </c>
      <c r="C56" s="595" t="s">
        <v>503</v>
      </c>
      <c r="D56" s="596" t="s">
        <v>504</v>
      </c>
      <c r="E56" s="595">
        <v>2202010058</v>
      </c>
      <c r="F56" s="596" t="s">
        <v>176</v>
      </c>
      <c r="G56" s="594" t="s">
        <v>505</v>
      </c>
      <c r="H56" s="597" t="s">
        <v>340</v>
      </c>
      <c r="I56" s="597" t="s">
        <v>506</v>
      </c>
      <c r="J56" s="598" t="s">
        <v>507</v>
      </c>
      <c r="O56"/>
    </row>
    <row r="57" s="588" customFormat="1" spans="1:15">
      <c r="A57" s="593" t="s">
        <v>296</v>
      </c>
      <c r="B57" s="594" t="s">
        <v>297</v>
      </c>
      <c r="C57" s="595" t="s">
        <v>508</v>
      </c>
      <c r="D57" s="596" t="s">
        <v>509</v>
      </c>
      <c r="E57" s="595">
        <v>2202010059</v>
      </c>
      <c r="F57" s="596" t="s">
        <v>176</v>
      </c>
      <c r="G57" s="594" t="s">
        <v>505</v>
      </c>
      <c r="H57" s="597" t="s">
        <v>340</v>
      </c>
      <c r="I57" s="597" t="s">
        <v>510</v>
      </c>
      <c r="J57" s="598" t="s">
        <v>511</v>
      </c>
      <c r="O57"/>
    </row>
    <row r="58" s="588" customFormat="1" spans="1:15">
      <c r="A58" s="593" t="s">
        <v>296</v>
      </c>
      <c r="B58" s="594" t="s">
        <v>297</v>
      </c>
      <c r="C58" s="595" t="s">
        <v>512</v>
      </c>
      <c r="D58" s="596" t="s">
        <v>513</v>
      </c>
      <c r="E58" s="595">
        <v>2202010060</v>
      </c>
      <c r="F58" s="596" t="s">
        <v>176</v>
      </c>
      <c r="G58" s="594" t="s">
        <v>505</v>
      </c>
      <c r="H58" s="597" t="s">
        <v>340</v>
      </c>
      <c r="I58" s="597" t="s">
        <v>514</v>
      </c>
      <c r="J58" s="598" t="s">
        <v>515</v>
      </c>
      <c r="O58"/>
    </row>
    <row r="59" s="588" customFormat="1" spans="1:15">
      <c r="A59" s="593" t="s">
        <v>296</v>
      </c>
      <c r="B59" s="594" t="s">
        <v>297</v>
      </c>
      <c r="C59" s="595" t="s">
        <v>516</v>
      </c>
      <c r="D59" s="596" t="s">
        <v>517</v>
      </c>
      <c r="E59" s="595">
        <v>2202010062</v>
      </c>
      <c r="F59" s="596" t="s">
        <v>176</v>
      </c>
      <c r="G59" s="594" t="s">
        <v>518</v>
      </c>
      <c r="H59" s="597" t="s">
        <v>340</v>
      </c>
      <c r="I59" s="597" t="s">
        <v>519</v>
      </c>
      <c r="J59" s="598" t="s">
        <v>520</v>
      </c>
      <c r="O59"/>
    </row>
    <row r="60" s="588" customFormat="1" spans="1:15">
      <c r="A60" s="593" t="s">
        <v>296</v>
      </c>
      <c r="B60" s="594" t="s">
        <v>297</v>
      </c>
      <c r="C60" s="595" t="s">
        <v>521</v>
      </c>
      <c r="D60" s="596" t="s">
        <v>522</v>
      </c>
      <c r="E60" s="595">
        <v>2202010087</v>
      </c>
      <c r="F60" s="596" t="s">
        <v>176</v>
      </c>
      <c r="G60" s="594" t="s">
        <v>518</v>
      </c>
      <c r="H60" s="597" t="s">
        <v>340</v>
      </c>
      <c r="I60" s="597" t="s">
        <v>523</v>
      </c>
      <c r="J60" s="598" t="s">
        <v>524</v>
      </c>
      <c r="O60"/>
    </row>
    <row r="61" s="588" customFormat="1" spans="1:15">
      <c r="A61" s="593" t="s">
        <v>296</v>
      </c>
      <c r="B61" s="594" t="s">
        <v>297</v>
      </c>
      <c r="C61" s="595" t="s">
        <v>525</v>
      </c>
      <c r="D61" s="596" t="s">
        <v>526</v>
      </c>
      <c r="E61" s="595">
        <v>2202010110</v>
      </c>
      <c r="F61" s="596" t="s">
        <v>176</v>
      </c>
      <c r="G61" s="594" t="s">
        <v>518</v>
      </c>
      <c r="H61" s="597" t="s">
        <v>340</v>
      </c>
      <c r="I61" s="597" t="s">
        <v>527</v>
      </c>
      <c r="J61" s="598" t="s">
        <v>528</v>
      </c>
      <c r="O61"/>
    </row>
    <row r="62" s="588" customFormat="1" spans="1:15">
      <c r="A62" s="593" t="s">
        <v>296</v>
      </c>
      <c r="B62" s="594" t="s">
        <v>297</v>
      </c>
      <c r="C62" s="595" t="s">
        <v>529</v>
      </c>
      <c r="D62" s="596" t="s">
        <v>530</v>
      </c>
      <c r="E62" s="595">
        <v>2202010112</v>
      </c>
      <c r="F62" s="596" t="s">
        <v>176</v>
      </c>
      <c r="G62" s="594" t="s">
        <v>518</v>
      </c>
      <c r="H62" s="597" t="s">
        <v>340</v>
      </c>
      <c r="I62" s="597" t="s">
        <v>531</v>
      </c>
      <c r="J62" s="598" t="s">
        <v>532</v>
      </c>
      <c r="O62"/>
    </row>
    <row r="63" s="588" customFormat="1" spans="1:15">
      <c r="A63" s="593" t="s">
        <v>296</v>
      </c>
      <c r="B63" s="594" t="s">
        <v>297</v>
      </c>
      <c r="C63" s="595" t="s">
        <v>533</v>
      </c>
      <c r="D63" s="596" t="s">
        <v>437</v>
      </c>
      <c r="E63" s="595">
        <v>2202010168</v>
      </c>
      <c r="F63" s="596" t="s">
        <v>176</v>
      </c>
      <c r="G63" s="594" t="s">
        <v>433</v>
      </c>
      <c r="H63" s="597" t="s">
        <v>340</v>
      </c>
      <c r="I63" s="597" t="s">
        <v>534</v>
      </c>
      <c r="J63" s="598" t="s">
        <v>439</v>
      </c>
      <c r="O63"/>
    </row>
    <row r="64" s="588" customFormat="1" spans="1:15">
      <c r="A64" s="593" t="s">
        <v>296</v>
      </c>
      <c r="B64" s="594" t="s">
        <v>297</v>
      </c>
      <c r="C64" s="595" t="s">
        <v>535</v>
      </c>
      <c r="D64" s="596" t="s">
        <v>536</v>
      </c>
      <c r="E64" s="595">
        <v>2202030176</v>
      </c>
      <c r="F64" s="596" t="s">
        <v>176</v>
      </c>
      <c r="G64" s="594" t="s">
        <v>537</v>
      </c>
      <c r="H64" s="597" t="s">
        <v>538</v>
      </c>
      <c r="I64" s="597" t="s">
        <v>539</v>
      </c>
      <c r="J64" s="598" t="s">
        <v>540</v>
      </c>
      <c r="O64"/>
    </row>
    <row r="65" s="588" customFormat="1" spans="1:15">
      <c r="A65" s="593" t="s">
        <v>296</v>
      </c>
      <c r="B65" s="594" t="s">
        <v>297</v>
      </c>
      <c r="C65" s="595" t="s">
        <v>541</v>
      </c>
      <c r="D65" s="596" t="s">
        <v>542</v>
      </c>
      <c r="E65" s="595">
        <v>2202030178</v>
      </c>
      <c r="F65" s="596" t="s">
        <v>176</v>
      </c>
      <c r="G65" s="594" t="s">
        <v>537</v>
      </c>
      <c r="H65" s="597" t="s">
        <v>543</v>
      </c>
      <c r="I65" s="597" t="s">
        <v>544</v>
      </c>
      <c r="J65" s="598" t="s">
        <v>545</v>
      </c>
      <c r="O65"/>
    </row>
    <row r="66" s="588" customFormat="1" spans="1:15">
      <c r="A66" s="593" t="s">
        <v>296</v>
      </c>
      <c r="B66" s="594" t="s">
        <v>297</v>
      </c>
      <c r="C66" s="595" t="s">
        <v>546</v>
      </c>
      <c r="D66" s="596" t="s">
        <v>547</v>
      </c>
      <c r="E66" s="595">
        <v>2202030181</v>
      </c>
      <c r="F66" s="596" t="s">
        <v>176</v>
      </c>
      <c r="G66" s="594" t="s">
        <v>537</v>
      </c>
      <c r="H66" s="597" t="s">
        <v>538</v>
      </c>
      <c r="I66" s="597" t="s">
        <v>548</v>
      </c>
      <c r="J66" s="598" t="s">
        <v>549</v>
      </c>
      <c r="O66"/>
    </row>
    <row r="67" s="588" customFormat="1" spans="1:15">
      <c r="A67" s="593" t="s">
        <v>296</v>
      </c>
      <c r="B67" s="594" t="s">
        <v>297</v>
      </c>
      <c r="C67" s="595" t="s">
        <v>550</v>
      </c>
      <c r="D67" s="596" t="s">
        <v>551</v>
      </c>
      <c r="E67" s="595">
        <v>2202040020</v>
      </c>
      <c r="F67" s="596" t="s">
        <v>176</v>
      </c>
      <c r="G67" s="594" t="s">
        <v>552</v>
      </c>
      <c r="H67" s="597" t="s">
        <v>340</v>
      </c>
      <c r="I67" s="597" t="s">
        <v>553</v>
      </c>
      <c r="J67" s="598" t="s">
        <v>554</v>
      </c>
      <c r="O67"/>
    </row>
    <row r="68" s="588" customFormat="1" spans="1:15">
      <c r="A68" s="593" t="s">
        <v>296</v>
      </c>
      <c r="B68" s="594" t="s">
        <v>297</v>
      </c>
      <c r="C68" s="595" t="s">
        <v>555</v>
      </c>
      <c r="D68" s="596" t="s">
        <v>556</v>
      </c>
      <c r="E68" s="595">
        <v>2202040046</v>
      </c>
      <c r="F68" s="596" t="s">
        <v>176</v>
      </c>
      <c r="G68" s="594" t="s">
        <v>552</v>
      </c>
      <c r="H68" s="597" t="s">
        <v>557</v>
      </c>
      <c r="I68" s="597" t="s">
        <v>558</v>
      </c>
      <c r="J68" s="598" t="s">
        <v>559</v>
      </c>
      <c r="O68"/>
    </row>
    <row r="69" s="588" customFormat="1" spans="1:15">
      <c r="A69" s="593" t="s">
        <v>296</v>
      </c>
      <c r="B69" s="594" t="s">
        <v>297</v>
      </c>
      <c r="C69" s="595" t="s">
        <v>560</v>
      </c>
      <c r="D69" s="596" t="s">
        <v>561</v>
      </c>
      <c r="E69" s="595">
        <v>2202040102</v>
      </c>
      <c r="F69" s="596" t="s">
        <v>176</v>
      </c>
      <c r="G69" s="594" t="s">
        <v>552</v>
      </c>
      <c r="H69" s="597" t="s">
        <v>557</v>
      </c>
      <c r="I69" s="597" t="s">
        <v>562</v>
      </c>
      <c r="J69" s="598" t="s">
        <v>559</v>
      </c>
      <c r="O69"/>
    </row>
    <row r="70" s="588" customFormat="1" spans="1:15">
      <c r="A70" s="593" t="s">
        <v>296</v>
      </c>
      <c r="B70" s="594" t="s">
        <v>297</v>
      </c>
      <c r="C70" s="595" t="s">
        <v>563</v>
      </c>
      <c r="D70" s="596" t="s">
        <v>556</v>
      </c>
      <c r="E70" s="595">
        <v>2202040103</v>
      </c>
      <c r="F70" s="596" t="s">
        <v>176</v>
      </c>
      <c r="G70" s="594" t="s">
        <v>552</v>
      </c>
      <c r="H70" s="597" t="s">
        <v>557</v>
      </c>
      <c r="I70" s="597" t="s">
        <v>564</v>
      </c>
      <c r="J70" s="598" t="s">
        <v>559</v>
      </c>
      <c r="O70"/>
    </row>
    <row r="71" s="588" customFormat="1" spans="1:15">
      <c r="A71" s="593" t="s">
        <v>296</v>
      </c>
      <c r="B71" s="594" t="s">
        <v>297</v>
      </c>
      <c r="C71" s="595" t="s">
        <v>565</v>
      </c>
      <c r="D71" s="596" t="s">
        <v>566</v>
      </c>
      <c r="E71" s="595">
        <v>2202040104</v>
      </c>
      <c r="F71" s="596" t="s">
        <v>176</v>
      </c>
      <c r="G71" s="594" t="s">
        <v>552</v>
      </c>
      <c r="H71" s="597" t="s">
        <v>340</v>
      </c>
      <c r="I71" s="597" t="s">
        <v>567</v>
      </c>
      <c r="J71" s="598" t="s">
        <v>568</v>
      </c>
      <c r="O71"/>
    </row>
    <row r="72" s="588" customFormat="1" spans="1:15">
      <c r="A72" s="593" t="s">
        <v>296</v>
      </c>
      <c r="B72" s="594" t="s">
        <v>297</v>
      </c>
      <c r="C72" s="595" t="s">
        <v>569</v>
      </c>
      <c r="D72" s="596" t="s">
        <v>570</v>
      </c>
      <c r="E72" s="595">
        <v>2202040105</v>
      </c>
      <c r="F72" s="596" t="s">
        <v>176</v>
      </c>
      <c r="G72" s="594" t="s">
        <v>552</v>
      </c>
      <c r="H72" s="597" t="s">
        <v>340</v>
      </c>
      <c r="I72" s="597" t="s">
        <v>571</v>
      </c>
      <c r="J72" s="598" t="s">
        <v>568</v>
      </c>
      <c r="O72"/>
    </row>
    <row r="73" s="588" customFormat="1" spans="1:15">
      <c r="A73" s="593" t="s">
        <v>296</v>
      </c>
      <c r="B73" s="594" t="s">
        <v>297</v>
      </c>
      <c r="C73" s="595" t="s">
        <v>572</v>
      </c>
      <c r="D73" s="596" t="s">
        <v>573</v>
      </c>
      <c r="E73" s="595">
        <v>2202040107</v>
      </c>
      <c r="F73" s="596" t="s">
        <v>176</v>
      </c>
      <c r="G73" s="594" t="s">
        <v>552</v>
      </c>
      <c r="H73" s="597" t="s">
        <v>340</v>
      </c>
      <c r="I73" s="597" t="s">
        <v>574</v>
      </c>
      <c r="J73" s="598" t="s">
        <v>575</v>
      </c>
      <c r="O73"/>
    </row>
    <row r="74" s="588" customFormat="1" spans="1:15">
      <c r="A74" s="593" t="s">
        <v>296</v>
      </c>
      <c r="B74" s="594" t="s">
        <v>297</v>
      </c>
      <c r="C74" s="595" t="s">
        <v>576</v>
      </c>
      <c r="D74" s="596" t="s">
        <v>577</v>
      </c>
      <c r="E74" s="595">
        <v>2202040108</v>
      </c>
      <c r="F74" s="596" t="s">
        <v>176</v>
      </c>
      <c r="G74" s="594" t="s">
        <v>552</v>
      </c>
      <c r="H74" s="597" t="s">
        <v>340</v>
      </c>
      <c r="I74" s="597" t="s">
        <v>578</v>
      </c>
      <c r="J74" s="598" t="s">
        <v>575</v>
      </c>
      <c r="O74"/>
    </row>
    <row r="75" s="588" customFormat="1" spans="1:15">
      <c r="A75" s="593" t="s">
        <v>296</v>
      </c>
      <c r="B75" s="594" t="s">
        <v>297</v>
      </c>
      <c r="C75" s="595" t="s">
        <v>579</v>
      </c>
      <c r="D75" s="596" t="s">
        <v>580</v>
      </c>
      <c r="E75" s="595">
        <v>2202040113</v>
      </c>
      <c r="F75" s="596" t="s">
        <v>176</v>
      </c>
      <c r="G75" s="594" t="s">
        <v>552</v>
      </c>
      <c r="H75" s="597" t="s">
        <v>340</v>
      </c>
      <c r="I75" s="597" t="s">
        <v>581</v>
      </c>
      <c r="J75" s="598" t="s">
        <v>552</v>
      </c>
      <c r="O75"/>
    </row>
    <row r="76" s="588" customFormat="1" spans="1:15">
      <c r="A76" s="593"/>
      <c r="B76" s="594" t="s">
        <v>297</v>
      </c>
      <c r="C76" s="595" t="s">
        <v>582</v>
      </c>
      <c r="D76" s="596" t="s">
        <v>583</v>
      </c>
      <c r="E76" s="595">
        <v>2202030008</v>
      </c>
      <c r="F76" s="596" t="s">
        <v>176</v>
      </c>
      <c r="G76" s="594" t="s">
        <v>537</v>
      </c>
      <c r="H76" s="597" t="s">
        <v>584</v>
      </c>
      <c r="I76" s="597" t="s">
        <v>585</v>
      </c>
      <c r="J76" s="598" t="s">
        <v>586</v>
      </c>
      <c r="O76"/>
    </row>
    <row r="77" s="588" customFormat="1" spans="1:15">
      <c r="A77" s="593"/>
      <c r="B77" s="594" t="s">
        <v>297</v>
      </c>
      <c r="C77" s="595" t="s">
        <v>587</v>
      </c>
      <c r="D77" s="596" t="s">
        <v>588</v>
      </c>
      <c r="E77" s="595">
        <v>2202040128</v>
      </c>
      <c r="F77" s="596" t="s">
        <v>176</v>
      </c>
      <c r="G77" s="594" t="s">
        <v>552</v>
      </c>
      <c r="H77" s="597" t="s">
        <v>557</v>
      </c>
      <c r="I77" s="597" t="s">
        <v>589</v>
      </c>
      <c r="J77" s="598" t="s">
        <v>590</v>
      </c>
      <c r="O77"/>
    </row>
    <row r="78" s="588" customFormat="1" spans="1:15">
      <c r="A78" s="593"/>
      <c r="B78" s="594" t="s">
        <v>297</v>
      </c>
      <c r="C78" s="595" t="s">
        <v>591</v>
      </c>
      <c r="D78" s="596" t="s">
        <v>592</v>
      </c>
      <c r="E78" s="595">
        <v>2202040129</v>
      </c>
      <c r="F78" s="596" t="s">
        <v>176</v>
      </c>
      <c r="G78" s="594" t="s">
        <v>552</v>
      </c>
      <c r="H78" s="597" t="s">
        <v>557</v>
      </c>
      <c r="I78" s="597" t="s">
        <v>593</v>
      </c>
      <c r="J78" s="598" t="s">
        <v>590</v>
      </c>
      <c r="O78"/>
    </row>
    <row r="79" s="588" customFormat="1" spans="1:15">
      <c r="A79" s="593"/>
      <c r="B79" s="594" t="s">
        <v>297</v>
      </c>
      <c r="C79" s="595" t="s">
        <v>594</v>
      </c>
      <c r="D79" s="596" t="s">
        <v>595</v>
      </c>
      <c r="E79" s="595">
        <v>2202040140</v>
      </c>
      <c r="F79" s="596" t="s">
        <v>176</v>
      </c>
      <c r="G79" s="594" t="s">
        <v>552</v>
      </c>
      <c r="H79" s="597" t="s">
        <v>557</v>
      </c>
      <c r="I79" s="597" t="s">
        <v>596</v>
      </c>
      <c r="J79" s="598" t="s">
        <v>590</v>
      </c>
      <c r="O79"/>
    </row>
    <row r="80" s="588" customFormat="1" spans="1:15">
      <c r="A80" s="593"/>
      <c r="B80" s="594" t="s">
        <v>297</v>
      </c>
      <c r="C80" s="595" t="s">
        <v>597</v>
      </c>
      <c r="D80" s="596" t="s">
        <v>598</v>
      </c>
      <c r="E80" s="595">
        <v>2202030081</v>
      </c>
      <c r="F80" s="596" t="s">
        <v>176</v>
      </c>
      <c r="G80" s="594" t="s">
        <v>537</v>
      </c>
      <c r="H80" s="597" t="s">
        <v>543</v>
      </c>
      <c r="I80" s="597" t="s">
        <v>599</v>
      </c>
      <c r="J80" s="598" t="s">
        <v>545</v>
      </c>
      <c r="O80"/>
    </row>
    <row r="81" s="588" customFormat="1" spans="1:15">
      <c r="A81" s="593"/>
      <c r="B81" s="594" t="s">
        <v>297</v>
      </c>
      <c r="C81" s="595" t="s">
        <v>600</v>
      </c>
      <c r="D81" s="596" t="s">
        <v>601</v>
      </c>
      <c r="E81" s="595">
        <v>2202030124</v>
      </c>
      <c r="F81" s="596" t="s">
        <v>176</v>
      </c>
      <c r="G81" s="594" t="s">
        <v>537</v>
      </c>
      <c r="H81" s="597" t="s">
        <v>602</v>
      </c>
      <c r="I81" s="597" t="s">
        <v>603</v>
      </c>
      <c r="J81" s="598" t="s">
        <v>604</v>
      </c>
      <c r="O81"/>
    </row>
    <row r="82" s="588" customFormat="1" spans="1:15">
      <c r="A82" s="593"/>
      <c r="B82" s="594" t="s">
        <v>297</v>
      </c>
      <c r="C82" s="595" t="s">
        <v>605</v>
      </c>
      <c r="D82" s="596" t="s">
        <v>606</v>
      </c>
      <c r="E82" s="595">
        <v>2202030125</v>
      </c>
      <c r="F82" s="596" t="s">
        <v>176</v>
      </c>
      <c r="G82" s="594" t="s">
        <v>537</v>
      </c>
      <c r="H82" s="597" t="s">
        <v>602</v>
      </c>
      <c r="I82" s="597" t="s">
        <v>607</v>
      </c>
      <c r="J82" s="598" t="s">
        <v>608</v>
      </c>
      <c r="O82"/>
    </row>
    <row r="83" s="588" customFormat="1" spans="1:15">
      <c r="A83" s="593"/>
      <c r="B83" s="594" t="s">
        <v>297</v>
      </c>
      <c r="C83" s="595" t="s">
        <v>609</v>
      </c>
      <c r="D83" s="596" t="s">
        <v>610</v>
      </c>
      <c r="E83" s="595">
        <v>2202030126</v>
      </c>
      <c r="F83" s="596" t="s">
        <v>176</v>
      </c>
      <c r="G83" s="594" t="s">
        <v>537</v>
      </c>
      <c r="H83" s="597" t="s">
        <v>602</v>
      </c>
      <c r="I83" s="597" t="s">
        <v>611</v>
      </c>
      <c r="J83" s="598" t="s">
        <v>612</v>
      </c>
      <c r="O83"/>
    </row>
    <row r="84" s="588" customFormat="1" spans="1:15">
      <c r="A84" s="593"/>
      <c r="B84" s="594" t="s">
        <v>297</v>
      </c>
      <c r="C84" s="595" t="s">
        <v>613</v>
      </c>
      <c r="D84" s="596" t="s">
        <v>614</v>
      </c>
      <c r="E84" s="595">
        <v>2202030127</v>
      </c>
      <c r="F84" s="596" t="s">
        <v>176</v>
      </c>
      <c r="G84" s="594" t="s">
        <v>537</v>
      </c>
      <c r="H84" s="597" t="s">
        <v>602</v>
      </c>
      <c r="I84" s="597" t="s">
        <v>615</v>
      </c>
      <c r="J84" s="598" t="s">
        <v>616</v>
      </c>
      <c r="O84"/>
    </row>
    <row r="85" s="588" customFormat="1" spans="1:15">
      <c r="A85" s="593"/>
      <c r="B85" s="594" t="s">
        <v>297</v>
      </c>
      <c r="C85" s="595" t="s">
        <v>617</v>
      </c>
      <c r="D85" s="596" t="s">
        <v>618</v>
      </c>
      <c r="E85" s="595">
        <v>2202030128</v>
      </c>
      <c r="F85" s="596" t="s">
        <v>176</v>
      </c>
      <c r="G85" s="594" t="s">
        <v>537</v>
      </c>
      <c r="H85" s="597" t="s">
        <v>602</v>
      </c>
      <c r="I85" s="597" t="s">
        <v>619</v>
      </c>
      <c r="J85" s="598" t="s">
        <v>620</v>
      </c>
      <c r="O85"/>
    </row>
    <row r="86" s="588" customFormat="1" spans="1:15">
      <c r="A86" s="593" t="s">
        <v>296</v>
      </c>
      <c r="B86" s="594" t="s">
        <v>325</v>
      </c>
      <c r="C86" s="595" t="s">
        <v>621</v>
      </c>
      <c r="D86" s="596" t="s">
        <v>622</v>
      </c>
      <c r="E86" s="595">
        <v>2202030130</v>
      </c>
      <c r="F86" s="596" t="s">
        <v>176</v>
      </c>
      <c r="G86" s="594" t="s">
        <v>537</v>
      </c>
      <c r="H86" s="597" t="s">
        <v>538</v>
      </c>
      <c r="I86" s="597" t="s">
        <v>623</v>
      </c>
      <c r="J86" s="598" t="s">
        <v>549</v>
      </c>
      <c r="O86"/>
    </row>
    <row r="87" s="588" customFormat="1" spans="1:15">
      <c r="A87" s="593" t="s">
        <v>296</v>
      </c>
      <c r="B87" s="594" t="s">
        <v>297</v>
      </c>
      <c r="C87" s="595" t="s">
        <v>624</v>
      </c>
      <c r="D87" s="596" t="s">
        <v>625</v>
      </c>
      <c r="E87" s="595">
        <v>2202030131</v>
      </c>
      <c r="F87" s="596" t="s">
        <v>176</v>
      </c>
      <c r="G87" s="594" t="s">
        <v>537</v>
      </c>
      <c r="H87" s="597" t="s">
        <v>538</v>
      </c>
      <c r="I87" s="597" t="s">
        <v>626</v>
      </c>
      <c r="J87" s="598" t="s">
        <v>627</v>
      </c>
      <c r="O87"/>
    </row>
    <row r="88" s="588" customFormat="1" spans="1:15">
      <c r="A88" s="593" t="s">
        <v>296</v>
      </c>
      <c r="B88" s="594" t="s">
        <v>297</v>
      </c>
      <c r="C88" s="595" t="s">
        <v>628</v>
      </c>
      <c r="D88" s="596" t="s">
        <v>629</v>
      </c>
      <c r="E88" s="595">
        <v>2202030132</v>
      </c>
      <c r="F88" s="596" t="s">
        <v>176</v>
      </c>
      <c r="G88" s="594" t="s">
        <v>537</v>
      </c>
      <c r="H88" s="597" t="s">
        <v>538</v>
      </c>
      <c r="I88" s="597" t="s">
        <v>630</v>
      </c>
      <c r="J88" s="598" t="s">
        <v>631</v>
      </c>
      <c r="O88"/>
    </row>
    <row r="89" s="588" customFormat="1" spans="1:15">
      <c r="A89" s="593" t="s">
        <v>296</v>
      </c>
      <c r="B89" s="594" t="s">
        <v>297</v>
      </c>
      <c r="C89" s="595" t="s">
        <v>632</v>
      </c>
      <c r="D89" s="596" t="s">
        <v>633</v>
      </c>
      <c r="E89" s="595">
        <v>2202030133</v>
      </c>
      <c r="F89" s="596" t="s">
        <v>176</v>
      </c>
      <c r="G89" s="594" t="s">
        <v>537</v>
      </c>
      <c r="H89" s="597" t="s">
        <v>538</v>
      </c>
      <c r="I89" s="597" t="s">
        <v>634</v>
      </c>
      <c r="J89" s="598" t="s">
        <v>635</v>
      </c>
      <c r="O89"/>
    </row>
    <row r="90" s="588" customFormat="1" spans="1:15">
      <c r="A90" s="593" t="s">
        <v>296</v>
      </c>
      <c r="B90" s="594" t="s">
        <v>297</v>
      </c>
      <c r="C90" s="595" t="s">
        <v>636</v>
      </c>
      <c r="D90" s="596" t="s">
        <v>637</v>
      </c>
      <c r="E90" s="595">
        <v>2202030134</v>
      </c>
      <c r="F90" s="596" t="s">
        <v>176</v>
      </c>
      <c r="G90" s="594" t="s">
        <v>537</v>
      </c>
      <c r="H90" s="597" t="s">
        <v>538</v>
      </c>
      <c r="I90" s="597" t="s">
        <v>638</v>
      </c>
      <c r="J90" s="598" t="s">
        <v>639</v>
      </c>
      <c r="O90"/>
    </row>
    <row r="91" s="588" customFormat="1" spans="1:15">
      <c r="A91" s="593" t="s">
        <v>296</v>
      </c>
      <c r="B91" s="594" t="s">
        <v>297</v>
      </c>
      <c r="C91" s="595" t="s">
        <v>640</v>
      </c>
      <c r="D91" s="596" t="s">
        <v>641</v>
      </c>
      <c r="E91" s="595">
        <v>2202030135</v>
      </c>
      <c r="F91" s="596" t="s">
        <v>176</v>
      </c>
      <c r="G91" s="594" t="s">
        <v>537</v>
      </c>
      <c r="H91" s="597" t="s">
        <v>538</v>
      </c>
      <c r="I91" s="597" t="s">
        <v>642</v>
      </c>
      <c r="J91" s="598" t="s">
        <v>643</v>
      </c>
      <c r="O91"/>
    </row>
    <row r="92" s="588" customFormat="1" spans="1:15">
      <c r="A92" s="593" t="s">
        <v>296</v>
      </c>
      <c r="B92" s="594" t="s">
        <v>297</v>
      </c>
      <c r="C92" s="595" t="s">
        <v>644</v>
      </c>
      <c r="D92" s="596" t="s">
        <v>645</v>
      </c>
      <c r="E92" s="595">
        <v>2202030136</v>
      </c>
      <c r="F92" s="596" t="s">
        <v>176</v>
      </c>
      <c r="G92" s="594" t="s">
        <v>537</v>
      </c>
      <c r="H92" s="597" t="s">
        <v>538</v>
      </c>
      <c r="I92" s="597" t="s">
        <v>646</v>
      </c>
      <c r="J92" s="598" t="s">
        <v>647</v>
      </c>
      <c r="O92"/>
    </row>
    <row r="93" s="588" customFormat="1" spans="1:15">
      <c r="A93" s="593" t="s">
        <v>296</v>
      </c>
      <c r="B93" s="594" t="s">
        <v>297</v>
      </c>
      <c r="C93" s="595" t="s">
        <v>648</v>
      </c>
      <c r="D93" s="596" t="s">
        <v>649</v>
      </c>
      <c r="E93" s="595">
        <v>2202080006</v>
      </c>
      <c r="F93" s="596" t="s">
        <v>176</v>
      </c>
      <c r="G93" s="594" t="s">
        <v>650</v>
      </c>
      <c r="H93" s="597" t="s">
        <v>340</v>
      </c>
      <c r="I93" s="597" t="s">
        <v>651</v>
      </c>
      <c r="J93" s="598" t="s">
        <v>652</v>
      </c>
      <c r="O93"/>
    </row>
    <row r="94" s="588" customFormat="1" spans="1:15">
      <c r="A94" s="593" t="s">
        <v>296</v>
      </c>
      <c r="B94" s="594" t="s">
        <v>297</v>
      </c>
      <c r="C94" s="595" t="s">
        <v>653</v>
      </c>
      <c r="D94" s="596" t="s">
        <v>654</v>
      </c>
      <c r="E94" s="595">
        <v>2202330032</v>
      </c>
      <c r="F94" s="596" t="s">
        <v>176</v>
      </c>
      <c r="G94" s="594" t="s">
        <v>505</v>
      </c>
      <c r="H94" s="597" t="s">
        <v>340</v>
      </c>
      <c r="I94" s="597" t="s">
        <v>655</v>
      </c>
      <c r="J94" s="598" t="s">
        <v>656</v>
      </c>
      <c r="O94"/>
    </row>
    <row r="95" s="588" customFormat="1" spans="1:15">
      <c r="A95" s="593" t="s">
        <v>296</v>
      </c>
      <c r="B95" s="594" t="s">
        <v>297</v>
      </c>
      <c r="C95" s="595" t="s">
        <v>657</v>
      </c>
      <c r="D95" s="596" t="s">
        <v>658</v>
      </c>
      <c r="E95" s="595">
        <v>2202330033</v>
      </c>
      <c r="F95" s="596" t="s">
        <v>176</v>
      </c>
      <c r="G95" s="594" t="s">
        <v>505</v>
      </c>
      <c r="H95" s="597" t="s">
        <v>340</v>
      </c>
      <c r="I95" s="597" t="s">
        <v>659</v>
      </c>
      <c r="J95" s="598" t="s">
        <v>660</v>
      </c>
      <c r="O95"/>
    </row>
    <row r="96" s="588" customFormat="1" spans="1:15">
      <c r="A96" s="593" t="s">
        <v>296</v>
      </c>
      <c r="B96" s="594" t="s">
        <v>297</v>
      </c>
      <c r="C96" s="595" t="s">
        <v>661</v>
      </c>
      <c r="D96" s="596" t="s">
        <v>662</v>
      </c>
      <c r="E96" s="595">
        <v>2202330034</v>
      </c>
      <c r="F96" s="596" t="s">
        <v>176</v>
      </c>
      <c r="G96" s="594" t="s">
        <v>505</v>
      </c>
      <c r="H96" s="597" t="s">
        <v>340</v>
      </c>
      <c r="I96" s="597" t="s">
        <v>663</v>
      </c>
      <c r="J96" s="598" t="s">
        <v>664</v>
      </c>
      <c r="O96"/>
    </row>
    <row r="97" s="588" customFormat="1" spans="1:15">
      <c r="A97" s="593"/>
      <c r="B97" s="594" t="s">
        <v>297</v>
      </c>
      <c r="C97" s="595" t="s">
        <v>665</v>
      </c>
      <c r="D97" s="596" t="s">
        <v>666</v>
      </c>
      <c r="E97" s="595">
        <v>2202130015</v>
      </c>
      <c r="F97" s="596" t="s">
        <v>176</v>
      </c>
      <c r="G97" s="594" t="s">
        <v>497</v>
      </c>
      <c r="H97" s="597" t="s">
        <v>340</v>
      </c>
      <c r="I97" s="597" t="s">
        <v>667</v>
      </c>
      <c r="J97" s="598" t="s">
        <v>668</v>
      </c>
      <c r="O97"/>
    </row>
    <row r="98" s="588" customFormat="1" spans="1:15">
      <c r="A98" s="593"/>
      <c r="B98" s="594" t="s">
        <v>297</v>
      </c>
      <c r="C98" s="595" t="s">
        <v>669</v>
      </c>
      <c r="D98" s="596" t="s">
        <v>670</v>
      </c>
      <c r="E98" s="595">
        <v>2203030052</v>
      </c>
      <c r="F98" s="596" t="s">
        <v>164</v>
      </c>
      <c r="G98" s="594" t="s">
        <v>671</v>
      </c>
      <c r="H98" s="597"/>
      <c r="I98" s="597" t="s">
        <v>672</v>
      </c>
      <c r="J98" s="598" t="s">
        <v>673</v>
      </c>
      <c r="O98"/>
    </row>
    <row r="99" s="588" customFormat="1" spans="1:15">
      <c r="A99" s="593" t="s">
        <v>296</v>
      </c>
      <c r="B99" s="594" t="s">
        <v>297</v>
      </c>
      <c r="C99" s="595" t="s">
        <v>674</v>
      </c>
      <c r="D99" s="596" t="s">
        <v>675</v>
      </c>
      <c r="E99" s="595">
        <v>2203030053</v>
      </c>
      <c r="F99" s="596" t="s">
        <v>164</v>
      </c>
      <c r="G99" s="594" t="s">
        <v>671</v>
      </c>
      <c r="H99" s="597"/>
      <c r="I99" s="597" t="s">
        <v>676</v>
      </c>
      <c r="J99" s="598" t="s">
        <v>673</v>
      </c>
      <c r="O99"/>
    </row>
    <row r="100" s="588" customFormat="1" spans="1:15">
      <c r="A100" s="593" t="s">
        <v>296</v>
      </c>
      <c r="B100" s="594" t="s">
        <v>325</v>
      </c>
      <c r="C100" s="595" t="s">
        <v>677</v>
      </c>
      <c r="D100" s="596" t="s">
        <v>678</v>
      </c>
      <c r="E100" s="595">
        <v>2203030054</v>
      </c>
      <c r="F100" s="596" t="s">
        <v>164</v>
      </c>
      <c r="G100" s="594" t="s">
        <v>671</v>
      </c>
      <c r="H100" s="597"/>
      <c r="I100" s="597" t="s">
        <v>679</v>
      </c>
      <c r="J100" s="598" t="s">
        <v>673</v>
      </c>
      <c r="O100"/>
    </row>
    <row r="101" s="588" customFormat="1" spans="1:15">
      <c r="A101" s="593" t="s">
        <v>296</v>
      </c>
      <c r="B101" s="594" t="s">
        <v>297</v>
      </c>
      <c r="C101" s="595" t="s">
        <v>680</v>
      </c>
      <c r="D101" s="596" t="s">
        <v>681</v>
      </c>
      <c r="E101" s="595">
        <v>2203040028</v>
      </c>
      <c r="F101" s="596" t="s">
        <v>153</v>
      </c>
      <c r="G101" s="594" t="s">
        <v>306</v>
      </c>
      <c r="H101" s="597" t="s">
        <v>340</v>
      </c>
      <c r="I101" s="597" t="s">
        <v>682</v>
      </c>
      <c r="J101" s="598" t="s">
        <v>351</v>
      </c>
      <c r="O101"/>
    </row>
    <row r="102" s="588" customFormat="1" spans="1:15">
      <c r="A102" s="593" t="s">
        <v>296</v>
      </c>
      <c r="B102" s="594" t="s">
        <v>325</v>
      </c>
      <c r="C102" s="595" t="s">
        <v>683</v>
      </c>
      <c r="D102" s="596" t="s">
        <v>684</v>
      </c>
      <c r="E102" s="595">
        <v>2203010205</v>
      </c>
      <c r="F102" s="596" t="s">
        <v>164</v>
      </c>
      <c r="G102" s="594" t="s">
        <v>306</v>
      </c>
      <c r="H102" s="597"/>
      <c r="I102" s="597" t="s">
        <v>685</v>
      </c>
      <c r="J102" s="598" t="s">
        <v>686</v>
      </c>
      <c r="O102"/>
    </row>
    <row r="103" s="588" customFormat="1" spans="1:15">
      <c r="A103" s="593" t="s">
        <v>296</v>
      </c>
      <c r="B103" s="594" t="s">
        <v>297</v>
      </c>
      <c r="C103" s="595" t="s">
        <v>687</v>
      </c>
      <c r="D103" s="596" t="s">
        <v>688</v>
      </c>
      <c r="E103" s="595">
        <v>2203010206</v>
      </c>
      <c r="F103" s="596" t="s">
        <v>164</v>
      </c>
      <c r="G103" s="594" t="s">
        <v>306</v>
      </c>
      <c r="H103" s="597"/>
      <c r="I103" s="597" t="s">
        <v>689</v>
      </c>
      <c r="J103" s="598" t="s">
        <v>686</v>
      </c>
      <c r="O103"/>
    </row>
    <row r="104" s="588" customFormat="1" spans="1:15">
      <c r="A104" s="593" t="s">
        <v>296</v>
      </c>
      <c r="B104" s="594" t="s">
        <v>297</v>
      </c>
      <c r="C104" s="595" t="s">
        <v>690</v>
      </c>
      <c r="D104" s="596" t="s">
        <v>691</v>
      </c>
      <c r="E104" s="595">
        <v>2203010207</v>
      </c>
      <c r="F104" s="596" t="s">
        <v>164</v>
      </c>
      <c r="G104" s="594" t="s">
        <v>306</v>
      </c>
      <c r="H104" s="597"/>
      <c r="I104" s="597" t="s">
        <v>692</v>
      </c>
      <c r="J104" s="598" t="s">
        <v>686</v>
      </c>
      <c r="O104"/>
    </row>
    <row r="105" s="588" customFormat="1" spans="1:15">
      <c r="A105" s="593" t="s">
        <v>296</v>
      </c>
      <c r="B105" s="594" t="s">
        <v>297</v>
      </c>
      <c r="C105" s="595" t="s">
        <v>693</v>
      </c>
      <c r="D105" s="596" t="s">
        <v>694</v>
      </c>
      <c r="E105" s="595">
        <v>2203010208</v>
      </c>
      <c r="F105" s="596" t="s">
        <v>164</v>
      </c>
      <c r="G105" s="594" t="s">
        <v>306</v>
      </c>
      <c r="H105" s="597"/>
      <c r="I105" s="597" t="s">
        <v>695</v>
      </c>
      <c r="J105" s="598" t="s">
        <v>686</v>
      </c>
      <c r="O105"/>
    </row>
    <row r="106" s="588" customFormat="1" spans="1:15">
      <c r="A106" s="593" t="s">
        <v>296</v>
      </c>
      <c r="B106" s="594" t="s">
        <v>297</v>
      </c>
      <c r="C106" s="595" t="s">
        <v>696</v>
      </c>
      <c r="D106" s="596" t="s">
        <v>697</v>
      </c>
      <c r="E106" s="595">
        <v>2203010209</v>
      </c>
      <c r="F106" s="596" t="s">
        <v>164</v>
      </c>
      <c r="G106" s="594" t="s">
        <v>306</v>
      </c>
      <c r="H106" s="597"/>
      <c r="I106" s="597" t="s">
        <v>698</v>
      </c>
      <c r="J106" s="598" t="s">
        <v>686</v>
      </c>
      <c r="O106"/>
    </row>
    <row r="107" s="588" customFormat="1" spans="1:15">
      <c r="A107" s="593" t="s">
        <v>296</v>
      </c>
      <c r="B107" s="594" t="s">
        <v>297</v>
      </c>
      <c r="C107" s="595" t="s">
        <v>699</v>
      </c>
      <c r="D107" s="596" t="s">
        <v>700</v>
      </c>
      <c r="E107" s="595">
        <v>2203010210</v>
      </c>
      <c r="F107" s="596" t="s">
        <v>164</v>
      </c>
      <c r="G107" s="594" t="s">
        <v>306</v>
      </c>
      <c r="H107" s="597"/>
      <c r="I107" s="597" t="s">
        <v>701</v>
      </c>
      <c r="J107" s="598" t="s">
        <v>686</v>
      </c>
      <c r="O107"/>
    </row>
    <row r="108" s="588" customFormat="1" spans="1:15">
      <c r="A108" s="593" t="s">
        <v>296</v>
      </c>
      <c r="B108" s="594" t="s">
        <v>297</v>
      </c>
      <c r="C108" s="595" t="s">
        <v>702</v>
      </c>
      <c r="D108" s="596" t="s">
        <v>703</v>
      </c>
      <c r="E108" s="595">
        <v>2203010211</v>
      </c>
      <c r="F108" s="596" t="s">
        <v>164</v>
      </c>
      <c r="G108" s="594" t="s">
        <v>306</v>
      </c>
      <c r="H108" s="597"/>
      <c r="I108" s="597" t="s">
        <v>704</v>
      </c>
      <c r="J108" s="598" t="s">
        <v>686</v>
      </c>
      <c r="O108"/>
    </row>
    <row r="109" s="588" customFormat="1" spans="1:15">
      <c r="A109" s="593" t="s">
        <v>296</v>
      </c>
      <c r="B109" s="594" t="s">
        <v>297</v>
      </c>
      <c r="C109" s="595" t="s">
        <v>705</v>
      </c>
      <c r="D109" s="596" t="s">
        <v>706</v>
      </c>
      <c r="E109" s="595">
        <v>2203010218</v>
      </c>
      <c r="F109" s="596" t="s">
        <v>164</v>
      </c>
      <c r="G109" s="594" t="s">
        <v>306</v>
      </c>
      <c r="H109" s="597" t="s">
        <v>707</v>
      </c>
      <c r="I109" s="597" t="s">
        <v>708</v>
      </c>
      <c r="J109" s="598" t="s">
        <v>709</v>
      </c>
      <c r="O109"/>
    </row>
    <row r="110" s="588" customFormat="1" spans="1:15">
      <c r="A110" s="593" t="s">
        <v>296</v>
      </c>
      <c r="B110" s="594" t="s">
        <v>297</v>
      </c>
      <c r="C110" s="595" t="s">
        <v>710</v>
      </c>
      <c r="D110" s="596" t="s">
        <v>711</v>
      </c>
      <c r="E110" s="595">
        <v>2203010219</v>
      </c>
      <c r="F110" s="596" t="s">
        <v>164</v>
      </c>
      <c r="G110" s="594" t="s">
        <v>306</v>
      </c>
      <c r="H110" s="597" t="s">
        <v>707</v>
      </c>
      <c r="I110" s="597" t="s">
        <v>712</v>
      </c>
      <c r="J110" s="598" t="s">
        <v>709</v>
      </c>
      <c r="O110"/>
    </row>
    <row r="111" s="588" customFormat="1" spans="1:15">
      <c r="A111" s="593" t="s">
        <v>296</v>
      </c>
      <c r="B111" s="594" t="s">
        <v>297</v>
      </c>
      <c r="C111" s="595" t="s">
        <v>713</v>
      </c>
      <c r="D111" s="596" t="s">
        <v>714</v>
      </c>
      <c r="E111" s="595">
        <v>2203010220</v>
      </c>
      <c r="F111" s="596" t="s">
        <v>164</v>
      </c>
      <c r="G111" s="594" t="s">
        <v>306</v>
      </c>
      <c r="H111" s="597" t="s">
        <v>707</v>
      </c>
      <c r="I111" s="597" t="s">
        <v>715</v>
      </c>
      <c r="J111" s="598" t="s">
        <v>709</v>
      </c>
      <c r="O111"/>
    </row>
    <row r="112" s="588" customFormat="1" spans="1:15">
      <c r="A112" s="593" t="s">
        <v>296</v>
      </c>
      <c r="B112" s="594" t="s">
        <v>297</v>
      </c>
      <c r="C112" s="595" t="s">
        <v>716</v>
      </c>
      <c r="D112" s="596" t="s">
        <v>717</v>
      </c>
      <c r="E112" s="595">
        <v>2203010235</v>
      </c>
      <c r="F112" s="596" t="s">
        <v>164</v>
      </c>
      <c r="G112" s="594" t="s">
        <v>354</v>
      </c>
      <c r="H112" s="597"/>
      <c r="I112" s="597" t="s">
        <v>718</v>
      </c>
      <c r="J112" s="598" t="s">
        <v>719</v>
      </c>
      <c r="O112"/>
    </row>
    <row r="113" s="588" customFormat="1" spans="1:15">
      <c r="A113" s="593" t="s">
        <v>296</v>
      </c>
      <c r="B113" s="594" t="s">
        <v>325</v>
      </c>
      <c r="C113" s="595" t="s">
        <v>720</v>
      </c>
      <c r="D113" s="596" t="s">
        <v>721</v>
      </c>
      <c r="E113" s="595">
        <v>2203010241</v>
      </c>
      <c r="F113" s="596" t="s">
        <v>164</v>
      </c>
      <c r="G113" s="594" t="s">
        <v>400</v>
      </c>
      <c r="H113" s="597" t="s">
        <v>722</v>
      </c>
      <c r="I113" s="597" t="s">
        <v>723</v>
      </c>
      <c r="J113" s="598" t="s">
        <v>724</v>
      </c>
      <c r="O113"/>
    </row>
    <row r="114" s="588" customFormat="1" spans="1:15">
      <c r="A114" s="593" t="s">
        <v>296</v>
      </c>
      <c r="B114" s="594" t="s">
        <v>325</v>
      </c>
      <c r="C114" s="595" t="s">
        <v>725</v>
      </c>
      <c r="D114" s="596" t="s">
        <v>726</v>
      </c>
      <c r="E114" s="595">
        <v>2203010243</v>
      </c>
      <c r="F114" s="596" t="s">
        <v>164</v>
      </c>
      <c r="G114" s="594" t="s">
        <v>400</v>
      </c>
      <c r="H114" s="597" t="s">
        <v>722</v>
      </c>
      <c r="I114" s="597" t="s">
        <v>727</v>
      </c>
      <c r="J114" s="598" t="s">
        <v>724</v>
      </c>
      <c r="O114"/>
    </row>
    <row r="115" s="588" customFormat="1" spans="1:15">
      <c r="A115" s="593" t="s">
        <v>296</v>
      </c>
      <c r="B115" s="594" t="s">
        <v>297</v>
      </c>
      <c r="C115" s="595" t="s">
        <v>728</v>
      </c>
      <c r="D115" s="596" t="s">
        <v>729</v>
      </c>
      <c r="E115" s="595">
        <v>2203010245</v>
      </c>
      <c r="F115" s="596" t="s">
        <v>164</v>
      </c>
      <c r="G115" s="594" t="s">
        <v>671</v>
      </c>
      <c r="H115" s="597"/>
      <c r="I115" s="597" t="s">
        <v>730</v>
      </c>
      <c r="J115" s="598" t="s">
        <v>731</v>
      </c>
      <c r="O115"/>
    </row>
    <row r="116" s="588" customFormat="1" spans="1:15">
      <c r="A116" s="593" t="s">
        <v>296</v>
      </c>
      <c r="B116" s="594" t="s">
        <v>297</v>
      </c>
      <c r="C116" s="595" t="s">
        <v>732</v>
      </c>
      <c r="D116" s="596" t="s">
        <v>733</v>
      </c>
      <c r="E116" s="595">
        <v>2203010327</v>
      </c>
      <c r="F116" s="596" t="s">
        <v>164</v>
      </c>
      <c r="G116" s="594" t="s">
        <v>306</v>
      </c>
      <c r="H116" s="597" t="s">
        <v>707</v>
      </c>
      <c r="I116" s="597" t="s">
        <v>734</v>
      </c>
      <c r="J116" s="598" t="s">
        <v>735</v>
      </c>
      <c r="O116"/>
    </row>
    <row r="117" s="588" customFormat="1" spans="1:15">
      <c r="A117" s="593"/>
      <c r="B117" s="594" t="s">
        <v>297</v>
      </c>
      <c r="C117" s="595" t="s">
        <v>736</v>
      </c>
      <c r="D117" s="596" t="s">
        <v>737</v>
      </c>
      <c r="E117" s="595">
        <v>2203010328</v>
      </c>
      <c r="F117" s="596" t="s">
        <v>164</v>
      </c>
      <c r="G117" s="594" t="s">
        <v>306</v>
      </c>
      <c r="H117" s="597" t="s">
        <v>707</v>
      </c>
      <c r="I117" s="597" t="s">
        <v>738</v>
      </c>
      <c r="J117" s="598" t="s">
        <v>735</v>
      </c>
      <c r="O117"/>
    </row>
    <row r="118" s="588" customFormat="1" spans="1:15">
      <c r="A118" s="593"/>
      <c r="B118" s="594" t="s">
        <v>297</v>
      </c>
      <c r="C118" s="595" t="s">
        <v>739</v>
      </c>
      <c r="D118" s="596" t="s">
        <v>740</v>
      </c>
      <c r="E118" s="595">
        <v>2203010337</v>
      </c>
      <c r="F118" s="596" t="s">
        <v>164</v>
      </c>
      <c r="G118" s="594" t="s">
        <v>306</v>
      </c>
      <c r="H118" s="597" t="s">
        <v>340</v>
      </c>
      <c r="I118" s="597" t="s">
        <v>741</v>
      </c>
      <c r="J118" s="598" t="s">
        <v>742</v>
      </c>
      <c r="O118"/>
    </row>
    <row r="119" s="588" customFormat="1" spans="1:15">
      <c r="A119" s="593"/>
      <c r="B119" s="594" t="s">
        <v>297</v>
      </c>
      <c r="C119" s="595" t="s">
        <v>743</v>
      </c>
      <c r="D119" s="596" t="s">
        <v>744</v>
      </c>
      <c r="E119" s="595">
        <v>2203010338</v>
      </c>
      <c r="F119" s="596" t="s">
        <v>164</v>
      </c>
      <c r="G119" s="594" t="s">
        <v>306</v>
      </c>
      <c r="H119" s="597" t="s">
        <v>340</v>
      </c>
      <c r="I119" s="597" t="s">
        <v>745</v>
      </c>
      <c r="J119" s="598" t="s">
        <v>742</v>
      </c>
      <c r="O119"/>
    </row>
    <row r="120" s="588" customFormat="1" spans="1:15">
      <c r="A120" s="593" t="s">
        <v>296</v>
      </c>
      <c r="B120" s="594" t="s">
        <v>297</v>
      </c>
      <c r="C120" s="595" t="s">
        <v>746</v>
      </c>
      <c r="D120" s="596" t="s">
        <v>747</v>
      </c>
      <c r="E120" s="595">
        <v>2203010339</v>
      </c>
      <c r="F120" s="596" t="s">
        <v>164</v>
      </c>
      <c r="G120" s="594" t="s">
        <v>306</v>
      </c>
      <c r="H120" s="597" t="s">
        <v>340</v>
      </c>
      <c r="I120" s="597" t="s">
        <v>748</v>
      </c>
      <c r="J120" s="598" t="s">
        <v>749</v>
      </c>
      <c r="O120"/>
    </row>
    <row r="121" s="588" customFormat="1" spans="1:15">
      <c r="A121" s="593" t="s">
        <v>296</v>
      </c>
      <c r="B121" s="594" t="s">
        <v>297</v>
      </c>
      <c r="C121" s="595" t="s">
        <v>750</v>
      </c>
      <c r="D121" s="596" t="s">
        <v>747</v>
      </c>
      <c r="E121" s="595">
        <v>2203040350</v>
      </c>
      <c r="F121" s="596" t="s">
        <v>164</v>
      </c>
      <c r="G121" s="594" t="s">
        <v>306</v>
      </c>
      <c r="H121" s="597"/>
      <c r="I121" s="597" t="s">
        <v>751</v>
      </c>
      <c r="J121" s="598" t="s">
        <v>749</v>
      </c>
      <c r="O121"/>
    </row>
    <row r="122" s="588" customFormat="1" spans="1:15">
      <c r="A122" s="593" t="s">
        <v>296</v>
      </c>
      <c r="B122" s="594" t="s">
        <v>297</v>
      </c>
      <c r="C122" s="595" t="s">
        <v>752</v>
      </c>
      <c r="D122" s="596" t="s">
        <v>753</v>
      </c>
      <c r="E122" s="595">
        <v>2203040391</v>
      </c>
      <c r="F122" s="596" t="s">
        <v>164</v>
      </c>
      <c r="G122" s="594" t="s">
        <v>754</v>
      </c>
      <c r="H122" s="597" t="s">
        <v>340</v>
      </c>
      <c r="I122" s="597" t="s">
        <v>755</v>
      </c>
      <c r="J122" s="598" t="s">
        <v>686</v>
      </c>
      <c r="O122"/>
    </row>
    <row r="123" s="588" customFormat="1" spans="1:15">
      <c r="A123" s="593" t="s">
        <v>296</v>
      </c>
      <c r="B123" s="594" t="s">
        <v>297</v>
      </c>
      <c r="C123" s="595" t="s">
        <v>756</v>
      </c>
      <c r="D123" s="596" t="s">
        <v>757</v>
      </c>
      <c r="E123" s="595">
        <v>2203100015</v>
      </c>
      <c r="F123" s="596" t="s">
        <v>164</v>
      </c>
      <c r="G123" s="594" t="s">
        <v>354</v>
      </c>
      <c r="H123" s="597" t="s">
        <v>340</v>
      </c>
      <c r="I123" s="597" t="s">
        <v>758</v>
      </c>
      <c r="J123" s="598" t="s">
        <v>759</v>
      </c>
      <c r="O123"/>
    </row>
    <row r="124" s="588" customFormat="1" spans="1:15">
      <c r="A124" s="593" t="s">
        <v>296</v>
      </c>
      <c r="B124" s="594" t="s">
        <v>325</v>
      </c>
      <c r="C124" s="595" t="s">
        <v>760</v>
      </c>
      <c r="D124" s="596" t="s">
        <v>761</v>
      </c>
      <c r="E124" s="595">
        <v>2203100016</v>
      </c>
      <c r="F124" s="596" t="s">
        <v>164</v>
      </c>
      <c r="G124" s="594" t="s">
        <v>354</v>
      </c>
      <c r="H124" s="597" t="s">
        <v>340</v>
      </c>
      <c r="I124" s="597" t="s">
        <v>762</v>
      </c>
      <c r="J124" s="598" t="s">
        <v>759</v>
      </c>
      <c r="O124"/>
    </row>
    <row r="125" s="588" customFormat="1" spans="1:15">
      <c r="A125" s="593" t="s">
        <v>296</v>
      </c>
      <c r="B125" s="594" t="s">
        <v>297</v>
      </c>
      <c r="C125" s="595" t="s">
        <v>763</v>
      </c>
      <c r="D125" s="596" t="s">
        <v>764</v>
      </c>
      <c r="E125" s="595">
        <v>2203100017</v>
      </c>
      <c r="F125" s="596" t="s">
        <v>164</v>
      </c>
      <c r="G125" s="594" t="s">
        <v>354</v>
      </c>
      <c r="H125" s="597" t="s">
        <v>340</v>
      </c>
      <c r="I125" s="597" t="s">
        <v>765</v>
      </c>
      <c r="J125" s="598" t="s">
        <v>759</v>
      </c>
      <c r="O125"/>
    </row>
    <row r="126" s="588" customFormat="1" spans="1:15">
      <c r="A126" s="593" t="s">
        <v>296</v>
      </c>
      <c r="B126" s="594" t="s">
        <v>297</v>
      </c>
      <c r="C126" s="595" t="s">
        <v>766</v>
      </c>
      <c r="D126" s="596" t="s">
        <v>767</v>
      </c>
      <c r="E126" s="595">
        <v>2203100018</v>
      </c>
      <c r="F126" s="596" t="s">
        <v>164</v>
      </c>
      <c r="G126" s="594" t="s">
        <v>354</v>
      </c>
      <c r="H126" s="597" t="s">
        <v>340</v>
      </c>
      <c r="I126" s="597" t="s">
        <v>768</v>
      </c>
      <c r="J126" s="598" t="s">
        <v>759</v>
      </c>
      <c r="O126"/>
    </row>
    <row r="127" s="588" customFormat="1" spans="1:15">
      <c r="A127" s="593" t="s">
        <v>296</v>
      </c>
      <c r="B127" s="594" t="s">
        <v>297</v>
      </c>
      <c r="C127" s="595" t="s">
        <v>769</v>
      </c>
      <c r="D127" s="596" t="s">
        <v>770</v>
      </c>
      <c r="E127" s="595">
        <v>2203110008</v>
      </c>
      <c r="F127" s="596" t="s">
        <v>153</v>
      </c>
      <c r="G127" s="594" t="s">
        <v>362</v>
      </c>
      <c r="H127" s="597" t="s">
        <v>771</v>
      </c>
      <c r="I127" s="597" t="s">
        <v>772</v>
      </c>
      <c r="J127" s="598" t="s">
        <v>773</v>
      </c>
      <c r="O127"/>
    </row>
    <row r="128" s="588" customFormat="1" spans="1:15">
      <c r="A128" s="593" t="s">
        <v>296</v>
      </c>
      <c r="B128" s="594" t="s">
        <v>297</v>
      </c>
      <c r="C128" s="595" t="s">
        <v>774</v>
      </c>
      <c r="D128" s="596" t="s">
        <v>775</v>
      </c>
      <c r="E128" s="595">
        <v>2203120004</v>
      </c>
      <c r="F128" s="596" t="s">
        <v>164</v>
      </c>
      <c r="G128" s="594" t="s">
        <v>671</v>
      </c>
      <c r="H128" s="597" t="s">
        <v>340</v>
      </c>
      <c r="I128" s="597" t="s">
        <v>776</v>
      </c>
      <c r="J128" s="598" t="s">
        <v>673</v>
      </c>
      <c r="O128"/>
    </row>
    <row r="129" s="588" customFormat="1" spans="1:15">
      <c r="A129" s="593" t="s">
        <v>296</v>
      </c>
      <c r="B129" s="594" t="s">
        <v>297</v>
      </c>
      <c r="C129" s="595" t="s">
        <v>777</v>
      </c>
      <c r="D129" s="596" t="s">
        <v>778</v>
      </c>
      <c r="E129" s="595">
        <v>2203080023</v>
      </c>
      <c r="F129" s="596" t="s">
        <v>164</v>
      </c>
      <c r="G129" s="594" t="s">
        <v>779</v>
      </c>
      <c r="H129" s="597" t="s">
        <v>340</v>
      </c>
      <c r="I129" s="597" t="s">
        <v>780</v>
      </c>
      <c r="J129" s="598" t="s">
        <v>781</v>
      </c>
      <c r="O129"/>
    </row>
    <row r="130" s="588" customFormat="1" spans="1:15">
      <c r="A130" s="593" t="s">
        <v>296</v>
      </c>
      <c r="B130" s="594" t="s">
        <v>297</v>
      </c>
      <c r="C130" s="595" t="s">
        <v>782</v>
      </c>
      <c r="D130" s="596" t="s">
        <v>783</v>
      </c>
      <c r="E130" s="595">
        <v>2203080024</v>
      </c>
      <c r="F130" s="596" t="s">
        <v>164</v>
      </c>
      <c r="G130" s="594" t="s">
        <v>779</v>
      </c>
      <c r="H130" s="597" t="s">
        <v>340</v>
      </c>
      <c r="I130" s="597" t="s">
        <v>784</v>
      </c>
      <c r="J130" s="598" t="s">
        <v>781</v>
      </c>
      <c r="O130"/>
    </row>
    <row r="131" s="588" customFormat="1" spans="1:15">
      <c r="A131" s="593" t="s">
        <v>296</v>
      </c>
      <c r="B131" s="594" t="s">
        <v>297</v>
      </c>
      <c r="C131" s="595" t="s">
        <v>785</v>
      </c>
      <c r="D131" s="596" t="s">
        <v>786</v>
      </c>
      <c r="E131" s="595">
        <v>2203080068</v>
      </c>
      <c r="F131" s="596" t="s">
        <v>164</v>
      </c>
      <c r="G131" s="594" t="s">
        <v>779</v>
      </c>
      <c r="H131" s="597" t="s">
        <v>340</v>
      </c>
      <c r="I131" s="597" t="s">
        <v>787</v>
      </c>
      <c r="J131" s="598" t="s">
        <v>781</v>
      </c>
      <c r="O131"/>
    </row>
    <row r="132" s="588" customFormat="1" spans="1:15">
      <c r="A132" s="593" t="s">
        <v>296</v>
      </c>
      <c r="B132" s="594" t="s">
        <v>297</v>
      </c>
      <c r="C132" s="595" t="s">
        <v>788</v>
      </c>
      <c r="D132" s="596" t="s">
        <v>783</v>
      </c>
      <c r="E132" s="595">
        <v>2203080069</v>
      </c>
      <c r="F132" s="596" t="s">
        <v>164</v>
      </c>
      <c r="G132" s="594" t="s">
        <v>779</v>
      </c>
      <c r="H132" s="597" t="s">
        <v>340</v>
      </c>
      <c r="I132" s="597" t="s">
        <v>789</v>
      </c>
      <c r="J132" s="598" t="s">
        <v>781</v>
      </c>
      <c r="O132"/>
    </row>
    <row r="133" s="588" customFormat="1" spans="1:15">
      <c r="A133" s="593" t="s">
        <v>296</v>
      </c>
      <c r="B133" s="594" t="s">
        <v>325</v>
      </c>
      <c r="C133" s="595" t="s">
        <v>790</v>
      </c>
      <c r="D133" s="596" t="s">
        <v>791</v>
      </c>
      <c r="E133" s="595">
        <v>2203040280</v>
      </c>
      <c r="F133" s="596" t="s">
        <v>164</v>
      </c>
      <c r="G133" s="594" t="s">
        <v>400</v>
      </c>
      <c r="H133" s="597" t="s">
        <v>722</v>
      </c>
      <c r="I133" s="597" t="s">
        <v>792</v>
      </c>
      <c r="J133" s="598" t="s">
        <v>793</v>
      </c>
      <c r="O133"/>
    </row>
    <row r="134" s="588" customFormat="1" spans="1:15">
      <c r="A134" s="593" t="s">
        <v>296</v>
      </c>
      <c r="B134" s="594" t="s">
        <v>297</v>
      </c>
      <c r="C134" s="595" t="s">
        <v>794</v>
      </c>
      <c r="D134" s="596" t="s">
        <v>795</v>
      </c>
      <c r="E134" s="595">
        <v>2204010189</v>
      </c>
      <c r="F134" s="596" t="s">
        <v>126</v>
      </c>
      <c r="G134" s="594" t="s">
        <v>796</v>
      </c>
      <c r="H134" s="597" t="s">
        <v>797</v>
      </c>
      <c r="I134" s="597" t="s">
        <v>798</v>
      </c>
      <c r="J134" s="598" t="s">
        <v>795</v>
      </c>
      <c r="O134"/>
    </row>
    <row r="135" s="588" customFormat="1" spans="1:15">
      <c r="A135" s="593" t="s">
        <v>296</v>
      </c>
      <c r="B135" s="594" t="s">
        <v>297</v>
      </c>
      <c r="C135" s="595" t="s">
        <v>799</v>
      </c>
      <c r="D135" s="596" t="s">
        <v>800</v>
      </c>
      <c r="E135" s="595">
        <v>2204010255</v>
      </c>
      <c r="F135" s="596" t="s">
        <v>126</v>
      </c>
      <c r="G135" s="594" t="s">
        <v>796</v>
      </c>
      <c r="H135" s="597" t="s">
        <v>801</v>
      </c>
      <c r="I135" s="597" t="s">
        <v>802</v>
      </c>
      <c r="J135" s="598" t="s">
        <v>803</v>
      </c>
      <c r="O135"/>
    </row>
    <row r="136" s="588" customFormat="1" spans="1:15">
      <c r="A136" s="593" t="s">
        <v>296</v>
      </c>
      <c r="B136" s="594" t="s">
        <v>297</v>
      </c>
      <c r="C136" s="595" t="s">
        <v>804</v>
      </c>
      <c r="D136" s="596" t="s">
        <v>805</v>
      </c>
      <c r="E136" s="595">
        <v>2204010001</v>
      </c>
      <c r="F136" s="596" t="s">
        <v>126</v>
      </c>
      <c r="G136" s="594" t="s">
        <v>796</v>
      </c>
      <c r="H136" s="597" t="s">
        <v>797</v>
      </c>
      <c r="I136" s="597" t="s">
        <v>806</v>
      </c>
      <c r="J136" s="598" t="s">
        <v>805</v>
      </c>
      <c r="O136"/>
    </row>
    <row r="137" s="588" customFormat="1" spans="1:15">
      <c r="A137" s="593" t="s">
        <v>296</v>
      </c>
      <c r="B137" s="594" t="s">
        <v>297</v>
      </c>
      <c r="C137" s="595" t="s">
        <v>807</v>
      </c>
      <c r="D137" s="596" t="s">
        <v>805</v>
      </c>
      <c r="E137" s="595">
        <v>2204010004</v>
      </c>
      <c r="F137" s="596" t="s">
        <v>126</v>
      </c>
      <c r="G137" s="594" t="s">
        <v>796</v>
      </c>
      <c r="H137" s="597" t="s">
        <v>797</v>
      </c>
      <c r="I137" s="597" t="s">
        <v>808</v>
      </c>
      <c r="J137" s="598" t="s">
        <v>805</v>
      </c>
      <c r="O137"/>
    </row>
    <row r="138" s="588" customFormat="1" spans="1:15">
      <c r="A138" s="593" t="s">
        <v>296</v>
      </c>
      <c r="B138" s="594" t="s">
        <v>297</v>
      </c>
      <c r="C138" s="595" t="s">
        <v>809</v>
      </c>
      <c r="D138" s="596" t="s">
        <v>810</v>
      </c>
      <c r="E138" s="595">
        <v>2204010051</v>
      </c>
      <c r="F138" s="596" t="s">
        <v>126</v>
      </c>
      <c r="G138" s="594" t="s">
        <v>796</v>
      </c>
      <c r="H138" s="597" t="s">
        <v>797</v>
      </c>
      <c r="I138" s="597" t="s">
        <v>811</v>
      </c>
      <c r="J138" s="598" t="s">
        <v>810</v>
      </c>
      <c r="O138"/>
    </row>
    <row r="139" s="588" customFormat="1" spans="1:15">
      <c r="A139" s="593" t="s">
        <v>296</v>
      </c>
      <c r="B139" s="594" t="s">
        <v>297</v>
      </c>
      <c r="C139" s="595" t="s">
        <v>812</v>
      </c>
      <c r="D139" s="596" t="s">
        <v>813</v>
      </c>
      <c r="E139" s="595">
        <v>2204010139</v>
      </c>
      <c r="F139" s="596" t="s">
        <v>126</v>
      </c>
      <c r="G139" s="594" t="s">
        <v>796</v>
      </c>
      <c r="H139" s="597" t="s">
        <v>801</v>
      </c>
      <c r="I139" s="597" t="s">
        <v>814</v>
      </c>
      <c r="J139" s="598" t="s">
        <v>815</v>
      </c>
      <c r="O139"/>
    </row>
    <row r="140" s="588" customFormat="1" spans="1:15">
      <c r="A140" s="593" t="s">
        <v>296</v>
      </c>
      <c r="B140" s="594" t="s">
        <v>297</v>
      </c>
      <c r="C140" s="595" t="s">
        <v>816</v>
      </c>
      <c r="D140" s="596" t="s">
        <v>817</v>
      </c>
      <c r="E140" s="595">
        <v>2204010140</v>
      </c>
      <c r="F140" s="596" t="s">
        <v>126</v>
      </c>
      <c r="G140" s="594" t="s">
        <v>796</v>
      </c>
      <c r="H140" s="597" t="s">
        <v>801</v>
      </c>
      <c r="I140" s="597" t="s">
        <v>818</v>
      </c>
      <c r="J140" s="598" t="s">
        <v>803</v>
      </c>
      <c r="O140"/>
    </row>
    <row r="141" s="588" customFormat="1" spans="1:15">
      <c r="A141" s="593" t="s">
        <v>296</v>
      </c>
      <c r="B141" s="594" t="s">
        <v>297</v>
      </c>
      <c r="C141" s="595" t="s">
        <v>819</v>
      </c>
      <c r="D141" s="596" t="s">
        <v>820</v>
      </c>
      <c r="E141" s="595">
        <v>2204010155</v>
      </c>
      <c r="F141" s="596" t="s">
        <v>126</v>
      </c>
      <c r="G141" s="594" t="s">
        <v>796</v>
      </c>
      <c r="H141" s="597" t="s">
        <v>797</v>
      </c>
      <c r="I141" s="597" t="s">
        <v>821</v>
      </c>
      <c r="J141" s="598" t="s">
        <v>820</v>
      </c>
      <c r="O141"/>
    </row>
    <row r="142" s="588" customFormat="1" spans="1:15">
      <c r="A142" s="593" t="s">
        <v>296</v>
      </c>
      <c r="B142" s="594" t="s">
        <v>297</v>
      </c>
      <c r="C142" s="595" t="s">
        <v>822</v>
      </c>
      <c r="D142" s="596" t="s">
        <v>823</v>
      </c>
      <c r="E142" s="595">
        <v>2204010159</v>
      </c>
      <c r="F142" s="596" t="s">
        <v>126</v>
      </c>
      <c r="G142" s="594" t="s">
        <v>796</v>
      </c>
      <c r="H142" s="597" t="s">
        <v>801</v>
      </c>
      <c r="I142" s="597" t="s">
        <v>824</v>
      </c>
      <c r="J142" s="598" t="s">
        <v>815</v>
      </c>
      <c r="O142"/>
    </row>
    <row r="143" s="588" customFormat="1" spans="1:15">
      <c r="A143" s="593" t="s">
        <v>296</v>
      </c>
      <c r="B143" s="594" t="s">
        <v>297</v>
      </c>
      <c r="C143" s="595" t="s">
        <v>825</v>
      </c>
      <c r="D143" s="596" t="s">
        <v>826</v>
      </c>
      <c r="E143" s="595">
        <v>2204010160</v>
      </c>
      <c r="F143" s="596" t="s">
        <v>126</v>
      </c>
      <c r="G143" s="594" t="s">
        <v>796</v>
      </c>
      <c r="H143" s="597" t="s">
        <v>801</v>
      </c>
      <c r="I143" s="597" t="s">
        <v>827</v>
      </c>
      <c r="J143" s="598" t="s">
        <v>803</v>
      </c>
      <c r="O143"/>
    </row>
    <row r="144" s="588" customFormat="1" spans="1:15">
      <c r="A144" s="593"/>
      <c r="B144" s="594" t="s">
        <v>297</v>
      </c>
      <c r="C144" s="595" t="s">
        <v>828</v>
      </c>
      <c r="D144" s="596" t="s">
        <v>817</v>
      </c>
      <c r="E144" s="595">
        <v>2204010162</v>
      </c>
      <c r="F144" s="596" t="s">
        <v>126</v>
      </c>
      <c r="G144" s="594" t="s">
        <v>796</v>
      </c>
      <c r="H144" s="597" t="s">
        <v>801</v>
      </c>
      <c r="I144" s="597" t="s">
        <v>829</v>
      </c>
      <c r="J144" s="598" t="s">
        <v>803</v>
      </c>
      <c r="O144"/>
    </row>
    <row r="145" s="588" customFormat="1" spans="1:15">
      <c r="A145" s="593" t="s">
        <v>296</v>
      </c>
      <c r="B145" s="594" t="s">
        <v>297</v>
      </c>
      <c r="C145" s="595" t="s">
        <v>830</v>
      </c>
      <c r="D145" s="596" t="s">
        <v>831</v>
      </c>
      <c r="E145" s="595">
        <v>2204020078</v>
      </c>
      <c r="F145" s="596" t="s">
        <v>126</v>
      </c>
      <c r="G145" s="594" t="s">
        <v>832</v>
      </c>
      <c r="H145" s="597" t="s">
        <v>340</v>
      </c>
      <c r="I145" s="597" t="s">
        <v>833</v>
      </c>
      <c r="J145" s="598" t="s">
        <v>834</v>
      </c>
      <c r="O145"/>
    </row>
    <row r="146" s="588" customFormat="1" spans="1:15">
      <c r="A146" s="593" t="s">
        <v>296</v>
      </c>
      <c r="B146" s="594" t="s">
        <v>297</v>
      </c>
      <c r="C146" s="595" t="s">
        <v>835</v>
      </c>
      <c r="D146" s="596" t="s">
        <v>836</v>
      </c>
      <c r="E146" s="595">
        <v>2204020084</v>
      </c>
      <c r="F146" s="596" t="s">
        <v>126</v>
      </c>
      <c r="G146" s="594" t="s">
        <v>832</v>
      </c>
      <c r="H146" s="597" t="s">
        <v>340</v>
      </c>
      <c r="I146" s="597" t="s">
        <v>837</v>
      </c>
      <c r="J146" s="598" t="s">
        <v>834</v>
      </c>
      <c r="O146"/>
    </row>
    <row r="147" s="588" customFormat="1" spans="1:15">
      <c r="A147" s="593" t="s">
        <v>296</v>
      </c>
      <c r="B147" s="594" t="s">
        <v>325</v>
      </c>
      <c r="C147" s="595" t="s">
        <v>838</v>
      </c>
      <c r="D147" s="596" t="s">
        <v>839</v>
      </c>
      <c r="E147" s="595">
        <v>2204020087</v>
      </c>
      <c r="F147" s="596" t="s">
        <v>126</v>
      </c>
      <c r="G147" s="594" t="s">
        <v>832</v>
      </c>
      <c r="H147" s="597" t="s">
        <v>340</v>
      </c>
      <c r="I147" s="597" t="s">
        <v>840</v>
      </c>
      <c r="J147" s="598" t="s">
        <v>841</v>
      </c>
      <c r="O147"/>
    </row>
    <row r="148" s="588" customFormat="1" spans="1:15">
      <c r="A148" s="593" t="s">
        <v>296</v>
      </c>
      <c r="B148" s="594" t="s">
        <v>297</v>
      </c>
      <c r="C148" s="595" t="s">
        <v>842</v>
      </c>
      <c r="D148" s="596" t="s">
        <v>843</v>
      </c>
      <c r="E148" s="595">
        <v>2204030143</v>
      </c>
      <c r="F148" s="596" t="s">
        <v>126</v>
      </c>
      <c r="G148" s="594" t="s">
        <v>832</v>
      </c>
      <c r="H148" s="597" t="s">
        <v>340</v>
      </c>
      <c r="I148" s="597" t="s">
        <v>840</v>
      </c>
      <c r="J148" s="598" t="s">
        <v>844</v>
      </c>
      <c r="O148"/>
    </row>
    <row r="149" s="588" customFormat="1" spans="1:15">
      <c r="A149" s="593" t="s">
        <v>296</v>
      </c>
      <c r="B149" s="594" t="s">
        <v>297</v>
      </c>
      <c r="C149" s="595" t="s">
        <v>845</v>
      </c>
      <c r="D149" s="596" t="s">
        <v>831</v>
      </c>
      <c r="E149" s="595">
        <v>2204030165</v>
      </c>
      <c r="F149" s="596" t="s">
        <v>126</v>
      </c>
      <c r="G149" s="594" t="s">
        <v>832</v>
      </c>
      <c r="H149" s="597" t="s">
        <v>340</v>
      </c>
      <c r="I149" s="597" t="s">
        <v>846</v>
      </c>
      <c r="J149" s="598" t="s">
        <v>834</v>
      </c>
      <c r="O149"/>
    </row>
    <row r="150" s="588" customFormat="1" spans="1:15">
      <c r="A150" s="593" t="s">
        <v>296</v>
      </c>
      <c r="B150" s="594" t="s">
        <v>297</v>
      </c>
      <c r="C150" s="595" t="s">
        <v>847</v>
      </c>
      <c r="D150" s="596" t="s">
        <v>848</v>
      </c>
      <c r="E150" s="595">
        <v>2204100271</v>
      </c>
      <c r="F150" s="596" t="s">
        <v>145</v>
      </c>
      <c r="G150" s="594" t="s">
        <v>849</v>
      </c>
      <c r="H150" s="597" t="s">
        <v>850</v>
      </c>
      <c r="I150" s="597" t="s">
        <v>851</v>
      </c>
      <c r="J150" s="598" t="s">
        <v>852</v>
      </c>
      <c r="O150"/>
    </row>
    <row r="151" s="588" customFormat="1" spans="1:15">
      <c r="A151" s="593" t="s">
        <v>296</v>
      </c>
      <c r="B151" s="594" t="s">
        <v>297</v>
      </c>
      <c r="C151" s="595" t="s">
        <v>853</v>
      </c>
      <c r="D151" s="596" t="s">
        <v>854</v>
      </c>
      <c r="E151" s="595">
        <v>2204100272</v>
      </c>
      <c r="F151" s="596" t="s">
        <v>145</v>
      </c>
      <c r="G151" s="594" t="s">
        <v>849</v>
      </c>
      <c r="H151" s="597" t="s">
        <v>850</v>
      </c>
      <c r="I151" s="597" t="s">
        <v>855</v>
      </c>
      <c r="J151" s="598" t="s">
        <v>852</v>
      </c>
      <c r="O151"/>
    </row>
    <row r="152" s="588" customFormat="1" spans="1:15">
      <c r="A152" s="593" t="s">
        <v>296</v>
      </c>
      <c r="B152" s="594" t="s">
        <v>297</v>
      </c>
      <c r="C152" s="595" t="s">
        <v>856</v>
      </c>
      <c r="D152" s="596" t="s">
        <v>857</v>
      </c>
      <c r="E152" s="595">
        <v>2204100273</v>
      </c>
      <c r="F152" s="596" t="s">
        <v>145</v>
      </c>
      <c r="G152" s="594" t="s">
        <v>849</v>
      </c>
      <c r="H152" s="597"/>
      <c r="I152" s="597" t="s">
        <v>858</v>
      </c>
      <c r="J152" s="598" t="s">
        <v>859</v>
      </c>
      <c r="O152"/>
    </row>
    <row r="153" s="588" customFormat="1" spans="1:15">
      <c r="A153" s="593" t="s">
        <v>296</v>
      </c>
      <c r="B153" s="594" t="s">
        <v>297</v>
      </c>
      <c r="C153" s="595" t="s">
        <v>860</v>
      </c>
      <c r="D153" s="596" t="s">
        <v>861</v>
      </c>
      <c r="E153" s="595">
        <v>2204100274</v>
      </c>
      <c r="F153" s="596" t="s">
        <v>145</v>
      </c>
      <c r="G153" s="594" t="s">
        <v>849</v>
      </c>
      <c r="H153" s="597"/>
      <c r="I153" s="597" t="s">
        <v>862</v>
      </c>
      <c r="J153" s="598" t="s">
        <v>859</v>
      </c>
      <c r="O153"/>
    </row>
    <row r="154" s="588" customFormat="1" spans="1:15">
      <c r="A154" s="593" t="s">
        <v>296</v>
      </c>
      <c r="B154" s="594" t="s">
        <v>297</v>
      </c>
      <c r="C154" s="595" t="s">
        <v>863</v>
      </c>
      <c r="D154" s="596" t="s">
        <v>864</v>
      </c>
      <c r="E154" s="595">
        <v>2204100275</v>
      </c>
      <c r="F154" s="596" t="s">
        <v>145</v>
      </c>
      <c r="G154" s="594" t="s">
        <v>849</v>
      </c>
      <c r="H154" s="597"/>
      <c r="I154" s="597" t="s">
        <v>865</v>
      </c>
      <c r="J154" s="598" t="s">
        <v>866</v>
      </c>
      <c r="O154"/>
    </row>
    <row r="155" s="588" customFormat="1" spans="1:15">
      <c r="A155" s="593" t="s">
        <v>296</v>
      </c>
      <c r="B155" s="594" t="s">
        <v>297</v>
      </c>
      <c r="C155" s="595" t="s">
        <v>867</v>
      </c>
      <c r="D155" s="596" t="s">
        <v>868</v>
      </c>
      <c r="E155" s="595">
        <v>2204100282</v>
      </c>
      <c r="F155" s="596" t="s">
        <v>145</v>
      </c>
      <c r="G155" s="594" t="s">
        <v>869</v>
      </c>
      <c r="H155" s="597" t="s">
        <v>850</v>
      </c>
      <c r="I155" s="597" t="s">
        <v>870</v>
      </c>
      <c r="J155" s="598" t="s">
        <v>871</v>
      </c>
      <c r="O155"/>
    </row>
    <row r="156" s="588" customFormat="1" spans="1:15">
      <c r="A156" s="593" t="s">
        <v>296</v>
      </c>
      <c r="B156" s="594" t="s">
        <v>297</v>
      </c>
      <c r="C156" s="595" t="s">
        <v>872</v>
      </c>
      <c r="D156" s="596" t="s">
        <v>873</v>
      </c>
      <c r="E156" s="595">
        <v>2204100283</v>
      </c>
      <c r="F156" s="596" t="s">
        <v>145</v>
      </c>
      <c r="G156" s="594" t="s">
        <v>869</v>
      </c>
      <c r="H156" s="597" t="s">
        <v>850</v>
      </c>
      <c r="I156" s="597" t="s">
        <v>874</v>
      </c>
      <c r="J156" s="598" t="s">
        <v>871</v>
      </c>
      <c r="O156"/>
    </row>
    <row r="157" s="588" customFormat="1" spans="1:15">
      <c r="A157" s="593" t="s">
        <v>296</v>
      </c>
      <c r="B157" s="594" t="s">
        <v>297</v>
      </c>
      <c r="C157" s="595" t="s">
        <v>875</v>
      </c>
      <c r="D157" s="596" t="s">
        <v>876</v>
      </c>
      <c r="E157" s="595">
        <v>2204100286</v>
      </c>
      <c r="F157" s="596" t="s">
        <v>145</v>
      </c>
      <c r="G157" s="594" t="s">
        <v>869</v>
      </c>
      <c r="H157" s="597" t="s">
        <v>340</v>
      </c>
      <c r="I157" s="597" t="s">
        <v>877</v>
      </c>
      <c r="J157" s="598" t="s">
        <v>878</v>
      </c>
      <c r="O157"/>
    </row>
    <row r="158" s="588" customFormat="1" spans="1:15">
      <c r="A158" s="593" t="s">
        <v>296</v>
      </c>
      <c r="B158" s="594" t="s">
        <v>297</v>
      </c>
      <c r="C158" s="595" t="s">
        <v>879</v>
      </c>
      <c r="D158" s="596" t="s">
        <v>880</v>
      </c>
      <c r="E158" s="595">
        <v>2204100287</v>
      </c>
      <c r="F158" s="596" t="s">
        <v>145</v>
      </c>
      <c r="G158" s="594" t="s">
        <v>869</v>
      </c>
      <c r="H158" s="597" t="s">
        <v>850</v>
      </c>
      <c r="I158" s="597" t="s">
        <v>881</v>
      </c>
      <c r="J158" s="598" t="s">
        <v>882</v>
      </c>
      <c r="O158"/>
    </row>
    <row r="159" s="588" customFormat="1" spans="1:15">
      <c r="A159" s="593" t="s">
        <v>296</v>
      </c>
      <c r="B159" s="594" t="s">
        <v>297</v>
      </c>
      <c r="C159" s="595" t="s">
        <v>883</v>
      </c>
      <c r="D159" s="596" t="s">
        <v>884</v>
      </c>
      <c r="E159" s="595">
        <v>2204100291</v>
      </c>
      <c r="F159" s="596" t="s">
        <v>145</v>
      </c>
      <c r="G159" s="594" t="s">
        <v>869</v>
      </c>
      <c r="H159" s="597"/>
      <c r="I159" s="597" t="s">
        <v>885</v>
      </c>
      <c r="J159" s="598" t="s">
        <v>886</v>
      </c>
      <c r="O159"/>
    </row>
    <row r="160" s="588" customFormat="1" spans="1:15">
      <c r="A160" s="593" t="s">
        <v>296</v>
      </c>
      <c r="B160" s="594" t="s">
        <v>325</v>
      </c>
      <c r="C160" s="595" t="s">
        <v>887</v>
      </c>
      <c r="D160" s="596" t="s">
        <v>880</v>
      </c>
      <c r="E160" s="595">
        <v>2204100292</v>
      </c>
      <c r="F160" s="596" t="s">
        <v>145</v>
      </c>
      <c r="G160" s="594" t="s">
        <v>869</v>
      </c>
      <c r="H160" s="597" t="s">
        <v>850</v>
      </c>
      <c r="I160" s="597" t="s">
        <v>888</v>
      </c>
      <c r="J160" s="598" t="s">
        <v>882</v>
      </c>
      <c r="O160"/>
    </row>
    <row r="161" s="588" customFormat="1" spans="1:15">
      <c r="A161" s="593" t="s">
        <v>296</v>
      </c>
      <c r="B161" s="594" t="s">
        <v>297</v>
      </c>
      <c r="C161" s="595" t="s">
        <v>889</v>
      </c>
      <c r="D161" s="596" t="s">
        <v>890</v>
      </c>
      <c r="E161" s="595">
        <v>2204100296</v>
      </c>
      <c r="F161" s="596" t="s">
        <v>145</v>
      </c>
      <c r="G161" s="594" t="s">
        <v>869</v>
      </c>
      <c r="H161" s="597"/>
      <c r="I161" s="597" t="s">
        <v>891</v>
      </c>
      <c r="J161" s="598" t="s">
        <v>892</v>
      </c>
      <c r="O161"/>
    </row>
    <row r="162" s="588" customFormat="1" spans="1:15">
      <c r="A162" s="593" t="s">
        <v>296</v>
      </c>
      <c r="B162" s="594" t="s">
        <v>297</v>
      </c>
      <c r="C162" s="595" t="s">
        <v>893</v>
      </c>
      <c r="D162" s="596" t="s">
        <v>894</v>
      </c>
      <c r="E162" s="595">
        <v>2204100306</v>
      </c>
      <c r="F162" s="596" t="s">
        <v>145</v>
      </c>
      <c r="G162" s="594" t="s">
        <v>869</v>
      </c>
      <c r="H162" s="597" t="s">
        <v>340</v>
      </c>
      <c r="I162" s="597" t="s">
        <v>895</v>
      </c>
      <c r="J162" s="598" t="s">
        <v>896</v>
      </c>
      <c r="O162"/>
    </row>
    <row r="163" s="588" customFormat="1" spans="1:15">
      <c r="A163" s="593" t="s">
        <v>296</v>
      </c>
      <c r="B163" s="594" t="s">
        <v>297</v>
      </c>
      <c r="C163" s="595" t="s">
        <v>897</v>
      </c>
      <c r="D163" s="596" t="s">
        <v>898</v>
      </c>
      <c r="E163" s="595">
        <v>2204100307</v>
      </c>
      <c r="F163" s="596" t="s">
        <v>145</v>
      </c>
      <c r="G163" s="594" t="s">
        <v>869</v>
      </c>
      <c r="H163" s="597" t="s">
        <v>340</v>
      </c>
      <c r="I163" s="597" t="s">
        <v>899</v>
      </c>
      <c r="J163" s="598" t="s">
        <v>900</v>
      </c>
      <c r="O163"/>
    </row>
    <row r="164" s="588" customFormat="1" spans="1:15">
      <c r="A164" s="593" t="s">
        <v>296</v>
      </c>
      <c r="B164" s="594" t="s">
        <v>297</v>
      </c>
      <c r="C164" s="595" t="s">
        <v>901</v>
      </c>
      <c r="D164" s="596" t="s">
        <v>902</v>
      </c>
      <c r="E164" s="595">
        <v>2204100308</v>
      </c>
      <c r="F164" s="596" t="s">
        <v>145</v>
      </c>
      <c r="G164" s="594" t="s">
        <v>849</v>
      </c>
      <c r="H164" s="597" t="s">
        <v>340</v>
      </c>
      <c r="I164" s="597" t="s">
        <v>903</v>
      </c>
      <c r="J164" s="598" t="s">
        <v>904</v>
      </c>
      <c r="O164"/>
    </row>
    <row r="165" s="588" customFormat="1" spans="1:15">
      <c r="A165" s="593" t="s">
        <v>296</v>
      </c>
      <c r="B165" s="594" t="s">
        <v>297</v>
      </c>
      <c r="C165" s="595" t="s">
        <v>905</v>
      </c>
      <c r="D165" s="596" t="s">
        <v>906</v>
      </c>
      <c r="E165" s="595">
        <v>2204100309</v>
      </c>
      <c r="F165" s="596" t="s">
        <v>145</v>
      </c>
      <c r="G165" s="594" t="s">
        <v>869</v>
      </c>
      <c r="H165" s="597" t="s">
        <v>340</v>
      </c>
      <c r="I165" s="597" t="s">
        <v>907</v>
      </c>
      <c r="J165" s="598" t="s">
        <v>908</v>
      </c>
      <c r="O165"/>
    </row>
    <row r="166" s="588" customFormat="1" spans="1:15">
      <c r="A166" s="593" t="s">
        <v>296</v>
      </c>
      <c r="B166" s="594" t="s">
        <v>297</v>
      </c>
      <c r="C166" s="595" t="s">
        <v>909</v>
      </c>
      <c r="D166" s="596" t="s">
        <v>910</v>
      </c>
      <c r="E166" s="595">
        <v>2204100310</v>
      </c>
      <c r="F166" s="596" t="s">
        <v>145</v>
      </c>
      <c r="G166" s="594" t="s">
        <v>869</v>
      </c>
      <c r="H166" s="597" t="s">
        <v>340</v>
      </c>
      <c r="I166" s="597" t="s">
        <v>911</v>
      </c>
      <c r="J166" s="598" t="s">
        <v>908</v>
      </c>
      <c r="O166"/>
    </row>
    <row r="167" s="588" customFormat="1" spans="1:15">
      <c r="A167" s="593" t="s">
        <v>296</v>
      </c>
      <c r="B167" s="594" t="s">
        <v>297</v>
      </c>
      <c r="C167" s="595" t="s">
        <v>912</v>
      </c>
      <c r="D167" s="596" t="s">
        <v>913</v>
      </c>
      <c r="E167" s="595">
        <v>2204100311</v>
      </c>
      <c r="F167" s="596" t="s">
        <v>145</v>
      </c>
      <c r="G167" s="594" t="s">
        <v>869</v>
      </c>
      <c r="H167" s="597" t="s">
        <v>340</v>
      </c>
      <c r="I167" s="597" t="s">
        <v>914</v>
      </c>
      <c r="J167" s="598" t="s">
        <v>915</v>
      </c>
      <c r="O167"/>
    </row>
    <row r="168" s="588" customFormat="1" spans="1:15">
      <c r="A168" s="593" t="s">
        <v>296</v>
      </c>
      <c r="B168" s="594" t="s">
        <v>297</v>
      </c>
      <c r="C168" s="595" t="s">
        <v>916</v>
      </c>
      <c r="D168" s="596" t="s">
        <v>917</v>
      </c>
      <c r="E168" s="595">
        <v>2204100312</v>
      </c>
      <c r="F168" s="596" t="s">
        <v>145</v>
      </c>
      <c r="G168" s="594" t="s">
        <v>869</v>
      </c>
      <c r="H168" s="597" t="s">
        <v>340</v>
      </c>
      <c r="I168" s="597" t="s">
        <v>918</v>
      </c>
      <c r="J168" s="598" t="s">
        <v>915</v>
      </c>
      <c r="O168"/>
    </row>
    <row r="169" s="588" customFormat="1" spans="1:15">
      <c r="A169" s="593" t="s">
        <v>296</v>
      </c>
      <c r="B169" s="594" t="s">
        <v>297</v>
      </c>
      <c r="C169" s="595" t="s">
        <v>919</v>
      </c>
      <c r="D169" s="596" t="s">
        <v>920</v>
      </c>
      <c r="E169" s="595">
        <v>2204100313</v>
      </c>
      <c r="F169" s="596" t="s">
        <v>145</v>
      </c>
      <c r="G169" s="594" t="s">
        <v>869</v>
      </c>
      <c r="H169" s="597" t="s">
        <v>340</v>
      </c>
      <c r="I169" s="597" t="s">
        <v>921</v>
      </c>
      <c r="J169" s="598" t="s">
        <v>922</v>
      </c>
      <c r="O169"/>
    </row>
    <row r="170" s="588" customFormat="1" spans="1:15">
      <c r="A170" s="593" t="s">
        <v>296</v>
      </c>
      <c r="B170" s="594" t="s">
        <v>297</v>
      </c>
      <c r="C170" s="595" t="s">
        <v>923</v>
      </c>
      <c r="D170" s="596" t="s">
        <v>924</v>
      </c>
      <c r="E170" s="595">
        <v>2204100314</v>
      </c>
      <c r="F170" s="596" t="s">
        <v>145</v>
      </c>
      <c r="G170" s="594" t="s">
        <v>869</v>
      </c>
      <c r="H170" s="597" t="s">
        <v>340</v>
      </c>
      <c r="I170" s="597" t="s">
        <v>925</v>
      </c>
      <c r="J170" s="598" t="s">
        <v>922</v>
      </c>
      <c r="O170"/>
    </row>
    <row r="171" s="588" customFormat="1" spans="1:15">
      <c r="A171" s="593" t="s">
        <v>296</v>
      </c>
      <c r="B171" s="594" t="s">
        <v>297</v>
      </c>
      <c r="C171" s="595" t="s">
        <v>926</v>
      </c>
      <c r="D171" s="596" t="s">
        <v>927</v>
      </c>
      <c r="E171" s="595">
        <v>2204100328</v>
      </c>
      <c r="F171" s="596" t="s">
        <v>145</v>
      </c>
      <c r="G171" s="594" t="s">
        <v>869</v>
      </c>
      <c r="H171" s="597" t="s">
        <v>850</v>
      </c>
      <c r="I171" s="597" t="s">
        <v>928</v>
      </c>
      <c r="J171" s="598" t="s">
        <v>929</v>
      </c>
      <c r="O171"/>
    </row>
    <row r="172" s="588" customFormat="1" spans="1:15">
      <c r="A172" s="593" t="s">
        <v>296</v>
      </c>
      <c r="B172" s="594" t="s">
        <v>297</v>
      </c>
      <c r="C172" s="595" t="s">
        <v>930</v>
      </c>
      <c r="D172" s="596" t="s">
        <v>931</v>
      </c>
      <c r="E172" s="595">
        <v>2204100329</v>
      </c>
      <c r="F172" s="596" t="s">
        <v>145</v>
      </c>
      <c r="G172" s="594" t="s">
        <v>869</v>
      </c>
      <c r="H172" s="597" t="s">
        <v>850</v>
      </c>
      <c r="I172" s="597" t="s">
        <v>932</v>
      </c>
      <c r="J172" s="598" t="s">
        <v>929</v>
      </c>
      <c r="O172"/>
    </row>
    <row r="173" s="588" customFormat="1" spans="1:15">
      <c r="A173" s="593" t="s">
        <v>296</v>
      </c>
      <c r="B173" s="594" t="s">
        <v>297</v>
      </c>
      <c r="C173" s="595" t="s">
        <v>933</v>
      </c>
      <c r="D173" s="596" t="s">
        <v>934</v>
      </c>
      <c r="E173" s="595">
        <v>2204100330</v>
      </c>
      <c r="F173" s="596" t="s">
        <v>145</v>
      </c>
      <c r="G173" s="594" t="s">
        <v>869</v>
      </c>
      <c r="H173" s="597" t="s">
        <v>340</v>
      </c>
      <c r="I173" s="597" t="s">
        <v>935</v>
      </c>
      <c r="J173" s="598" t="s">
        <v>936</v>
      </c>
      <c r="O173"/>
    </row>
    <row r="174" s="588" customFormat="1" spans="1:15">
      <c r="A174" s="593" t="s">
        <v>296</v>
      </c>
      <c r="B174" s="594" t="s">
        <v>297</v>
      </c>
      <c r="C174" s="595" t="s">
        <v>937</v>
      </c>
      <c r="D174" s="596" t="s">
        <v>938</v>
      </c>
      <c r="E174" s="595">
        <v>2204100331</v>
      </c>
      <c r="F174" s="596" t="s">
        <v>145</v>
      </c>
      <c r="G174" s="594" t="s">
        <v>869</v>
      </c>
      <c r="H174" s="597" t="s">
        <v>340</v>
      </c>
      <c r="I174" s="597" t="s">
        <v>939</v>
      </c>
      <c r="J174" s="598" t="s">
        <v>936</v>
      </c>
      <c r="O174"/>
    </row>
    <row r="175" s="588" customFormat="1" spans="1:15">
      <c r="A175" s="593" t="s">
        <v>296</v>
      </c>
      <c r="B175" s="594" t="s">
        <v>297</v>
      </c>
      <c r="C175" s="595" t="s">
        <v>940</v>
      </c>
      <c r="D175" s="596" t="s">
        <v>941</v>
      </c>
      <c r="E175" s="595">
        <v>2204100332</v>
      </c>
      <c r="F175" s="596" t="s">
        <v>145</v>
      </c>
      <c r="G175" s="594" t="s">
        <v>869</v>
      </c>
      <c r="H175" s="597" t="s">
        <v>340</v>
      </c>
      <c r="I175" s="597" t="s">
        <v>942</v>
      </c>
      <c r="J175" s="598" t="s">
        <v>943</v>
      </c>
      <c r="O175"/>
    </row>
    <row r="176" s="588" customFormat="1" spans="1:15">
      <c r="A176" s="593" t="s">
        <v>296</v>
      </c>
      <c r="B176" s="594" t="s">
        <v>297</v>
      </c>
      <c r="C176" s="595" t="s">
        <v>944</v>
      </c>
      <c r="D176" s="596" t="s">
        <v>848</v>
      </c>
      <c r="E176" s="595">
        <v>2204100345</v>
      </c>
      <c r="F176" s="596" t="s">
        <v>145</v>
      </c>
      <c r="G176" s="594" t="s">
        <v>849</v>
      </c>
      <c r="H176" s="597" t="s">
        <v>850</v>
      </c>
      <c r="I176" s="597" t="s">
        <v>945</v>
      </c>
      <c r="J176" s="598" t="s">
        <v>852</v>
      </c>
      <c r="O176"/>
    </row>
    <row r="177" s="588" customFormat="1" spans="1:15">
      <c r="A177" s="593" t="s">
        <v>296</v>
      </c>
      <c r="B177" s="594" t="s">
        <v>297</v>
      </c>
      <c r="C177" s="595" t="s">
        <v>946</v>
      </c>
      <c r="D177" s="596" t="s">
        <v>854</v>
      </c>
      <c r="E177" s="595">
        <v>2204100346</v>
      </c>
      <c r="F177" s="596" t="s">
        <v>145</v>
      </c>
      <c r="G177" s="594" t="s">
        <v>849</v>
      </c>
      <c r="H177" s="597" t="s">
        <v>850</v>
      </c>
      <c r="I177" s="597" t="s">
        <v>947</v>
      </c>
      <c r="J177" s="598" t="s">
        <v>852</v>
      </c>
      <c r="O177"/>
    </row>
    <row r="178" s="588" customFormat="1" spans="1:15">
      <c r="A178" s="593" t="s">
        <v>296</v>
      </c>
      <c r="B178" s="594" t="s">
        <v>297</v>
      </c>
      <c r="C178" s="595" t="s">
        <v>948</v>
      </c>
      <c r="D178" s="596" t="s">
        <v>857</v>
      </c>
      <c r="E178" s="595">
        <v>2204100347</v>
      </c>
      <c r="F178" s="596" t="s">
        <v>145</v>
      </c>
      <c r="G178" s="594" t="s">
        <v>849</v>
      </c>
      <c r="H178" s="597" t="s">
        <v>340</v>
      </c>
      <c r="I178" s="597" t="s">
        <v>949</v>
      </c>
      <c r="J178" s="598" t="s">
        <v>859</v>
      </c>
      <c r="O178"/>
    </row>
    <row r="179" s="588" customFormat="1" spans="1:15">
      <c r="A179" s="593" t="s">
        <v>296</v>
      </c>
      <c r="B179" s="594" t="s">
        <v>297</v>
      </c>
      <c r="C179" s="595" t="s">
        <v>950</v>
      </c>
      <c r="D179" s="596" t="s">
        <v>861</v>
      </c>
      <c r="E179" s="595">
        <v>2204100348</v>
      </c>
      <c r="F179" s="596" t="s">
        <v>145</v>
      </c>
      <c r="G179" s="594" t="s">
        <v>849</v>
      </c>
      <c r="H179" s="597" t="s">
        <v>340</v>
      </c>
      <c r="I179" s="597" t="s">
        <v>951</v>
      </c>
      <c r="J179" s="598" t="s">
        <v>859</v>
      </c>
      <c r="O179"/>
    </row>
    <row r="180" s="588" customFormat="1" spans="1:15">
      <c r="A180" s="593" t="s">
        <v>296</v>
      </c>
      <c r="B180" s="594" t="s">
        <v>297</v>
      </c>
      <c r="C180" s="595" t="s">
        <v>952</v>
      </c>
      <c r="D180" s="596" t="s">
        <v>864</v>
      </c>
      <c r="E180" s="595">
        <v>2204100349</v>
      </c>
      <c r="F180" s="596" t="s">
        <v>145</v>
      </c>
      <c r="G180" s="594" t="s">
        <v>849</v>
      </c>
      <c r="H180" s="597" t="s">
        <v>340</v>
      </c>
      <c r="I180" s="597" t="s">
        <v>953</v>
      </c>
      <c r="J180" s="598" t="s">
        <v>866</v>
      </c>
      <c r="O180"/>
    </row>
    <row r="181" s="588" customFormat="1" spans="1:15">
      <c r="A181" s="593" t="s">
        <v>296</v>
      </c>
      <c r="B181" s="594" t="s">
        <v>297</v>
      </c>
      <c r="C181" s="595" t="s">
        <v>954</v>
      </c>
      <c r="D181" s="596" t="s">
        <v>955</v>
      </c>
      <c r="E181" s="595">
        <v>2204060045</v>
      </c>
      <c r="F181" s="596" t="s">
        <v>126</v>
      </c>
      <c r="G181" s="594" t="s">
        <v>956</v>
      </c>
      <c r="H181" s="597" t="s">
        <v>801</v>
      </c>
      <c r="I181" s="597" t="s">
        <v>957</v>
      </c>
      <c r="J181" s="598" t="s">
        <v>958</v>
      </c>
      <c r="O181"/>
    </row>
    <row r="182" s="588" customFormat="1" spans="1:15">
      <c r="A182" s="593" t="s">
        <v>296</v>
      </c>
      <c r="B182" s="594" t="s">
        <v>297</v>
      </c>
      <c r="C182" s="595" t="s">
        <v>959</v>
      </c>
      <c r="D182" s="596" t="s">
        <v>960</v>
      </c>
      <c r="E182" s="595">
        <v>2204060046</v>
      </c>
      <c r="F182" s="596" t="s">
        <v>126</v>
      </c>
      <c r="G182" s="594" t="s">
        <v>956</v>
      </c>
      <c r="H182" s="597" t="s">
        <v>801</v>
      </c>
      <c r="I182" s="597" t="s">
        <v>961</v>
      </c>
      <c r="J182" s="598" t="s">
        <v>958</v>
      </c>
      <c r="O182"/>
    </row>
    <row r="183" s="588" customFormat="1" spans="1:15">
      <c r="A183" s="593" t="s">
        <v>296</v>
      </c>
      <c r="B183" s="594" t="s">
        <v>297</v>
      </c>
      <c r="C183" s="595" t="s">
        <v>962</v>
      </c>
      <c r="D183" s="596" t="s">
        <v>963</v>
      </c>
      <c r="E183" s="595">
        <v>2204060047</v>
      </c>
      <c r="F183" s="596" t="s">
        <v>126</v>
      </c>
      <c r="G183" s="594" t="s">
        <v>956</v>
      </c>
      <c r="H183" s="597" t="s">
        <v>801</v>
      </c>
      <c r="I183" s="597" t="s">
        <v>964</v>
      </c>
      <c r="J183" s="598" t="s">
        <v>958</v>
      </c>
      <c r="O183"/>
    </row>
    <row r="184" s="588" customFormat="1" spans="1:15">
      <c r="A184" s="593" t="s">
        <v>296</v>
      </c>
      <c r="B184" s="594" t="s">
        <v>297</v>
      </c>
      <c r="C184" s="595" t="s">
        <v>965</v>
      </c>
      <c r="D184" s="596" t="s">
        <v>966</v>
      </c>
      <c r="E184" s="595">
        <v>2204060049</v>
      </c>
      <c r="F184" s="596" t="s">
        <v>126</v>
      </c>
      <c r="G184" s="594" t="s">
        <v>956</v>
      </c>
      <c r="H184" s="597" t="s">
        <v>340</v>
      </c>
      <c r="I184" s="597" t="s">
        <v>967</v>
      </c>
      <c r="J184" s="598" t="s">
        <v>968</v>
      </c>
      <c r="O184"/>
    </row>
    <row r="185" s="588" customFormat="1" spans="1:15">
      <c r="A185" s="593" t="s">
        <v>296</v>
      </c>
      <c r="B185" s="594" t="s">
        <v>297</v>
      </c>
      <c r="C185" s="595" t="s">
        <v>969</v>
      </c>
      <c r="D185" s="596" t="s">
        <v>970</v>
      </c>
      <c r="E185" s="595">
        <v>2204060050</v>
      </c>
      <c r="F185" s="596" t="s">
        <v>126</v>
      </c>
      <c r="G185" s="594" t="s">
        <v>956</v>
      </c>
      <c r="H185" s="597" t="s">
        <v>340</v>
      </c>
      <c r="I185" s="597" t="s">
        <v>971</v>
      </c>
      <c r="J185" s="598" t="s">
        <v>968</v>
      </c>
      <c r="O185"/>
    </row>
    <row r="186" s="588" customFormat="1" spans="1:15">
      <c r="A186" s="593" t="s">
        <v>296</v>
      </c>
      <c r="B186" s="594" t="s">
        <v>297</v>
      </c>
      <c r="C186" s="595" t="s">
        <v>972</v>
      </c>
      <c r="D186" s="596" t="s">
        <v>973</v>
      </c>
      <c r="E186" s="595">
        <v>2204060052</v>
      </c>
      <c r="F186" s="596" t="s">
        <v>126</v>
      </c>
      <c r="G186" s="594" t="s">
        <v>956</v>
      </c>
      <c r="H186" s="597" t="s">
        <v>801</v>
      </c>
      <c r="I186" s="597" t="s">
        <v>974</v>
      </c>
      <c r="J186" s="598" t="s">
        <v>975</v>
      </c>
      <c r="O186"/>
    </row>
    <row r="187" s="588" customFormat="1" spans="1:15">
      <c r="A187" s="593" t="s">
        <v>296</v>
      </c>
      <c r="B187" s="594" t="s">
        <v>297</v>
      </c>
      <c r="C187" s="595" t="s">
        <v>976</v>
      </c>
      <c r="D187" s="596" t="s">
        <v>977</v>
      </c>
      <c r="E187" s="595">
        <v>2204100259</v>
      </c>
      <c r="F187" s="596" t="s">
        <v>145</v>
      </c>
      <c r="G187" s="594" t="s">
        <v>849</v>
      </c>
      <c r="H187" s="597" t="s">
        <v>850</v>
      </c>
      <c r="I187" s="597" t="s">
        <v>978</v>
      </c>
      <c r="J187" s="598" t="s">
        <v>979</v>
      </c>
      <c r="O187"/>
    </row>
    <row r="188" s="588" customFormat="1" spans="1:15">
      <c r="A188" s="593" t="s">
        <v>296</v>
      </c>
      <c r="B188" s="594" t="s">
        <v>297</v>
      </c>
      <c r="C188" s="595" t="s">
        <v>980</v>
      </c>
      <c r="D188" s="596" t="s">
        <v>981</v>
      </c>
      <c r="E188" s="595">
        <v>2204100260</v>
      </c>
      <c r="F188" s="596" t="s">
        <v>145</v>
      </c>
      <c r="G188" s="594" t="s">
        <v>849</v>
      </c>
      <c r="H188" s="597" t="s">
        <v>850</v>
      </c>
      <c r="I188" s="597" t="s">
        <v>982</v>
      </c>
      <c r="J188" s="598" t="s">
        <v>979</v>
      </c>
      <c r="O188"/>
    </row>
    <row r="189" s="588" customFormat="1" spans="1:15">
      <c r="A189" s="593" t="s">
        <v>296</v>
      </c>
      <c r="B189" s="594" t="s">
        <v>297</v>
      </c>
      <c r="C189" s="595" t="s">
        <v>983</v>
      </c>
      <c r="D189" s="596" t="s">
        <v>984</v>
      </c>
      <c r="E189" s="595">
        <v>2204100263</v>
      </c>
      <c r="F189" s="596" t="s">
        <v>145</v>
      </c>
      <c r="G189" s="594" t="s">
        <v>849</v>
      </c>
      <c r="H189" s="597"/>
      <c r="I189" s="597" t="s">
        <v>985</v>
      </c>
      <c r="J189" s="598" t="s">
        <v>986</v>
      </c>
      <c r="O189"/>
    </row>
    <row r="190" s="588" customFormat="1" spans="1:15">
      <c r="A190" s="593" t="s">
        <v>296</v>
      </c>
      <c r="B190" s="594" t="s">
        <v>297</v>
      </c>
      <c r="C190" s="595" t="s">
        <v>987</v>
      </c>
      <c r="D190" s="596" t="s">
        <v>988</v>
      </c>
      <c r="E190" s="595">
        <v>2204130021</v>
      </c>
      <c r="F190" s="596" t="s">
        <v>145</v>
      </c>
      <c r="G190" s="594" t="s">
        <v>497</v>
      </c>
      <c r="H190" s="597" t="s">
        <v>989</v>
      </c>
      <c r="I190" s="597" t="s">
        <v>990</v>
      </c>
      <c r="J190" s="598" t="s">
        <v>991</v>
      </c>
      <c r="O190"/>
    </row>
    <row r="191" s="588" customFormat="1" spans="1:15">
      <c r="A191" s="593" t="s">
        <v>296</v>
      </c>
      <c r="B191" s="594" t="s">
        <v>297</v>
      </c>
      <c r="C191" s="595" t="s">
        <v>992</v>
      </c>
      <c r="D191" s="596" t="s">
        <v>988</v>
      </c>
      <c r="E191" s="595">
        <v>2204130023</v>
      </c>
      <c r="F191" s="596" t="s">
        <v>145</v>
      </c>
      <c r="G191" s="594" t="s">
        <v>497</v>
      </c>
      <c r="H191" s="597" t="s">
        <v>989</v>
      </c>
      <c r="I191" s="597" t="s">
        <v>993</v>
      </c>
      <c r="J191" s="598" t="s">
        <v>991</v>
      </c>
      <c r="O191"/>
    </row>
    <row r="192" s="588" customFormat="1" spans="1:15">
      <c r="A192" s="593" t="s">
        <v>296</v>
      </c>
      <c r="B192" s="594" t="s">
        <v>297</v>
      </c>
      <c r="C192" s="595" t="s">
        <v>994</v>
      </c>
      <c r="D192" s="596" t="s">
        <v>995</v>
      </c>
      <c r="E192" s="595">
        <v>2205050244</v>
      </c>
      <c r="F192" s="596" t="s">
        <v>140</v>
      </c>
      <c r="G192" s="594" t="s">
        <v>869</v>
      </c>
      <c r="H192" s="597" t="s">
        <v>850</v>
      </c>
      <c r="I192" s="597" t="s">
        <v>996</v>
      </c>
      <c r="J192" s="598" t="s">
        <v>997</v>
      </c>
      <c r="O192"/>
    </row>
    <row r="193" s="588" customFormat="1" spans="1:15">
      <c r="A193" s="593" t="s">
        <v>296</v>
      </c>
      <c r="B193" s="594" t="s">
        <v>297</v>
      </c>
      <c r="C193" s="595" t="s">
        <v>998</v>
      </c>
      <c r="D193" s="596" t="s">
        <v>999</v>
      </c>
      <c r="E193" s="595">
        <v>2205050245</v>
      </c>
      <c r="F193" s="596" t="s">
        <v>140</v>
      </c>
      <c r="G193" s="594" t="s">
        <v>869</v>
      </c>
      <c r="H193" s="597" t="s">
        <v>850</v>
      </c>
      <c r="I193" s="597" t="s">
        <v>1000</v>
      </c>
      <c r="J193" s="598" t="s">
        <v>997</v>
      </c>
      <c r="O193"/>
    </row>
    <row r="194" s="588" customFormat="1" spans="1:15">
      <c r="A194" s="593" t="s">
        <v>296</v>
      </c>
      <c r="B194" s="594" t="s">
        <v>297</v>
      </c>
      <c r="C194" s="595" t="s">
        <v>1001</v>
      </c>
      <c r="D194" s="596" t="s">
        <v>1002</v>
      </c>
      <c r="E194" s="595">
        <v>2205050246</v>
      </c>
      <c r="F194" s="596" t="s">
        <v>140</v>
      </c>
      <c r="G194" s="594" t="s">
        <v>869</v>
      </c>
      <c r="H194" s="597"/>
      <c r="I194" s="597" t="s">
        <v>1003</v>
      </c>
      <c r="J194" s="598" t="s">
        <v>1004</v>
      </c>
      <c r="O194"/>
    </row>
    <row r="195" s="588" customFormat="1" spans="1:15">
      <c r="A195" s="593" t="s">
        <v>1005</v>
      </c>
      <c r="B195" s="594" t="s">
        <v>297</v>
      </c>
      <c r="C195" s="595" t="s">
        <v>1006</v>
      </c>
      <c r="D195" s="596" t="s">
        <v>1007</v>
      </c>
      <c r="E195" s="595">
        <v>2205050247</v>
      </c>
      <c r="F195" s="596" t="s">
        <v>140</v>
      </c>
      <c r="G195" s="594" t="s">
        <v>869</v>
      </c>
      <c r="H195" s="597"/>
      <c r="I195" s="597" t="s">
        <v>1008</v>
      </c>
      <c r="J195" s="598" t="s">
        <v>1004</v>
      </c>
      <c r="O195"/>
    </row>
    <row r="196" s="588" customFormat="1" spans="1:15">
      <c r="A196" s="593" t="s">
        <v>1005</v>
      </c>
      <c r="B196" s="594" t="s">
        <v>297</v>
      </c>
      <c r="C196" s="595" t="s">
        <v>1009</v>
      </c>
      <c r="D196" s="596" t="s">
        <v>1010</v>
      </c>
      <c r="E196" s="595">
        <v>2205050248</v>
      </c>
      <c r="F196" s="596" t="s">
        <v>140</v>
      </c>
      <c r="G196" s="594" t="s">
        <v>869</v>
      </c>
      <c r="H196" s="597"/>
      <c r="I196" s="597" t="s">
        <v>1011</v>
      </c>
      <c r="J196" s="598" t="s">
        <v>1012</v>
      </c>
      <c r="O196"/>
    </row>
    <row r="197" s="588" customFormat="1" spans="1:15">
      <c r="A197" s="593" t="s">
        <v>1005</v>
      </c>
      <c r="B197" s="594" t="s">
        <v>297</v>
      </c>
      <c r="C197" s="595" t="s">
        <v>1013</v>
      </c>
      <c r="D197" s="596" t="s">
        <v>1002</v>
      </c>
      <c r="E197" s="595">
        <v>2205050249</v>
      </c>
      <c r="F197" s="596" t="s">
        <v>140</v>
      </c>
      <c r="G197" s="594" t="s">
        <v>869</v>
      </c>
      <c r="H197" s="597"/>
      <c r="I197" s="597" t="s">
        <v>1014</v>
      </c>
      <c r="J197" s="598" t="s">
        <v>1004</v>
      </c>
      <c r="O197"/>
    </row>
    <row r="198" s="588" customFormat="1" spans="1:15">
      <c r="A198" s="593" t="s">
        <v>1005</v>
      </c>
      <c r="B198" s="594" t="s">
        <v>297</v>
      </c>
      <c r="C198" s="595" t="s">
        <v>1015</v>
      </c>
      <c r="D198" s="596" t="s">
        <v>1007</v>
      </c>
      <c r="E198" s="595">
        <v>2205050250</v>
      </c>
      <c r="F198" s="596" t="s">
        <v>140</v>
      </c>
      <c r="G198" s="594" t="s">
        <v>869</v>
      </c>
      <c r="H198" s="597"/>
      <c r="I198" s="597" t="s">
        <v>1016</v>
      </c>
      <c r="J198" s="598" t="s">
        <v>1004</v>
      </c>
      <c r="O198"/>
    </row>
    <row r="199" s="588" customFormat="1" spans="1:15">
      <c r="A199" s="593" t="s">
        <v>1005</v>
      </c>
      <c r="B199" s="594" t="s">
        <v>297</v>
      </c>
      <c r="C199" s="595" t="s">
        <v>1017</v>
      </c>
      <c r="D199" s="596" t="s">
        <v>1010</v>
      </c>
      <c r="E199" s="595">
        <v>2205050251</v>
      </c>
      <c r="F199" s="596" t="s">
        <v>140</v>
      </c>
      <c r="G199" s="594" t="s">
        <v>869</v>
      </c>
      <c r="H199" s="597"/>
      <c r="I199" s="597" t="s">
        <v>1018</v>
      </c>
      <c r="J199" s="598" t="s">
        <v>1012</v>
      </c>
      <c r="O199"/>
    </row>
    <row r="200" s="588" customFormat="1" spans="1:15">
      <c r="A200" s="593" t="s">
        <v>1005</v>
      </c>
      <c r="B200" s="594" t="s">
        <v>297</v>
      </c>
      <c r="C200" s="595" t="s">
        <v>1019</v>
      </c>
      <c r="D200" s="596" t="s">
        <v>1020</v>
      </c>
      <c r="E200" s="595">
        <v>2205050269</v>
      </c>
      <c r="F200" s="596" t="s">
        <v>140</v>
      </c>
      <c r="G200" s="594" t="s">
        <v>849</v>
      </c>
      <c r="H200" s="597" t="s">
        <v>850</v>
      </c>
      <c r="I200" s="597" t="s">
        <v>1021</v>
      </c>
      <c r="J200" s="598" t="s">
        <v>1022</v>
      </c>
      <c r="O200"/>
    </row>
    <row r="201" s="588" customFormat="1" spans="1:15">
      <c r="A201" s="593" t="s">
        <v>1005</v>
      </c>
      <c r="B201" s="594" t="s">
        <v>297</v>
      </c>
      <c r="C201" s="595" t="s">
        <v>1023</v>
      </c>
      <c r="D201" s="596" t="s">
        <v>1024</v>
      </c>
      <c r="E201" s="595">
        <v>2205050270</v>
      </c>
      <c r="F201" s="596" t="s">
        <v>140</v>
      </c>
      <c r="G201" s="594" t="s">
        <v>849</v>
      </c>
      <c r="H201" s="597" t="s">
        <v>850</v>
      </c>
      <c r="I201" s="597" t="s">
        <v>1025</v>
      </c>
      <c r="J201" s="598" t="s">
        <v>1022</v>
      </c>
      <c r="O201"/>
    </row>
    <row r="202" s="588" customFormat="1" spans="1:15">
      <c r="A202" s="593" t="s">
        <v>1005</v>
      </c>
      <c r="B202" s="594" t="s">
        <v>297</v>
      </c>
      <c r="C202" s="595" t="s">
        <v>1026</v>
      </c>
      <c r="D202" s="596" t="s">
        <v>1027</v>
      </c>
      <c r="E202" s="595">
        <v>2205050271</v>
      </c>
      <c r="F202" s="596" t="s">
        <v>140</v>
      </c>
      <c r="G202" s="594" t="s">
        <v>849</v>
      </c>
      <c r="H202" s="597"/>
      <c r="I202" s="597" t="s">
        <v>1028</v>
      </c>
      <c r="J202" s="598" t="s">
        <v>1029</v>
      </c>
      <c r="O202"/>
    </row>
    <row r="203" s="588" customFormat="1" spans="1:15">
      <c r="A203" s="593" t="s">
        <v>1005</v>
      </c>
      <c r="B203" s="594" t="s">
        <v>297</v>
      </c>
      <c r="C203" s="595" t="s">
        <v>1030</v>
      </c>
      <c r="D203" s="596" t="s">
        <v>1031</v>
      </c>
      <c r="E203" s="595">
        <v>2205050272</v>
      </c>
      <c r="F203" s="596" t="s">
        <v>140</v>
      </c>
      <c r="G203" s="594" t="s">
        <v>849</v>
      </c>
      <c r="H203" s="597"/>
      <c r="I203" s="597" t="s">
        <v>1032</v>
      </c>
      <c r="J203" s="598" t="s">
        <v>1029</v>
      </c>
      <c r="O203"/>
    </row>
    <row r="204" s="588" customFormat="1" spans="1:15">
      <c r="A204" s="593" t="s">
        <v>1005</v>
      </c>
      <c r="B204" s="594" t="s">
        <v>297</v>
      </c>
      <c r="C204" s="595" t="s">
        <v>1033</v>
      </c>
      <c r="D204" s="596" t="s">
        <v>1034</v>
      </c>
      <c r="E204" s="595">
        <v>2205050293</v>
      </c>
      <c r="F204" s="596" t="s">
        <v>140</v>
      </c>
      <c r="G204" s="594" t="s">
        <v>869</v>
      </c>
      <c r="H204" s="597" t="s">
        <v>340</v>
      </c>
      <c r="I204" s="597" t="s">
        <v>1035</v>
      </c>
      <c r="J204" s="598" t="s">
        <v>1036</v>
      </c>
      <c r="O204"/>
    </row>
    <row r="205" s="588" customFormat="1" spans="1:15">
      <c r="A205" s="593" t="s">
        <v>1005</v>
      </c>
      <c r="B205" s="594" t="s">
        <v>297</v>
      </c>
      <c r="C205" s="595" t="s">
        <v>1037</v>
      </c>
      <c r="D205" s="596" t="s">
        <v>1038</v>
      </c>
      <c r="E205" s="595">
        <v>2205050295</v>
      </c>
      <c r="F205" s="596" t="s">
        <v>140</v>
      </c>
      <c r="G205" s="594" t="s">
        <v>869</v>
      </c>
      <c r="H205" s="597" t="s">
        <v>850</v>
      </c>
      <c r="I205" s="597" t="s">
        <v>1039</v>
      </c>
      <c r="J205" s="598" t="s">
        <v>1040</v>
      </c>
      <c r="O205"/>
    </row>
    <row r="206" s="588" customFormat="1" spans="1:15">
      <c r="A206" s="593" t="s">
        <v>1005</v>
      </c>
      <c r="B206" s="594" t="s">
        <v>297</v>
      </c>
      <c r="C206" s="595" t="s">
        <v>1041</v>
      </c>
      <c r="D206" s="596" t="s">
        <v>1042</v>
      </c>
      <c r="E206" s="595">
        <v>2205050296</v>
      </c>
      <c r="F206" s="596" t="s">
        <v>140</v>
      </c>
      <c r="G206" s="594" t="s">
        <v>869</v>
      </c>
      <c r="H206" s="597" t="s">
        <v>850</v>
      </c>
      <c r="I206" s="597" t="s">
        <v>1043</v>
      </c>
      <c r="J206" s="598" t="s">
        <v>1040</v>
      </c>
      <c r="O206"/>
    </row>
    <row r="207" s="588" customFormat="1" spans="1:15">
      <c r="A207" s="593" t="s">
        <v>1005</v>
      </c>
      <c r="B207" s="594" t="s">
        <v>297</v>
      </c>
      <c r="C207" s="595" t="s">
        <v>1044</v>
      </c>
      <c r="D207" s="596" t="s">
        <v>1020</v>
      </c>
      <c r="E207" s="595">
        <v>2205050298</v>
      </c>
      <c r="F207" s="596" t="s">
        <v>140</v>
      </c>
      <c r="G207" s="594" t="s">
        <v>849</v>
      </c>
      <c r="H207" s="597" t="s">
        <v>850</v>
      </c>
      <c r="I207" s="597" t="s">
        <v>1045</v>
      </c>
      <c r="J207" s="598" t="s">
        <v>1022</v>
      </c>
      <c r="O207"/>
    </row>
    <row r="208" s="588" customFormat="1" spans="1:15">
      <c r="A208" s="593" t="s">
        <v>1005</v>
      </c>
      <c r="B208" s="594" t="s">
        <v>297</v>
      </c>
      <c r="C208" s="595" t="s">
        <v>1046</v>
      </c>
      <c r="D208" s="596" t="s">
        <v>1024</v>
      </c>
      <c r="E208" s="595">
        <v>2205140018</v>
      </c>
      <c r="F208" s="596" t="s">
        <v>140</v>
      </c>
      <c r="G208" s="594" t="s">
        <v>849</v>
      </c>
      <c r="H208" s="597" t="s">
        <v>850</v>
      </c>
      <c r="I208" s="597" t="s">
        <v>1047</v>
      </c>
      <c r="J208" s="598" t="s">
        <v>1022</v>
      </c>
      <c r="O208"/>
    </row>
    <row r="209" s="588" customFormat="1" spans="1:15">
      <c r="A209" s="593" t="s">
        <v>1005</v>
      </c>
      <c r="B209" s="594" t="s">
        <v>297</v>
      </c>
      <c r="C209" s="595" t="s">
        <v>1048</v>
      </c>
      <c r="D209" s="596" t="s">
        <v>1049</v>
      </c>
      <c r="E209" s="595">
        <v>2205140019</v>
      </c>
      <c r="F209" s="596" t="s">
        <v>140</v>
      </c>
      <c r="G209" s="594" t="s">
        <v>849</v>
      </c>
      <c r="H209" s="597" t="s">
        <v>340</v>
      </c>
      <c r="I209" s="597" t="s">
        <v>1050</v>
      </c>
      <c r="J209" s="598" t="s">
        <v>1051</v>
      </c>
      <c r="O209"/>
    </row>
    <row r="210" s="588" customFormat="1" spans="1:15">
      <c r="A210" s="593" t="s">
        <v>1005</v>
      </c>
      <c r="B210" s="594" t="s">
        <v>297</v>
      </c>
      <c r="C210" s="595" t="s">
        <v>1052</v>
      </c>
      <c r="D210" s="596" t="s">
        <v>1053</v>
      </c>
      <c r="E210" s="595">
        <v>2205140020</v>
      </c>
      <c r="F210" s="596" t="s">
        <v>140</v>
      </c>
      <c r="G210" s="594" t="s">
        <v>849</v>
      </c>
      <c r="H210" s="597" t="s">
        <v>340</v>
      </c>
      <c r="I210" s="597" t="s">
        <v>1054</v>
      </c>
      <c r="J210" s="598" t="s">
        <v>1051</v>
      </c>
      <c r="O210"/>
    </row>
    <row r="211" s="588" customFormat="1" spans="1:15">
      <c r="A211" s="593" t="s">
        <v>1005</v>
      </c>
      <c r="B211" s="594" t="s">
        <v>297</v>
      </c>
      <c r="C211" s="595" t="s">
        <v>1055</v>
      </c>
      <c r="D211" s="596" t="s">
        <v>1027</v>
      </c>
      <c r="E211" s="595">
        <v>2205140021</v>
      </c>
      <c r="F211" s="596" t="s">
        <v>140</v>
      </c>
      <c r="G211" s="594" t="s">
        <v>849</v>
      </c>
      <c r="H211" s="597" t="s">
        <v>340</v>
      </c>
      <c r="I211" s="597" t="s">
        <v>1056</v>
      </c>
      <c r="J211" s="598" t="s">
        <v>1029</v>
      </c>
      <c r="O211"/>
    </row>
    <row r="212" s="588" customFormat="1" spans="1:15">
      <c r="A212" s="593" t="s">
        <v>1005</v>
      </c>
      <c r="B212" s="594" t="s">
        <v>297</v>
      </c>
      <c r="C212" s="595" t="s">
        <v>1057</v>
      </c>
      <c r="D212" s="596" t="s">
        <v>1049</v>
      </c>
      <c r="E212" s="595">
        <v>2205140022</v>
      </c>
      <c r="F212" s="596" t="s">
        <v>140</v>
      </c>
      <c r="G212" s="594" t="s">
        <v>849</v>
      </c>
      <c r="H212" s="597" t="s">
        <v>340</v>
      </c>
      <c r="I212" s="597" t="s">
        <v>1058</v>
      </c>
      <c r="J212" s="598" t="s">
        <v>1051</v>
      </c>
      <c r="O212"/>
    </row>
    <row r="213" s="588" customFormat="1" spans="1:15">
      <c r="A213" s="593" t="s">
        <v>1005</v>
      </c>
      <c r="B213" s="594" t="s">
        <v>297</v>
      </c>
      <c r="C213" s="595" t="s">
        <v>1059</v>
      </c>
      <c r="D213" s="596" t="s">
        <v>1053</v>
      </c>
      <c r="E213" s="595">
        <v>2205140023</v>
      </c>
      <c r="F213" s="596" t="s">
        <v>140</v>
      </c>
      <c r="G213" s="594" t="s">
        <v>849</v>
      </c>
      <c r="H213" s="597" t="s">
        <v>340</v>
      </c>
      <c r="I213" s="597" t="s">
        <v>1060</v>
      </c>
      <c r="J213" s="598" t="s">
        <v>1051</v>
      </c>
      <c r="O213"/>
    </row>
    <row r="214" s="588" customFormat="1" spans="1:15">
      <c r="A214" s="593" t="s">
        <v>1005</v>
      </c>
      <c r="B214" s="594" t="s">
        <v>297</v>
      </c>
      <c r="C214" s="595" t="s">
        <v>1061</v>
      </c>
      <c r="D214" s="596" t="s">
        <v>1062</v>
      </c>
      <c r="E214" s="595">
        <v>2205150006</v>
      </c>
      <c r="F214" s="596" t="s">
        <v>140</v>
      </c>
      <c r="G214" s="594" t="s">
        <v>869</v>
      </c>
      <c r="H214" s="597" t="s">
        <v>340</v>
      </c>
      <c r="I214" s="597" t="s">
        <v>1063</v>
      </c>
      <c r="J214" s="598" t="s">
        <v>1064</v>
      </c>
      <c r="O214"/>
    </row>
    <row r="215" s="588" customFormat="1" spans="1:15">
      <c r="A215" s="593" t="s">
        <v>1005</v>
      </c>
      <c r="B215" s="594" t="s">
        <v>297</v>
      </c>
      <c r="C215" s="595" t="s">
        <v>1065</v>
      </c>
      <c r="D215" s="596" t="s">
        <v>1066</v>
      </c>
      <c r="E215" s="595">
        <v>2205150007</v>
      </c>
      <c r="F215" s="596" t="s">
        <v>140</v>
      </c>
      <c r="G215" s="594" t="s">
        <v>869</v>
      </c>
      <c r="H215" s="597" t="s">
        <v>340</v>
      </c>
      <c r="I215" s="597" t="s">
        <v>1067</v>
      </c>
      <c r="J215" s="598" t="s">
        <v>1064</v>
      </c>
      <c r="O215"/>
    </row>
    <row r="216" s="588" customFormat="1" spans="1:15">
      <c r="A216" s="593" t="s">
        <v>1005</v>
      </c>
      <c r="B216" s="594" t="s">
        <v>297</v>
      </c>
      <c r="C216" s="595" t="s">
        <v>1068</v>
      </c>
      <c r="D216" s="596" t="s">
        <v>1038</v>
      </c>
      <c r="E216" s="595">
        <v>2205150028</v>
      </c>
      <c r="F216" s="596" t="s">
        <v>140</v>
      </c>
      <c r="G216" s="594" t="s">
        <v>869</v>
      </c>
      <c r="H216" s="597" t="s">
        <v>850</v>
      </c>
      <c r="I216" s="597" t="s">
        <v>1069</v>
      </c>
      <c r="J216" s="598" t="s">
        <v>1040</v>
      </c>
      <c r="O216"/>
    </row>
    <row r="217" s="588" customFormat="1" spans="1:15">
      <c r="A217" s="593" t="s">
        <v>1005</v>
      </c>
      <c r="B217" s="594" t="s">
        <v>297</v>
      </c>
      <c r="C217" s="595" t="s">
        <v>1070</v>
      </c>
      <c r="D217" s="596" t="s">
        <v>1042</v>
      </c>
      <c r="E217" s="595">
        <v>2205150029</v>
      </c>
      <c r="F217" s="596" t="s">
        <v>140</v>
      </c>
      <c r="G217" s="594" t="s">
        <v>869</v>
      </c>
      <c r="H217" s="597" t="s">
        <v>850</v>
      </c>
      <c r="I217" s="597" t="s">
        <v>1071</v>
      </c>
      <c r="J217" s="598" t="s">
        <v>1040</v>
      </c>
      <c r="O217"/>
    </row>
    <row r="218" s="588" customFormat="1" spans="1:15">
      <c r="A218" s="593" t="s">
        <v>1005</v>
      </c>
      <c r="B218" s="594" t="s">
        <v>297</v>
      </c>
      <c r="C218" s="595" t="s">
        <v>1072</v>
      </c>
      <c r="D218" s="596" t="s">
        <v>1002</v>
      </c>
      <c r="E218" s="595">
        <v>2205150030</v>
      </c>
      <c r="F218" s="596" t="s">
        <v>140</v>
      </c>
      <c r="G218" s="594" t="s">
        <v>869</v>
      </c>
      <c r="H218" s="597" t="s">
        <v>340</v>
      </c>
      <c r="I218" s="597" t="s">
        <v>1073</v>
      </c>
      <c r="J218" s="598" t="s">
        <v>1004</v>
      </c>
      <c r="O218"/>
    </row>
    <row r="219" s="588" customFormat="1" spans="1:15">
      <c r="A219" s="593" t="s">
        <v>1005</v>
      </c>
      <c r="B219" s="594" t="s">
        <v>297</v>
      </c>
      <c r="C219" s="595" t="s">
        <v>1074</v>
      </c>
      <c r="D219" s="596" t="s">
        <v>1007</v>
      </c>
      <c r="E219" s="595">
        <v>2205150031</v>
      </c>
      <c r="F219" s="596" t="s">
        <v>140</v>
      </c>
      <c r="G219" s="594" t="s">
        <v>869</v>
      </c>
      <c r="H219" s="597" t="s">
        <v>340</v>
      </c>
      <c r="I219" s="597" t="s">
        <v>1075</v>
      </c>
      <c r="J219" s="598" t="s">
        <v>1004</v>
      </c>
      <c r="O219"/>
    </row>
    <row r="220" s="588" customFormat="1" spans="1:15">
      <c r="A220" s="593" t="s">
        <v>1005</v>
      </c>
      <c r="B220" s="594" t="s">
        <v>297</v>
      </c>
      <c r="C220" s="595" t="s">
        <v>1076</v>
      </c>
      <c r="D220" s="596" t="s">
        <v>1010</v>
      </c>
      <c r="E220" s="595">
        <v>2205150032</v>
      </c>
      <c r="F220" s="596" t="s">
        <v>140</v>
      </c>
      <c r="G220" s="594" t="s">
        <v>869</v>
      </c>
      <c r="H220" s="597" t="s">
        <v>340</v>
      </c>
      <c r="I220" s="597" t="s">
        <v>1077</v>
      </c>
      <c r="J220" s="598" t="s">
        <v>1012</v>
      </c>
      <c r="O220"/>
    </row>
    <row r="221" s="588" customFormat="1" spans="1:15">
      <c r="A221" s="593" t="s">
        <v>1005</v>
      </c>
      <c r="B221" s="594" t="s">
        <v>297</v>
      </c>
      <c r="C221" s="595" t="s">
        <v>1078</v>
      </c>
      <c r="D221" s="596" t="s">
        <v>1079</v>
      </c>
      <c r="E221" s="595">
        <v>2205150042</v>
      </c>
      <c r="F221" s="596" t="s">
        <v>140</v>
      </c>
      <c r="G221" s="594" t="s">
        <v>869</v>
      </c>
      <c r="H221" s="597" t="s">
        <v>340</v>
      </c>
      <c r="I221" s="597" t="s">
        <v>1080</v>
      </c>
      <c r="J221" s="598" t="s">
        <v>1012</v>
      </c>
      <c r="O221"/>
    </row>
    <row r="222" s="588" customFormat="1" spans="1:15">
      <c r="A222" s="593" t="s">
        <v>1005</v>
      </c>
      <c r="B222" s="594" t="s">
        <v>297</v>
      </c>
      <c r="C222" s="595" t="s">
        <v>1081</v>
      </c>
      <c r="D222" s="596" t="s">
        <v>1079</v>
      </c>
      <c r="E222" s="595">
        <v>2205150043</v>
      </c>
      <c r="F222" s="596" t="s">
        <v>140</v>
      </c>
      <c r="G222" s="594" t="s">
        <v>869</v>
      </c>
      <c r="H222" s="597" t="s">
        <v>340</v>
      </c>
      <c r="I222" s="597" t="s">
        <v>1082</v>
      </c>
      <c r="J222" s="598" t="s">
        <v>1012</v>
      </c>
      <c r="O222"/>
    </row>
    <row r="223" s="588" customFormat="1" spans="1:15">
      <c r="A223" s="593" t="s">
        <v>1005</v>
      </c>
      <c r="B223" s="594" t="s">
        <v>297</v>
      </c>
      <c r="C223" s="595" t="s">
        <v>1083</v>
      </c>
      <c r="D223" s="596" t="s">
        <v>1084</v>
      </c>
      <c r="E223" s="595">
        <v>2206010001</v>
      </c>
      <c r="F223" s="596" t="s">
        <v>145</v>
      </c>
      <c r="G223" s="594" t="s">
        <v>849</v>
      </c>
      <c r="H223" s="597" t="s">
        <v>850</v>
      </c>
      <c r="I223" s="597" t="s">
        <v>1085</v>
      </c>
      <c r="J223" s="598" t="s">
        <v>1086</v>
      </c>
      <c r="O223"/>
    </row>
    <row r="224" s="588" customFormat="1" spans="1:15">
      <c r="A224" s="593"/>
      <c r="B224" s="594" t="s">
        <v>297</v>
      </c>
      <c r="C224" s="595" t="s">
        <v>1087</v>
      </c>
      <c r="D224" s="596" t="s">
        <v>857</v>
      </c>
      <c r="E224" s="595">
        <v>2206010002</v>
      </c>
      <c r="F224" s="596" t="s">
        <v>145</v>
      </c>
      <c r="G224" s="594" t="s">
        <v>849</v>
      </c>
      <c r="H224" s="597" t="s">
        <v>340</v>
      </c>
      <c r="I224" s="597" t="s">
        <v>1088</v>
      </c>
      <c r="J224" s="598" t="s">
        <v>859</v>
      </c>
      <c r="O224"/>
    </row>
    <row r="225" s="588" customFormat="1" spans="1:15">
      <c r="A225" s="593"/>
      <c r="B225" s="594" t="s">
        <v>297</v>
      </c>
      <c r="C225" s="595" t="s">
        <v>1089</v>
      </c>
      <c r="D225" s="596" t="s">
        <v>1090</v>
      </c>
      <c r="E225" s="595">
        <v>2206010003</v>
      </c>
      <c r="F225" s="596" t="s">
        <v>145</v>
      </c>
      <c r="G225" s="594" t="s">
        <v>849</v>
      </c>
      <c r="H225" s="597" t="s">
        <v>850</v>
      </c>
      <c r="I225" s="597" t="s">
        <v>1091</v>
      </c>
      <c r="J225" s="598" t="s">
        <v>1086</v>
      </c>
      <c r="O225"/>
    </row>
    <row r="226" s="588" customFormat="1" spans="1:15">
      <c r="A226" s="593" t="s">
        <v>1005</v>
      </c>
      <c r="B226" s="594" t="s">
        <v>297</v>
      </c>
      <c r="C226" s="595" t="s">
        <v>1092</v>
      </c>
      <c r="D226" s="596" t="s">
        <v>861</v>
      </c>
      <c r="E226" s="595">
        <v>2206010004</v>
      </c>
      <c r="F226" s="596" t="s">
        <v>145</v>
      </c>
      <c r="G226" s="594" t="s">
        <v>849</v>
      </c>
      <c r="H226" s="597" t="s">
        <v>340</v>
      </c>
      <c r="I226" s="597" t="s">
        <v>1093</v>
      </c>
      <c r="J226" s="598" t="s">
        <v>859</v>
      </c>
      <c r="O226"/>
    </row>
    <row r="227" s="588" customFormat="1" spans="1:15">
      <c r="A227" s="593" t="s">
        <v>1005</v>
      </c>
      <c r="B227" s="594" t="s">
        <v>297</v>
      </c>
      <c r="C227" s="595" t="s">
        <v>1094</v>
      </c>
      <c r="D227" s="596" t="s">
        <v>1095</v>
      </c>
      <c r="E227" s="595">
        <v>2206020003</v>
      </c>
      <c r="F227" s="596" t="s">
        <v>145</v>
      </c>
      <c r="G227" s="594" t="s">
        <v>869</v>
      </c>
      <c r="H227" s="597" t="s">
        <v>850</v>
      </c>
      <c r="I227" s="597" t="s">
        <v>1096</v>
      </c>
      <c r="J227" s="598" t="s">
        <v>1097</v>
      </c>
      <c r="O227"/>
    </row>
    <row r="228" s="588" customFormat="1" spans="1:15">
      <c r="A228" s="593" t="s">
        <v>1005</v>
      </c>
      <c r="B228" s="594" t="s">
        <v>297</v>
      </c>
      <c r="C228" s="595" t="s">
        <v>1098</v>
      </c>
      <c r="D228" s="596" t="s">
        <v>1099</v>
      </c>
      <c r="E228" s="595">
        <v>2206020004</v>
      </c>
      <c r="F228" s="596" t="s">
        <v>145</v>
      </c>
      <c r="G228" s="594" t="s">
        <v>869</v>
      </c>
      <c r="H228" s="597" t="s">
        <v>850</v>
      </c>
      <c r="I228" s="597" t="s">
        <v>1100</v>
      </c>
      <c r="J228" s="598" t="s">
        <v>1097</v>
      </c>
      <c r="O228"/>
    </row>
    <row r="229" s="588" customFormat="1" spans="1:15">
      <c r="A229" s="593"/>
      <c r="B229" s="594" t="s">
        <v>297</v>
      </c>
      <c r="C229" s="595" t="s">
        <v>1101</v>
      </c>
      <c r="D229" s="596" t="s">
        <v>1102</v>
      </c>
      <c r="E229" s="595">
        <v>2206020005</v>
      </c>
      <c r="F229" s="596" t="s">
        <v>145</v>
      </c>
      <c r="G229" s="594" t="s">
        <v>869</v>
      </c>
      <c r="H229" s="597" t="s">
        <v>340</v>
      </c>
      <c r="I229" s="597" t="s">
        <v>1103</v>
      </c>
      <c r="J229" s="598" t="s">
        <v>1104</v>
      </c>
      <c r="O229"/>
    </row>
    <row r="230" s="588" customFormat="1" spans="1:15">
      <c r="A230" s="593" t="s">
        <v>1005</v>
      </c>
      <c r="B230" s="594" t="s">
        <v>297</v>
      </c>
      <c r="C230" s="595" t="s">
        <v>1105</v>
      </c>
      <c r="D230" s="596" t="s">
        <v>1106</v>
      </c>
      <c r="E230" s="595">
        <v>2206020006</v>
      </c>
      <c r="F230" s="596" t="s">
        <v>145</v>
      </c>
      <c r="G230" s="594" t="s">
        <v>869</v>
      </c>
      <c r="H230" s="597" t="s">
        <v>340</v>
      </c>
      <c r="I230" s="597" t="s">
        <v>1107</v>
      </c>
      <c r="J230" s="598" t="s">
        <v>1104</v>
      </c>
      <c r="O230"/>
    </row>
    <row r="231" s="588" customFormat="1" spans="1:15">
      <c r="A231" s="593" t="s">
        <v>1005</v>
      </c>
      <c r="B231" s="594" t="s">
        <v>297</v>
      </c>
      <c r="C231" s="595" t="s">
        <v>1108</v>
      </c>
      <c r="D231" s="596" t="s">
        <v>1109</v>
      </c>
      <c r="E231" s="595">
        <v>2206020007</v>
      </c>
      <c r="F231" s="596" t="s">
        <v>145</v>
      </c>
      <c r="G231" s="594" t="s">
        <v>869</v>
      </c>
      <c r="H231" s="597" t="s">
        <v>340</v>
      </c>
      <c r="I231" s="597" t="s">
        <v>1110</v>
      </c>
      <c r="J231" s="598" t="s">
        <v>1111</v>
      </c>
      <c r="O231"/>
    </row>
    <row r="232" s="588" customFormat="1" spans="1:15">
      <c r="A232" s="593" t="s">
        <v>1005</v>
      </c>
      <c r="B232" s="594" t="s">
        <v>297</v>
      </c>
      <c r="C232" s="595" t="s">
        <v>1112</v>
      </c>
      <c r="D232" s="596" t="s">
        <v>988</v>
      </c>
      <c r="E232" s="595">
        <v>2206030001</v>
      </c>
      <c r="F232" s="596" t="s">
        <v>145</v>
      </c>
      <c r="G232" s="594" t="s">
        <v>497</v>
      </c>
      <c r="H232" s="597" t="s">
        <v>989</v>
      </c>
      <c r="I232" s="597" t="s">
        <v>1113</v>
      </c>
      <c r="J232" s="598" t="s">
        <v>991</v>
      </c>
      <c r="O232"/>
    </row>
    <row r="233" s="588" customFormat="1" spans="1:15">
      <c r="A233" s="593" t="s">
        <v>1005</v>
      </c>
      <c r="B233" s="594" t="s">
        <v>297</v>
      </c>
      <c r="C233" s="595" t="s">
        <v>1114</v>
      </c>
      <c r="D233" s="596" t="s">
        <v>1115</v>
      </c>
      <c r="E233" s="595">
        <v>2206030003</v>
      </c>
      <c r="F233" s="596" t="s">
        <v>145</v>
      </c>
      <c r="G233" s="594" t="s">
        <v>497</v>
      </c>
      <c r="H233" s="597" t="s">
        <v>989</v>
      </c>
      <c r="I233" s="597" t="s">
        <v>1116</v>
      </c>
      <c r="J233" s="598" t="s">
        <v>991</v>
      </c>
      <c r="O233"/>
    </row>
    <row r="234" s="588" customFormat="1" spans="1:15">
      <c r="A234" s="593" t="s">
        <v>1005</v>
      </c>
      <c r="B234" s="594" t="s">
        <v>297</v>
      </c>
      <c r="C234" s="595" t="s">
        <v>1117</v>
      </c>
      <c r="D234" s="596" t="s">
        <v>1115</v>
      </c>
      <c r="E234" s="595">
        <v>2206030005</v>
      </c>
      <c r="F234" s="596" t="s">
        <v>145</v>
      </c>
      <c r="G234" s="594" t="s">
        <v>497</v>
      </c>
      <c r="H234" s="597" t="s">
        <v>989</v>
      </c>
      <c r="I234" s="597" t="s">
        <v>1118</v>
      </c>
      <c r="J234" s="598" t="s">
        <v>991</v>
      </c>
      <c r="O234"/>
    </row>
  </sheetData>
  <hyperlinks>
    <hyperlink ref="A1" location="目录!A1" display="← 返回目录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0"/>
  </sheetPr>
  <dimension ref="A1:M77"/>
  <sheetViews>
    <sheetView workbookViewId="0">
      <pane xSplit="3" ySplit="3" topLeftCell="E4" activePane="bottomRight" state="frozen"/>
      <selection/>
      <selection pane="topRight"/>
      <selection pane="bottomLeft"/>
      <selection pane="bottomRight" activeCell="E36" sqref="E36"/>
    </sheetView>
  </sheetViews>
  <sheetFormatPr defaultColWidth="8.90740740740741" defaultRowHeight="14.4"/>
  <cols>
    <col min="3" max="3" width="23" customWidth="1"/>
    <col min="4" max="4" width="24.4444444444444" customWidth="1"/>
    <col min="5" max="5" width="26.7777777777778" customWidth="1"/>
    <col min="6" max="6" width="24.8888888888889" customWidth="1"/>
    <col min="7" max="7" width="16.6666666666667" customWidth="1"/>
    <col min="8" max="8" width="18" customWidth="1"/>
    <col min="9" max="9" width="15.0925925925926" customWidth="1"/>
    <col min="12" max="12" width="16.4537037037037" style="556" customWidth="1"/>
    <col min="13" max="13" width="9.62962962962963" customWidth="1"/>
  </cols>
  <sheetData>
    <row r="1" spans="1:13">
      <c r="A1" s="61" t="s">
        <v>100</v>
      </c>
      <c r="L1" s="557" t="s">
        <v>3</v>
      </c>
      <c r="M1" s="558" t="s">
        <v>4</v>
      </c>
    </row>
    <row r="2" spans="1:13">
      <c r="A2" s="559" t="s">
        <v>1119</v>
      </c>
      <c r="B2" s="559"/>
      <c r="C2" s="559"/>
      <c r="D2" s="559"/>
      <c r="E2" s="559"/>
      <c r="F2" s="559"/>
      <c r="G2" s="559"/>
      <c r="H2" s="559"/>
      <c r="I2" s="559"/>
      <c r="L2" s="560" t="s">
        <v>15</v>
      </c>
      <c r="M2" s="561" t="s">
        <v>16</v>
      </c>
    </row>
    <row r="3" ht="15.6" spans="1:13">
      <c r="A3" s="562" t="s">
        <v>103</v>
      </c>
      <c r="B3" s="562" t="s">
        <v>1120</v>
      </c>
      <c r="C3" s="562" t="s">
        <v>1121</v>
      </c>
      <c r="D3" s="563" t="s">
        <v>1122</v>
      </c>
      <c r="E3" s="564" t="s">
        <v>1123</v>
      </c>
      <c r="F3" s="564" t="s">
        <v>1124</v>
      </c>
      <c r="G3" s="563" t="s">
        <v>1125</v>
      </c>
      <c r="H3" s="565" t="s">
        <v>1126</v>
      </c>
      <c r="I3" s="566" t="s">
        <v>1127</v>
      </c>
      <c r="L3" s="560" t="s">
        <v>20</v>
      </c>
      <c r="M3" s="561" t="s">
        <v>16</v>
      </c>
    </row>
    <row r="4" ht="31" customHeight="1" spans="1:13">
      <c r="A4" s="567" t="s">
        <v>1128</v>
      </c>
      <c r="B4" s="567" t="s">
        <v>1129</v>
      </c>
      <c r="C4" s="568" t="s">
        <v>1130</v>
      </c>
      <c r="D4" s="527" t="s">
        <v>1131</v>
      </c>
      <c r="E4" s="527" t="s">
        <v>1132</v>
      </c>
      <c r="F4" s="527" t="s">
        <v>1133</v>
      </c>
      <c r="G4" s="569" t="s">
        <v>1134</v>
      </c>
      <c r="H4" s="569" t="s">
        <v>1135</v>
      </c>
      <c r="I4" s="528" t="s">
        <v>1136</v>
      </c>
      <c r="L4" s="560" t="s">
        <v>1137</v>
      </c>
      <c r="M4" s="561" t="s">
        <v>16</v>
      </c>
    </row>
    <row r="5" ht="30" spans="1:13">
      <c r="A5" s="570" t="str">
        <f t="shared" ref="A5:A21" si="0">A4</f>
        <v>华东一区</v>
      </c>
      <c r="B5" s="567" t="s">
        <v>1129</v>
      </c>
      <c r="C5" s="571" t="s">
        <v>1138</v>
      </c>
      <c r="D5" s="527" t="s">
        <v>1139</v>
      </c>
      <c r="E5" s="527" t="s">
        <v>1140</v>
      </c>
      <c r="F5" s="527" t="s">
        <v>1141</v>
      </c>
      <c r="G5" s="569" t="s">
        <v>1134</v>
      </c>
      <c r="H5" s="569" t="s">
        <v>1135</v>
      </c>
      <c r="I5" s="528" t="s">
        <v>1136</v>
      </c>
      <c r="L5" s="560" t="s">
        <v>1142</v>
      </c>
      <c r="M5" s="561" t="s">
        <v>16</v>
      </c>
    </row>
    <row r="6" ht="30" spans="1:13">
      <c r="A6" s="570" t="str">
        <f t="shared" si="0"/>
        <v>华东一区</v>
      </c>
      <c r="B6" s="567" t="s">
        <v>1129</v>
      </c>
      <c r="C6" s="571" t="s">
        <v>1143</v>
      </c>
      <c r="D6" s="527" t="s">
        <v>1144</v>
      </c>
      <c r="E6" s="527" t="s">
        <v>1145</v>
      </c>
      <c r="F6" s="527" t="s">
        <v>1146</v>
      </c>
      <c r="G6" s="569" t="s">
        <v>1134</v>
      </c>
      <c r="H6" s="569" t="s">
        <v>1135</v>
      </c>
      <c r="I6" s="528" t="s">
        <v>1136</v>
      </c>
      <c r="L6" s="560" t="s">
        <v>1147</v>
      </c>
      <c r="M6" s="561" t="s">
        <v>16</v>
      </c>
    </row>
    <row r="7" ht="15" spans="1:13">
      <c r="A7" s="567" t="str">
        <f t="shared" si="0"/>
        <v>华东一区</v>
      </c>
      <c r="B7" s="567" t="s">
        <v>1129</v>
      </c>
      <c r="C7" s="568" t="s">
        <v>1148</v>
      </c>
      <c r="D7" s="572" t="s">
        <v>1149</v>
      </c>
      <c r="E7" s="572" t="s">
        <v>1150</v>
      </c>
      <c r="F7" s="572" t="s">
        <v>1151</v>
      </c>
      <c r="G7" s="569" t="s">
        <v>1134</v>
      </c>
      <c r="H7" s="569" t="s">
        <v>1135</v>
      </c>
      <c r="I7" s="528" t="s">
        <v>1136</v>
      </c>
      <c r="L7" s="560" t="s">
        <v>10</v>
      </c>
      <c r="M7" s="561" t="s">
        <v>11</v>
      </c>
    </row>
    <row r="8" ht="30" spans="1:13">
      <c r="A8" s="570" t="str">
        <f t="shared" si="0"/>
        <v>华东一区</v>
      </c>
      <c r="B8" s="567" t="s">
        <v>1129</v>
      </c>
      <c r="C8" s="571" t="s">
        <v>1152</v>
      </c>
      <c r="D8" s="527" t="s">
        <v>1153</v>
      </c>
      <c r="E8" s="527" t="s">
        <v>1154</v>
      </c>
      <c r="F8" s="527" t="s">
        <v>1155</v>
      </c>
      <c r="G8" s="569" t="s">
        <v>1134</v>
      </c>
      <c r="H8" s="569" t="s">
        <v>1135</v>
      </c>
      <c r="I8" s="528" t="s">
        <v>1136</v>
      </c>
      <c r="L8" s="560" t="s">
        <v>10</v>
      </c>
      <c r="M8" s="561" t="s">
        <v>11</v>
      </c>
    </row>
    <row r="9" ht="30" spans="1:13">
      <c r="A9" s="570" t="str">
        <f t="shared" si="0"/>
        <v>华东一区</v>
      </c>
      <c r="B9" s="567" t="s">
        <v>1129</v>
      </c>
      <c r="C9" s="571" t="s">
        <v>1156</v>
      </c>
      <c r="D9" s="527" t="s">
        <v>1157</v>
      </c>
      <c r="E9" s="527" t="s">
        <v>1158</v>
      </c>
      <c r="F9" s="527" t="s">
        <v>1159</v>
      </c>
      <c r="G9" s="569" t="s">
        <v>1134</v>
      </c>
      <c r="H9" s="569" t="s">
        <v>1135</v>
      </c>
      <c r="I9" s="528" t="s">
        <v>1136</v>
      </c>
      <c r="L9" s="560" t="s">
        <v>1160</v>
      </c>
      <c r="M9" s="561" t="s">
        <v>16</v>
      </c>
    </row>
    <row r="10" ht="30" spans="1:13">
      <c r="A10" s="567" t="str">
        <f t="shared" si="0"/>
        <v>华东一区</v>
      </c>
      <c r="B10" s="567" t="s">
        <v>1129</v>
      </c>
      <c r="C10" s="573" t="s">
        <v>1161</v>
      </c>
      <c r="D10" s="527" t="s">
        <v>1162</v>
      </c>
      <c r="E10" s="527" t="s">
        <v>1163</v>
      </c>
      <c r="F10" s="527" t="s">
        <v>1164</v>
      </c>
      <c r="G10" s="569" t="s">
        <v>1134</v>
      </c>
      <c r="H10" s="569" t="s">
        <v>1135</v>
      </c>
      <c r="I10" s="528" t="s">
        <v>1136</v>
      </c>
      <c r="L10" s="560" t="s">
        <v>24</v>
      </c>
      <c r="M10" s="561" t="s">
        <v>16</v>
      </c>
    </row>
    <row r="11" ht="45" spans="1:13">
      <c r="A11" s="570" t="str">
        <f t="shared" si="0"/>
        <v>华东一区</v>
      </c>
      <c r="B11" s="567" t="s">
        <v>1129</v>
      </c>
      <c r="C11" s="571" t="s">
        <v>1165</v>
      </c>
      <c r="D11" s="527" t="s">
        <v>1166</v>
      </c>
      <c r="E11" s="527" t="s">
        <v>1167</v>
      </c>
      <c r="F11" s="527" t="s">
        <v>1168</v>
      </c>
      <c r="G11" s="569" t="s">
        <v>1134</v>
      </c>
      <c r="H11" s="569" t="s">
        <v>1135</v>
      </c>
      <c r="I11" s="528" t="s">
        <v>1136</v>
      </c>
      <c r="L11" s="560" t="s">
        <v>27</v>
      </c>
      <c r="M11" s="561" t="s">
        <v>16</v>
      </c>
    </row>
    <row r="12" ht="30" spans="1:13">
      <c r="A12" s="570" t="str">
        <f t="shared" si="0"/>
        <v>华东一区</v>
      </c>
      <c r="B12" s="567" t="s">
        <v>1129</v>
      </c>
      <c r="C12" s="574" t="s">
        <v>81</v>
      </c>
      <c r="D12" s="527" t="s">
        <v>1169</v>
      </c>
      <c r="E12" s="527" t="s">
        <v>1170</v>
      </c>
      <c r="F12" s="527" t="s">
        <v>1171</v>
      </c>
      <c r="G12" s="569" t="s">
        <v>1134</v>
      </c>
      <c r="H12" s="569" t="s">
        <v>1135</v>
      </c>
      <c r="I12" s="528" t="s">
        <v>1136</v>
      </c>
      <c r="L12" s="560" t="s">
        <v>1172</v>
      </c>
      <c r="M12" s="561" t="s">
        <v>16</v>
      </c>
    </row>
    <row r="13" ht="30" spans="1:13">
      <c r="A13" s="570" t="str">
        <f t="shared" si="0"/>
        <v>华东一区</v>
      </c>
      <c r="B13" s="567" t="s">
        <v>1129</v>
      </c>
      <c r="C13" s="575" t="s">
        <v>84</v>
      </c>
      <c r="D13" s="527" t="s">
        <v>1173</v>
      </c>
      <c r="E13" s="527" t="s">
        <v>1174</v>
      </c>
      <c r="F13" s="527" t="s">
        <v>1175</v>
      </c>
      <c r="G13" s="569" t="s">
        <v>1134</v>
      </c>
      <c r="H13" s="569" t="s">
        <v>1135</v>
      </c>
      <c r="I13" s="528" t="s">
        <v>1136</v>
      </c>
      <c r="L13" s="576" t="s">
        <v>29</v>
      </c>
      <c r="M13" s="561" t="s">
        <v>16</v>
      </c>
    </row>
    <row r="14" ht="30" spans="1:13">
      <c r="A14" s="570" t="str">
        <f t="shared" si="0"/>
        <v>华东一区</v>
      </c>
      <c r="B14" s="567" t="s">
        <v>1129</v>
      </c>
      <c r="C14" s="575" t="s">
        <v>87</v>
      </c>
      <c r="D14" s="527" t="s">
        <v>1176</v>
      </c>
      <c r="E14" s="527" t="s">
        <v>1177</v>
      </c>
      <c r="F14" s="527" t="s">
        <v>1178</v>
      </c>
      <c r="G14" s="569" t="s">
        <v>1134</v>
      </c>
      <c r="H14" s="569" t="s">
        <v>1135</v>
      </c>
      <c r="I14" s="528" t="s">
        <v>1136</v>
      </c>
      <c r="L14" s="560" t="s">
        <v>1179</v>
      </c>
      <c r="M14" s="561" t="s">
        <v>16</v>
      </c>
    </row>
    <row r="15" ht="30" spans="1:13">
      <c r="A15" s="570" t="str">
        <f t="shared" si="0"/>
        <v>华东一区</v>
      </c>
      <c r="B15" s="567" t="s">
        <v>1129</v>
      </c>
      <c r="C15" s="575" t="s">
        <v>1180</v>
      </c>
      <c r="D15" s="527" t="s">
        <v>1181</v>
      </c>
      <c r="E15" s="527" t="s">
        <v>1182</v>
      </c>
      <c r="F15" s="577"/>
      <c r="G15" s="569" t="s">
        <v>1134</v>
      </c>
      <c r="H15" s="569" t="s">
        <v>1135</v>
      </c>
      <c r="I15" s="528" t="s">
        <v>1136</v>
      </c>
      <c r="L15" s="560" t="s">
        <v>1183</v>
      </c>
      <c r="M15" s="561" t="s">
        <v>16</v>
      </c>
    </row>
    <row r="16" ht="30" spans="1:13">
      <c r="A16" s="570" t="str">
        <f t="shared" si="0"/>
        <v>华东一区</v>
      </c>
      <c r="B16" s="567" t="s">
        <v>1129</v>
      </c>
      <c r="C16" s="575" t="s">
        <v>1184</v>
      </c>
      <c r="D16" s="527" t="s">
        <v>1185</v>
      </c>
      <c r="E16" s="527" t="s">
        <v>1186</v>
      </c>
      <c r="F16" s="577"/>
      <c r="G16" s="569" t="s">
        <v>1134</v>
      </c>
      <c r="H16" s="569" t="s">
        <v>1135</v>
      </c>
      <c r="I16" s="528" t="s">
        <v>1136</v>
      </c>
      <c r="L16" s="560" t="s">
        <v>44</v>
      </c>
      <c r="M16" s="561" t="s">
        <v>16</v>
      </c>
    </row>
    <row r="17" ht="30" spans="1:13">
      <c r="A17" s="570" t="str">
        <f t="shared" si="0"/>
        <v>华东一区</v>
      </c>
      <c r="B17" s="567" t="s">
        <v>1129</v>
      </c>
      <c r="C17" s="578" t="s">
        <v>170</v>
      </c>
      <c r="D17" s="527" t="s">
        <v>1187</v>
      </c>
      <c r="E17" s="527" t="s">
        <v>1188</v>
      </c>
      <c r="F17" s="577"/>
      <c r="G17" s="569" t="s">
        <v>1134</v>
      </c>
      <c r="H17" s="569" t="s">
        <v>1135</v>
      </c>
      <c r="I17" s="528" t="s">
        <v>1136</v>
      </c>
      <c r="L17" s="560" t="s">
        <v>32</v>
      </c>
      <c r="M17" s="561" t="s">
        <v>16</v>
      </c>
    </row>
    <row r="18" ht="15.6" spans="1:13">
      <c r="A18" s="570" t="str">
        <f t="shared" si="0"/>
        <v>华东一区</v>
      </c>
      <c r="B18" s="567" t="s">
        <v>1129</v>
      </c>
      <c r="C18" s="578" t="s">
        <v>1189</v>
      </c>
      <c r="D18" s="577"/>
      <c r="E18" s="577"/>
      <c r="F18" s="577"/>
      <c r="G18" s="569" t="s">
        <v>1134</v>
      </c>
      <c r="H18" s="569" t="s">
        <v>1135</v>
      </c>
      <c r="I18" s="528" t="s">
        <v>1136</v>
      </c>
      <c r="L18" s="560" t="s">
        <v>1190</v>
      </c>
      <c r="M18" s="561" t="s">
        <v>16</v>
      </c>
    </row>
    <row r="19" ht="30" spans="1:13">
      <c r="A19" s="570" t="str">
        <f t="shared" si="0"/>
        <v>华东一区</v>
      </c>
      <c r="B19" s="567" t="s">
        <v>1129</v>
      </c>
      <c r="C19" s="578" t="s">
        <v>1191</v>
      </c>
      <c r="D19" s="527" t="s">
        <v>1192</v>
      </c>
      <c r="E19" s="527" t="s">
        <v>1193</v>
      </c>
      <c r="F19" s="577"/>
      <c r="G19" s="569" t="s">
        <v>1134</v>
      </c>
      <c r="H19" s="569" t="s">
        <v>1135</v>
      </c>
      <c r="I19" s="528" t="s">
        <v>1136</v>
      </c>
      <c r="L19" s="560" t="s">
        <v>1194</v>
      </c>
      <c r="M19" s="561" t="s">
        <v>16</v>
      </c>
    </row>
    <row r="20" ht="15" spans="1:13">
      <c r="A20" s="570" t="str">
        <f t="shared" si="0"/>
        <v>华东一区</v>
      </c>
      <c r="B20" s="567" t="s">
        <v>1129</v>
      </c>
      <c r="C20" s="575" t="s">
        <v>1195</v>
      </c>
      <c r="D20" s="579" t="s">
        <v>1196</v>
      </c>
      <c r="E20" s="579" t="s">
        <v>1197</v>
      </c>
      <c r="F20" s="579" t="s">
        <v>1198</v>
      </c>
      <c r="G20" s="569" t="s">
        <v>1134</v>
      </c>
      <c r="H20" s="569" t="s">
        <v>1135</v>
      </c>
      <c r="I20" s="528" t="s">
        <v>1136</v>
      </c>
      <c r="L20" s="560" t="s">
        <v>1199</v>
      </c>
      <c r="M20" s="561" t="s">
        <v>16</v>
      </c>
    </row>
    <row r="21" ht="15" spans="1:13">
      <c r="A21" s="570" t="str">
        <f t="shared" si="0"/>
        <v>华东一区</v>
      </c>
      <c r="B21" s="567" t="s">
        <v>1129</v>
      </c>
      <c r="C21" s="575" t="s">
        <v>1200</v>
      </c>
      <c r="D21" s="579" t="s">
        <v>1201</v>
      </c>
      <c r="E21" s="579" t="s">
        <v>1202</v>
      </c>
      <c r="F21" s="579" t="s">
        <v>1203</v>
      </c>
      <c r="G21" s="569" t="s">
        <v>1134</v>
      </c>
      <c r="H21" s="569" t="s">
        <v>1135</v>
      </c>
      <c r="I21" s="528" t="s">
        <v>1136</v>
      </c>
      <c r="L21" s="560" t="s">
        <v>53</v>
      </c>
      <c r="M21" s="561" t="s">
        <v>11</v>
      </c>
    </row>
    <row r="22" ht="15.6" spans="1:13">
      <c r="A22" s="567" t="str">
        <f>A20</f>
        <v>华东一区</v>
      </c>
      <c r="B22" s="567" t="s">
        <v>1129</v>
      </c>
      <c r="C22" s="580" t="s">
        <v>1204</v>
      </c>
      <c r="D22" s="579" t="s">
        <v>1205</v>
      </c>
      <c r="E22" s="579" t="s">
        <v>1206</v>
      </c>
      <c r="F22" s="579" t="s">
        <v>1207</v>
      </c>
      <c r="G22" s="569" t="s">
        <v>1134</v>
      </c>
      <c r="H22" s="569" t="s">
        <v>1135</v>
      </c>
      <c r="I22" s="528" t="s">
        <v>1136</v>
      </c>
      <c r="L22" s="560" t="s">
        <v>56</v>
      </c>
      <c r="M22" s="561" t="s">
        <v>11</v>
      </c>
    </row>
    <row r="23" ht="15.6" spans="1:13">
      <c r="A23" s="567" t="str">
        <f t="shared" ref="A23:A25" si="1">A22</f>
        <v>华东一区</v>
      </c>
      <c r="B23" s="567" t="s">
        <v>1129</v>
      </c>
      <c r="C23" s="580" t="s">
        <v>1208</v>
      </c>
      <c r="D23" s="579" t="s">
        <v>1209</v>
      </c>
      <c r="E23" s="579" t="s">
        <v>1210</v>
      </c>
      <c r="F23" s="579" t="s">
        <v>1211</v>
      </c>
      <c r="G23" s="569" t="s">
        <v>1134</v>
      </c>
      <c r="H23" s="569" t="s">
        <v>1135</v>
      </c>
      <c r="I23" s="528" t="s">
        <v>1136</v>
      </c>
      <c r="L23" s="560" t="s">
        <v>56</v>
      </c>
      <c r="M23" s="561" t="s">
        <v>11</v>
      </c>
    </row>
    <row r="24" ht="15.6" spans="1:13">
      <c r="A24" s="570" t="str">
        <f t="shared" si="1"/>
        <v>华东一区</v>
      </c>
      <c r="B24" s="567" t="s">
        <v>1129</v>
      </c>
      <c r="C24" s="578" t="s">
        <v>1212</v>
      </c>
      <c r="D24" s="579" t="s">
        <v>1213</v>
      </c>
      <c r="E24" s="579" t="s">
        <v>1214</v>
      </c>
      <c r="F24" s="579" t="s">
        <v>1215</v>
      </c>
      <c r="G24" s="569" t="s">
        <v>1134</v>
      </c>
      <c r="H24" s="569" t="s">
        <v>1135</v>
      </c>
      <c r="I24" s="528" t="s">
        <v>1136</v>
      </c>
      <c r="L24" s="560" t="s">
        <v>56</v>
      </c>
      <c r="M24" s="561" t="s">
        <v>11</v>
      </c>
    </row>
    <row r="25" ht="15.6" spans="1:13">
      <c r="A25" s="570" t="str">
        <f t="shared" si="1"/>
        <v>华东一区</v>
      </c>
      <c r="B25" s="567" t="s">
        <v>1129</v>
      </c>
      <c r="C25" s="578" t="s">
        <v>1216</v>
      </c>
      <c r="D25" s="579" t="s">
        <v>1217</v>
      </c>
      <c r="E25" s="579" t="s">
        <v>1218</v>
      </c>
      <c r="F25" s="579" t="s">
        <v>1219</v>
      </c>
      <c r="G25" s="569" t="s">
        <v>1134</v>
      </c>
      <c r="H25" s="569" t="s">
        <v>1135</v>
      </c>
      <c r="I25" s="528" t="s">
        <v>1136</v>
      </c>
      <c r="L25" s="560" t="s">
        <v>1220</v>
      </c>
      <c r="M25" s="561" t="s">
        <v>11</v>
      </c>
    </row>
    <row r="26" ht="15.6" spans="1:13">
      <c r="A26" s="581" t="s">
        <v>1221</v>
      </c>
      <c r="B26" s="582"/>
      <c r="C26" s="583"/>
      <c r="D26" s="584"/>
      <c r="E26" s="584"/>
      <c r="F26" s="584"/>
      <c r="G26" s="585"/>
      <c r="H26" s="586"/>
      <c r="I26" s="582"/>
      <c r="L26" s="560" t="s">
        <v>1222</v>
      </c>
      <c r="M26" s="561" t="s">
        <v>11</v>
      </c>
    </row>
    <row r="27" spans="1:13">
      <c r="L27" s="560" t="s">
        <v>1222</v>
      </c>
      <c r="M27" s="561" t="s">
        <v>11</v>
      </c>
    </row>
    <row r="28" spans="1:13">
      <c r="L28" s="560" t="s">
        <v>1223</v>
      </c>
      <c r="M28" s="561" t="s">
        <v>11</v>
      </c>
    </row>
    <row r="29" spans="1:13">
      <c r="L29" s="560" t="s">
        <v>1223</v>
      </c>
      <c r="M29" s="561" t="s">
        <v>11</v>
      </c>
    </row>
    <row r="30" spans="1:13">
      <c r="L30" s="560" t="s">
        <v>62</v>
      </c>
      <c r="M30" s="561" t="s">
        <v>11</v>
      </c>
    </row>
    <row r="31" spans="1:13">
      <c r="L31" s="560" t="s">
        <v>69</v>
      </c>
      <c r="M31" s="561" t="s">
        <v>11</v>
      </c>
    </row>
    <row r="32" spans="1:13">
      <c r="L32" s="560" t="s">
        <v>1224</v>
      </c>
      <c r="M32" s="561" t="s">
        <v>11</v>
      </c>
    </row>
    <row r="33" spans="12:13">
      <c r="L33" s="560" t="s">
        <v>42</v>
      </c>
      <c r="M33" s="561" t="s">
        <v>11</v>
      </c>
    </row>
    <row r="34" spans="12:13">
      <c r="L34" s="560" t="s">
        <v>1225</v>
      </c>
      <c r="M34" s="561" t="s">
        <v>11</v>
      </c>
    </row>
    <row r="35" spans="12:13">
      <c r="L35" s="560" t="s">
        <v>1226</v>
      </c>
      <c r="M35" s="561" t="s">
        <v>11</v>
      </c>
    </row>
    <row r="36" spans="12:13">
      <c r="L36" s="560" t="s">
        <v>1227</v>
      </c>
      <c r="M36" s="561" t="s">
        <v>11</v>
      </c>
    </row>
    <row r="37" spans="12:13">
      <c r="L37" s="587" t="s">
        <v>48</v>
      </c>
      <c r="M37" s="561" t="s">
        <v>11</v>
      </c>
    </row>
    <row r="38" spans="12:13">
      <c r="L38" s="587" t="s">
        <v>48</v>
      </c>
      <c r="M38" s="561" t="s">
        <v>16</v>
      </c>
    </row>
    <row r="39" spans="12:13">
      <c r="L39" s="560" t="s">
        <v>1228</v>
      </c>
      <c r="M39" s="561" t="s">
        <v>11</v>
      </c>
    </row>
    <row r="40" spans="12:13">
      <c r="L40" s="587" t="s">
        <v>77</v>
      </c>
      <c r="M40" s="561" t="s">
        <v>11</v>
      </c>
    </row>
    <row r="41" spans="12:13">
      <c r="L41" s="576" t="s">
        <v>81</v>
      </c>
      <c r="M41" s="561" t="s">
        <v>16</v>
      </c>
    </row>
    <row r="42" spans="12:13">
      <c r="L42" s="576" t="s">
        <v>81</v>
      </c>
      <c r="M42" s="561" t="s">
        <v>16</v>
      </c>
    </row>
    <row r="43" spans="12:13">
      <c r="L43" s="576" t="s">
        <v>81</v>
      </c>
      <c r="M43" s="561" t="s">
        <v>11</v>
      </c>
    </row>
    <row r="44" spans="12:13">
      <c r="L44" s="576" t="s">
        <v>81</v>
      </c>
      <c r="M44" s="561" t="s">
        <v>11</v>
      </c>
    </row>
    <row r="45" spans="12:13">
      <c r="L45" s="576" t="s">
        <v>81</v>
      </c>
      <c r="M45" s="561" t="s">
        <v>11</v>
      </c>
    </row>
    <row r="46" spans="12:13">
      <c r="L46" s="576" t="s">
        <v>81</v>
      </c>
      <c r="M46" s="561" t="s">
        <v>11</v>
      </c>
    </row>
    <row r="47" spans="12:13">
      <c r="L47" s="576" t="s">
        <v>81</v>
      </c>
      <c r="M47" s="561" t="s">
        <v>11</v>
      </c>
    </row>
    <row r="48" spans="12:13">
      <c r="L48" s="576" t="s">
        <v>81</v>
      </c>
      <c r="M48" s="561" t="s">
        <v>11</v>
      </c>
    </row>
    <row r="49" spans="12:13">
      <c r="L49" s="560" t="s">
        <v>84</v>
      </c>
      <c r="M49" s="561" t="s">
        <v>16</v>
      </c>
    </row>
    <row r="50" spans="12:13">
      <c r="L50" s="560" t="s">
        <v>84</v>
      </c>
      <c r="M50" s="561" t="s">
        <v>16</v>
      </c>
    </row>
    <row r="51" spans="12:13">
      <c r="L51" s="560" t="s">
        <v>84</v>
      </c>
      <c r="M51" s="561" t="s">
        <v>11</v>
      </c>
    </row>
    <row r="52" spans="12:13">
      <c r="L52" s="560" t="s">
        <v>84</v>
      </c>
      <c r="M52" s="561" t="s">
        <v>11</v>
      </c>
    </row>
    <row r="53" spans="12:13">
      <c r="L53" s="560" t="s">
        <v>84</v>
      </c>
      <c r="M53" s="561" t="s">
        <v>11</v>
      </c>
    </row>
    <row r="54" spans="12:13">
      <c r="L54" s="560" t="s">
        <v>84</v>
      </c>
      <c r="M54" s="561" t="s">
        <v>11</v>
      </c>
    </row>
    <row r="55" spans="12:13">
      <c r="L55" s="560" t="s">
        <v>84</v>
      </c>
      <c r="M55" s="561" t="s">
        <v>11</v>
      </c>
    </row>
    <row r="56" spans="12:13">
      <c r="L56" s="560" t="s">
        <v>84</v>
      </c>
      <c r="M56" s="561" t="s">
        <v>11</v>
      </c>
    </row>
    <row r="57" spans="12:13">
      <c r="L57" s="560" t="s">
        <v>84</v>
      </c>
      <c r="M57" s="561" t="s">
        <v>11</v>
      </c>
    </row>
    <row r="58" spans="12:13">
      <c r="L58" s="560" t="s">
        <v>84</v>
      </c>
      <c r="M58" s="561" t="s">
        <v>11</v>
      </c>
    </row>
    <row r="59" spans="12:13">
      <c r="L59" s="560" t="s">
        <v>84</v>
      </c>
      <c r="M59" s="561" t="s">
        <v>11</v>
      </c>
    </row>
    <row r="60" spans="12:13">
      <c r="L60" s="560" t="s">
        <v>84</v>
      </c>
      <c r="M60" s="561" t="s">
        <v>11</v>
      </c>
    </row>
    <row r="61" spans="12:13">
      <c r="L61" s="560" t="s">
        <v>84</v>
      </c>
      <c r="M61" s="561" t="s">
        <v>11</v>
      </c>
    </row>
    <row r="62" spans="12:13">
      <c r="L62" s="560" t="s">
        <v>84</v>
      </c>
      <c r="M62" s="561" t="s">
        <v>11</v>
      </c>
    </row>
    <row r="63" spans="12:13">
      <c r="L63" s="560" t="s">
        <v>84</v>
      </c>
      <c r="M63" s="561" t="s">
        <v>11</v>
      </c>
    </row>
    <row r="64" spans="12:13">
      <c r="L64" s="560" t="s">
        <v>84</v>
      </c>
      <c r="M64" s="561" t="s">
        <v>11</v>
      </c>
    </row>
    <row r="65" spans="12:13">
      <c r="L65" s="560" t="s">
        <v>84</v>
      </c>
      <c r="M65" s="561" t="s">
        <v>11</v>
      </c>
    </row>
    <row r="66" spans="12:13">
      <c r="L66" s="560" t="s">
        <v>1229</v>
      </c>
      <c r="M66" s="561" t="s">
        <v>11</v>
      </c>
    </row>
    <row r="67" spans="12:13">
      <c r="L67" s="560" t="s">
        <v>88</v>
      </c>
      <c r="M67" s="561" t="s">
        <v>11</v>
      </c>
    </row>
    <row r="68" spans="12:13">
      <c r="L68" s="560" t="s">
        <v>90</v>
      </c>
      <c r="M68" s="561" t="s">
        <v>11</v>
      </c>
    </row>
    <row r="69" spans="12:13">
      <c r="L69" s="560" t="s">
        <v>91</v>
      </c>
      <c r="M69" s="561" t="s">
        <v>11</v>
      </c>
    </row>
    <row r="70" spans="12:13">
      <c r="L70" s="560" t="s">
        <v>93</v>
      </c>
      <c r="M70" s="561" t="s">
        <v>11</v>
      </c>
    </row>
    <row r="71" spans="12:13">
      <c r="L71" s="576" t="s">
        <v>1156</v>
      </c>
      <c r="M71" s="561" t="s">
        <v>11</v>
      </c>
    </row>
    <row r="72" spans="12:13">
      <c r="L72" s="576" t="s">
        <v>1156</v>
      </c>
      <c r="M72" s="561" t="s">
        <v>11</v>
      </c>
    </row>
    <row r="73" spans="12:13">
      <c r="L73" s="560" t="s">
        <v>96</v>
      </c>
      <c r="M73" s="561" t="s">
        <v>16</v>
      </c>
    </row>
    <row r="74" spans="12:13">
      <c r="L74" s="560" t="s">
        <v>96</v>
      </c>
      <c r="M74" s="561" t="s">
        <v>11</v>
      </c>
    </row>
    <row r="75" spans="12:13">
      <c r="L75" s="560" t="s">
        <v>137</v>
      </c>
      <c r="M75" s="561" t="s">
        <v>16</v>
      </c>
    </row>
    <row r="76" spans="12:13">
      <c r="L76" s="560" t="s">
        <v>137</v>
      </c>
      <c r="M76" s="561" t="s">
        <v>11</v>
      </c>
    </row>
    <row r="77" spans="12:13">
      <c r="L77" s="560" t="s">
        <v>137</v>
      </c>
      <c r="M77" s="561" t="s">
        <v>16</v>
      </c>
    </row>
  </sheetData>
  <mergeCells count="1">
    <mergeCell ref="A2:I2"/>
  </mergeCells>
  <conditionalFormatting sqref="G4:H4">
    <cfRule type="cellIs" dxfId="0" priority="22" operator="lessThan">
      <formula>0</formula>
    </cfRule>
  </conditionalFormatting>
  <conditionalFormatting sqref="G5:H5">
    <cfRule type="cellIs" dxfId="0" priority="21" operator="lessThan">
      <formula>0</formula>
    </cfRule>
  </conditionalFormatting>
  <conditionalFormatting sqref="G6:H6">
    <cfRule type="cellIs" dxfId="0" priority="20" operator="lessThan">
      <formula>0</formula>
    </cfRule>
  </conditionalFormatting>
  <conditionalFormatting sqref="G7:H7">
    <cfRule type="cellIs" dxfId="0" priority="19" operator="lessThan">
      <formula>0</formula>
    </cfRule>
  </conditionalFormatting>
  <conditionalFormatting sqref="G8:H8">
    <cfRule type="cellIs" dxfId="0" priority="18" operator="lessThan">
      <formula>0</formula>
    </cfRule>
  </conditionalFormatting>
  <conditionalFormatting sqref="G9:H9">
    <cfRule type="cellIs" dxfId="0" priority="17" operator="lessThan">
      <formula>0</formula>
    </cfRule>
  </conditionalFormatting>
  <conditionalFormatting sqref="G10:H10">
    <cfRule type="cellIs" dxfId="0" priority="16" operator="lessThan">
      <formula>0</formula>
    </cfRule>
  </conditionalFormatting>
  <conditionalFormatting sqref="G11:H11">
    <cfRule type="cellIs" dxfId="0" priority="15" operator="lessThan">
      <formula>0</formula>
    </cfRule>
  </conditionalFormatting>
  <conditionalFormatting sqref="G12:H12">
    <cfRule type="cellIs" dxfId="0" priority="14" operator="lessThan">
      <formula>0</formula>
    </cfRule>
  </conditionalFormatting>
  <conditionalFormatting sqref="G13:H13">
    <cfRule type="cellIs" dxfId="0" priority="13" operator="lessThan">
      <formula>0</formula>
    </cfRule>
  </conditionalFormatting>
  <conditionalFormatting sqref="G14:H14">
    <cfRule type="cellIs" dxfId="0" priority="12" operator="lessThan">
      <formula>0</formula>
    </cfRule>
  </conditionalFormatting>
  <conditionalFormatting sqref="G15:H15">
    <cfRule type="cellIs" dxfId="0" priority="11" operator="lessThan">
      <formula>0</formula>
    </cfRule>
  </conditionalFormatting>
  <conditionalFormatting sqref="G16:H16">
    <cfRule type="cellIs" dxfId="0" priority="10" operator="lessThan">
      <formula>0</formula>
    </cfRule>
  </conditionalFormatting>
  <conditionalFormatting sqref="G17:H17">
    <cfRule type="cellIs" dxfId="0" priority="9" operator="lessThan">
      <formula>0</formula>
    </cfRule>
  </conditionalFormatting>
  <conditionalFormatting sqref="G18:H18">
    <cfRule type="cellIs" dxfId="0" priority="8" operator="lessThan">
      <formula>0</formula>
    </cfRule>
  </conditionalFormatting>
  <conditionalFormatting sqref="G19:H19">
    <cfRule type="cellIs" dxfId="0" priority="7" operator="lessThan">
      <formula>0</formula>
    </cfRule>
  </conditionalFormatting>
  <conditionalFormatting sqref="G20:H20">
    <cfRule type="cellIs" dxfId="0" priority="6" operator="lessThan">
      <formula>0</formula>
    </cfRule>
  </conditionalFormatting>
  <conditionalFormatting sqref="G21:H21">
    <cfRule type="cellIs" dxfId="0" priority="5" operator="lessThan">
      <formula>0</formula>
    </cfRule>
  </conditionalFormatting>
  <conditionalFormatting sqref="G22:H22">
    <cfRule type="cellIs" dxfId="0" priority="4" operator="lessThan">
      <formula>0</formula>
    </cfRule>
  </conditionalFormatting>
  <conditionalFormatting sqref="G23:H23">
    <cfRule type="cellIs" dxfId="0" priority="3" operator="lessThan">
      <formula>0</formula>
    </cfRule>
  </conditionalFormatting>
  <conditionalFormatting sqref="G24:H24">
    <cfRule type="cellIs" dxfId="0" priority="2" operator="lessThan">
      <formula>0</formula>
    </cfRule>
  </conditionalFormatting>
  <conditionalFormatting sqref="G25:H25">
    <cfRule type="cellIs" dxfId="0" priority="1" operator="lessThan">
      <formula>0</formula>
    </cfRule>
  </conditionalFormatting>
  <conditionalFormatting sqref="D2:H3 D4:F25 D26:H26">
    <cfRule type="cellIs" dxfId="0" priority="27" operator="lessThan">
      <formula>0</formula>
    </cfRule>
  </conditionalFormatting>
  <hyperlinks>
    <hyperlink ref="A2:I2" location="目录!A1" display="财务指标审核表"/>
    <hyperlink ref="A1" location="目录!A1" display="← 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0"/>
  </sheetPr>
  <dimension ref="A1:Q59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L9" sqref="L9"/>
    </sheetView>
  </sheetViews>
  <sheetFormatPr defaultColWidth="8.90740740740741" defaultRowHeight="14.4"/>
  <cols>
    <col min="5" max="5" width="38.9074074074074" customWidth="1"/>
    <col min="6" max="8" width="21.8888888888889" customWidth="1"/>
    <col min="9" max="9" width="13.8888888888889" customWidth="1"/>
    <col min="10" max="10" width="9.77777777777778" customWidth="1"/>
    <col min="11" max="11" width="24.7777777777778" customWidth="1"/>
    <col min="12" max="12" width="25.4444444444444" customWidth="1"/>
    <col min="13" max="13" width="26.4444444444444" customWidth="1"/>
    <col min="14" max="14" width="10.4444444444444" customWidth="1"/>
    <col min="16" max="16" width="10.2222222222222" customWidth="1"/>
  </cols>
  <sheetData>
    <row r="1" spans="1:17">
      <c r="A1" s="61" t="s">
        <v>100</v>
      </c>
    </row>
    <row r="2" s="506" customFormat="1" ht="16" customHeight="1" spans="1:17">
      <c r="A2" s="508" t="s">
        <v>103</v>
      </c>
      <c r="B2" s="508" t="s">
        <v>1120</v>
      </c>
      <c r="C2" s="508" t="s">
        <v>1230</v>
      </c>
      <c r="D2" s="509" t="s">
        <v>0</v>
      </c>
      <c r="E2" s="510" t="s">
        <v>117</v>
      </c>
      <c r="F2" s="511" t="s">
        <v>1231</v>
      </c>
      <c r="G2" s="512"/>
      <c r="H2" s="512"/>
      <c r="I2" s="512"/>
      <c r="J2" s="513"/>
      <c r="K2" s="511" t="s">
        <v>1232</v>
      </c>
      <c r="L2" s="512"/>
      <c r="M2" s="512"/>
      <c r="N2" s="512"/>
      <c r="O2" s="513"/>
      <c r="P2" s="514" t="s">
        <v>1233</v>
      </c>
    </row>
    <row r="3" s="506" customFormat="1" ht="16" customHeight="1" spans="1:17">
      <c r="A3" s="515"/>
      <c r="B3" s="515"/>
      <c r="C3" s="516"/>
      <c r="D3" s="517"/>
      <c r="E3" s="518"/>
      <c r="F3" s="519" t="s">
        <v>1234</v>
      </c>
      <c r="G3" s="520" t="s">
        <v>1235</v>
      </c>
      <c r="H3" s="520" t="s">
        <v>1236</v>
      </c>
      <c r="I3" s="520" t="s">
        <v>1237</v>
      </c>
      <c r="J3" s="520" t="s">
        <v>1238</v>
      </c>
      <c r="K3" s="519" t="s">
        <v>1234</v>
      </c>
      <c r="L3" s="520" t="s">
        <v>1235</v>
      </c>
      <c r="M3" s="520" t="s">
        <v>1236</v>
      </c>
      <c r="N3" s="520" t="s">
        <v>1237</v>
      </c>
      <c r="O3" s="520" t="s">
        <v>1238</v>
      </c>
      <c r="P3" s="521"/>
    </row>
    <row r="4" s="507" customFormat="1" ht="15.6" spans="1:17">
      <c r="A4" s="522" t="str">
        <f>'[3]A1 预算指标总览'!$A$3</f>
        <v>华东一区</v>
      </c>
      <c r="B4" s="522" t="str">
        <f>'[3]A1 预算指标总览'!$B$3</f>
        <v>福建公司</v>
      </c>
      <c r="C4" s="523" t="s">
        <v>1239</v>
      </c>
      <c r="D4" s="523">
        <v>1</v>
      </c>
      <c r="E4" s="524" t="s">
        <v>1240</v>
      </c>
      <c r="F4" s="525" t="s">
        <v>1241</v>
      </c>
      <c r="G4" s="525" t="s">
        <v>1241</v>
      </c>
      <c r="H4" s="525" t="s">
        <v>1241</v>
      </c>
      <c r="I4" s="525"/>
      <c r="J4" s="525"/>
      <c r="K4" s="525" t="s">
        <v>1241</v>
      </c>
      <c r="L4" s="525" t="s">
        <v>1241</v>
      </c>
      <c r="M4" s="525" t="s">
        <v>1241</v>
      </c>
      <c r="N4" s="525"/>
      <c r="O4" s="525"/>
      <c r="P4" s="220"/>
    </row>
    <row r="5" s="507" customFormat="1" ht="30" spans="1:17">
      <c r="A5" s="220" t="str">
        <f>'[3]A1 预算指标总览'!$A$3</f>
        <v>华东一区</v>
      </c>
      <c r="B5" s="220" t="str">
        <f>'[3]A1 预算指标总览'!$B$3</f>
        <v>福建公司</v>
      </c>
      <c r="C5" s="523" t="s">
        <v>1239</v>
      </c>
      <c r="D5" s="221">
        <v>2</v>
      </c>
      <c r="E5" s="526" t="s">
        <v>153</v>
      </c>
      <c r="F5" s="527" t="s">
        <v>1242</v>
      </c>
      <c r="G5" s="527" t="s">
        <v>1243</v>
      </c>
      <c r="H5" s="527" t="s">
        <v>1244</v>
      </c>
      <c r="I5" s="527"/>
      <c r="J5" s="527"/>
      <c r="K5" s="527" t="s">
        <v>1242</v>
      </c>
      <c r="L5" s="527" t="s">
        <v>1243</v>
      </c>
      <c r="M5" s="527" t="s">
        <v>1244</v>
      </c>
      <c r="N5" s="527"/>
      <c r="O5" s="527"/>
      <c r="P5" s="528" t="s">
        <v>1136</v>
      </c>
    </row>
    <row r="6" s="507" customFormat="1" ht="30" spans="1:17">
      <c r="A6" s="522" t="str">
        <f>'[3]A1 预算指标总览'!$A$3</f>
        <v>华东一区</v>
      </c>
      <c r="B6" s="522" t="str">
        <f>'[3]A1 预算指标总览'!$B$3</f>
        <v>福建公司</v>
      </c>
      <c r="C6" s="523" t="s">
        <v>1239</v>
      </c>
      <c r="D6" s="523">
        <v>3</v>
      </c>
      <c r="E6" s="526" t="s">
        <v>176</v>
      </c>
      <c r="F6" s="527" t="s">
        <v>1245</v>
      </c>
      <c r="G6" s="527" t="s">
        <v>1246</v>
      </c>
      <c r="H6" s="527" t="s">
        <v>1247</v>
      </c>
      <c r="I6" s="527"/>
      <c r="J6" s="527"/>
      <c r="K6" s="527" t="s">
        <v>1245</v>
      </c>
      <c r="L6" s="527" t="s">
        <v>1246</v>
      </c>
      <c r="M6" s="527" t="s">
        <v>1247</v>
      </c>
      <c r="N6" s="527"/>
      <c r="O6" s="527"/>
      <c r="P6" s="528" t="s">
        <v>1136</v>
      </c>
    </row>
    <row r="7" s="507" customFormat="1" ht="30" spans="1:17">
      <c r="A7" s="220" t="str">
        <f>'[3]A1 预算指标总览'!$A$3</f>
        <v>华东一区</v>
      </c>
      <c r="B7" s="220" t="str">
        <f>'[3]A1 预算指标总览'!$B$3</f>
        <v>福建公司</v>
      </c>
      <c r="C7" s="523" t="s">
        <v>1239</v>
      </c>
      <c r="D7" s="221">
        <v>4</v>
      </c>
      <c r="E7" s="526" t="s">
        <v>164</v>
      </c>
      <c r="F7" s="527" t="s">
        <v>1248</v>
      </c>
      <c r="G7" s="527" t="s">
        <v>1249</v>
      </c>
      <c r="H7" s="527" t="s">
        <v>1250</v>
      </c>
      <c r="I7" s="527"/>
      <c r="J7" s="527"/>
      <c r="K7" s="527" t="s">
        <v>1248</v>
      </c>
      <c r="L7" s="527" t="s">
        <v>1249</v>
      </c>
      <c r="M7" s="527" t="s">
        <v>1250</v>
      </c>
      <c r="N7" s="527"/>
      <c r="O7" s="527"/>
      <c r="P7" s="528" t="s">
        <v>1136</v>
      </c>
    </row>
    <row r="8" s="507" customFormat="1" ht="30" spans="1:17">
      <c r="A8" s="522" t="str">
        <f>'[3]A1 预算指标总览'!$A$3</f>
        <v>华东一区</v>
      </c>
      <c r="B8" s="522" t="str">
        <f>'[3]A1 预算指标总览'!$B$3</f>
        <v>福建公司</v>
      </c>
      <c r="C8" s="523" t="s">
        <v>1239</v>
      </c>
      <c r="D8" s="523">
        <v>5</v>
      </c>
      <c r="E8" s="526" t="s">
        <v>126</v>
      </c>
      <c r="F8" s="527" t="s">
        <v>1251</v>
      </c>
      <c r="G8" s="527" t="s">
        <v>1252</v>
      </c>
      <c r="H8" s="527" t="s">
        <v>1253</v>
      </c>
      <c r="I8" s="527"/>
      <c r="J8" s="527"/>
      <c r="K8" s="527" t="s">
        <v>1251</v>
      </c>
      <c r="L8" s="527" t="s">
        <v>1252</v>
      </c>
      <c r="M8" s="527" t="s">
        <v>1253</v>
      </c>
      <c r="N8" s="527"/>
      <c r="O8" s="527"/>
      <c r="P8" s="528" t="s">
        <v>1136</v>
      </c>
    </row>
    <row r="9" s="507" customFormat="1" ht="30" spans="1:17">
      <c r="A9" s="522" t="str">
        <f>'[3]A1 预算指标总览'!$A$3</f>
        <v>华东一区</v>
      </c>
      <c r="B9" s="522" t="str">
        <f>'[3]A1 预算指标总览'!$B$3</f>
        <v>福建公司</v>
      </c>
      <c r="C9" s="523" t="s">
        <v>1239</v>
      </c>
      <c r="D9" s="523" t="s">
        <v>1254</v>
      </c>
      <c r="E9" s="529" t="s">
        <v>145</v>
      </c>
      <c r="F9" s="527" t="s">
        <v>1255</v>
      </c>
      <c r="G9" s="527" t="s">
        <v>1256</v>
      </c>
      <c r="H9" s="527" t="s">
        <v>1257</v>
      </c>
      <c r="I9" s="527"/>
      <c r="J9" s="527"/>
      <c r="K9" s="527" t="s">
        <v>1255</v>
      </c>
      <c r="L9" s="527" t="s">
        <v>1256</v>
      </c>
      <c r="M9" s="527" t="s">
        <v>1257</v>
      </c>
      <c r="N9" s="527"/>
      <c r="O9" s="527"/>
      <c r="P9" s="528" t="s">
        <v>1136</v>
      </c>
    </row>
    <row r="10" s="507" customFormat="1" ht="30" spans="1:17">
      <c r="A10" s="220" t="str">
        <f>'[3]A1 预算指标总览'!$A$3</f>
        <v>华东一区</v>
      </c>
      <c r="B10" s="220" t="str">
        <f>'[3]A1 预算指标总览'!$B$3</f>
        <v>福建公司</v>
      </c>
      <c r="C10" s="523" t="s">
        <v>1239</v>
      </c>
      <c r="D10" s="221">
        <v>6</v>
      </c>
      <c r="E10" s="526" t="s">
        <v>140</v>
      </c>
      <c r="F10" s="527" t="s">
        <v>1258</v>
      </c>
      <c r="G10" s="527" t="s">
        <v>1259</v>
      </c>
      <c r="H10" s="527" t="s">
        <v>1260</v>
      </c>
      <c r="I10" s="527"/>
      <c r="J10" s="527"/>
      <c r="K10" s="527" t="s">
        <v>1258</v>
      </c>
      <c r="L10" s="527" t="s">
        <v>1259</v>
      </c>
      <c r="M10" s="527" t="s">
        <v>1260</v>
      </c>
      <c r="N10" s="527"/>
      <c r="O10" s="527"/>
      <c r="P10" s="528" t="s">
        <v>1136</v>
      </c>
    </row>
    <row r="11" s="507" customFormat="1" ht="30" spans="1:17">
      <c r="A11" s="522" t="str">
        <f>'[3]A1 预算指标总览'!$A$3</f>
        <v>华东一区</v>
      </c>
      <c r="B11" s="522" t="str">
        <f>'[3]A1 预算指标总览'!$B$3</f>
        <v>福建公司</v>
      </c>
      <c r="C11" s="523" t="s">
        <v>1239</v>
      </c>
      <c r="D11" s="523">
        <v>7</v>
      </c>
      <c r="E11" s="526" t="s">
        <v>188</v>
      </c>
      <c r="F11" s="527" t="s">
        <v>1261</v>
      </c>
      <c r="G11" s="527" t="s">
        <v>1262</v>
      </c>
      <c r="H11" s="527" t="s">
        <v>1263</v>
      </c>
      <c r="I11" s="527"/>
      <c r="J11" s="527"/>
      <c r="K11" s="527" t="s">
        <v>1261</v>
      </c>
      <c r="L11" s="527" t="s">
        <v>1262</v>
      </c>
      <c r="M11" s="527" t="s">
        <v>1263</v>
      </c>
      <c r="N11" s="527"/>
      <c r="O11" s="527"/>
      <c r="P11" s="528" t="s">
        <v>1136</v>
      </c>
    </row>
    <row r="12" s="507" customFormat="1" ht="30" spans="1:17">
      <c r="A12" s="220" t="str">
        <f>'[3]A1 预算指标总览'!$A$3</f>
        <v>华东一区</v>
      </c>
      <c r="B12" s="220" t="str">
        <f>'[3]A1 预算指标总览'!$B$3</f>
        <v>福建公司</v>
      </c>
      <c r="C12" s="523" t="s">
        <v>1239</v>
      </c>
      <c r="D12" s="221">
        <v>8</v>
      </c>
      <c r="E12" s="526" t="s">
        <v>196</v>
      </c>
      <c r="F12" s="527" t="s">
        <v>1264</v>
      </c>
      <c r="G12" s="527" t="s">
        <v>1265</v>
      </c>
      <c r="H12" s="527" t="s">
        <v>1266</v>
      </c>
      <c r="I12" s="527"/>
      <c r="J12" s="527"/>
      <c r="K12" s="527" t="s">
        <v>1264</v>
      </c>
      <c r="L12" s="527" t="s">
        <v>1265</v>
      </c>
      <c r="M12" s="527" t="s">
        <v>1266</v>
      </c>
      <c r="N12" s="527"/>
      <c r="O12" s="527"/>
      <c r="P12" s="528" t="s">
        <v>1136</v>
      </c>
    </row>
    <row r="13" s="507" customFormat="1" ht="30" spans="1:17">
      <c r="A13" s="522" t="str">
        <f>'[3]A1 预算指标总览'!$A$3</f>
        <v>华东一区</v>
      </c>
      <c r="B13" s="522" t="str">
        <f>'[3]A1 预算指标总览'!$B$3</f>
        <v>福建公司</v>
      </c>
      <c r="C13" s="523" t="s">
        <v>1239</v>
      </c>
      <c r="D13" s="523">
        <v>9</v>
      </c>
      <c r="E13" s="526" t="s">
        <v>202</v>
      </c>
      <c r="F13" s="527" t="s">
        <v>1267</v>
      </c>
      <c r="G13" s="527" t="s">
        <v>1268</v>
      </c>
      <c r="H13" s="527" t="s">
        <v>1269</v>
      </c>
      <c r="I13" s="527"/>
      <c r="J13" s="527"/>
      <c r="K13" s="527" t="s">
        <v>1267</v>
      </c>
      <c r="L13" s="527" t="s">
        <v>1268</v>
      </c>
      <c r="M13" s="527" t="s">
        <v>1269</v>
      </c>
      <c r="N13" s="527"/>
      <c r="O13" s="527"/>
      <c r="P13" s="528" t="s">
        <v>1136</v>
      </c>
    </row>
    <row r="14" s="507" customFormat="1" ht="30" spans="1:17">
      <c r="A14" s="220" t="str">
        <f>'[3]A1 预算指标总览'!$A$3</f>
        <v>华东一区</v>
      </c>
      <c r="B14" s="220" t="str">
        <f>'[3]A1 预算指标总览'!$B$3</f>
        <v>福建公司</v>
      </c>
      <c r="C14" s="523" t="s">
        <v>1239</v>
      </c>
      <c r="D14" s="221">
        <v>10</v>
      </c>
      <c r="E14" s="526" t="s">
        <v>208</v>
      </c>
      <c r="F14" s="527" t="s">
        <v>1270</v>
      </c>
      <c r="G14" s="527" t="s">
        <v>1271</v>
      </c>
      <c r="H14" s="527" t="s">
        <v>1272</v>
      </c>
      <c r="I14" s="527"/>
      <c r="J14" s="527"/>
      <c r="K14" s="527" t="s">
        <v>1270</v>
      </c>
      <c r="L14" s="527" t="s">
        <v>1271</v>
      </c>
      <c r="M14" s="527" t="s">
        <v>1272</v>
      </c>
      <c r="N14" s="527"/>
      <c r="O14" s="527"/>
      <c r="P14" s="528" t="s">
        <v>1136</v>
      </c>
    </row>
    <row r="15" s="507" customFormat="1" ht="30" spans="1:17">
      <c r="A15" s="522" t="str">
        <f>'[3]A1 预算指标总览'!$A$3</f>
        <v>华东一区</v>
      </c>
      <c r="B15" s="522" t="str">
        <f>'[3]A1 预算指标总览'!$B$3</f>
        <v>福建公司</v>
      </c>
      <c r="C15" s="523" t="s">
        <v>1239</v>
      </c>
      <c r="D15" s="523">
        <v>11</v>
      </c>
      <c r="E15" s="530" t="s">
        <v>1273</v>
      </c>
      <c r="F15" s="531" t="s">
        <v>1274</v>
      </c>
      <c r="G15" s="531" t="s">
        <v>1275</v>
      </c>
      <c r="H15" s="531" t="s">
        <v>1276</v>
      </c>
      <c r="I15" s="531"/>
      <c r="J15" s="531"/>
      <c r="K15" s="531" t="s">
        <v>1274</v>
      </c>
      <c r="L15" s="531" t="s">
        <v>1275</v>
      </c>
      <c r="M15" s="531" t="s">
        <v>1276</v>
      </c>
      <c r="N15" s="531"/>
      <c r="O15" s="531"/>
      <c r="P15" s="528" t="s">
        <v>1136</v>
      </c>
      <c r="Q15" s="532"/>
    </row>
    <row r="16" s="507" customFormat="1" ht="30" spans="1:17">
      <c r="A16" s="220" t="str">
        <f>'[3]A1 预算指标总览'!$A$3</f>
        <v>华东一区</v>
      </c>
      <c r="B16" s="220" t="str">
        <f>'[3]A1 预算指标总览'!$B$3</f>
        <v>福建公司</v>
      </c>
      <c r="C16" s="523" t="s">
        <v>1239</v>
      </c>
      <c r="D16" s="221">
        <v>12</v>
      </c>
      <c r="E16" s="533" t="s">
        <v>1277</v>
      </c>
      <c r="F16" s="527" t="s">
        <v>1278</v>
      </c>
      <c r="G16" s="525" t="s">
        <v>1279</v>
      </c>
      <c r="H16" s="525" t="s">
        <v>1279</v>
      </c>
      <c r="I16" s="534"/>
      <c r="J16" s="534"/>
      <c r="K16" s="527" t="s">
        <v>1278</v>
      </c>
      <c r="L16" s="525" t="s">
        <v>1279</v>
      </c>
      <c r="M16" s="525" t="s">
        <v>1279</v>
      </c>
      <c r="N16" s="534"/>
      <c r="O16" s="534"/>
      <c r="P16" s="528" t="s">
        <v>1136</v>
      </c>
    </row>
    <row r="17" s="507" customFormat="1" ht="30" spans="1:17">
      <c r="A17" s="522" t="str">
        <f>'[3]A1 预算指标总览'!$A$3</f>
        <v>华东一区</v>
      </c>
      <c r="B17" s="522" t="str">
        <f>'[3]A1 预算指标总览'!$B$3</f>
        <v>福建公司</v>
      </c>
      <c r="C17" s="523" t="s">
        <v>1239</v>
      </c>
      <c r="D17" s="523">
        <v>13</v>
      </c>
      <c r="E17" s="533" t="s">
        <v>1280</v>
      </c>
      <c r="F17" s="527" t="s">
        <v>1281</v>
      </c>
      <c r="G17" s="525" t="s">
        <v>1279</v>
      </c>
      <c r="H17" s="525" t="s">
        <v>1279</v>
      </c>
      <c r="I17" s="534"/>
      <c r="J17" s="534"/>
      <c r="K17" s="527" t="s">
        <v>1281</v>
      </c>
      <c r="L17" s="525" t="s">
        <v>1279</v>
      </c>
      <c r="M17" s="525" t="s">
        <v>1279</v>
      </c>
      <c r="N17" s="534"/>
      <c r="O17" s="534"/>
      <c r="P17" s="528" t="s">
        <v>1136</v>
      </c>
      <c r="Q17" s="535"/>
    </row>
    <row r="18" s="507" customFormat="1" ht="30" spans="1:17">
      <c r="A18" s="220" t="str">
        <f>'[3]A1 预算指标总览'!$A$3</f>
        <v>华东一区</v>
      </c>
      <c r="B18" s="220" t="str">
        <f>'[3]A1 预算指标总览'!$B$3</f>
        <v>福建公司</v>
      </c>
      <c r="C18" s="523" t="s">
        <v>1239</v>
      </c>
      <c r="D18" s="221">
        <v>14</v>
      </c>
      <c r="E18" s="536" t="s">
        <v>1282</v>
      </c>
      <c r="F18" s="537" t="s">
        <v>1283</v>
      </c>
      <c r="G18" s="537" t="s">
        <v>1284</v>
      </c>
      <c r="H18" s="537" t="s">
        <v>1285</v>
      </c>
      <c r="I18" s="537"/>
      <c r="J18" s="537"/>
      <c r="K18" s="537" t="s">
        <v>1283</v>
      </c>
      <c r="L18" s="537" t="s">
        <v>1284</v>
      </c>
      <c r="M18" s="537" t="s">
        <v>1285</v>
      </c>
      <c r="N18" s="537"/>
      <c r="O18" s="537"/>
      <c r="P18" s="528" t="s">
        <v>1136</v>
      </c>
    </row>
    <row r="19" s="507" customFormat="1" ht="30" spans="1:17">
      <c r="A19" s="522" t="str">
        <f>'[3]A1 预算指标总览'!$A$3</f>
        <v>华东一区</v>
      </c>
      <c r="B19" s="522" t="str">
        <f>'[3]A1 预算指标总览'!$B$3</f>
        <v>福建公司</v>
      </c>
      <c r="C19" s="523" t="s">
        <v>1239</v>
      </c>
      <c r="D19" s="523">
        <v>15</v>
      </c>
      <c r="E19" s="538" t="s">
        <v>1286</v>
      </c>
      <c r="F19" s="527" t="s">
        <v>1287</v>
      </c>
      <c r="G19" s="527" t="s">
        <v>1288</v>
      </c>
      <c r="H19" s="527" t="s">
        <v>1289</v>
      </c>
      <c r="I19" s="527"/>
      <c r="J19" s="527"/>
      <c r="K19" s="527" t="s">
        <v>1287</v>
      </c>
      <c r="L19" s="527" t="s">
        <v>1288</v>
      </c>
      <c r="M19" s="527" t="s">
        <v>1289</v>
      </c>
      <c r="N19" s="527"/>
      <c r="O19" s="527"/>
      <c r="P19" s="528" t="s">
        <v>1136</v>
      </c>
    </row>
    <row r="20" s="507" customFormat="1" ht="30" spans="1:17">
      <c r="A20" s="220" t="str">
        <f>'[3]A1 预算指标总览'!$A$3</f>
        <v>华东一区</v>
      </c>
      <c r="B20" s="220" t="str">
        <f>'[3]A1 预算指标总览'!$B$3</f>
        <v>福建公司</v>
      </c>
      <c r="C20" s="523" t="s">
        <v>1239</v>
      </c>
      <c r="D20" s="221">
        <v>16</v>
      </c>
      <c r="E20" s="538" t="s">
        <v>1290</v>
      </c>
      <c r="F20" s="527" t="s">
        <v>1291</v>
      </c>
      <c r="G20" s="527" t="s">
        <v>1292</v>
      </c>
      <c r="H20" s="527" t="s">
        <v>1293</v>
      </c>
      <c r="I20" s="527"/>
      <c r="J20" s="527"/>
      <c r="K20" s="527" t="s">
        <v>1291</v>
      </c>
      <c r="L20" s="527" t="s">
        <v>1292</v>
      </c>
      <c r="M20" s="527" t="s">
        <v>1293</v>
      </c>
      <c r="N20" s="527"/>
      <c r="O20" s="527"/>
      <c r="P20" s="528" t="s">
        <v>1136</v>
      </c>
    </row>
    <row r="21" s="507" customFormat="1" ht="30" spans="1:17">
      <c r="A21" s="522" t="str">
        <f>'[3]A1 预算指标总览'!$A$3</f>
        <v>华东一区</v>
      </c>
      <c r="B21" s="522" t="str">
        <f>'[3]A1 预算指标总览'!$B$3</f>
        <v>福建公司</v>
      </c>
      <c r="C21" s="523" t="s">
        <v>1239</v>
      </c>
      <c r="D21" s="523">
        <v>17</v>
      </c>
      <c r="E21" s="539" t="s">
        <v>1294</v>
      </c>
      <c r="F21" s="527" t="s">
        <v>1295</v>
      </c>
      <c r="G21" s="527" t="s">
        <v>1296</v>
      </c>
      <c r="H21" s="527" t="s">
        <v>1297</v>
      </c>
      <c r="I21" s="527"/>
      <c r="J21" s="527"/>
      <c r="K21" s="527" t="s">
        <v>1295</v>
      </c>
      <c r="L21" s="527" t="s">
        <v>1296</v>
      </c>
      <c r="M21" s="527" t="s">
        <v>1297</v>
      </c>
      <c r="N21" s="527"/>
      <c r="O21" s="527"/>
      <c r="P21" s="528" t="s">
        <v>1136</v>
      </c>
    </row>
    <row r="22" s="507" customFormat="1" ht="30" spans="1:17">
      <c r="A22" s="220" t="str">
        <f>'[3]A1 预算指标总览'!$A$3</f>
        <v>华东一区</v>
      </c>
      <c r="B22" s="220" t="str">
        <f>'[3]A1 预算指标总览'!$B$3</f>
        <v>福建公司</v>
      </c>
      <c r="C22" s="523" t="s">
        <v>1239</v>
      </c>
      <c r="D22" s="221">
        <v>18</v>
      </c>
      <c r="E22" s="539" t="s">
        <v>1298</v>
      </c>
      <c r="F22" s="527" t="s">
        <v>1299</v>
      </c>
      <c r="G22" s="527" t="s">
        <v>1300</v>
      </c>
      <c r="H22" s="527" t="s">
        <v>1301</v>
      </c>
      <c r="I22" s="527"/>
      <c r="J22" s="527"/>
      <c r="K22" s="527" t="s">
        <v>1299</v>
      </c>
      <c r="L22" s="527" t="s">
        <v>1300</v>
      </c>
      <c r="M22" s="527" t="s">
        <v>1301</v>
      </c>
      <c r="N22" s="527"/>
      <c r="O22" s="527"/>
      <c r="P22" s="528" t="s">
        <v>1136</v>
      </c>
    </row>
    <row r="23" s="507" customFormat="1" ht="30" spans="1:17">
      <c r="A23" s="522" t="str">
        <f>'[3]A1 预算指标总览'!$A$3</f>
        <v>华东一区</v>
      </c>
      <c r="B23" s="522" t="str">
        <f>'[3]A1 预算指标总览'!$B$3</f>
        <v>福建公司</v>
      </c>
      <c r="C23" s="523" t="s">
        <v>1239</v>
      </c>
      <c r="D23" s="523">
        <v>19</v>
      </c>
      <c r="E23" s="538" t="s">
        <v>1302</v>
      </c>
      <c r="F23" s="527" t="s">
        <v>1303</v>
      </c>
      <c r="G23" s="527" t="s">
        <v>1304</v>
      </c>
      <c r="H23" s="527" t="s">
        <v>1305</v>
      </c>
      <c r="I23" s="527"/>
      <c r="J23" s="527"/>
      <c r="K23" s="527" t="s">
        <v>1303</v>
      </c>
      <c r="L23" s="527" t="s">
        <v>1304</v>
      </c>
      <c r="M23" s="527" t="s">
        <v>1305</v>
      </c>
      <c r="N23" s="527"/>
      <c r="O23" s="527"/>
      <c r="P23" s="528" t="s">
        <v>1136</v>
      </c>
    </row>
    <row r="24" s="507" customFormat="1" ht="30" spans="1:17">
      <c r="A24" s="220" t="str">
        <f>'[3]A1 预算指标总览'!$A$3</f>
        <v>华东一区</v>
      </c>
      <c r="B24" s="220" t="str">
        <f>'[3]A1 预算指标总览'!$B$3</f>
        <v>福建公司</v>
      </c>
      <c r="C24" s="523" t="s">
        <v>1239</v>
      </c>
      <c r="D24" s="221">
        <v>20</v>
      </c>
      <c r="E24" s="538" t="s">
        <v>1306</v>
      </c>
      <c r="F24" s="527" t="s">
        <v>1307</v>
      </c>
      <c r="G24" s="527" t="s">
        <v>1308</v>
      </c>
      <c r="H24" s="527" t="s">
        <v>1309</v>
      </c>
      <c r="I24" s="527"/>
      <c r="J24" s="527"/>
      <c r="K24" s="527" t="s">
        <v>1307</v>
      </c>
      <c r="L24" s="527" t="s">
        <v>1308</v>
      </c>
      <c r="M24" s="527" t="s">
        <v>1309</v>
      </c>
      <c r="N24" s="527"/>
      <c r="O24" s="527"/>
      <c r="P24" s="528" t="s">
        <v>1136</v>
      </c>
    </row>
    <row r="25" s="507" customFormat="1" ht="30" spans="1:17">
      <c r="A25" s="522" t="str">
        <f>'[3]A1 预算指标总览'!$A$3</f>
        <v>华东一区</v>
      </c>
      <c r="B25" s="522" t="str">
        <f>'[3]A1 预算指标总览'!$B$3</f>
        <v>福建公司</v>
      </c>
      <c r="C25" s="523" t="s">
        <v>1239</v>
      </c>
      <c r="D25" s="523">
        <v>21</v>
      </c>
      <c r="E25" s="538" t="s">
        <v>1310</v>
      </c>
      <c r="F25" s="527" t="s">
        <v>1311</v>
      </c>
      <c r="G25" s="527" t="s">
        <v>1312</v>
      </c>
      <c r="H25" s="527" t="s">
        <v>1313</v>
      </c>
      <c r="I25" s="527"/>
      <c r="J25" s="527"/>
      <c r="K25" s="527" t="s">
        <v>1311</v>
      </c>
      <c r="L25" s="527" t="s">
        <v>1312</v>
      </c>
      <c r="M25" s="527" t="s">
        <v>1313</v>
      </c>
      <c r="N25" s="527"/>
      <c r="O25" s="527"/>
      <c r="P25" s="528" t="s">
        <v>1136</v>
      </c>
    </row>
    <row r="26" s="507" customFormat="1" ht="30" spans="1:17">
      <c r="A26" s="220" t="str">
        <f>'[3]A1 预算指标总览'!$A$3</f>
        <v>华东一区</v>
      </c>
      <c r="B26" s="220" t="str">
        <f>'[3]A1 预算指标总览'!$B$3</f>
        <v>福建公司</v>
      </c>
      <c r="C26" s="523" t="s">
        <v>1239</v>
      </c>
      <c r="D26" s="221">
        <v>22</v>
      </c>
      <c r="E26" s="538" t="s">
        <v>81</v>
      </c>
      <c r="F26" s="527" t="s">
        <v>1314</v>
      </c>
      <c r="G26" s="527" t="s">
        <v>1315</v>
      </c>
      <c r="H26" s="527" t="s">
        <v>1316</v>
      </c>
      <c r="I26" s="527"/>
      <c r="J26" s="527"/>
      <c r="K26" s="527" t="s">
        <v>1314</v>
      </c>
      <c r="L26" s="527" t="s">
        <v>1315</v>
      </c>
      <c r="M26" s="527" t="s">
        <v>1316</v>
      </c>
      <c r="N26" s="527"/>
      <c r="O26" s="527"/>
      <c r="P26" s="528" t="s">
        <v>1136</v>
      </c>
    </row>
    <row r="27" s="507" customFormat="1" ht="30" spans="1:17">
      <c r="A27" s="522" t="str">
        <f>'[3]A1 预算指标总览'!$A$3</f>
        <v>华东一区</v>
      </c>
      <c r="B27" s="522" t="str">
        <f>'[3]A1 预算指标总览'!$B$3</f>
        <v>福建公司</v>
      </c>
      <c r="C27" s="523" t="s">
        <v>1239</v>
      </c>
      <c r="D27" s="523">
        <v>23</v>
      </c>
      <c r="E27" s="538" t="s">
        <v>84</v>
      </c>
      <c r="F27" s="527" t="s">
        <v>1317</v>
      </c>
      <c r="G27" s="527" t="s">
        <v>1318</v>
      </c>
      <c r="H27" s="527" t="s">
        <v>1319</v>
      </c>
      <c r="I27" s="527"/>
      <c r="J27" s="527"/>
      <c r="K27" s="527" t="s">
        <v>1317</v>
      </c>
      <c r="L27" s="527" t="s">
        <v>1318</v>
      </c>
      <c r="M27" s="527" t="s">
        <v>1319</v>
      </c>
      <c r="N27" s="527"/>
      <c r="O27" s="527"/>
      <c r="P27" s="528" t="s">
        <v>1136</v>
      </c>
    </row>
    <row r="28" s="507" customFormat="1" ht="30" spans="1:17">
      <c r="A28" s="220" t="str">
        <f>'[3]A1 预算指标总览'!$A$3</f>
        <v>华东一区</v>
      </c>
      <c r="B28" s="220" t="str">
        <f>'[3]A1 预算指标总览'!$B$3</f>
        <v>福建公司</v>
      </c>
      <c r="C28" s="523" t="s">
        <v>1239</v>
      </c>
      <c r="D28" s="221">
        <v>24</v>
      </c>
      <c r="E28" s="538" t="s">
        <v>1320</v>
      </c>
      <c r="F28" s="527" t="s">
        <v>1321</v>
      </c>
      <c r="G28" s="527" t="s">
        <v>1322</v>
      </c>
      <c r="H28" s="527" t="s">
        <v>1323</v>
      </c>
      <c r="I28" s="527"/>
      <c r="J28" s="527"/>
      <c r="K28" s="527" t="s">
        <v>1321</v>
      </c>
      <c r="L28" s="527" t="s">
        <v>1322</v>
      </c>
      <c r="M28" s="527" t="s">
        <v>1323</v>
      </c>
      <c r="N28" s="527"/>
      <c r="O28" s="527"/>
      <c r="P28" s="528" t="s">
        <v>1136</v>
      </c>
    </row>
    <row r="29" s="507" customFormat="1" ht="30" spans="1:17">
      <c r="A29" s="522" t="str">
        <f>'[3]A1 预算指标总览'!$A$3</f>
        <v>华东一区</v>
      </c>
      <c r="B29" s="522" t="str">
        <f>'[3]A1 预算指标总览'!$B$3</f>
        <v>福建公司</v>
      </c>
      <c r="C29" s="523" t="s">
        <v>1239</v>
      </c>
      <c r="D29" s="523">
        <v>25</v>
      </c>
      <c r="E29" s="538" t="s">
        <v>87</v>
      </c>
      <c r="F29" s="527" t="s">
        <v>1324</v>
      </c>
      <c r="G29" s="527" t="s">
        <v>1325</v>
      </c>
      <c r="H29" s="527" t="s">
        <v>1326</v>
      </c>
      <c r="I29" s="527"/>
      <c r="J29" s="527"/>
      <c r="K29" s="527" t="s">
        <v>1324</v>
      </c>
      <c r="L29" s="527" t="s">
        <v>1325</v>
      </c>
      <c r="M29" s="527" t="s">
        <v>1326</v>
      </c>
      <c r="N29" s="527"/>
      <c r="O29" s="527"/>
      <c r="P29" s="528" t="s">
        <v>1136</v>
      </c>
    </row>
    <row r="30" s="507" customFormat="1" ht="30" spans="1:17">
      <c r="A30" s="220" t="str">
        <f>'[3]A1 预算指标总览'!$A$3</f>
        <v>华东一区</v>
      </c>
      <c r="B30" s="220" t="str">
        <f>'[3]A1 预算指标总览'!$B$3</f>
        <v>福建公司</v>
      </c>
      <c r="C30" s="523" t="s">
        <v>1239</v>
      </c>
      <c r="D30" s="221">
        <v>26</v>
      </c>
      <c r="E30" s="538" t="s">
        <v>1327</v>
      </c>
      <c r="F30" s="527" t="s">
        <v>1328</v>
      </c>
      <c r="G30" s="527" t="s">
        <v>1329</v>
      </c>
      <c r="H30" s="527" t="s">
        <v>1330</v>
      </c>
      <c r="I30" s="527"/>
      <c r="J30" s="527"/>
      <c r="K30" s="527" t="s">
        <v>1328</v>
      </c>
      <c r="L30" s="527" t="s">
        <v>1329</v>
      </c>
      <c r="M30" s="527" t="s">
        <v>1330</v>
      </c>
      <c r="N30" s="527"/>
      <c r="O30" s="527"/>
      <c r="P30" s="528" t="s">
        <v>1136</v>
      </c>
    </row>
    <row r="31" s="507" customFormat="1" ht="30" spans="1:17">
      <c r="A31" s="522" t="str">
        <f>'[3]A1 预算指标总览'!$A$3</f>
        <v>华东一区</v>
      </c>
      <c r="B31" s="522" t="str">
        <f>'[3]A1 预算指标总览'!$B$3</f>
        <v>福建公司</v>
      </c>
      <c r="C31" s="523" t="s">
        <v>1239</v>
      </c>
      <c r="D31" s="523">
        <v>27</v>
      </c>
      <c r="E31" s="538" t="s">
        <v>1331</v>
      </c>
      <c r="F31" s="527" t="s">
        <v>1332</v>
      </c>
      <c r="G31" s="527" t="s">
        <v>1333</v>
      </c>
      <c r="H31" s="527" t="s">
        <v>1334</v>
      </c>
      <c r="I31" s="527"/>
      <c r="J31" s="527"/>
      <c r="K31" s="527" t="s">
        <v>1332</v>
      </c>
      <c r="L31" s="527" t="s">
        <v>1333</v>
      </c>
      <c r="M31" s="527" t="s">
        <v>1334</v>
      </c>
      <c r="N31" s="527"/>
      <c r="O31" s="527"/>
      <c r="P31" s="528" t="s">
        <v>1136</v>
      </c>
    </row>
    <row r="32" s="507" customFormat="1" ht="30" spans="1:17">
      <c r="A32" s="220" t="str">
        <f>'[3]A1 预算指标总览'!$A$3</f>
        <v>华东一区</v>
      </c>
      <c r="B32" s="220" t="str">
        <f>'[3]A1 预算指标总览'!$B$3</f>
        <v>福建公司</v>
      </c>
      <c r="C32" s="523" t="s">
        <v>1239</v>
      </c>
      <c r="D32" s="221">
        <v>28</v>
      </c>
      <c r="E32" s="539" t="s">
        <v>1335</v>
      </c>
      <c r="F32" s="527" t="s">
        <v>1336</v>
      </c>
      <c r="G32" s="527" t="s">
        <v>1337</v>
      </c>
      <c r="H32" s="527" t="s">
        <v>1338</v>
      </c>
      <c r="I32" s="527"/>
      <c r="J32" s="527"/>
      <c r="K32" s="527" t="s">
        <v>1336</v>
      </c>
      <c r="L32" s="527" t="s">
        <v>1337</v>
      </c>
      <c r="M32" s="527" t="s">
        <v>1338</v>
      </c>
      <c r="N32" s="527"/>
      <c r="O32" s="527"/>
      <c r="P32" s="528" t="s">
        <v>1136</v>
      </c>
    </row>
    <row r="33" s="507" customFormat="1" ht="30" spans="1:17">
      <c r="A33" s="522" t="str">
        <f>'[3]A1 预算指标总览'!$A$3</f>
        <v>华东一区</v>
      </c>
      <c r="B33" s="522" t="str">
        <f>'[3]A1 预算指标总览'!$B$3</f>
        <v>福建公司</v>
      </c>
      <c r="C33" s="523" t="s">
        <v>1239</v>
      </c>
      <c r="D33" s="523">
        <v>29</v>
      </c>
      <c r="E33" s="538" t="s">
        <v>1339</v>
      </c>
      <c r="F33" s="527" t="s">
        <v>1340</v>
      </c>
      <c r="G33" s="527" t="s">
        <v>1341</v>
      </c>
      <c r="H33" s="527" t="s">
        <v>1342</v>
      </c>
      <c r="I33" s="527"/>
      <c r="J33" s="527"/>
      <c r="K33" s="527" t="s">
        <v>1340</v>
      </c>
      <c r="L33" s="527" t="s">
        <v>1341</v>
      </c>
      <c r="M33" s="527" t="s">
        <v>1342</v>
      </c>
      <c r="N33" s="527"/>
      <c r="O33" s="527"/>
      <c r="P33" s="528" t="s">
        <v>1136</v>
      </c>
    </row>
    <row r="34" s="507" customFormat="1" ht="30" spans="1:17">
      <c r="A34" s="220" t="str">
        <f>'[3]A1 预算指标总览'!$A$3</f>
        <v>华东一区</v>
      </c>
      <c r="B34" s="220" t="str">
        <f>'[3]A1 预算指标总览'!$B$3</f>
        <v>福建公司</v>
      </c>
      <c r="C34" s="523" t="s">
        <v>1239</v>
      </c>
      <c r="D34" s="221">
        <v>30</v>
      </c>
      <c r="E34" s="538" t="s">
        <v>1343</v>
      </c>
      <c r="F34" s="527" t="s">
        <v>1344</v>
      </c>
      <c r="G34" s="527" t="s">
        <v>1345</v>
      </c>
      <c r="H34" s="527" t="s">
        <v>1346</v>
      </c>
      <c r="I34" s="527"/>
      <c r="J34" s="527"/>
      <c r="K34" s="527" t="s">
        <v>1344</v>
      </c>
      <c r="L34" s="527" t="s">
        <v>1345</v>
      </c>
      <c r="M34" s="527" t="s">
        <v>1346</v>
      </c>
      <c r="N34" s="527"/>
      <c r="O34" s="527"/>
      <c r="P34" s="528" t="s">
        <v>1136</v>
      </c>
    </row>
    <row r="35" s="507" customFormat="1" ht="30" spans="1:17">
      <c r="A35" s="522" t="str">
        <f>'[3]A1 预算指标总览'!$A$3</f>
        <v>华东一区</v>
      </c>
      <c r="B35" s="522" t="str">
        <f>'[3]A1 预算指标总览'!$B$3</f>
        <v>福建公司</v>
      </c>
      <c r="C35" s="523" t="s">
        <v>1239</v>
      </c>
      <c r="D35" s="523">
        <v>31</v>
      </c>
      <c r="E35" s="538" t="s">
        <v>1347</v>
      </c>
      <c r="F35" s="527" t="s">
        <v>1348</v>
      </c>
      <c r="G35" s="527" t="s">
        <v>1349</v>
      </c>
      <c r="H35" s="527" t="s">
        <v>1350</v>
      </c>
      <c r="I35" s="527"/>
      <c r="J35" s="527"/>
      <c r="K35" s="527" t="s">
        <v>1348</v>
      </c>
      <c r="L35" s="527" t="s">
        <v>1349</v>
      </c>
      <c r="M35" s="527" t="s">
        <v>1350</v>
      </c>
      <c r="N35" s="527"/>
      <c r="O35" s="527"/>
      <c r="P35" s="528" t="s">
        <v>1136</v>
      </c>
    </row>
    <row r="36" s="507" customFormat="1" ht="30" spans="1:17">
      <c r="A36" s="220" t="str">
        <f>'[3]A1 预算指标总览'!$A$3</f>
        <v>华东一区</v>
      </c>
      <c r="B36" s="220" t="str">
        <f>'[3]A1 预算指标总览'!$B$3</f>
        <v>福建公司</v>
      </c>
      <c r="C36" s="523" t="s">
        <v>1239</v>
      </c>
      <c r="D36" s="221">
        <v>32</v>
      </c>
      <c r="E36" s="538" t="s">
        <v>1351</v>
      </c>
      <c r="F36" s="527" t="s">
        <v>1352</v>
      </c>
      <c r="G36" s="527" t="s">
        <v>1353</v>
      </c>
      <c r="H36" s="527" t="s">
        <v>1354</v>
      </c>
      <c r="I36" s="527"/>
      <c r="J36" s="527"/>
      <c r="K36" s="527" t="s">
        <v>1352</v>
      </c>
      <c r="L36" s="527" t="s">
        <v>1353</v>
      </c>
      <c r="M36" s="527" t="s">
        <v>1354</v>
      </c>
      <c r="N36" s="527"/>
      <c r="O36" s="527"/>
      <c r="P36" s="528" t="s">
        <v>1136</v>
      </c>
    </row>
    <row r="37" s="507" customFormat="1" ht="30" spans="1:17">
      <c r="A37" s="522" t="str">
        <f>'[3]A1 预算指标总览'!$A$3</f>
        <v>华东一区</v>
      </c>
      <c r="B37" s="522" t="str">
        <f>'[3]A1 预算指标总览'!$B$3</f>
        <v>福建公司</v>
      </c>
      <c r="C37" s="523" t="s">
        <v>1239</v>
      </c>
      <c r="D37" s="523">
        <v>33</v>
      </c>
      <c r="E37" s="538" t="s">
        <v>1355</v>
      </c>
      <c r="F37" s="527" t="s">
        <v>1356</v>
      </c>
      <c r="G37" s="527" t="s">
        <v>1357</v>
      </c>
      <c r="H37" s="527" t="s">
        <v>1358</v>
      </c>
      <c r="I37" s="527"/>
      <c r="J37" s="527"/>
      <c r="K37" s="527" t="s">
        <v>1356</v>
      </c>
      <c r="L37" s="527" t="s">
        <v>1357</v>
      </c>
      <c r="M37" s="527" t="s">
        <v>1358</v>
      </c>
      <c r="N37" s="527"/>
      <c r="O37" s="527"/>
      <c r="P37" s="528" t="s">
        <v>1136</v>
      </c>
    </row>
    <row r="38" s="507" customFormat="1" ht="30" spans="1:17">
      <c r="A38" s="220" t="str">
        <f>'[3]A1 预算指标总览'!$A$3</f>
        <v>华东一区</v>
      </c>
      <c r="B38" s="220" t="str">
        <f>'[3]A1 预算指标总览'!$B$3</f>
        <v>福建公司</v>
      </c>
      <c r="C38" s="523" t="s">
        <v>1239</v>
      </c>
      <c r="D38" s="221">
        <v>34</v>
      </c>
      <c r="E38" s="538" t="s">
        <v>1359</v>
      </c>
      <c r="F38" s="527" t="s">
        <v>1360</v>
      </c>
      <c r="G38" s="527" t="s">
        <v>1361</v>
      </c>
      <c r="H38" s="527" t="s">
        <v>1362</v>
      </c>
      <c r="I38" s="527"/>
      <c r="J38" s="527"/>
      <c r="K38" s="527" t="s">
        <v>1360</v>
      </c>
      <c r="L38" s="527" t="s">
        <v>1361</v>
      </c>
      <c r="M38" s="527" t="s">
        <v>1362</v>
      </c>
      <c r="N38" s="527"/>
      <c r="O38" s="527"/>
      <c r="P38" s="528" t="s">
        <v>1136</v>
      </c>
    </row>
    <row r="39" s="507" customFormat="1" ht="75" spans="1:17">
      <c r="A39" s="522" t="str">
        <f>'[3]A1 预算指标总览'!$A$3</f>
        <v>华东一区</v>
      </c>
      <c r="B39" s="522" t="str">
        <f>'[3]A1 预算指标总览'!$B$3</f>
        <v>福建公司</v>
      </c>
      <c r="C39" s="523" t="s">
        <v>1239</v>
      </c>
      <c r="D39" s="523">
        <v>35</v>
      </c>
      <c r="E39" s="536" t="s">
        <v>1363</v>
      </c>
      <c r="F39" s="540" t="s">
        <v>1364</v>
      </c>
      <c r="G39" s="540" t="s">
        <v>1365</v>
      </c>
      <c r="H39" s="540" t="s">
        <v>1366</v>
      </c>
      <c r="I39" s="540"/>
      <c r="J39" s="540"/>
      <c r="K39" s="540" t="s">
        <v>1364</v>
      </c>
      <c r="L39" s="540" t="s">
        <v>1365</v>
      </c>
      <c r="M39" s="540" t="s">
        <v>1366</v>
      </c>
      <c r="N39" s="540"/>
      <c r="O39" s="540"/>
      <c r="P39" s="528" t="s">
        <v>1136</v>
      </c>
    </row>
    <row r="40" s="507" customFormat="1" ht="30" spans="1:17">
      <c r="A40" s="220" t="str">
        <f>'[3]A1 预算指标总览'!$A$3</f>
        <v>华东一区</v>
      </c>
      <c r="B40" s="220" t="str">
        <f>'[3]A1 预算指标总览'!$B$3</f>
        <v>福建公司</v>
      </c>
      <c r="C40" s="523" t="s">
        <v>1239</v>
      </c>
      <c r="D40" s="221">
        <v>36</v>
      </c>
      <c r="E40" s="533" t="s">
        <v>1367</v>
      </c>
      <c r="F40" s="527" t="s">
        <v>1368</v>
      </c>
      <c r="G40" s="527" t="s">
        <v>1369</v>
      </c>
      <c r="H40" s="527" t="s">
        <v>1370</v>
      </c>
      <c r="I40" s="527"/>
      <c r="J40" s="527"/>
      <c r="K40" s="527" t="s">
        <v>1368</v>
      </c>
      <c r="L40" s="527" t="s">
        <v>1369</v>
      </c>
      <c r="M40" s="527" t="s">
        <v>1370</v>
      </c>
      <c r="N40" s="527"/>
      <c r="O40" s="527"/>
      <c r="P40" s="528" t="s">
        <v>1136</v>
      </c>
    </row>
    <row r="41" s="507" customFormat="1" ht="30" spans="1:17">
      <c r="A41" s="522" t="str">
        <f>'[3]A1 预算指标总览'!$A$3</f>
        <v>华东一区</v>
      </c>
      <c r="B41" s="522" t="str">
        <f>'[3]A1 预算指标总览'!$B$3</f>
        <v>福建公司</v>
      </c>
      <c r="C41" s="523" t="s">
        <v>1239</v>
      </c>
      <c r="D41" s="523">
        <v>37</v>
      </c>
      <c r="E41" s="533" t="s">
        <v>1371</v>
      </c>
      <c r="F41" s="527" t="s">
        <v>1372</v>
      </c>
      <c r="G41" s="527" t="s">
        <v>1373</v>
      </c>
      <c r="H41" s="527" t="s">
        <v>1374</v>
      </c>
      <c r="I41" s="527"/>
      <c r="J41" s="527"/>
      <c r="K41" s="527" t="s">
        <v>1372</v>
      </c>
      <c r="L41" s="527" t="s">
        <v>1373</v>
      </c>
      <c r="M41" s="527" t="s">
        <v>1374</v>
      </c>
      <c r="N41" s="527"/>
      <c r="O41" s="527"/>
      <c r="P41" s="528" t="s">
        <v>1136</v>
      </c>
    </row>
    <row r="42" s="507" customFormat="1" ht="30" spans="1:17">
      <c r="A42" s="220" t="str">
        <f>'[3]A1 预算指标总览'!$A$3</f>
        <v>华东一区</v>
      </c>
      <c r="B42" s="220" t="str">
        <f>'[3]A1 预算指标总览'!$B$3</f>
        <v>福建公司</v>
      </c>
      <c r="C42" s="523" t="s">
        <v>1239</v>
      </c>
      <c r="D42" s="221">
        <v>38</v>
      </c>
      <c r="E42" s="536" t="s">
        <v>1375</v>
      </c>
      <c r="F42" s="540" t="s">
        <v>1376</v>
      </c>
      <c r="G42" s="540" t="s">
        <v>1376</v>
      </c>
      <c r="H42" s="540" t="s">
        <v>1376</v>
      </c>
      <c r="I42" s="540"/>
      <c r="J42" s="540"/>
      <c r="K42" s="540" t="s">
        <v>1376</v>
      </c>
      <c r="L42" s="540" t="s">
        <v>1376</v>
      </c>
      <c r="M42" s="540" t="s">
        <v>1376</v>
      </c>
      <c r="N42" s="540"/>
      <c r="O42" s="540"/>
      <c r="P42" s="528" t="s">
        <v>1136</v>
      </c>
      <c r="Q42" s="541"/>
    </row>
    <row r="43" s="507" customFormat="1" ht="30" spans="1:17">
      <c r="A43" s="522" t="str">
        <f>'[3]A1 预算指标总览'!$A$3</f>
        <v>华东一区</v>
      </c>
      <c r="B43" s="522" t="str">
        <f>'[3]A1 预算指标总览'!$B$3</f>
        <v>福建公司</v>
      </c>
      <c r="C43" s="523" t="s">
        <v>1239</v>
      </c>
      <c r="D43" s="523">
        <v>39</v>
      </c>
      <c r="E43" s="533" t="s">
        <v>1377</v>
      </c>
      <c r="F43" s="527" t="s">
        <v>1378</v>
      </c>
      <c r="G43" s="527" t="s">
        <v>1379</v>
      </c>
      <c r="H43" s="527" t="s">
        <v>1380</v>
      </c>
      <c r="I43" s="527"/>
      <c r="J43" s="527"/>
      <c r="K43" s="527" t="s">
        <v>1378</v>
      </c>
      <c r="L43" s="527" t="s">
        <v>1379</v>
      </c>
      <c r="M43" s="527" t="s">
        <v>1380</v>
      </c>
      <c r="N43" s="527"/>
      <c r="O43" s="527"/>
      <c r="P43" s="528" t="s">
        <v>1136</v>
      </c>
    </row>
    <row r="44" s="507" customFormat="1" ht="30" spans="1:17">
      <c r="A44" s="220" t="str">
        <f>'[3]A1 预算指标总览'!$A$3</f>
        <v>华东一区</v>
      </c>
      <c r="B44" s="220" t="str">
        <f>'[3]A1 预算指标总览'!$B$3</f>
        <v>福建公司</v>
      </c>
      <c r="C44" s="523" t="s">
        <v>1239</v>
      </c>
      <c r="D44" s="221">
        <v>40</v>
      </c>
      <c r="E44" s="536" t="s">
        <v>1381</v>
      </c>
      <c r="F44" s="540" t="s">
        <v>1382</v>
      </c>
      <c r="G44" s="540" t="s">
        <v>1383</v>
      </c>
      <c r="H44" s="540" t="s">
        <v>1384</v>
      </c>
      <c r="I44" s="540"/>
      <c r="J44" s="540"/>
      <c r="K44" s="540" t="s">
        <v>1382</v>
      </c>
      <c r="L44" s="540" t="s">
        <v>1383</v>
      </c>
      <c r="M44" s="540" t="s">
        <v>1384</v>
      </c>
      <c r="N44" s="540"/>
      <c r="O44" s="540"/>
      <c r="P44" s="528" t="s">
        <v>1136</v>
      </c>
    </row>
    <row r="45" s="507" customFormat="1" ht="15" customHeight="1" spans="1:17">
      <c r="A45" s="522" t="str">
        <f>'[3]A1 预算指标总览'!$A$3</f>
        <v>华东一区</v>
      </c>
      <c r="B45" s="522" t="str">
        <f>'[3]A1 预算指标总览'!$B$3</f>
        <v>福建公司</v>
      </c>
      <c r="C45" s="523" t="s">
        <v>1239</v>
      </c>
      <c r="D45" s="523">
        <v>41</v>
      </c>
      <c r="E45" s="542"/>
      <c r="F45" s="543"/>
      <c r="G45" s="543"/>
      <c r="H45" s="543"/>
      <c r="I45" s="543"/>
      <c r="J45" s="543"/>
      <c r="K45" s="543"/>
      <c r="L45" s="543"/>
      <c r="M45" s="543"/>
      <c r="N45" s="543"/>
      <c r="O45" s="543"/>
      <c r="P45" s="220"/>
    </row>
    <row r="46" s="507" customFormat="1" ht="15" customHeight="1" spans="1:17">
      <c r="A46" s="220" t="str">
        <f>'[3]A1 预算指标总览'!$A$3</f>
        <v>华东一区</v>
      </c>
      <c r="B46" s="220" t="str">
        <f>'[3]A1 预算指标总览'!$B$3</f>
        <v>福建公司</v>
      </c>
      <c r="C46" s="221" t="s">
        <v>1239</v>
      </c>
      <c r="D46" s="221">
        <v>42</v>
      </c>
      <c r="E46" s="544" t="s">
        <v>117</v>
      </c>
      <c r="F46" s="545"/>
      <c r="G46" s="545"/>
      <c r="H46" s="545"/>
      <c r="I46" s="545"/>
      <c r="J46" s="545"/>
      <c r="K46" s="545"/>
      <c r="L46" s="545"/>
      <c r="M46" s="545"/>
      <c r="N46" s="545"/>
      <c r="O46" s="545"/>
      <c r="P46" s="546"/>
    </row>
    <row r="47" s="507" customFormat="1" ht="15.6" spans="1:17">
      <c r="A47" s="522" t="str">
        <f>'[3]A1 预算指标总览'!$A$3</f>
        <v>华东一区</v>
      </c>
      <c r="B47" s="522" t="str">
        <f>'[3]A1 预算指标总览'!$B$3</f>
        <v>福建公司</v>
      </c>
      <c r="C47" s="221" t="s">
        <v>1239</v>
      </c>
      <c r="D47" s="221">
        <v>43</v>
      </c>
      <c r="E47" s="544"/>
      <c r="F47" s="545"/>
      <c r="G47" s="545"/>
      <c r="H47" s="545"/>
      <c r="I47" s="545"/>
      <c r="J47" s="545"/>
      <c r="K47" s="545"/>
      <c r="L47" s="545"/>
      <c r="M47" s="545"/>
      <c r="N47" s="545"/>
      <c r="O47" s="545"/>
      <c r="P47" s="546"/>
    </row>
    <row r="48" s="507" customFormat="1" ht="30" spans="1:17">
      <c r="A48" s="220" t="str">
        <f>'[3]A1 预算指标总览'!$A$3</f>
        <v>华东一区</v>
      </c>
      <c r="B48" s="220" t="str">
        <f>'[3]A1 预算指标总览'!$B$3</f>
        <v>福建公司</v>
      </c>
      <c r="C48" s="221" t="s">
        <v>1239</v>
      </c>
      <c r="D48" s="221">
        <v>44</v>
      </c>
      <c r="E48" s="547" t="s">
        <v>1385</v>
      </c>
      <c r="F48" s="527" t="s">
        <v>1386</v>
      </c>
      <c r="G48" s="527" t="s">
        <v>1387</v>
      </c>
      <c r="H48" s="527" t="s">
        <v>1388</v>
      </c>
      <c r="I48" s="527"/>
      <c r="J48" s="527"/>
      <c r="K48" s="527" t="s">
        <v>1386</v>
      </c>
      <c r="L48" s="527" t="s">
        <v>1387</v>
      </c>
      <c r="M48" s="527" t="s">
        <v>1388</v>
      </c>
      <c r="N48" s="527"/>
      <c r="O48" s="527"/>
      <c r="P48" s="528" t="s">
        <v>1136</v>
      </c>
      <c r="Q48" s="548" t="s">
        <v>1389</v>
      </c>
    </row>
    <row r="49" s="507" customFormat="1" ht="30" spans="1:17">
      <c r="A49" s="522" t="str">
        <f>'[3]A1 预算指标总览'!$A$3</f>
        <v>华东一区</v>
      </c>
      <c r="B49" s="522" t="str">
        <f>'[3]A1 预算指标总览'!$B$3</f>
        <v>福建公司</v>
      </c>
      <c r="C49" s="221" t="s">
        <v>1239</v>
      </c>
      <c r="D49" s="221">
        <v>45</v>
      </c>
      <c r="E49" s="547" t="s">
        <v>1390</v>
      </c>
      <c r="F49" s="527" t="s">
        <v>1391</v>
      </c>
      <c r="G49" s="527" t="s">
        <v>1392</v>
      </c>
      <c r="H49" s="527" t="s">
        <v>1393</v>
      </c>
      <c r="I49" s="527"/>
      <c r="J49" s="527"/>
      <c r="K49" s="527" t="s">
        <v>1391</v>
      </c>
      <c r="L49" s="527" t="s">
        <v>1392</v>
      </c>
      <c r="M49" s="527" t="s">
        <v>1393</v>
      </c>
      <c r="N49" s="527"/>
      <c r="O49" s="527"/>
      <c r="P49" s="528" t="s">
        <v>1136</v>
      </c>
      <c r="Q49" s="548"/>
    </row>
    <row r="50" s="507" customFormat="1" ht="30" spans="1:17">
      <c r="A50" s="220" t="str">
        <f>'[3]A1 预算指标总览'!$A$3</f>
        <v>华东一区</v>
      </c>
      <c r="B50" s="220" t="str">
        <f>'[3]A1 预算指标总览'!$B$3</f>
        <v>福建公司</v>
      </c>
      <c r="C50" s="221" t="s">
        <v>1239</v>
      </c>
      <c r="D50" s="221">
        <v>46</v>
      </c>
      <c r="E50" s="547" t="s">
        <v>1394</v>
      </c>
      <c r="F50" s="527" t="s">
        <v>1395</v>
      </c>
      <c r="G50" s="527" t="s">
        <v>1396</v>
      </c>
      <c r="H50" s="527" t="s">
        <v>1397</v>
      </c>
      <c r="I50" s="527"/>
      <c r="J50" s="527"/>
      <c r="K50" s="527" t="s">
        <v>1395</v>
      </c>
      <c r="L50" s="527" t="s">
        <v>1396</v>
      </c>
      <c r="M50" s="527" t="s">
        <v>1397</v>
      </c>
      <c r="N50" s="527"/>
      <c r="O50" s="527"/>
      <c r="P50" s="528" t="s">
        <v>1136</v>
      </c>
      <c r="Q50" s="548"/>
    </row>
    <row r="51" s="507" customFormat="1" ht="30" spans="1:17">
      <c r="A51" s="522" t="str">
        <f>'[3]A1 预算指标总览'!$A$3</f>
        <v>华东一区</v>
      </c>
      <c r="B51" s="522" t="str">
        <f>'[3]A1 预算指标总览'!$B$3</f>
        <v>福建公司</v>
      </c>
      <c r="C51" s="221" t="s">
        <v>1239</v>
      </c>
      <c r="D51" s="221">
        <v>47</v>
      </c>
      <c r="E51" s="547" t="s">
        <v>1398</v>
      </c>
      <c r="F51" s="527" t="s">
        <v>1399</v>
      </c>
      <c r="G51" s="527" t="s">
        <v>1400</v>
      </c>
      <c r="H51" s="527" t="s">
        <v>1401</v>
      </c>
      <c r="I51" s="527"/>
      <c r="J51" s="527"/>
      <c r="K51" s="527" t="s">
        <v>1399</v>
      </c>
      <c r="L51" s="527" t="s">
        <v>1400</v>
      </c>
      <c r="M51" s="527" t="s">
        <v>1401</v>
      </c>
      <c r="N51" s="527"/>
      <c r="O51" s="527"/>
      <c r="P51" s="528" t="s">
        <v>1136</v>
      </c>
      <c r="Q51" s="548"/>
    </row>
    <row r="52" s="507" customFormat="1" ht="30" spans="1:17">
      <c r="A52" s="220" t="str">
        <f>'[3]A1 预算指标总览'!$A$3</f>
        <v>华东一区</v>
      </c>
      <c r="B52" s="220" t="str">
        <f>'[3]A1 预算指标总览'!$B$3</f>
        <v>福建公司</v>
      </c>
      <c r="C52" s="221" t="s">
        <v>1239</v>
      </c>
      <c r="D52" s="221">
        <v>48</v>
      </c>
      <c r="E52" s="549" t="s">
        <v>1402</v>
      </c>
      <c r="F52" s="527" t="s">
        <v>1403</v>
      </c>
      <c r="G52" s="527" t="s">
        <v>1404</v>
      </c>
      <c r="H52" s="527" t="s">
        <v>1405</v>
      </c>
      <c r="I52" s="527"/>
      <c r="J52" s="527"/>
      <c r="K52" s="527" t="s">
        <v>1403</v>
      </c>
      <c r="L52" s="527" t="s">
        <v>1404</v>
      </c>
      <c r="M52" s="527" t="s">
        <v>1405</v>
      </c>
      <c r="N52" s="527"/>
      <c r="O52" s="527"/>
      <c r="P52" s="528" t="s">
        <v>1136</v>
      </c>
      <c r="Q52" s="548"/>
    </row>
    <row r="53" s="507" customFormat="1" ht="30" spans="1:17">
      <c r="A53" s="522" t="str">
        <f>'[3]A1 预算指标总览'!$A$3</f>
        <v>华东一区</v>
      </c>
      <c r="B53" s="522" t="str">
        <f>'[3]A1 预算指标总览'!$B$3</f>
        <v>福建公司</v>
      </c>
      <c r="C53" s="221" t="s">
        <v>1239</v>
      </c>
      <c r="D53" s="221">
        <v>49</v>
      </c>
      <c r="E53" s="549" t="s">
        <v>1406</v>
      </c>
      <c r="F53" s="527" t="s">
        <v>1407</v>
      </c>
      <c r="G53" s="527" t="s">
        <v>1408</v>
      </c>
      <c r="H53" s="527" t="s">
        <v>1409</v>
      </c>
      <c r="I53" s="527"/>
      <c r="J53" s="527"/>
      <c r="K53" s="527" t="s">
        <v>1407</v>
      </c>
      <c r="L53" s="527" t="s">
        <v>1408</v>
      </c>
      <c r="M53" s="527" t="s">
        <v>1409</v>
      </c>
      <c r="N53" s="527"/>
      <c r="O53" s="527"/>
      <c r="P53" s="528" t="s">
        <v>1136</v>
      </c>
      <c r="Q53" s="548"/>
    </row>
    <row r="54" s="507" customFormat="1" ht="30" spans="1:17">
      <c r="A54" s="220" t="str">
        <f>'[3]A1 预算指标总览'!$A$3</f>
        <v>华东一区</v>
      </c>
      <c r="B54" s="220" t="str">
        <f>'[3]A1 预算指标总览'!$B$3</f>
        <v>福建公司</v>
      </c>
      <c r="C54" s="221" t="s">
        <v>1239</v>
      </c>
      <c r="D54" s="221">
        <v>50</v>
      </c>
      <c r="E54" s="549" t="s">
        <v>1410</v>
      </c>
      <c r="F54" s="527" t="s">
        <v>1411</v>
      </c>
      <c r="G54" s="527" t="s">
        <v>1412</v>
      </c>
      <c r="H54" s="527" t="s">
        <v>1413</v>
      </c>
      <c r="I54" s="527"/>
      <c r="J54" s="527"/>
      <c r="K54" s="527" t="s">
        <v>1411</v>
      </c>
      <c r="L54" s="527" t="s">
        <v>1412</v>
      </c>
      <c r="M54" s="527" t="s">
        <v>1413</v>
      </c>
      <c r="N54" s="527"/>
      <c r="O54" s="527"/>
      <c r="P54" s="528" t="s">
        <v>1136</v>
      </c>
      <c r="Q54" s="548"/>
    </row>
    <row r="55" s="507" customFormat="1" ht="30" spans="1:17">
      <c r="A55" s="522" t="str">
        <f>'[3]A1 预算指标总览'!$A$3</f>
        <v>华东一区</v>
      </c>
      <c r="B55" s="522" t="str">
        <f>'[3]A1 预算指标总览'!$B$3</f>
        <v>福建公司</v>
      </c>
      <c r="C55" s="221" t="s">
        <v>1239</v>
      </c>
      <c r="D55" s="221">
        <v>51</v>
      </c>
      <c r="E55" s="547" t="s">
        <v>1414</v>
      </c>
      <c r="F55" s="527" t="s">
        <v>1415</v>
      </c>
      <c r="G55" s="527" t="s">
        <v>1416</v>
      </c>
      <c r="H55" s="527" t="s">
        <v>1417</v>
      </c>
      <c r="I55" s="527"/>
      <c r="J55" s="527"/>
      <c r="K55" s="527" t="s">
        <v>1415</v>
      </c>
      <c r="L55" s="527" t="s">
        <v>1416</v>
      </c>
      <c r="M55" s="527" t="s">
        <v>1417</v>
      </c>
      <c r="N55" s="527"/>
      <c r="O55" s="527"/>
      <c r="P55" s="528" t="s">
        <v>1136</v>
      </c>
      <c r="Q55" s="548"/>
    </row>
    <row r="56" s="507" customFormat="1" ht="45" spans="1:17">
      <c r="A56" s="220" t="str">
        <f>'[3]A1 预算指标总览'!$A$3</f>
        <v>华东一区</v>
      </c>
      <c r="B56" s="220" t="str">
        <f>'[3]A1 预算指标总览'!$B$3</f>
        <v>福建公司</v>
      </c>
      <c r="C56" s="221" t="s">
        <v>1239</v>
      </c>
      <c r="D56" s="221">
        <v>52</v>
      </c>
      <c r="E56" s="550" t="s">
        <v>1418</v>
      </c>
      <c r="F56" s="540" t="s">
        <v>1419</v>
      </c>
      <c r="G56" s="540" t="s">
        <v>1420</v>
      </c>
      <c r="H56" s="540" t="s">
        <v>1421</v>
      </c>
      <c r="I56" s="540"/>
      <c r="J56" s="540"/>
      <c r="K56" s="540" t="s">
        <v>1419</v>
      </c>
      <c r="L56" s="540" t="s">
        <v>1420</v>
      </c>
      <c r="M56" s="540" t="s">
        <v>1421</v>
      </c>
      <c r="N56" s="540"/>
      <c r="O56" s="540"/>
      <c r="P56" s="528" t="s">
        <v>1136</v>
      </c>
      <c r="Q56" s="548"/>
    </row>
    <row r="57" s="507" customFormat="1" ht="15" spans="1:17">
      <c r="A57" s="522" t="str">
        <f>'[3]A1 预算指标总览'!$A$3</f>
        <v>华东一区</v>
      </c>
      <c r="B57" s="522" t="str">
        <f>'[3]A1 预算指标总览'!$B$3</f>
        <v>福建公司</v>
      </c>
      <c r="C57" s="221" t="s">
        <v>1239</v>
      </c>
      <c r="D57" s="221">
        <v>53</v>
      </c>
      <c r="E57" s="551"/>
      <c r="F57" s="552"/>
      <c r="G57" s="552"/>
      <c r="H57" s="552"/>
      <c r="I57" s="552"/>
      <c r="J57" s="552"/>
      <c r="K57" s="552"/>
      <c r="L57" s="552"/>
      <c r="M57" s="552"/>
      <c r="N57" s="552"/>
      <c r="O57" s="552"/>
      <c r="P57" s="553"/>
      <c r="Q57" s="548"/>
    </row>
    <row r="58" s="507" customFormat="1" ht="30" spans="1:17">
      <c r="A58" s="220" t="str">
        <f>'[3]A1 预算指标总览'!$A$3</f>
        <v>华东一区</v>
      </c>
      <c r="B58" s="220" t="str">
        <f>'[3]A1 预算指标总览'!$B$3</f>
        <v>福建公司</v>
      </c>
      <c r="C58" s="221" t="s">
        <v>1239</v>
      </c>
      <c r="D58" s="221">
        <v>54</v>
      </c>
      <c r="E58" s="554" t="s">
        <v>1152</v>
      </c>
      <c r="F58" s="540" t="s">
        <v>1422</v>
      </c>
      <c r="G58" s="540" t="s">
        <v>1423</v>
      </c>
      <c r="H58" s="540" t="s">
        <v>1424</v>
      </c>
      <c r="I58" s="540"/>
      <c r="J58" s="540"/>
      <c r="K58" s="540" t="s">
        <v>1422</v>
      </c>
      <c r="L58" s="540" t="s">
        <v>1423</v>
      </c>
      <c r="M58" s="540" t="s">
        <v>1424</v>
      </c>
      <c r="N58" s="540"/>
      <c r="O58" s="540"/>
      <c r="P58" s="528" t="s">
        <v>1136</v>
      </c>
      <c r="Q58" s="548"/>
    </row>
    <row r="59" s="507" customFormat="1" ht="15" spans="1:17">
      <c r="A59" s="522" t="str">
        <f>'[3]A1 预算指标总览'!$A$3</f>
        <v>华东一区</v>
      </c>
      <c r="B59" s="522" t="str">
        <f>'[3]A1 预算指标总览'!$B$3</f>
        <v>福建公司</v>
      </c>
      <c r="C59" s="221" t="s">
        <v>1239</v>
      </c>
      <c r="D59" s="221">
        <v>55</v>
      </c>
      <c r="E59" s="555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0"/>
      <c r="Q59" s="548"/>
    </row>
  </sheetData>
  <mergeCells count="17">
    <mergeCell ref="F2:J2"/>
    <mergeCell ref="K2:O2"/>
    <mergeCell ref="A2:A3"/>
    <mergeCell ref="B2:B3"/>
    <mergeCell ref="C2:C3"/>
    <mergeCell ref="D2:D3"/>
    <mergeCell ref="E2:E3"/>
    <mergeCell ref="E46:E47"/>
    <mergeCell ref="F46:F47"/>
    <mergeCell ref="G46:G47"/>
    <mergeCell ref="H46:H47"/>
    <mergeCell ref="K46:K47"/>
    <mergeCell ref="L46:L47"/>
    <mergeCell ref="M46:M47"/>
    <mergeCell ref="P2:P3"/>
    <mergeCell ref="P46:P47"/>
    <mergeCell ref="Q48:Q59"/>
  </mergeCells>
  <conditionalFormatting sqref="F5">
    <cfRule type="cellIs" dxfId="0" priority="255" operator="lessThan">
      <formula>0</formula>
    </cfRule>
  </conditionalFormatting>
  <conditionalFormatting sqref="G5">
    <cfRule type="cellIs" dxfId="0" priority="245" operator="lessThan">
      <formula>0</formula>
    </cfRule>
  </conditionalFormatting>
  <conditionalFormatting sqref="H5:J5">
    <cfRule type="cellIs" dxfId="0" priority="235" operator="lessThan">
      <formula>0</formula>
    </cfRule>
  </conditionalFormatting>
  <conditionalFormatting sqref="K5">
    <cfRule type="cellIs" dxfId="0" priority="127" operator="lessThan">
      <formula>0</formula>
    </cfRule>
  </conditionalFormatting>
  <conditionalFormatting sqref="L5">
    <cfRule type="cellIs" dxfId="0" priority="117" operator="lessThan">
      <formula>0</formula>
    </cfRule>
  </conditionalFormatting>
  <conditionalFormatting sqref="M5:O5">
    <cfRule type="cellIs" dxfId="0" priority="107" operator="lessThan">
      <formula>0</formula>
    </cfRule>
  </conditionalFormatting>
  <conditionalFormatting sqref="F6">
    <cfRule type="cellIs" dxfId="0" priority="254" operator="lessThan">
      <formula>0</formula>
    </cfRule>
  </conditionalFormatting>
  <conditionalFormatting sqref="G6">
    <cfRule type="cellIs" dxfId="0" priority="244" operator="lessThan">
      <formula>0</formula>
    </cfRule>
  </conditionalFormatting>
  <conditionalFormatting sqref="H6:J6">
    <cfRule type="cellIs" dxfId="0" priority="234" operator="lessThan">
      <formula>0</formula>
    </cfRule>
  </conditionalFormatting>
  <conditionalFormatting sqref="K6">
    <cfRule type="cellIs" dxfId="0" priority="126" operator="lessThan">
      <formula>0</formula>
    </cfRule>
  </conditionalFormatting>
  <conditionalFormatting sqref="L6">
    <cfRule type="cellIs" dxfId="0" priority="116" operator="lessThan">
      <formula>0</formula>
    </cfRule>
  </conditionalFormatting>
  <conditionalFormatting sqref="M6:O6">
    <cfRule type="cellIs" dxfId="0" priority="106" operator="lessThan">
      <formula>0</formula>
    </cfRule>
  </conditionalFormatting>
  <conditionalFormatting sqref="F7">
    <cfRule type="cellIs" dxfId="0" priority="253" operator="lessThan">
      <formula>0</formula>
    </cfRule>
  </conditionalFormatting>
  <conditionalFormatting sqref="G7">
    <cfRule type="cellIs" dxfId="0" priority="243" operator="lessThan">
      <formula>0</formula>
    </cfRule>
  </conditionalFormatting>
  <conditionalFormatting sqref="H7:J7">
    <cfRule type="cellIs" dxfId="0" priority="233" operator="lessThan">
      <formula>0</formula>
    </cfRule>
  </conditionalFormatting>
  <conditionalFormatting sqref="K7">
    <cfRule type="cellIs" dxfId="0" priority="125" operator="lessThan">
      <formula>0</formula>
    </cfRule>
  </conditionalFormatting>
  <conditionalFormatting sqref="L7">
    <cfRule type="cellIs" dxfId="0" priority="115" operator="lessThan">
      <formula>0</formula>
    </cfRule>
  </conditionalFormatting>
  <conditionalFormatting sqref="M7:O7">
    <cfRule type="cellIs" dxfId="0" priority="105" operator="lessThan">
      <formula>0</formula>
    </cfRule>
  </conditionalFormatting>
  <conditionalFormatting sqref="F8">
    <cfRule type="cellIs" dxfId="0" priority="252" operator="lessThan">
      <formula>0</formula>
    </cfRule>
  </conditionalFormatting>
  <conditionalFormatting sqref="G8">
    <cfRule type="cellIs" dxfId="0" priority="242" operator="lessThan">
      <formula>0</formula>
    </cfRule>
  </conditionalFormatting>
  <conditionalFormatting sqref="H8:J8">
    <cfRule type="cellIs" dxfId="0" priority="232" operator="lessThan">
      <formula>0</formula>
    </cfRule>
  </conditionalFormatting>
  <conditionalFormatting sqref="K8">
    <cfRule type="cellIs" dxfId="0" priority="124" operator="lessThan">
      <formula>0</formula>
    </cfRule>
  </conditionalFormatting>
  <conditionalFormatting sqref="L8">
    <cfRule type="cellIs" dxfId="0" priority="114" operator="lessThan">
      <formula>0</formula>
    </cfRule>
  </conditionalFormatting>
  <conditionalFormatting sqref="M8:O8">
    <cfRule type="cellIs" dxfId="0" priority="104" operator="lessThan">
      <formula>0</formula>
    </cfRule>
  </conditionalFormatting>
  <conditionalFormatting sqref="F9">
    <cfRule type="cellIs" dxfId="0" priority="251" operator="lessThan">
      <formula>0</formula>
    </cfRule>
  </conditionalFormatting>
  <conditionalFormatting sqref="G9">
    <cfRule type="cellIs" dxfId="0" priority="241" operator="lessThan">
      <formula>0</formula>
    </cfRule>
  </conditionalFormatting>
  <conditionalFormatting sqref="H9:J9">
    <cfRule type="cellIs" dxfId="0" priority="231" operator="lessThan">
      <formula>0</formula>
    </cfRule>
  </conditionalFormatting>
  <conditionalFormatting sqref="K9">
    <cfRule type="cellIs" dxfId="0" priority="123" operator="lessThan">
      <formula>0</formula>
    </cfRule>
  </conditionalFormatting>
  <conditionalFormatting sqref="L9">
    <cfRule type="cellIs" dxfId="0" priority="113" operator="lessThan">
      <formula>0</formula>
    </cfRule>
  </conditionalFormatting>
  <conditionalFormatting sqref="M9:O9">
    <cfRule type="cellIs" dxfId="0" priority="103" operator="lessThan">
      <formula>0</formula>
    </cfRule>
  </conditionalFormatting>
  <conditionalFormatting sqref="F10">
    <cfRule type="cellIs" dxfId="0" priority="250" operator="lessThan">
      <formula>0</formula>
    </cfRule>
  </conditionalFormatting>
  <conditionalFormatting sqref="G10">
    <cfRule type="cellIs" dxfId="0" priority="240" operator="lessThan">
      <formula>0</formula>
    </cfRule>
  </conditionalFormatting>
  <conditionalFormatting sqref="H10:J10">
    <cfRule type="cellIs" dxfId="0" priority="230" operator="lessThan">
      <formula>0</formula>
    </cfRule>
  </conditionalFormatting>
  <conditionalFormatting sqref="K10">
    <cfRule type="cellIs" dxfId="0" priority="122" operator="lessThan">
      <formula>0</formula>
    </cfRule>
  </conditionalFormatting>
  <conditionalFormatting sqref="L10">
    <cfRule type="cellIs" dxfId="0" priority="112" operator="lessThan">
      <formula>0</formula>
    </cfRule>
  </conditionalFormatting>
  <conditionalFormatting sqref="M10:O10">
    <cfRule type="cellIs" dxfId="0" priority="102" operator="lessThan">
      <formula>0</formula>
    </cfRule>
  </conditionalFormatting>
  <conditionalFormatting sqref="F11">
    <cfRule type="cellIs" dxfId="0" priority="249" operator="lessThan">
      <formula>0</formula>
    </cfRule>
  </conditionalFormatting>
  <conditionalFormatting sqref="G11">
    <cfRule type="cellIs" dxfId="0" priority="239" operator="lessThan">
      <formula>0</formula>
    </cfRule>
  </conditionalFormatting>
  <conditionalFormatting sqref="H11:J11">
    <cfRule type="cellIs" dxfId="0" priority="229" operator="lessThan">
      <formula>0</formula>
    </cfRule>
  </conditionalFormatting>
  <conditionalFormatting sqref="K11">
    <cfRule type="cellIs" dxfId="0" priority="121" operator="lessThan">
      <formula>0</formula>
    </cfRule>
  </conditionalFormatting>
  <conditionalFormatting sqref="L11">
    <cfRule type="cellIs" dxfId="0" priority="111" operator="lessThan">
      <formula>0</formula>
    </cfRule>
  </conditionalFormatting>
  <conditionalFormatting sqref="M11:O11">
    <cfRule type="cellIs" dxfId="0" priority="101" operator="lessThan">
      <formula>0</formula>
    </cfRule>
  </conditionalFormatting>
  <conditionalFormatting sqref="F12">
    <cfRule type="cellIs" dxfId="0" priority="248" operator="lessThan">
      <formula>0</formula>
    </cfRule>
  </conditionalFormatting>
  <conditionalFormatting sqref="G12">
    <cfRule type="cellIs" dxfId="0" priority="238" operator="lessThan">
      <formula>0</formula>
    </cfRule>
  </conditionalFormatting>
  <conditionalFormatting sqref="H12:J12">
    <cfRule type="cellIs" dxfId="0" priority="228" operator="lessThan">
      <formula>0</formula>
    </cfRule>
  </conditionalFormatting>
  <conditionalFormatting sqref="K12">
    <cfRule type="cellIs" dxfId="0" priority="120" operator="lessThan">
      <formula>0</formula>
    </cfRule>
  </conditionalFormatting>
  <conditionalFormatting sqref="L12">
    <cfRule type="cellIs" dxfId="0" priority="110" operator="lessThan">
      <formula>0</formula>
    </cfRule>
  </conditionalFormatting>
  <conditionalFormatting sqref="M12:O12">
    <cfRule type="cellIs" dxfId="0" priority="100" operator="lessThan">
      <formula>0</formula>
    </cfRule>
  </conditionalFormatting>
  <conditionalFormatting sqref="F13">
    <cfRule type="cellIs" dxfId="0" priority="247" operator="lessThan">
      <formula>0</formula>
    </cfRule>
  </conditionalFormatting>
  <conditionalFormatting sqref="G13">
    <cfRule type="cellIs" dxfId="0" priority="237" operator="lessThan">
      <formula>0</formula>
    </cfRule>
  </conditionalFormatting>
  <conditionalFormatting sqref="H13:J13">
    <cfRule type="cellIs" dxfId="0" priority="227" operator="lessThan">
      <formula>0</formula>
    </cfRule>
  </conditionalFormatting>
  <conditionalFormatting sqref="K13">
    <cfRule type="cellIs" dxfId="0" priority="119" operator="lessThan">
      <formula>0</formula>
    </cfRule>
  </conditionalFormatting>
  <conditionalFormatting sqref="L13">
    <cfRule type="cellIs" dxfId="0" priority="109" operator="lessThan">
      <formula>0</formula>
    </cfRule>
  </conditionalFormatting>
  <conditionalFormatting sqref="M13:O13">
    <cfRule type="cellIs" dxfId="0" priority="99" operator="lessThan">
      <formula>0</formula>
    </cfRule>
  </conditionalFormatting>
  <conditionalFormatting sqref="F14">
    <cfRule type="cellIs" dxfId="0" priority="246" operator="lessThan">
      <formula>0</formula>
    </cfRule>
  </conditionalFormatting>
  <conditionalFormatting sqref="G14">
    <cfRule type="cellIs" dxfId="0" priority="236" operator="lessThan">
      <formula>0</formula>
    </cfRule>
  </conditionalFormatting>
  <conditionalFormatting sqref="H14:J14">
    <cfRule type="cellIs" dxfId="0" priority="226" operator="lessThan">
      <formula>0</formula>
    </cfRule>
  </conditionalFormatting>
  <conditionalFormatting sqref="K14">
    <cfRule type="cellIs" dxfId="0" priority="118" operator="lessThan">
      <formula>0</formula>
    </cfRule>
  </conditionalFormatting>
  <conditionalFormatting sqref="L14">
    <cfRule type="cellIs" dxfId="0" priority="108" operator="lessThan">
      <formula>0</formula>
    </cfRule>
  </conditionalFormatting>
  <conditionalFormatting sqref="M14:O14">
    <cfRule type="cellIs" dxfId="0" priority="98" operator="lessThan">
      <formula>0</formula>
    </cfRule>
  </conditionalFormatting>
  <conditionalFormatting sqref="F16">
    <cfRule type="cellIs" dxfId="0" priority="225" operator="lessThan">
      <formula>0</formula>
    </cfRule>
  </conditionalFormatting>
  <conditionalFormatting sqref="K16">
    <cfRule type="cellIs" dxfId="0" priority="97" operator="lessThan">
      <formula>0</formula>
    </cfRule>
  </conditionalFormatting>
  <conditionalFormatting sqref="F17">
    <cfRule type="cellIs" dxfId="0" priority="224" operator="lessThan">
      <formula>0</formula>
    </cfRule>
  </conditionalFormatting>
  <conditionalFormatting sqref="K17">
    <cfRule type="cellIs" dxfId="0" priority="96" operator="lessThan">
      <formula>0</formula>
    </cfRule>
  </conditionalFormatting>
  <conditionalFormatting sqref="F19">
    <cfRule type="cellIs" dxfId="0" priority="223" operator="lessThan">
      <formula>0</formula>
    </cfRule>
  </conditionalFormatting>
  <conditionalFormatting sqref="G19">
    <cfRule type="cellIs" dxfId="0" priority="192" operator="lessThan">
      <formula>0</formula>
    </cfRule>
  </conditionalFormatting>
  <conditionalFormatting sqref="H19:J19">
    <cfRule type="cellIs" dxfId="0" priority="172" operator="lessThan">
      <formula>0</formula>
    </cfRule>
  </conditionalFormatting>
  <conditionalFormatting sqref="K19">
    <cfRule type="cellIs" dxfId="0" priority="95" operator="lessThan">
      <formula>0</formula>
    </cfRule>
  </conditionalFormatting>
  <conditionalFormatting sqref="L19">
    <cfRule type="cellIs" dxfId="0" priority="64" operator="lessThan">
      <formula>0</formula>
    </cfRule>
  </conditionalFormatting>
  <conditionalFormatting sqref="M19:O19">
    <cfRule type="cellIs" dxfId="0" priority="44" operator="lessThan">
      <formula>0</formula>
    </cfRule>
  </conditionalFormatting>
  <conditionalFormatting sqref="F20">
    <cfRule type="cellIs" dxfId="0" priority="222" operator="lessThan">
      <formula>0</formula>
    </cfRule>
  </conditionalFormatting>
  <conditionalFormatting sqref="G20">
    <cfRule type="cellIs" dxfId="0" priority="191" operator="lessThan">
      <formula>0</formula>
    </cfRule>
  </conditionalFormatting>
  <conditionalFormatting sqref="H20:J20">
    <cfRule type="cellIs" dxfId="0" priority="171" operator="lessThan">
      <formula>0</formula>
    </cfRule>
  </conditionalFormatting>
  <conditionalFormatting sqref="K20">
    <cfRule type="cellIs" dxfId="0" priority="94" operator="lessThan">
      <formula>0</formula>
    </cfRule>
  </conditionalFormatting>
  <conditionalFormatting sqref="L20">
    <cfRule type="cellIs" dxfId="0" priority="63" operator="lessThan">
      <formula>0</formula>
    </cfRule>
  </conditionalFormatting>
  <conditionalFormatting sqref="M20:O20">
    <cfRule type="cellIs" dxfId="0" priority="43" operator="lessThan">
      <formula>0</formula>
    </cfRule>
  </conditionalFormatting>
  <conditionalFormatting sqref="F21">
    <cfRule type="cellIs" dxfId="0" priority="221" operator="lessThan">
      <formula>0</formula>
    </cfRule>
  </conditionalFormatting>
  <conditionalFormatting sqref="G21">
    <cfRule type="cellIs" dxfId="0" priority="190" operator="lessThan">
      <formula>0</formula>
    </cfRule>
  </conditionalFormatting>
  <conditionalFormatting sqref="H21:J21">
    <cfRule type="cellIs" dxfId="0" priority="170" operator="lessThan">
      <formula>0</formula>
    </cfRule>
  </conditionalFormatting>
  <conditionalFormatting sqref="K21">
    <cfRule type="cellIs" dxfId="0" priority="93" operator="lessThan">
      <formula>0</formula>
    </cfRule>
  </conditionalFormatting>
  <conditionalFormatting sqref="L21">
    <cfRule type="cellIs" dxfId="0" priority="62" operator="lessThan">
      <formula>0</formula>
    </cfRule>
  </conditionalFormatting>
  <conditionalFormatting sqref="M21:O21">
    <cfRule type="cellIs" dxfId="0" priority="42" operator="lessThan">
      <formula>0</formula>
    </cfRule>
  </conditionalFormatting>
  <conditionalFormatting sqref="F22">
    <cfRule type="cellIs" dxfId="0" priority="220" operator="lessThan">
      <formula>0</formula>
    </cfRule>
  </conditionalFormatting>
  <conditionalFormatting sqref="G22">
    <cfRule type="cellIs" dxfId="0" priority="189" operator="lessThan">
      <formula>0</formula>
    </cfRule>
  </conditionalFormatting>
  <conditionalFormatting sqref="H22:J22">
    <cfRule type="cellIs" dxfId="0" priority="169" operator="lessThan">
      <formula>0</formula>
    </cfRule>
  </conditionalFormatting>
  <conditionalFormatting sqref="K22">
    <cfRule type="cellIs" dxfId="0" priority="92" operator="lessThan">
      <formula>0</formula>
    </cfRule>
  </conditionalFormatting>
  <conditionalFormatting sqref="L22">
    <cfRule type="cellIs" dxfId="0" priority="61" operator="lessThan">
      <formula>0</formula>
    </cfRule>
  </conditionalFormatting>
  <conditionalFormatting sqref="M22:O22">
    <cfRule type="cellIs" dxfId="0" priority="41" operator="lessThan">
      <formula>0</formula>
    </cfRule>
  </conditionalFormatting>
  <conditionalFormatting sqref="F23">
    <cfRule type="cellIs" dxfId="0" priority="219" operator="lessThan">
      <formula>0</formula>
    </cfRule>
  </conditionalFormatting>
  <conditionalFormatting sqref="G23">
    <cfRule type="cellIs" dxfId="0" priority="188" operator="lessThan">
      <formula>0</formula>
    </cfRule>
  </conditionalFormatting>
  <conditionalFormatting sqref="H23:J23">
    <cfRule type="cellIs" dxfId="0" priority="168" operator="lessThan">
      <formula>0</formula>
    </cfRule>
  </conditionalFormatting>
  <conditionalFormatting sqref="K23">
    <cfRule type="cellIs" dxfId="0" priority="91" operator="lessThan">
      <formula>0</formula>
    </cfRule>
  </conditionalFormatting>
  <conditionalFormatting sqref="L23">
    <cfRule type="cellIs" dxfId="0" priority="60" operator="lessThan">
      <formula>0</formula>
    </cfRule>
  </conditionalFormatting>
  <conditionalFormatting sqref="M23:O23">
    <cfRule type="cellIs" dxfId="0" priority="40" operator="lessThan">
      <formula>0</formula>
    </cfRule>
  </conditionalFormatting>
  <conditionalFormatting sqref="F24">
    <cfRule type="cellIs" dxfId="0" priority="218" operator="lessThan">
      <formula>0</formula>
    </cfRule>
  </conditionalFormatting>
  <conditionalFormatting sqref="G24">
    <cfRule type="cellIs" dxfId="0" priority="187" operator="lessThan">
      <formula>0</formula>
    </cfRule>
  </conditionalFormatting>
  <conditionalFormatting sqref="H24:J24">
    <cfRule type="cellIs" dxfId="0" priority="167" operator="lessThan">
      <formula>0</formula>
    </cfRule>
  </conditionalFormatting>
  <conditionalFormatting sqref="K24">
    <cfRule type="cellIs" dxfId="0" priority="90" operator="lessThan">
      <formula>0</formula>
    </cfRule>
  </conditionalFormatting>
  <conditionalFormatting sqref="L24">
    <cfRule type="cellIs" dxfId="0" priority="59" operator="lessThan">
      <formula>0</formula>
    </cfRule>
  </conditionalFormatting>
  <conditionalFormatting sqref="M24:O24">
    <cfRule type="cellIs" dxfId="0" priority="39" operator="lessThan">
      <formula>0</formula>
    </cfRule>
  </conditionalFormatting>
  <conditionalFormatting sqref="F25">
    <cfRule type="cellIs" dxfId="0" priority="217" operator="lessThan">
      <formula>0</formula>
    </cfRule>
  </conditionalFormatting>
  <conditionalFormatting sqref="G25">
    <cfRule type="cellIs" dxfId="0" priority="186" operator="lessThan">
      <formula>0</formula>
    </cfRule>
  </conditionalFormatting>
  <conditionalFormatting sqref="H25:J25">
    <cfRule type="cellIs" dxfId="0" priority="166" operator="lessThan">
      <formula>0</formula>
    </cfRule>
  </conditionalFormatting>
  <conditionalFormatting sqref="K25">
    <cfRule type="cellIs" dxfId="0" priority="89" operator="lessThan">
      <formula>0</formula>
    </cfRule>
  </conditionalFormatting>
  <conditionalFormatting sqref="L25">
    <cfRule type="cellIs" dxfId="0" priority="58" operator="lessThan">
      <formula>0</formula>
    </cfRule>
  </conditionalFormatting>
  <conditionalFormatting sqref="M25:O25">
    <cfRule type="cellIs" dxfId="0" priority="38" operator="lessThan">
      <formula>0</formula>
    </cfRule>
  </conditionalFormatting>
  <conditionalFormatting sqref="F26">
    <cfRule type="cellIs" dxfId="0" priority="216" operator="lessThan">
      <formula>0</formula>
    </cfRule>
  </conditionalFormatting>
  <conditionalFormatting sqref="G26">
    <cfRule type="cellIs" dxfId="0" priority="185" operator="lessThan">
      <formula>0</formula>
    </cfRule>
  </conditionalFormatting>
  <conditionalFormatting sqref="H26:J26">
    <cfRule type="cellIs" dxfId="0" priority="165" operator="lessThan">
      <formula>0</formula>
    </cfRule>
  </conditionalFormatting>
  <conditionalFormatting sqref="K26">
    <cfRule type="cellIs" dxfId="0" priority="88" operator="lessThan">
      <formula>0</formula>
    </cfRule>
  </conditionalFormatting>
  <conditionalFormatting sqref="L26">
    <cfRule type="cellIs" dxfId="0" priority="57" operator="lessThan">
      <formula>0</formula>
    </cfRule>
  </conditionalFormatting>
  <conditionalFormatting sqref="M26:O26">
    <cfRule type="cellIs" dxfId="0" priority="37" operator="lessThan">
      <formula>0</formula>
    </cfRule>
  </conditionalFormatting>
  <conditionalFormatting sqref="F27">
    <cfRule type="cellIs" dxfId="0" priority="215" operator="lessThan">
      <formula>0</formula>
    </cfRule>
  </conditionalFormatting>
  <conditionalFormatting sqref="G27">
    <cfRule type="cellIs" dxfId="0" priority="184" operator="lessThan">
      <formula>0</formula>
    </cfRule>
  </conditionalFormatting>
  <conditionalFormatting sqref="H27:J27">
    <cfRule type="cellIs" dxfId="0" priority="164" operator="lessThan">
      <formula>0</formula>
    </cfRule>
  </conditionalFormatting>
  <conditionalFormatting sqref="K27">
    <cfRule type="cellIs" dxfId="0" priority="87" operator="lessThan">
      <formula>0</formula>
    </cfRule>
  </conditionalFormatting>
  <conditionalFormatting sqref="L27">
    <cfRule type="cellIs" dxfId="0" priority="56" operator="lessThan">
      <formula>0</formula>
    </cfRule>
  </conditionalFormatting>
  <conditionalFormatting sqref="M27:O27">
    <cfRule type="cellIs" dxfId="0" priority="36" operator="lessThan">
      <formula>0</formula>
    </cfRule>
  </conditionalFormatting>
  <conditionalFormatting sqref="F28">
    <cfRule type="cellIs" dxfId="0" priority="214" operator="lessThan">
      <formula>0</formula>
    </cfRule>
  </conditionalFormatting>
  <conditionalFormatting sqref="G28">
    <cfRule type="cellIs" dxfId="0" priority="183" operator="lessThan">
      <formula>0</formula>
    </cfRule>
  </conditionalFormatting>
  <conditionalFormatting sqref="H28:J28">
    <cfRule type="cellIs" dxfId="0" priority="163" operator="lessThan">
      <formula>0</formula>
    </cfRule>
  </conditionalFormatting>
  <conditionalFormatting sqref="K28">
    <cfRule type="cellIs" dxfId="0" priority="86" operator="lessThan">
      <formula>0</formula>
    </cfRule>
  </conditionalFormatting>
  <conditionalFormatting sqref="L28">
    <cfRule type="cellIs" dxfId="0" priority="55" operator="lessThan">
      <formula>0</formula>
    </cfRule>
  </conditionalFormatting>
  <conditionalFormatting sqref="M28:O28">
    <cfRule type="cellIs" dxfId="0" priority="35" operator="lessThan">
      <formula>0</formula>
    </cfRule>
  </conditionalFormatting>
  <conditionalFormatting sqref="F29">
    <cfRule type="cellIs" dxfId="0" priority="213" operator="lessThan">
      <formula>0</formula>
    </cfRule>
  </conditionalFormatting>
  <conditionalFormatting sqref="G29">
    <cfRule type="cellIs" dxfId="0" priority="182" operator="lessThan">
      <formula>0</formula>
    </cfRule>
  </conditionalFormatting>
  <conditionalFormatting sqref="H29:J29">
    <cfRule type="cellIs" dxfId="0" priority="162" operator="lessThan">
      <formula>0</formula>
    </cfRule>
  </conditionalFormatting>
  <conditionalFormatting sqref="K29">
    <cfRule type="cellIs" dxfId="0" priority="85" operator="lessThan">
      <formula>0</formula>
    </cfRule>
  </conditionalFormatting>
  <conditionalFormatting sqref="L29">
    <cfRule type="cellIs" dxfId="0" priority="54" operator="lessThan">
      <formula>0</formula>
    </cfRule>
  </conditionalFormatting>
  <conditionalFormatting sqref="M29:O29">
    <cfRule type="cellIs" dxfId="0" priority="34" operator="lessThan">
      <formula>0</formula>
    </cfRule>
  </conditionalFormatting>
  <conditionalFormatting sqref="F30">
    <cfRule type="cellIs" dxfId="0" priority="212" operator="lessThan">
      <formula>0</formula>
    </cfRule>
  </conditionalFormatting>
  <conditionalFormatting sqref="G30">
    <cfRule type="cellIs" dxfId="0" priority="181" operator="lessThan">
      <formula>0</formula>
    </cfRule>
  </conditionalFormatting>
  <conditionalFormatting sqref="H30:J30">
    <cfRule type="cellIs" dxfId="0" priority="161" operator="lessThan">
      <formula>0</formula>
    </cfRule>
  </conditionalFormatting>
  <conditionalFormatting sqref="K30">
    <cfRule type="cellIs" dxfId="0" priority="84" operator="lessThan">
      <formula>0</formula>
    </cfRule>
  </conditionalFormatting>
  <conditionalFormatting sqref="L30">
    <cfRule type="cellIs" dxfId="0" priority="53" operator="lessThan">
      <formula>0</formula>
    </cfRule>
  </conditionalFormatting>
  <conditionalFormatting sqref="M30:O30">
    <cfRule type="cellIs" dxfId="0" priority="33" operator="lessThan">
      <formula>0</formula>
    </cfRule>
  </conditionalFormatting>
  <conditionalFormatting sqref="F31">
    <cfRule type="cellIs" dxfId="0" priority="211" operator="lessThan">
      <formula>0</formula>
    </cfRule>
  </conditionalFormatting>
  <conditionalFormatting sqref="G31">
    <cfRule type="cellIs" dxfId="0" priority="180" operator="lessThan">
      <formula>0</formula>
    </cfRule>
  </conditionalFormatting>
  <conditionalFormatting sqref="H31:J31">
    <cfRule type="cellIs" dxfId="0" priority="160" operator="lessThan">
      <formula>0</formula>
    </cfRule>
  </conditionalFormatting>
  <conditionalFormatting sqref="K31">
    <cfRule type="cellIs" dxfId="0" priority="83" operator="lessThan">
      <formula>0</formula>
    </cfRule>
  </conditionalFormatting>
  <conditionalFormatting sqref="L31">
    <cfRule type="cellIs" dxfId="0" priority="52" operator="lessThan">
      <formula>0</formula>
    </cfRule>
  </conditionalFormatting>
  <conditionalFormatting sqref="M31:O31">
    <cfRule type="cellIs" dxfId="0" priority="32" operator="lessThan">
      <formula>0</formula>
    </cfRule>
  </conditionalFormatting>
  <conditionalFormatting sqref="F32">
    <cfRule type="cellIs" dxfId="0" priority="210" operator="lessThan">
      <formula>0</formula>
    </cfRule>
  </conditionalFormatting>
  <conditionalFormatting sqref="G32">
    <cfRule type="cellIs" dxfId="0" priority="179" operator="lessThan">
      <formula>0</formula>
    </cfRule>
  </conditionalFormatting>
  <conditionalFormatting sqref="H32:J32">
    <cfRule type="cellIs" dxfId="0" priority="159" operator="lessThan">
      <formula>0</formula>
    </cfRule>
  </conditionalFormatting>
  <conditionalFormatting sqref="K32">
    <cfRule type="cellIs" dxfId="0" priority="82" operator="lessThan">
      <formula>0</formula>
    </cfRule>
  </conditionalFormatting>
  <conditionalFormatting sqref="L32">
    <cfRule type="cellIs" dxfId="0" priority="51" operator="lessThan">
      <formula>0</formula>
    </cfRule>
  </conditionalFormatting>
  <conditionalFormatting sqref="M32:O32">
    <cfRule type="cellIs" dxfId="0" priority="31" operator="lessThan">
      <formula>0</formula>
    </cfRule>
  </conditionalFormatting>
  <conditionalFormatting sqref="F33">
    <cfRule type="cellIs" dxfId="0" priority="209" operator="lessThan">
      <formula>0</formula>
    </cfRule>
  </conditionalFormatting>
  <conditionalFormatting sqref="G33">
    <cfRule type="cellIs" dxfId="0" priority="178" operator="lessThan">
      <formula>0</formula>
    </cfRule>
  </conditionalFormatting>
  <conditionalFormatting sqref="H33:J33">
    <cfRule type="cellIs" dxfId="0" priority="158" operator="lessThan">
      <formula>0</formula>
    </cfRule>
  </conditionalFormatting>
  <conditionalFormatting sqref="K33">
    <cfRule type="cellIs" dxfId="0" priority="81" operator="lessThan">
      <formula>0</formula>
    </cfRule>
  </conditionalFormatting>
  <conditionalFormatting sqref="L33">
    <cfRule type="cellIs" dxfId="0" priority="50" operator="lessThan">
      <formula>0</formula>
    </cfRule>
  </conditionalFormatting>
  <conditionalFormatting sqref="M33:O33">
    <cfRule type="cellIs" dxfId="0" priority="30" operator="lessThan">
      <formula>0</formula>
    </cfRule>
  </conditionalFormatting>
  <conditionalFormatting sqref="F34">
    <cfRule type="cellIs" dxfId="0" priority="208" operator="lessThan">
      <formula>0</formula>
    </cfRule>
  </conditionalFormatting>
  <conditionalFormatting sqref="G34">
    <cfRule type="cellIs" dxfId="0" priority="177" operator="lessThan">
      <formula>0</formula>
    </cfRule>
  </conditionalFormatting>
  <conditionalFormatting sqref="H34:J34">
    <cfRule type="cellIs" dxfId="0" priority="157" operator="lessThan">
      <formula>0</formula>
    </cfRule>
  </conditionalFormatting>
  <conditionalFormatting sqref="K34">
    <cfRule type="cellIs" dxfId="0" priority="80" operator="lessThan">
      <formula>0</formula>
    </cfRule>
  </conditionalFormatting>
  <conditionalFormatting sqref="L34">
    <cfRule type="cellIs" dxfId="0" priority="49" operator="lessThan">
      <formula>0</formula>
    </cfRule>
  </conditionalFormatting>
  <conditionalFormatting sqref="M34:O34">
    <cfRule type="cellIs" dxfId="0" priority="29" operator="lessThan">
      <formula>0</formula>
    </cfRule>
  </conditionalFormatting>
  <conditionalFormatting sqref="F35">
    <cfRule type="cellIs" dxfId="0" priority="207" operator="lessThan">
      <formula>0</formula>
    </cfRule>
  </conditionalFormatting>
  <conditionalFormatting sqref="G35">
    <cfRule type="cellIs" dxfId="0" priority="176" operator="lessThan">
      <formula>0</formula>
    </cfRule>
  </conditionalFormatting>
  <conditionalFormatting sqref="H35:J35">
    <cfRule type="cellIs" dxfId="0" priority="156" operator="lessThan">
      <formula>0</formula>
    </cfRule>
  </conditionalFormatting>
  <conditionalFormatting sqref="K35">
    <cfRule type="cellIs" dxfId="0" priority="79" operator="lessThan">
      <formula>0</formula>
    </cfRule>
  </conditionalFormatting>
  <conditionalFormatting sqref="L35">
    <cfRule type="cellIs" dxfId="0" priority="48" operator="lessThan">
      <formula>0</formula>
    </cfRule>
  </conditionalFormatting>
  <conditionalFormatting sqref="M35:O35">
    <cfRule type="cellIs" dxfId="0" priority="28" operator="lessThan">
      <formula>0</formula>
    </cfRule>
  </conditionalFormatting>
  <conditionalFormatting sqref="F36">
    <cfRule type="cellIs" dxfId="0" priority="206" operator="lessThan">
      <formula>0</formula>
    </cfRule>
  </conditionalFormatting>
  <conditionalFormatting sqref="G36">
    <cfRule type="cellIs" dxfId="0" priority="175" operator="lessThan">
      <formula>0</formula>
    </cfRule>
  </conditionalFormatting>
  <conditionalFormatting sqref="H36:J36">
    <cfRule type="cellIs" dxfId="0" priority="155" operator="lessThan">
      <formula>0</formula>
    </cfRule>
  </conditionalFormatting>
  <conditionalFormatting sqref="K36">
    <cfRule type="cellIs" dxfId="0" priority="78" operator="lessThan">
      <formula>0</formula>
    </cfRule>
  </conditionalFormatting>
  <conditionalFormatting sqref="L36">
    <cfRule type="cellIs" dxfId="0" priority="47" operator="lessThan">
      <formula>0</formula>
    </cfRule>
  </conditionalFormatting>
  <conditionalFormatting sqref="M36:O36">
    <cfRule type="cellIs" dxfId="0" priority="27" operator="lessThan">
      <formula>0</formula>
    </cfRule>
  </conditionalFormatting>
  <conditionalFormatting sqref="F37">
    <cfRule type="cellIs" dxfId="0" priority="205" operator="lessThan">
      <formula>0</formula>
    </cfRule>
  </conditionalFormatting>
  <conditionalFormatting sqref="G37">
    <cfRule type="cellIs" dxfId="0" priority="174" operator="lessThan">
      <formula>0</formula>
    </cfRule>
  </conditionalFormatting>
  <conditionalFormatting sqref="H37:J37">
    <cfRule type="cellIs" dxfId="0" priority="154" operator="lessThan">
      <formula>0</formula>
    </cfRule>
  </conditionalFormatting>
  <conditionalFormatting sqref="K37">
    <cfRule type="cellIs" dxfId="0" priority="77" operator="lessThan">
      <formula>0</formula>
    </cfRule>
  </conditionalFormatting>
  <conditionalFormatting sqref="L37">
    <cfRule type="cellIs" dxfId="0" priority="46" operator="lessThan">
      <formula>0</formula>
    </cfRule>
  </conditionalFormatting>
  <conditionalFormatting sqref="M37:O37">
    <cfRule type="cellIs" dxfId="0" priority="26" operator="lessThan">
      <formula>0</formula>
    </cfRule>
  </conditionalFormatting>
  <conditionalFormatting sqref="F38">
    <cfRule type="cellIs" dxfId="0" priority="204" operator="lessThan">
      <formula>0</formula>
    </cfRule>
  </conditionalFormatting>
  <conditionalFormatting sqref="G38">
    <cfRule type="cellIs" dxfId="0" priority="173" operator="lessThan">
      <formula>0</formula>
    </cfRule>
  </conditionalFormatting>
  <conditionalFormatting sqref="H38:J38">
    <cfRule type="cellIs" dxfId="0" priority="153" operator="lessThan">
      <formula>0</formula>
    </cfRule>
  </conditionalFormatting>
  <conditionalFormatting sqref="K38">
    <cfRule type="cellIs" dxfId="0" priority="76" operator="lessThan">
      <formula>0</formula>
    </cfRule>
  </conditionalFormatting>
  <conditionalFormatting sqref="L38">
    <cfRule type="cellIs" dxfId="0" priority="45" operator="lessThan">
      <formula>0</formula>
    </cfRule>
  </conditionalFormatting>
  <conditionalFormatting sqref="M38:O38">
    <cfRule type="cellIs" dxfId="0" priority="25" operator="lessThan">
      <formula>0</formula>
    </cfRule>
  </conditionalFormatting>
  <conditionalFormatting sqref="F40">
    <cfRule type="cellIs" dxfId="0" priority="203" operator="lessThan">
      <formula>0</formula>
    </cfRule>
  </conditionalFormatting>
  <conditionalFormatting sqref="G40">
    <cfRule type="cellIs" dxfId="0" priority="151" operator="lessThan">
      <formula>0</formula>
    </cfRule>
  </conditionalFormatting>
  <conditionalFormatting sqref="H40:J40">
    <cfRule type="cellIs" dxfId="0" priority="147" operator="lessThan">
      <formula>0</formula>
    </cfRule>
  </conditionalFormatting>
  <conditionalFormatting sqref="K40">
    <cfRule type="cellIs" dxfId="0" priority="75" operator="lessThan">
      <formula>0</formula>
    </cfRule>
  </conditionalFormatting>
  <conditionalFormatting sqref="L40">
    <cfRule type="cellIs" dxfId="0" priority="23" operator="lessThan">
      <formula>0</formula>
    </cfRule>
  </conditionalFormatting>
  <conditionalFormatting sqref="M40:O40">
    <cfRule type="cellIs" dxfId="0" priority="19" operator="lessThan">
      <formula>0</formula>
    </cfRule>
  </conditionalFormatting>
  <conditionalFormatting sqref="F41">
    <cfRule type="cellIs" dxfId="0" priority="202" operator="lessThan">
      <formula>0</formula>
    </cfRule>
  </conditionalFormatting>
  <conditionalFormatting sqref="G41">
    <cfRule type="cellIs" dxfId="0" priority="150" operator="lessThan">
      <formula>0</formula>
    </cfRule>
  </conditionalFormatting>
  <conditionalFormatting sqref="H41:J41">
    <cfRule type="cellIs" dxfId="0" priority="146" operator="lessThan">
      <formula>0</formula>
    </cfRule>
  </conditionalFormatting>
  <conditionalFormatting sqref="K41">
    <cfRule type="cellIs" dxfId="0" priority="74" operator="lessThan">
      <formula>0</formula>
    </cfRule>
  </conditionalFormatting>
  <conditionalFormatting sqref="L41">
    <cfRule type="cellIs" dxfId="0" priority="22" operator="lessThan">
      <formula>0</formula>
    </cfRule>
  </conditionalFormatting>
  <conditionalFormatting sqref="M41:O41">
    <cfRule type="cellIs" dxfId="0" priority="18" operator="lessThan">
      <formula>0</formula>
    </cfRule>
  </conditionalFormatting>
  <conditionalFormatting sqref="G42">
    <cfRule type="cellIs" dxfId="0" priority="152" operator="lessThan">
      <formula>0</formula>
    </cfRule>
  </conditionalFormatting>
  <conditionalFormatting sqref="H42:J42">
    <cfRule type="cellIs" dxfId="0" priority="148" operator="lessThan">
      <formula>0</formula>
    </cfRule>
  </conditionalFormatting>
  <conditionalFormatting sqref="L42">
    <cfRule type="cellIs" dxfId="0" priority="24" operator="lessThan">
      <formula>0</formula>
    </cfRule>
  </conditionalFormatting>
  <conditionalFormatting sqref="M42:O42">
    <cfRule type="cellIs" dxfId="0" priority="20" operator="lessThan">
      <formula>0</formula>
    </cfRule>
  </conditionalFormatting>
  <conditionalFormatting sqref="F43">
    <cfRule type="cellIs" dxfId="0" priority="201" operator="lessThan">
      <formula>0</formula>
    </cfRule>
  </conditionalFormatting>
  <conditionalFormatting sqref="G43">
    <cfRule type="cellIs" dxfId="0" priority="149" operator="lessThan">
      <formula>0</formula>
    </cfRule>
  </conditionalFormatting>
  <conditionalFormatting sqref="H43:J43">
    <cfRule type="cellIs" dxfId="0" priority="145" operator="lessThan">
      <formula>0</formula>
    </cfRule>
  </conditionalFormatting>
  <conditionalFormatting sqref="K43">
    <cfRule type="cellIs" dxfId="0" priority="73" operator="lessThan">
      <formula>0</formula>
    </cfRule>
  </conditionalFormatting>
  <conditionalFormatting sqref="L43">
    <cfRule type="cellIs" dxfId="0" priority="21" operator="lessThan">
      <formula>0</formula>
    </cfRule>
  </conditionalFormatting>
  <conditionalFormatting sqref="M43:O43">
    <cfRule type="cellIs" dxfId="0" priority="17" operator="lessThan">
      <formula>0</formula>
    </cfRule>
  </conditionalFormatting>
  <conditionalFormatting sqref="F48">
    <cfRule type="cellIs" dxfId="0" priority="200" operator="lessThan">
      <formula>0</formula>
    </cfRule>
  </conditionalFormatting>
  <conditionalFormatting sqref="G48">
    <cfRule type="cellIs" dxfId="0" priority="144" operator="lessThan">
      <formula>0</formula>
    </cfRule>
  </conditionalFormatting>
  <conditionalFormatting sqref="H48:J48">
    <cfRule type="cellIs" dxfId="0" priority="136" operator="lessThan">
      <formula>0</formula>
    </cfRule>
  </conditionalFormatting>
  <conditionalFormatting sqref="K48">
    <cfRule type="cellIs" dxfId="0" priority="72" operator="lessThan">
      <formula>0</formula>
    </cfRule>
  </conditionalFormatting>
  <conditionalFormatting sqref="L48">
    <cfRule type="cellIs" dxfId="0" priority="16" operator="lessThan">
      <formula>0</formula>
    </cfRule>
  </conditionalFormatting>
  <conditionalFormatting sqref="M48:O48">
    <cfRule type="cellIs" dxfId="0" priority="8" operator="lessThan">
      <formula>0</formula>
    </cfRule>
  </conditionalFormatting>
  <conditionalFormatting sqref="F49">
    <cfRule type="cellIs" dxfId="0" priority="199" operator="lessThan">
      <formula>0</formula>
    </cfRule>
  </conditionalFormatting>
  <conditionalFormatting sqref="G49">
    <cfRule type="cellIs" dxfId="0" priority="143" operator="lessThan">
      <formula>0</formula>
    </cfRule>
  </conditionalFormatting>
  <conditionalFormatting sqref="H49:J49">
    <cfRule type="cellIs" dxfId="0" priority="135" operator="lessThan">
      <formula>0</formula>
    </cfRule>
  </conditionalFormatting>
  <conditionalFormatting sqref="K49">
    <cfRule type="cellIs" dxfId="0" priority="71" operator="lessThan">
      <formula>0</formula>
    </cfRule>
  </conditionalFormatting>
  <conditionalFormatting sqref="L49">
    <cfRule type="cellIs" dxfId="0" priority="15" operator="lessThan">
      <formula>0</formula>
    </cfRule>
  </conditionalFormatting>
  <conditionalFormatting sqref="M49:O49">
    <cfRule type="cellIs" dxfId="0" priority="7" operator="lessThan">
      <formula>0</formula>
    </cfRule>
  </conditionalFormatting>
  <conditionalFormatting sqref="F50">
    <cfRule type="cellIs" dxfId="0" priority="198" operator="lessThan">
      <formula>0</formula>
    </cfRule>
  </conditionalFormatting>
  <conditionalFormatting sqref="G50">
    <cfRule type="cellIs" dxfId="0" priority="142" operator="lessThan">
      <formula>0</formula>
    </cfRule>
  </conditionalFormatting>
  <conditionalFormatting sqref="H50:J50">
    <cfRule type="cellIs" dxfId="0" priority="134" operator="lessThan">
      <formula>0</formula>
    </cfRule>
  </conditionalFormatting>
  <conditionalFormatting sqref="K50">
    <cfRule type="cellIs" dxfId="0" priority="70" operator="lessThan">
      <formula>0</formula>
    </cfRule>
  </conditionalFormatting>
  <conditionalFormatting sqref="L50">
    <cfRule type="cellIs" dxfId="0" priority="14" operator="lessThan">
      <formula>0</formula>
    </cfRule>
  </conditionalFormatting>
  <conditionalFormatting sqref="M50:O50">
    <cfRule type="cellIs" dxfId="0" priority="6" operator="lessThan">
      <formula>0</formula>
    </cfRule>
  </conditionalFormatting>
  <conditionalFormatting sqref="F51">
    <cfRule type="cellIs" dxfId="0" priority="197" operator="lessThan">
      <formula>0</formula>
    </cfRule>
  </conditionalFormatting>
  <conditionalFormatting sqref="G51">
    <cfRule type="cellIs" dxfId="0" priority="141" operator="lessThan">
      <formula>0</formula>
    </cfRule>
  </conditionalFormatting>
  <conditionalFormatting sqref="H51:J51">
    <cfRule type="cellIs" dxfId="0" priority="133" operator="lessThan">
      <formula>0</formula>
    </cfRule>
  </conditionalFormatting>
  <conditionalFormatting sqref="K51">
    <cfRule type="cellIs" dxfId="0" priority="69" operator="lessThan">
      <formula>0</formula>
    </cfRule>
  </conditionalFormatting>
  <conditionalFormatting sqref="L51">
    <cfRule type="cellIs" dxfId="0" priority="13" operator="lessThan">
      <formula>0</formula>
    </cfRule>
  </conditionalFormatting>
  <conditionalFormatting sqref="M51:O51">
    <cfRule type="cellIs" dxfId="0" priority="5" operator="lessThan">
      <formula>0</formula>
    </cfRule>
  </conditionalFormatting>
  <conditionalFormatting sqref="F52">
    <cfRule type="cellIs" dxfId="0" priority="196" operator="lessThan">
      <formula>0</formula>
    </cfRule>
  </conditionalFormatting>
  <conditionalFormatting sqref="G52">
    <cfRule type="cellIs" dxfId="0" priority="140" operator="lessThan">
      <formula>0</formula>
    </cfRule>
  </conditionalFormatting>
  <conditionalFormatting sqref="H52:J52">
    <cfRule type="cellIs" dxfId="0" priority="132" operator="lessThan">
      <formula>0</formula>
    </cfRule>
  </conditionalFormatting>
  <conditionalFormatting sqref="K52">
    <cfRule type="cellIs" dxfId="0" priority="68" operator="lessThan">
      <formula>0</formula>
    </cfRule>
  </conditionalFormatting>
  <conditionalFormatting sqref="L52">
    <cfRule type="cellIs" dxfId="0" priority="12" operator="lessThan">
      <formula>0</formula>
    </cfRule>
  </conditionalFormatting>
  <conditionalFormatting sqref="M52:O52">
    <cfRule type="cellIs" dxfId="0" priority="4" operator="lessThan">
      <formula>0</formula>
    </cfRule>
  </conditionalFormatting>
  <conditionalFormatting sqref="F53">
    <cfRule type="cellIs" dxfId="0" priority="195" operator="lessThan">
      <formula>0</formula>
    </cfRule>
  </conditionalFormatting>
  <conditionalFormatting sqref="G53">
    <cfRule type="cellIs" dxfId="0" priority="139" operator="lessThan">
      <formula>0</formula>
    </cfRule>
  </conditionalFormatting>
  <conditionalFormatting sqref="H53:J53">
    <cfRule type="cellIs" dxfId="0" priority="131" operator="lessThan">
      <formula>0</formula>
    </cfRule>
  </conditionalFormatting>
  <conditionalFormatting sqref="K53">
    <cfRule type="cellIs" dxfId="0" priority="67" operator="lessThan">
      <formula>0</formula>
    </cfRule>
  </conditionalFormatting>
  <conditionalFormatting sqref="L53">
    <cfRule type="cellIs" dxfId="0" priority="11" operator="lessThan">
      <formula>0</formula>
    </cfRule>
  </conditionalFormatting>
  <conditionalFormatting sqref="M53:O53">
    <cfRule type="cellIs" dxfId="0" priority="3" operator="lessThan">
      <formula>0</formula>
    </cfRule>
  </conditionalFormatting>
  <conditionalFormatting sqref="F54">
    <cfRule type="cellIs" dxfId="0" priority="194" operator="lessThan">
      <formula>0</formula>
    </cfRule>
  </conditionalFormatting>
  <conditionalFormatting sqref="G54">
    <cfRule type="cellIs" dxfId="0" priority="138" operator="lessThan">
      <formula>0</formula>
    </cfRule>
  </conditionalFormatting>
  <conditionalFormatting sqref="H54:J54">
    <cfRule type="cellIs" dxfId="0" priority="130" operator="lessThan">
      <formula>0</formula>
    </cfRule>
  </conditionalFormatting>
  <conditionalFormatting sqref="K54">
    <cfRule type="cellIs" dxfId="0" priority="66" operator="lessThan">
      <formula>0</formula>
    </cfRule>
  </conditionalFormatting>
  <conditionalFormatting sqref="L54">
    <cfRule type="cellIs" dxfId="0" priority="10" operator="lessThan">
      <formula>0</formula>
    </cfRule>
  </conditionalFormatting>
  <conditionalFormatting sqref="M54:O54">
    <cfRule type="cellIs" dxfId="0" priority="2" operator="lessThan">
      <formula>0</formula>
    </cfRule>
  </conditionalFormatting>
  <conditionalFormatting sqref="F55">
    <cfRule type="cellIs" dxfId="0" priority="193" operator="lessThan">
      <formula>0</formula>
    </cfRule>
  </conditionalFormatting>
  <conditionalFormatting sqref="G55">
    <cfRule type="cellIs" dxfId="0" priority="137" operator="lessThan">
      <formula>0</formula>
    </cfRule>
  </conditionalFormatting>
  <conditionalFormatting sqref="H55:J55">
    <cfRule type="cellIs" dxfId="0" priority="129" operator="lessThan">
      <formula>0</formula>
    </cfRule>
  </conditionalFormatting>
  <conditionalFormatting sqref="K55">
    <cfRule type="cellIs" dxfId="0" priority="65" operator="lessThan">
      <formula>0</formula>
    </cfRule>
  </conditionalFormatting>
  <conditionalFormatting sqref="L55">
    <cfRule type="cellIs" dxfId="0" priority="9" operator="lessThan">
      <formula>0</formula>
    </cfRule>
  </conditionalFormatting>
  <conditionalFormatting sqref="M55:O55">
    <cfRule type="cellIs" dxfId="0" priority="1" operator="lessThan">
      <formula>0</formula>
    </cfRule>
  </conditionalFormatting>
  <conditionalFormatting sqref="F2 F3:J4 F15:J15 G16:J17 F18:J18 F39:J39 F42 F44:J47 F56:J59">
    <cfRule type="cellIs" dxfId="0" priority="256" operator="lessThan">
      <formula>0</formula>
    </cfRule>
  </conditionalFormatting>
  <conditionalFormatting sqref="K2 K3:O4 K15:O15 L16:O17 K18:O18 K39:O39 K42 K44:O47 K56:O59">
    <cfRule type="cellIs" dxfId="0" priority="128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2" tint="-0.249977111117893"/>
  </sheetPr>
  <dimension ref="A1:AL23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D31" sqref="D31"/>
    </sheetView>
  </sheetViews>
  <sheetFormatPr defaultColWidth="8.90740740740741" defaultRowHeight="12"/>
  <cols>
    <col min="1" max="2" width="8.90740740740741" style="438"/>
    <col min="3" max="3" width="28.4537037037037" style="438" customWidth="1"/>
    <col min="4" max="6" width="8.90740740740741" style="438"/>
    <col min="7" max="7" width="11.0925925925926" style="438" customWidth="1"/>
    <col min="8" max="10" width="10.9074074074074" style="438" customWidth="1"/>
    <col min="11" max="16384" width="8.90740740740741" style="438"/>
  </cols>
  <sheetData>
    <row r="1" ht="14.4" spans="1:38">
      <c r="A1" s="61" t="s">
        <v>100</v>
      </c>
    </row>
    <row r="2" ht="16.5" customHeight="1" spans="1:38">
      <c r="A2" s="427" t="s">
        <v>103</v>
      </c>
      <c r="B2" s="445" t="s">
        <v>1120</v>
      </c>
      <c r="C2" s="427" t="s">
        <v>291</v>
      </c>
      <c r="D2" s="481" t="s">
        <v>1425</v>
      </c>
      <c r="E2" s="482"/>
      <c r="F2" s="482"/>
      <c r="G2" s="482"/>
      <c r="H2" s="482"/>
      <c r="I2" s="482"/>
      <c r="J2" s="483"/>
      <c r="K2" s="484" t="s">
        <v>1426</v>
      </c>
      <c r="L2" s="485"/>
      <c r="M2" s="485"/>
      <c r="N2" s="485"/>
      <c r="O2" s="485"/>
      <c r="P2" s="485"/>
      <c r="Q2" s="486"/>
      <c r="R2" s="484" t="s">
        <v>1236</v>
      </c>
      <c r="S2" s="485"/>
      <c r="T2" s="485"/>
      <c r="U2" s="485"/>
      <c r="V2" s="485"/>
      <c r="W2" s="485"/>
      <c r="X2" s="486"/>
      <c r="Y2" s="433" t="s">
        <v>1237</v>
      </c>
      <c r="Z2" s="433"/>
      <c r="AA2" s="433"/>
      <c r="AB2" s="433"/>
      <c r="AC2" s="433"/>
      <c r="AD2" s="433"/>
      <c r="AE2" s="433"/>
      <c r="AF2" s="433" t="s">
        <v>1427</v>
      </c>
      <c r="AG2" s="433"/>
      <c r="AH2" s="433"/>
      <c r="AI2" s="433"/>
      <c r="AJ2" s="433"/>
      <c r="AK2" s="433"/>
      <c r="AL2" s="433"/>
    </row>
    <row r="3" ht="24" spans="1:38">
      <c r="A3" s="445"/>
      <c r="B3" s="487"/>
      <c r="C3" s="455"/>
      <c r="D3" s="456" t="s">
        <v>51</v>
      </c>
      <c r="E3" s="456" t="s">
        <v>1428</v>
      </c>
      <c r="F3" s="456" t="s">
        <v>1429</v>
      </c>
      <c r="G3" s="456" t="s">
        <v>1430</v>
      </c>
      <c r="H3" s="458" t="s">
        <v>1148</v>
      </c>
      <c r="I3" s="458" t="s">
        <v>1431</v>
      </c>
      <c r="J3" s="458" t="s">
        <v>1432</v>
      </c>
      <c r="K3" s="445" t="s">
        <v>51</v>
      </c>
      <c r="L3" s="445" t="s">
        <v>1428</v>
      </c>
      <c r="M3" s="445" t="s">
        <v>1429</v>
      </c>
      <c r="N3" s="445" t="s">
        <v>1430</v>
      </c>
      <c r="O3" s="458" t="s">
        <v>1148</v>
      </c>
      <c r="P3" s="458" t="s">
        <v>1431</v>
      </c>
      <c r="Q3" s="458" t="s">
        <v>1432</v>
      </c>
      <c r="R3" s="445" t="s">
        <v>51</v>
      </c>
      <c r="S3" s="445" t="s">
        <v>1428</v>
      </c>
      <c r="T3" s="445" t="s">
        <v>1429</v>
      </c>
      <c r="U3" s="445" t="s">
        <v>1430</v>
      </c>
      <c r="V3" s="458" t="s">
        <v>1148</v>
      </c>
      <c r="W3" s="458" t="s">
        <v>1431</v>
      </c>
      <c r="X3" s="458" t="s">
        <v>1432</v>
      </c>
      <c r="Y3" s="458" t="s">
        <v>51</v>
      </c>
      <c r="Z3" s="458" t="s">
        <v>1428</v>
      </c>
      <c r="AA3" s="458" t="s">
        <v>1429</v>
      </c>
      <c r="AB3" s="458" t="s">
        <v>1430</v>
      </c>
      <c r="AC3" s="458" t="s">
        <v>1148</v>
      </c>
      <c r="AD3" s="433" t="s">
        <v>1431</v>
      </c>
      <c r="AE3" s="433" t="s">
        <v>1432</v>
      </c>
      <c r="AF3" s="458" t="s">
        <v>51</v>
      </c>
      <c r="AG3" s="458" t="s">
        <v>1428</v>
      </c>
      <c r="AH3" s="458" t="s">
        <v>1429</v>
      </c>
      <c r="AI3" s="458" t="s">
        <v>1430</v>
      </c>
      <c r="AJ3" s="458" t="s">
        <v>1148</v>
      </c>
      <c r="AK3" s="433" t="s">
        <v>1431</v>
      </c>
      <c r="AL3" s="433" t="s">
        <v>1432</v>
      </c>
    </row>
    <row r="4" spans="1:38">
      <c r="A4" s="488"/>
      <c r="B4" s="488"/>
      <c r="C4" s="489" t="s">
        <v>126</v>
      </c>
      <c r="D4" s="437" t="s">
        <v>1279</v>
      </c>
      <c r="E4" s="437" t="s">
        <v>1279</v>
      </c>
      <c r="F4" s="437" t="s">
        <v>1279</v>
      </c>
      <c r="G4" s="490" t="s">
        <v>1433</v>
      </c>
      <c r="H4" s="490" t="s">
        <v>1433</v>
      </c>
      <c r="I4" s="490"/>
      <c r="J4" s="490"/>
      <c r="K4" s="437" t="s">
        <v>1279</v>
      </c>
      <c r="L4" s="437" t="s">
        <v>1279</v>
      </c>
      <c r="M4" s="437" t="s">
        <v>1279</v>
      </c>
      <c r="N4" s="490" t="s">
        <v>1433</v>
      </c>
      <c r="O4" s="490" t="s">
        <v>1433</v>
      </c>
      <c r="P4" s="490"/>
      <c r="Q4" s="490"/>
      <c r="R4" s="437" t="s">
        <v>1279</v>
      </c>
      <c r="S4" s="437" t="s">
        <v>1279</v>
      </c>
      <c r="T4" s="437" t="s">
        <v>1279</v>
      </c>
      <c r="U4" s="490" t="s">
        <v>1433</v>
      </c>
      <c r="V4" s="490" t="s">
        <v>1433</v>
      </c>
      <c r="W4" s="490"/>
      <c r="X4" s="490"/>
      <c r="Y4" s="490" t="s">
        <v>1433</v>
      </c>
      <c r="Z4" s="490" t="s">
        <v>1433</v>
      </c>
      <c r="AA4" s="490" t="s">
        <v>1433</v>
      </c>
      <c r="AB4" s="490" t="s">
        <v>1433</v>
      </c>
      <c r="AC4" s="490" t="s">
        <v>1433</v>
      </c>
      <c r="AD4" s="490"/>
      <c r="AE4" s="490"/>
      <c r="AF4" s="490" t="s">
        <v>1433</v>
      </c>
      <c r="AG4" s="490" t="s">
        <v>1433</v>
      </c>
      <c r="AH4" s="490" t="s">
        <v>1433</v>
      </c>
      <c r="AI4" s="490" t="s">
        <v>1433</v>
      </c>
      <c r="AJ4" s="490" t="s">
        <v>1433</v>
      </c>
      <c r="AK4" s="490"/>
      <c r="AL4" s="490"/>
    </row>
    <row r="5" spans="1:38">
      <c r="A5" s="488"/>
      <c r="B5" s="435"/>
      <c r="C5" s="489" t="s">
        <v>145</v>
      </c>
      <c r="D5" s="437" t="s">
        <v>1279</v>
      </c>
      <c r="E5" s="437" t="s">
        <v>1279</v>
      </c>
      <c r="F5" s="437" t="s">
        <v>1279</v>
      </c>
      <c r="G5" s="490" t="s">
        <v>1433</v>
      </c>
      <c r="H5" s="490" t="s">
        <v>1433</v>
      </c>
      <c r="I5" s="490"/>
      <c r="J5" s="490"/>
      <c r="K5" s="437" t="s">
        <v>1279</v>
      </c>
      <c r="L5" s="437" t="s">
        <v>1279</v>
      </c>
      <c r="M5" s="437" t="s">
        <v>1279</v>
      </c>
      <c r="N5" s="490" t="s">
        <v>1433</v>
      </c>
      <c r="O5" s="490" t="s">
        <v>1433</v>
      </c>
      <c r="P5" s="490"/>
      <c r="Q5" s="490"/>
      <c r="R5" s="437" t="s">
        <v>1279</v>
      </c>
      <c r="S5" s="437" t="s">
        <v>1279</v>
      </c>
      <c r="T5" s="437" t="s">
        <v>1279</v>
      </c>
      <c r="U5" s="490" t="s">
        <v>1433</v>
      </c>
      <c r="V5" s="490" t="s">
        <v>1433</v>
      </c>
      <c r="W5" s="490"/>
      <c r="X5" s="490"/>
      <c r="Y5" s="490" t="s">
        <v>1433</v>
      </c>
      <c r="Z5" s="490" t="s">
        <v>1433</v>
      </c>
      <c r="AA5" s="490" t="s">
        <v>1433</v>
      </c>
      <c r="AB5" s="490" t="s">
        <v>1433</v>
      </c>
      <c r="AC5" s="490" t="s">
        <v>1433</v>
      </c>
      <c r="AD5" s="490"/>
      <c r="AE5" s="490"/>
      <c r="AF5" s="490" t="s">
        <v>1433</v>
      </c>
      <c r="AG5" s="490" t="s">
        <v>1433</v>
      </c>
      <c r="AH5" s="490" t="s">
        <v>1433</v>
      </c>
      <c r="AI5" s="490" t="s">
        <v>1433</v>
      </c>
      <c r="AJ5" s="490" t="s">
        <v>1433</v>
      </c>
      <c r="AK5" s="490"/>
      <c r="AL5" s="490"/>
    </row>
    <row r="6" spans="1:38">
      <c r="A6" s="488"/>
      <c r="B6" s="435"/>
      <c r="C6" s="489" t="s">
        <v>140</v>
      </c>
      <c r="D6" s="437" t="s">
        <v>1279</v>
      </c>
      <c r="E6" s="437" t="s">
        <v>1279</v>
      </c>
      <c r="F6" s="437" t="s">
        <v>1279</v>
      </c>
      <c r="G6" s="490" t="s">
        <v>1433</v>
      </c>
      <c r="H6" s="490" t="s">
        <v>1433</v>
      </c>
      <c r="I6" s="490"/>
      <c r="J6" s="490"/>
      <c r="K6" s="437" t="s">
        <v>1279</v>
      </c>
      <c r="L6" s="437" t="s">
        <v>1279</v>
      </c>
      <c r="M6" s="437" t="s">
        <v>1279</v>
      </c>
      <c r="N6" s="490" t="s">
        <v>1433</v>
      </c>
      <c r="O6" s="490" t="s">
        <v>1433</v>
      </c>
      <c r="P6" s="490"/>
      <c r="Q6" s="490"/>
      <c r="R6" s="437" t="s">
        <v>1279</v>
      </c>
      <c r="S6" s="437" t="s">
        <v>1279</v>
      </c>
      <c r="T6" s="437" t="s">
        <v>1279</v>
      </c>
      <c r="U6" s="490" t="s">
        <v>1433</v>
      </c>
      <c r="V6" s="490" t="s">
        <v>1433</v>
      </c>
      <c r="W6" s="490"/>
      <c r="X6" s="490"/>
      <c r="Y6" s="490" t="s">
        <v>1433</v>
      </c>
      <c r="Z6" s="490" t="s">
        <v>1433</v>
      </c>
      <c r="AA6" s="490" t="s">
        <v>1433</v>
      </c>
      <c r="AB6" s="490" t="s">
        <v>1433</v>
      </c>
      <c r="AC6" s="490" t="s">
        <v>1433</v>
      </c>
      <c r="AD6" s="490"/>
      <c r="AE6" s="490"/>
      <c r="AF6" s="490" t="s">
        <v>1433</v>
      </c>
      <c r="AG6" s="490" t="s">
        <v>1433</v>
      </c>
      <c r="AH6" s="490" t="s">
        <v>1433</v>
      </c>
      <c r="AI6" s="490" t="s">
        <v>1433</v>
      </c>
      <c r="AJ6" s="490" t="s">
        <v>1433</v>
      </c>
      <c r="AK6" s="490"/>
      <c r="AL6" s="490"/>
    </row>
    <row r="7" spans="1:38">
      <c r="A7" s="491"/>
      <c r="B7" s="492"/>
      <c r="C7" s="493" t="s">
        <v>1434</v>
      </c>
      <c r="D7" s="494" t="s">
        <v>1279</v>
      </c>
      <c r="E7" s="494" t="s">
        <v>1279</v>
      </c>
      <c r="F7" s="494" t="s">
        <v>1279</v>
      </c>
      <c r="G7" s="495" t="s">
        <v>1433</v>
      </c>
      <c r="H7" s="495" t="s">
        <v>1433</v>
      </c>
      <c r="I7" s="495"/>
      <c r="J7" s="495"/>
      <c r="K7" s="494" t="s">
        <v>1279</v>
      </c>
      <c r="L7" s="494" t="s">
        <v>1279</v>
      </c>
      <c r="M7" s="494" t="s">
        <v>1279</v>
      </c>
      <c r="N7" s="495" t="s">
        <v>1433</v>
      </c>
      <c r="O7" s="495" t="s">
        <v>1433</v>
      </c>
      <c r="P7" s="495"/>
      <c r="Q7" s="495"/>
      <c r="R7" s="494" t="s">
        <v>1279</v>
      </c>
      <c r="S7" s="494" t="s">
        <v>1279</v>
      </c>
      <c r="T7" s="494" t="s">
        <v>1279</v>
      </c>
      <c r="U7" s="495" t="s">
        <v>1433</v>
      </c>
      <c r="V7" s="495" t="s">
        <v>1433</v>
      </c>
      <c r="W7" s="495"/>
      <c r="X7" s="495"/>
      <c r="Y7" s="495" t="s">
        <v>1433</v>
      </c>
      <c r="Z7" s="495" t="s">
        <v>1433</v>
      </c>
      <c r="AA7" s="495" t="s">
        <v>1433</v>
      </c>
      <c r="AB7" s="495" t="s">
        <v>1433</v>
      </c>
      <c r="AC7" s="495" t="s">
        <v>1433</v>
      </c>
      <c r="AD7" s="495"/>
      <c r="AE7" s="495"/>
      <c r="AF7" s="495" t="s">
        <v>1433</v>
      </c>
      <c r="AG7" s="495" t="s">
        <v>1433</v>
      </c>
      <c r="AH7" s="495" t="s">
        <v>1433</v>
      </c>
      <c r="AI7" s="495" t="s">
        <v>1433</v>
      </c>
      <c r="AJ7" s="495" t="s">
        <v>1433</v>
      </c>
      <c r="AK7" s="495"/>
      <c r="AL7" s="495"/>
    </row>
    <row r="8" spans="1:38">
      <c r="A8" s="488"/>
      <c r="B8" s="435"/>
      <c r="C8" s="489" t="s">
        <v>153</v>
      </c>
      <c r="D8" s="437" t="s">
        <v>1279</v>
      </c>
      <c r="E8" s="437" t="s">
        <v>1279</v>
      </c>
      <c r="F8" s="437" t="s">
        <v>1279</v>
      </c>
      <c r="G8" s="490" t="s">
        <v>1433</v>
      </c>
      <c r="H8" s="490" t="s">
        <v>1433</v>
      </c>
      <c r="I8" s="490"/>
      <c r="J8" s="490"/>
      <c r="K8" s="437" t="s">
        <v>1279</v>
      </c>
      <c r="L8" s="437" t="s">
        <v>1279</v>
      </c>
      <c r="M8" s="437" t="s">
        <v>1279</v>
      </c>
      <c r="N8" s="490" t="s">
        <v>1433</v>
      </c>
      <c r="O8" s="490" t="s">
        <v>1433</v>
      </c>
      <c r="P8" s="490"/>
      <c r="Q8" s="490"/>
      <c r="R8" s="437" t="s">
        <v>1279</v>
      </c>
      <c r="S8" s="437" t="s">
        <v>1279</v>
      </c>
      <c r="T8" s="437" t="s">
        <v>1279</v>
      </c>
      <c r="U8" s="490" t="s">
        <v>1433</v>
      </c>
      <c r="V8" s="490" t="s">
        <v>1433</v>
      </c>
      <c r="W8" s="490"/>
      <c r="X8" s="490"/>
      <c r="Y8" s="490" t="s">
        <v>1433</v>
      </c>
      <c r="Z8" s="490" t="s">
        <v>1433</v>
      </c>
      <c r="AA8" s="490" t="s">
        <v>1433</v>
      </c>
      <c r="AB8" s="490" t="s">
        <v>1433</v>
      </c>
      <c r="AC8" s="490" t="s">
        <v>1433</v>
      </c>
      <c r="AD8" s="490"/>
      <c r="AE8" s="490"/>
      <c r="AF8" s="490" t="s">
        <v>1433</v>
      </c>
      <c r="AG8" s="490" t="s">
        <v>1433</v>
      </c>
      <c r="AH8" s="490" t="s">
        <v>1433</v>
      </c>
      <c r="AI8" s="490" t="s">
        <v>1433</v>
      </c>
      <c r="AJ8" s="490" t="s">
        <v>1433</v>
      </c>
      <c r="AK8" s="490"/>
      <c r="AL8" s="490"/>
    </row>
    <row r="9" spans="1:38">
      <c r="A9" s="488"/>
      <c r="B9" s="435"/>
      <c r="C9" s="489" t="s">
        <v>164</v>
      </c>
      <c r="D9" s="437" t="s">
        <v>1279</v>
      </c>
      <c r="E9" s="437" t="s">
        <v>1279</v>
      </c>
      <c r="F9" s="437" t="s">
        <v>1279</v>
      </c>
      <c r="G9" s="490" t="s">
        <v>1433</v>
      </c>
      <c r="H9" s="490" t="s">
        <v>1433</v>
      </c>
      <c r="I9" s="490"/>
      <c r="J9" s="490"/>
      <c r="K9" s="437" t="s">
        <v>1279</v>
      </c>
      <c r="L9" s="437" t="s">
        <v>1279</v>
      </c>
      <c r="M9" s="437" t="s">
        <v>1279</v>
      </c>
      <c r="N9" s="490" t="s">
        <v>1433</v>
      </c>
      <c r="O9" s="490" t="s">
        <v>1433</v>
      </c>
      <c r="P9" s="490"/>
      <c r="Q9" s="490"/>
      <c r="R9" s="437" t="s">
        <v>1279</v>
      </c>
      <c r="S9" s="437" t="s">
        <v>1279</v>
      </c>
      <c r="T9" s="437" t="s">
        <v>1279</v>
      </c>
      <c r="U9" s="490" t="s">
        <v>1433</v>
      </c>
      <c r="V9" s="490" t="s">
        <v>1433</v>
      </c>
      <c r="W9" s="490"/>
      <c r="X9" s="490"/>
      <c r="Y9" s="490" t="s">
        <v>1433</v>
      </c>
      <c r="Z9" s="490" t="s">
        <v>1433</v>
      </c>
      <c r="AA9" s="490" t="s">
        <v>1433</v>
      </c>
      <c r="AB9" s="490" t="s">
        <v>1433</v>
      </c>
      <c r="AC9" s="490" t="s">
        <v>1433</v>
      </c>
      <c r="AD9" s="490"/>
      <c r="AE9" s="490"/>
      <c r="AF9" s="490" t="s">
        <v>1433</v>
      </c>
      <c r="AG9" s="490" t="s">
        <v>1433</v>
      </c>
      <c r="AH9" s="490" t="s">
        <v>1433</v>
      </c>
      <c r="AI9" s="490" t="s">
        <v>1433</v>
      </c>
      <c r="AJ9" s="490" t="s">
        <v>1433</v>
      </c>
      <c r="AK9" s="490"/>
      <c r="AL9" s="490"/>
    </row>
    <row r="10" spans="1:38">
      <c r="A10" s="491"/>
      <c r="B10" s="492"/>
      <c r="C10" s="496" t="s">
        <v>1435</v>
      </c>
      <c r="D10" s="494" t="s">
        <v>1279</v>
      </c>
      <c r="E10" s="494" t="s">
        <v>1279</v>
      </c>
      <c r="F10" s="494" t="s">
        <v>1279</v>
      </c>
      <c r="G10" s="495" t="s">
        <v>1433</v>
      </c>
      <c r="H10" s="495" t="s">
        <v>1433</v>
      </c>
      <c r="I10" s="495"/>
      <c r="J10" s="495"/>
      <c r="K10" s="494" t="s">
        <v>1279</v>
      </c>
      <c r="L10" s="494" t="s">
        <v>1279</v>
      </c>
      <c r="M10" s="494" t="s">
        <v>1279</v>
      </c>
      <c r="N10" s="495" t="s">
        <v>1433</v>
      </c>
      <c r="O10" s="495" t="s">
        <v>1433</v>
      </c>
      <c r="P10" s="495"/>
      <c r="Q10" s="495"/>
      <c r="R10" s="494" t="s">
        <v>1279</v>
      </c>
      <c r="S10" s="494" t="s">
        <v>1279</v>
      </c>
      <c r="T10" s="494" t="s">
        <v>1279</v>
      </c>
      <c r="U10" s="495" t="s">
        <v>1433</v>
      </c>
      <c r="V10" s="495" t="s">
        <v>1433</v>
      </c>
      <c r="W10" s="495"/>
      <c r="X10" s="495"/>
      <c r="Y10" s="495" t="s">
        <v>1433</v>
      </c>
      <c r="Z10" s="495" t="s">
        <v>1433</v>
      </c>
      <c r="AA10" s="495" t="s">
        <v>1433</v>
      </c>
      <c r="AB10" s="495" t="s">
        <v>1433</v>
      </c>
      <c r="AC10" s="495" t="s">
        <v>1433</v>
      </c>
      <c r="AD10" s="495"/>
      <c r="AE10" s="495"/>
      <c r="AF10" s="495" t="s">
        <v>1433</v>
      </c>
      <c r="AG10" s="495" t="s">
        <v>1433</v>
      </c>
      <c r="AH10" s="495" t="s">
        <v>1433</v>
      </c>
      <c r="AI10" s="495" t="s">
        <v>1433</v>
      </c>
      <c r="AJ10" s="495" t="s">
        <v>1433</v>
      </c>
      <c r="AK10" s="495"/>
      <c r="AL10" s="495"/>
    </row>
    <row r="11" spans="1:38">
      <c r="A11" s="488"/>
      <c r="B11" s="435"/>
      <c r="C11" s="489" t="s">
        <v>168</v>
      </c>
      <c r="D11" s="437" t="s">
        <v>1279</v>
      </c>
      <c r="E11" s="437" t="s">
        <v>1279</v>
      </c>
      <c r="F11" s="437" t="s">
        <v>1279</v>
      </c>
      <c r="G11" s="490" t="s">
        <v>1433</v>
      </c>
      <c r="H11" s="490" t="s">
        <v>1433</v>
      </c>
      <c r="I11" s="490"/>
      <c r="J11" s="490"/>
      <c r="K11" s="437" t="s">
        <v>1279</v>
      </c>
      <c r="L11" s="437" t="s">
        <v>1279</v>
      </c>
      <c r="M11" s="437" t="s">
        <v>1279</v>
      </c>
      <c r="N11" s="490" t="s">
        <v>1433</v>
      </c>
      <c r="O11" s="490" t="s">
        <v>1433</v>
      </c>
      <c r="P11" s="490"/>
      <c r="Q11" s="490"/>
      <c r="R11" s="437" t="s">
        <v>1279</v>
      </c>
      <c r="S11" s="437" t="s">
        <v>1279</v>
      </c>
      <c r="T11" s="437" t="s">
        <v>1279</v>
      </c>
      <c r="U11" s="490" t="s">
        <v>1433</v>
      </c>
      <c r="V11" s="490" t="s">
        <v>1433</v>
      </c>
      <c r="W11" s="490"/>
      <c r="X11" s="490"/>
      <c r="Y11" s="490" t="s">
        <v>1433</v>
      </c>
      <c r="Z11" s="490" t="s">
        <v>1433</v>
      </c>
      <c r="AA11" s="490" t="s">
        <v>1433</v>
      </c>
      <c r="AB11" s="490" t="s">
        <v>1433</v>
      </c>
      <c r="AC11" s="490" t="s">
        <v>1433</v>
      </c>
      <c r="AD11" s="490"/>
      <c r="AE11" s="490"/>
      <c r="AF11" s="490" t="s">
        <v>1433</v>
      </c>
      <c r="AG11" s="490" t="s">
        <v>1433</v>
      </c>
      <c r="AH11" s="490" t="s">
        <v>1433</v>
      </c>
      <c r="AI11" s="490" t="s">
        <v>1433</v>
      </c>
      <c r="AJ11" s="490" t="s">
        <v>1433</v>
      </c>
      <c r="AK11" s="490"/>
      <c r="AL11" s="490"/>
    </row>
    <row r="12" spans="1:38">
      <c r="A12" s="491"/>
      <c r="B12" s="492"/>
      <c r="C12" s="493" t="s">
        <v>1436</v>
      </c>
      <c r="D12" s="494" t="s">
        <v>1279</v>
      </c>
      <c r="E12" s="494" t="s">
        <v>1279</v>
      </c>
      <c r="F12" s="494" t="s">
        <v>1279</v>
      </c>
      <c r="G12" s="495" t="s">
        <v>1433</v>
      </c>
      <c r="H12" s="495" t="s">
        <v>1433</v>
      </c>
      <c r="I12" s="495"/>
      <c r="J12" s="495"/>
      <c r="K12" s="494" t="s">
        <v>1279</v>
      </c>
      <c r="L12" s="494" t="s">
        <v>1279</v>
      </c>
      <c r="M12" s="494" t="s">
        <v>1279</v>
      </c>
      <c r="N12" s="495" t="s">
        <v>1433</v>
      </c>
      <c r="O12" s="495" t="s">
        <v>1433</v>
      </c>
      <c r="P12" s="495"/>
      <c r="Q12" s="495"/>
      <c r="R12" s="494" t="s">
        <v>1279</v>
      </c>
      <c r="S12" s="494" t="s">
        <v>1279</v>
      </c>
      <c r="T12" s="494" t="s">
        <v>1279</v>
      </c>
      <c r="U12" s="495" t="s">
        <v>1433</v>
      </c>
      <c r="V12" s="495" t="s">
        <v>1433</v>
      </c>
      <c r="W12" s="495"/>
      <c r="X12" s="495"/>
      <c r="Y12" s="495" t="s">
        <v>1433</v>
      </c>
      <c r="Z12" s="495" t="s">
        <v>1433</v>
      </c>
      <c r="AA12" s="495" t="s">
        <v>1433</v>
      </c>
      <c r="AB12" s="495" t="s">
        <v>1433</v>
      </c>
      <c r="AC12" s="495" t="s">
        <v>1433</v>
      </c>
      <c r="AD12" s="495"/>
      <c r="AE12" s="495"/>
      <c r="AF12" s="495" t="s">
        <v>1433</v>
      </c>
      <c r="AG12" s="495" t="s">
        <v>1433</v>
      </c>
      <c r="AH12" s="495" t="s">
        <v>1433</v>
      </c>
      <c r="AI12" s="495" t="s">
        <v>1433</v>
      </c>
      <c r="AJ12" s="495" t="s">
        <v>1433</v>
      </c>
      <c r="AK12" s="495"/>
      <c r="AL12" s="495"/>
    </row>
    <row r="13" spans="1:38">
      <c r="A13" s="497"/>
      <c r="B13" s="498"/>
      <c r="C13" s="499" t="s">
        <v>1437</v>
      </c>
      <c r="D13" s="500" t="s">
        <v>1433</v>
      </c>
      <c r="E13" s="500" t="s">
        <v>1433</v>
      </c>
      <c r="F13" s="500" t="s">
        <v>1433</v>
      </c>
      <c r="G13" s="500" t="s">
        <v>1433</v>
      </c>
      <c r="H13" s="500" t="s">
        <v>1433</v>
      </c>
      <c r="I13" s="500"/>
      <c r="J13" s="500"/>
      <c r="K13" s="500" t="s">
        <v>1433</v>
      </c>
      <c r="L13" s="500" t="s">
        <v>1433</v>
      </c>
      <c r="M13" s="500" t="s">
        <v>1433</v>
      </c>
      <c r="N13" s="500" t="s">
        <v>1433</v>
      </c>
      <c r="O13" s="500" t="s">
        <v>1433</v>
      </c>
      <c r="P13" s="500"/>
      <c r="Q13" s="500"/>
      <c r="R13" s="500" t="s">
        <v>1433</v>
      </c>
      <c r="S13" s="500" t="s">
        <v>1433</v>
      </c>
      <c r="T13" s="500" t="s">
        <v>1433</v>
      </c>
      <c r="U13" s="500" t="s">
        <v>1433</v>
      </c>
      <c r="V13" s="500" t="s">
        <v>1433</v>
      </c>
      <c r="W13" s="500"/>
      <c r="X13" s="500"/>
      <c r="Y13" s="500" t="s">
        <v>1433</v>
      </c>
      <c r="Z13" s="500" t="s">
        <v>1433</v>
      </c>
      <c r="AA13" s="500" t="s">
        <v>1433</v>
      </c>
      <c r="AB13" s="500" t="s">
        <v>1433</v>
      </c>
      <c r="AC13" s="500" t="s">
        <v>1433</v>
      </c>
      <c r="AD13" s="500"/>
      <c r="AE13" s="500"/>
      <c r="AF13" s="500" t="s">
        <v>1433</v>
      </c>
      <c r="AG13" s="500" t="s">
        <v>1433</v>
      </c>
      <c r="AH13" s="500" t="s">
        <v>1433</v>
      </c>
      <c r="AI13" s="500" t="s">
        <v>1433</v>
      </c>
      <c r="AJ13" s="500" t="s">
        <v>1433</v>
      </c>
      <c r="AK13" s="500"/>
      <c r="AL13" s="500"/>
    </row>
    <row r="14" spans="1:38">
      <c r="A14" s="488"/>
      <c r="B14" s="435"/>
      <c r="C14" s="489" t="s">
        <v>196</v>
      </c>
      <c r="D14" s="437" t="s">
        <v>1279</v>
      </c>
      <c r="E14" s="437" t="s">
        <v>1279</v>
      </c>
      <c r="F14" s="437" t="s">
        <v>1279</v>
      </c>
      <c r="G14" s="490" t="s">
        <v>1433</v>
      </c>
      <c r="H14" s="490" t="s">
        <v>1433</v>
      </c>
      <c r="I14" s="490"/>
      <c r="J14" s="490"/>
      <c r="K14" s="437" t="s">
        <v>1279</v>
      </c>
      <c r="L14" s="437" t="s">
        <v>1279</v>
      </c>
      <c r="M14" s="437" t="s">
        <v>1279</v>
      </c>
      <c r="N14" s="490" t="s">
        <v>1433</v>
      </c>
      <c r="O14" s="490" t="s">
        <v>1433</v>
      </c>
      <c r="P14" s="490"/>
      <c r="Q14" s="490"/>
      <c r="R14" s="437" t="s">
        <v>1279</v>
      </c>
      <c r="S14" s="437" t="s">
        <v>1279</v>
      </c>
      <c r="T14" s="437" t="s">
        <v>1279</v>
      </c>
      <c r="U14" s="490" t="s">
        <v>1433</v>
      </c>
      <c r="V14" s="490" t="s">
        <v>1433</v>
      </c>
      <c r="W14" s="490"/>
      <c r="X14" s="490"/>
      <c r="Y14" s="490" t="s">
        <v>1433</v>
      </c>
      <c r="Z14" s="490" t="s">
        <v>1433</v>
      </c>
      <c r="AA14" s="490" t="s">
        <v>1433</v>
      </c>
      <c r="AB14" s="490" t="s">
        <v>1433</v>
      </c>
      <c r="AC14" s="490" t="s">
        <v>1433</v>
      </c>
      <c r="AD14" s="490"/>
      <c r="AE14" s="490"/>
      <c r="AF14" s="490" t="s">
        <v>1433</v>
      </c>
      <c r="AG14" s="490" t="s">
        <v>1433</v>
      </c>
      <c r="AH14" s="490" t="s">
        <v>1433</v>
      </c>
      <c r="AI14" s="490" t="s">
        <v>1433</v>
      </c>
      <c r="AJ14" s="490" t="s">
        <v>1433</v>
      </c>
      <c r="AK14" s="490"/>
      <c r="AL14" s="490"/>
    </row>
    <row r="15" spans="1:38">
      <c r="A15" s="488"/>
      <c r="B15" s="435"/>
      <c r="C15" s="489" t="s">
        <v>188</v>
      </c>
      <c r="D15" s="437" t="s">
        <v>1279</v>
      </c>
      <c r="E15" s="437" t="s">
        <v>1279</v>
      </c>
      <c r="F15" s="437" t="s">
        <v>1279</v>
      </c>
      <c r="G15" s="490" t="s">
        <v>1433</v>
      </c>
      <c r="H15" s="490" t="s">
        <v>1433</v>
      </c>
      <c r="I15" s="490"/>
      <c r="J15" s="490"/>
      <c r="K15" s="437" t="s">
        <v>1279</v>
      </c>
      <c r="L15" s="437" t="s">
        <v>1279</v>
      </c>
      <c r="M15" s="437" t="s">
        <v>1279</v>
      </c>
      <c r="N15" s="490" t="s">
        <v>1433</v>
      </c>
      <c r="O15" s="490" t="s">
        <v>1433</v>
      </c>
      <c r="P15" s="490"/>
      <c r="Q15" s="490"/>
      <c r="R15" s="437" t="s">
        <v>1279</v>
      </c>
      <c r="S15" s="437" t="s">
        <v>1279</v>
      </c>
      <c r="T15" s="437" t="s">
        <v>1279</v>
      </c>
      <c r="U15" s="490" t="s">
        <v>1433</v>
      </c>
      <c r="V15" s="490" t="s">
        <v>1433</v>
      </c>
      <c r="W15" s="490"/>
      <c r="X15" s="490"/>
      <c r="Y15" s="490" t="s">
        <v>1433</v>
      </c>
      <c r="Z15" s="490" t="s">
        <v>1433</v>
      </c>
      <c r="AA15" s="490" t="s">
        <v>1433</v>
      </c>
      <c r="AB15" s="490" t="s">
        <v>1433</v>
      </c>
      <c r="AC15" s="490" t="s">
        <v>1433</v>
      </c>
      <c r="AD15" s="490"/>
      <c r="AE15" s="490"/>
      <c r="AF15" s="490" t="s">
        <v>1433</v>
      </c>
      <c r="AG15" s="490" t="s">
        <v>1433</v>
      </c>
      <c r="AH15" s="490" t="s">
        <v>1433</v>
      </c>
      <c r="AI15" s="490" t="s">
        <v>1433</v>
      </c>
      <c r="AJ15" s="490" t="s">
        <v>1433</v>
      </c>
      <c r="AK15" s="490"/>
      <c r="AL15" s="490"/>
    </row>
    <row r="16" spans="1:38">
      <c r="A16" s="491"/>
      <c r="B16" s="492"/>
      <c r="C16" s="501" t="s">
        <v>1438</v>
      </c>
      <c r="D16" s="494" t="s">
        <v>1279</v>
      </c>
      <c r="E16" s="494" t="s">
        <v>1279</v>
      </c>
      <c r="F16" s="494" t="s">
        <v>1279</v>
      </c>
      <c r="G16" s="495" t="s">
        <v>1433</v>
      </c>
      <c r="H16" s="495" t="s">
        <v>1433</v>
      </c>
      <c r="I16" s="495"/>
      <c r="J16" s="495"/>
      <c r="K16" s="494" t="s">
        <v>1279</v>
      </c>
      <c r="L16" s="494" t="s">
        <v>1279</v>
      </c>
      <c r="M16" s="494" t="s">
        <v>1279</v>
      </c>
      <c r="N16" s="495" t="s">
        <v>1433</v>
      </c>
      <c r="O16" s="495" t="s">
        <v>1433</v>
      </c>
      <c r="P16" s="495"/>
      <c r="Q16" s="495"/>
      <c r="R16" s="494" t="s">
        <v>1279</v>
      </c>
      <c r="S16" s="494" t="s">
        <v>1279</v>
      </c>
      <c r="T16" s="494" t="s">
        <v>1279</v>
      </c>
      <c r="U16" s="495" t="s">
        <v>1433</v>
      </c>
      <c r="V16" s="495" t="s">
        <v>1433</v>
      </c>
      <c r="W16" s="495"/>
      <c r="X16" s="495"/>
      <c r="Y16" s="495" t="s">
        <v>1433</v>
      </c>
      <c r="Z16" s="495" t="s">
        <v>1433</v>
      </c>
      <c r="AA16" s="495" t="s">
        <v>1433</v>
      </c>
      <c r="AB16" s="495" t="s">
        <v>1433</v>
      </c>
      <c r="AC16" s="495" t="s">
        <v>1433</v>
      </c>
      <c r="AD16" s="495"/>
      <c r="AE16" s="495"/>
      <c r="AF16" s="495" t="s">
        <v>1433</v>
      </c>
      <c r="AG16" s="495" t="s">
        <v>1433</v>
      </c>
      <c r="AH16" s="495" t="s">
        <v>1433</v>
      </c>
      <c r="AI16" s="495" t="s">
        <v>1433</v>
      </c>
      <c r="AJ16" s="495" t="s">
        <v>1433</v>
      </c>
      <c r="AK16" s="495"/>
      <c r="AL16" s="495"/>
    </row>
    <row r="17" spans="1:38">
      <c r="A17" s="488"/>
      <c r="B17" s="435"/>
      <c r="C17" s="489" t="s">
        <v>202</v>
      </c>
      <c r="D17" s="437" t="s">
        <v>1279</v>
      </c>
      <c r="E17" s="437" t="s">
        <v>1279</v>
      </c>
      <c r="F17" s="437" t="s">
        <v>1279</v>
      </c>
      <c r="G17" s="490" t="s">
        <v>1433</v>
      </c>
      <c r="H17" s="490" t="s">
        <v>1433</v>
      </c>
      <c r="I17" s="490"/>
      <c r="J17" s="490"/>
      <c r="K17" s="437" t="s">
        <v>1279</v>
      </c>
      <c r="L17" s="437" t="s">
        <v>1279</v>
      </c>
      <c r="M17" s="437" t="s">
        <v>1279</v>
      </c>
      <c r="N17" s="490" t="s">
        <v>1433</v>
      </c>
      <c r="O17" s="490" t="s">
        <v>1433</v>
      </c>
      <c r="P17" s="490"/>
      <c r="Q17" s="490"/>
      <c r="R17" s="437" t="s">
        <v>1279</v>
      </c>
      <c r="S17" s="437" t="s">
        <v>1279</v>
      </c>
      <c r="T17" s="437" t="s">
        <v>1279</v>
      </c>
      <c r="U17" s="490" t="s">
        <v>1433</v>
      </c>
      <c r="V17" s="490" t="s">
        <v>1433</v>
      </c>
      <c r="W17" s="490"/>
      <c r="X17" s="490"/>
      <c r="Y17" s="490" t="s">
        <v>1433</v>
      </c>
      <c r="Z17" s="490" t="s">
        <v>1433</v>
      </c>
      <c r="AA17" s="490" t="s">
        <v>1433</v>
      </c>
      <c r="AB17" s="490" t="s">
        <v>1433</v>
      </c>
      <c r="AC17" s="490" t="s">
        <v>1433</v>
      </c>
      <c r="AD17" s="490"/>
      <c r="AE17" s="490"/>
      <c r="AF17" s="490" t="s">
        <v>1433</v>
      </c>
      <c r="AG17" s="490" t="s">
        <v>1433</v>
      </c>
      <c r="AH17" s="490" t="s">
        <v>1433</v>
      </c>
      <c r="AI17" s="490" t="s">
        <v>1433</v>
      </c>
      <c r="AJ17" s="490" t="s">
        <v>1433</v>
      </c>
      <c r="AK17" s="490"/>
      <c r="AL17" s="490"/>
    </row>
    <row r="18" spans="1:38">
      <c r="A18" s="491"/>
      <c r="B18" s="492"/>
      <c r="C18" s="501" t="s">
        <v>1439</v>
      </c>
      <c r="D18" s="494" t="s">
        <v>1279</v>
      </c>
      <c r="E18" s="494" t="s">
        <v>1279</v>
      </c>
      <c r="F18" s="494" t="s">
        <v>1279</v>
      </c>
      <c r="G18" s="495" t="s">
        <v>1433</v>
      </c>
      <c r="H18" s="495" t="s">
        <v>1433</v>
      </c>
      <c r="I18" s="495"/>
      <c r="J18" s="495"/>
      <c r="K18" s="494" t="s">
        <v>1279</v>
      </c>
      <c r="L18" s="494" t="s">
        <v>1279</v>
      </c>
      <c r="M18" s="494" t="s">
        <v>1279</v>
      </c>
      <c r="N18" s="495" t="s">
        <v>1433</v>
      </c>
      <c r="O18" s="495" t="s">
        <v>1433</v>
      </c>
      <c r="P18" s="495"/>
      <c r="Q18" s="495"/>
      <c r="R18" s="494" t="s">
        <v>1279</v>
      </c>
      <c r="S18" s="494" t="s">
        <v>1279</v>
      </c>
      <c r="T18" s="494" t="s">
        <v>1279</v>
      </c>
      <c r="U18" s="495" t="s">
        <v>1433</v>
      </c>
      <c r="V18" s="495" t="s">
        <v>1433</v>
      </c>
      <c r="W18" s="495"/>
      <c r="X18" s="495"/>
      <c r="Y18" s="495" t="s">
        <v>1433</v>
      </c>
      <c r="Z18" s="495" t="s">
        <v>1433</v>
      </c>
      <c r="AA18" s="495" t="s">
        <v>1433</v>
      </c>
      <c r="AB18" s="495" t="s">
        <v>1433</v>
      </c>
      <c r="AC18" s="495" t="s">
        <v>1433</v>
      </c>
      <c r="AD18" s="495"/>
      <c r="AE18" s="495"/>
      <c r="AF18" s="495" t="s">
        <v>1433</v>
      </c>
      <c r="AG18" s="495" t="s">
        <v>1433</v>
      </c>
      <c r="AH18" s="495" t="s">
        <v>1433</v>
      </c>
      <c r="AI18" s="495" t="s">
        <v>1433</v>
      </c>
      <c r="AJ18" s="495" t="s">
        <v>1433</v>
      </c>
      <c r="AK18" s="495"/>
      <c r="AL18" s="495"/>
    </row>
    <row r="19" spans="1:38">
      <c r="A19" s="497"/>
      <c r="B19" s="498"/>
      <c r="C19" s="502" t="s">
        <v>1440</v>
      </c>
      <c r="D19" s="500" t="s">
        <v>1433</v>
      </c>
      <c r="E19" s="500" t="s">
        <v>1433</v>
      </c>
      <c r="F19" s="500" t="s">
        <v>1433</v>
      </c>
      <c r="G19" s="500" t="s">
        <v>1433</v>
      </c>
      <c r="H19" s="500" t="s">
        <v>1433</v>
      </c>
      <c r="I19" s="500"/>
      <c r="J19" s="500"/>
      <c r="K19" s="500" t="s">
        <v>1433</v>
      </c>
      <c r="L19" s="500" t="s">
        <v>1433</v>
      </c>
      <c r="M19" s="500" t="s">
        <v>1433</v>
      </c>
      <c r="N19" s="500" t="s">
        <v>1433</v>
      </c>
      <c r="O19" s="500" t="s">
        <v>1433</v>
      </c>
      <c r="P19" s="500"/>
      <c r="Q19" s="500"/>
      <c r="R19" s="500" t="s">
        <v>1433</v>
      </c>
      <c r="S19" s="500" t="s">
        <v>1433</v>
      </c>
      <c r="T19" s="500" t="s">
        <v>1433</v>
      </c>
      <c r="U19" s="500" t="s">
        <v>1433</v>
      </c>
      <c r="V19" s="500" t="s">
        <v>1433</v>
      </c>
      <c r="W19" s="500"/>
      <c r="X19" s="500"/>
      <c r="Y19" s="500" t="s">
        <v>1433</v>
      </c>
      <c r="Z19" s="500" t="s">
        <v>1433</v>
      </c>
      <c r="AA19" s="500" t="s">
        <v>1433</v>
      </c>
      <c r="AB19" s="500" t="s">
        <v>1433</v>
      </c>
      <c r="AC19" s="500" t="s">
        <v>1433</v>
      </c>
      <c r="AD19" s="500"/>
      <c r="AE19" s="500"/>
      <c r="AF19" s="500" t="s">
        <v>1433</v>
      </c>
      <c r="AG19" s="500" t="s">
        <v>1433</v>
      </c>
      <c r="AH19" s="500" t="s">
        <v>1433</v>
      </c>
      <c r="AI19" s="500" t="s">
        <v>1433</v>
      </c>
      <c r="AJ19" s="500" t="s">
        <v>1433</v>
      </c>
      <c r="AK19" s="500"/>
      <c r="AL19" s="500"/>
    </row>
    <row r="20" spans="1:38">
      <c r="A20" s="488"/>
      <c r="B20" s="435"/>
      <c r="C20" s="489" t="s">
        <v>208</v>
      </c>
      <c r="D20" s="437" t="s">
        <v>1279</v>
      </c>
      <c r="E20" s="437" t="s">
        <v>1279</v>
      </c>
      <c r="F20" s="437" t="s">
        <v>1279</v>
      </c>
      <c r="G20" s="490" t="s">
        <v>1433</v>
      </c>
      <c r="H20" s="490" t="s">
        <v>1433</v>
      </c>
      <c r="I20" s="490"/>
      <c r="J20" s="490"/>
      <c r="K20" s="437" t="s">
        <v>1279</v>
      </c>
      <c r="L20" s="437" t="s">
        <v>1279</v>
      </c>
      <c r="M20" s="437" t="s">
        <v>1279</v>
      </c>
      <c r="N20" s="490" t="s">
        <v>1433</v>
      </c>
      <c r="O20" s="490" t="s">
        <v>1433</v>
      </c>
      <c r="P20" s="490"/>
      <c r="Q20" s="490"/>
      <c r="R20" s="437" t="s">
        <v>1279</v>
      </c>
      <c r="S20" s="437" t="s">
        <v>1279</v>
      </c>
      <c r="T20" s="437" t="s">
        <v>1279</v>
      </c>
      <c r="U20" s="490" t="s">
        <v>1433</v>
      </c>
      <c r="V20" s="490" t="s">
        <v>1433</v>
      </c>
      <c r="W20" s="490"/>
      <c r="X20" s="490"/>
      <c r="Y20" s="490" t="s">
        <v>1433</v>
      </c>
      <c r="Z20" s="490" t="s">
        <v>1433</v>
      </c>
      <c r="AA20" s="490" t="s">
        <v>1433</v>
      </c>
      <c r="AB20" s="490" t="s">
        <v>1433</v>
      </c>
      <c r="AC20" s="490" t="s">
        <v>1433</v>
      </c>
      <c r="AD20" s="490"/>
      <c r="AE20" s="490"/>
      <c r="AF20" s="490" t="s">
        <v>1433</v>
      </c>
      <c r="AG20" s="490" t="s">
        <v>1433</v>
      </c>
      <c r="AH20" s="490" t="s">
        <v>1433</v>
      </c>
      <c r="AI20" s="490" t="s">
        <v>1433</v>
      </c>
      <c r="AJ20" s="490" t="s">
        <v>1433</v>
      </c>
      <c r="AK20" s="490"/>
      <c r="AL20" s="490"/>
    </row>
    <row r="21" spans="1:38">
      <c r="A21" s="497"/>
      <c r="B21" s="498"/>
      <c r="C21" s="503" t="s">
        <v>1441</v>
      </c>
      <c r="D21" s="500" t="s">
        <v>1433</v>
      </c>
      <c r="E21" s="500" t="s">
        <v>1433</v>
      </c>
      <c r="F21" s="500" t="s">
        <v>1433</v>
      </c>
      <c r="G21" s="500" t="s">
        <v>1433</v>
      </c>
      <c r="H21" s="500" t="s">
        <v>1433</v>
      </c>
      <c r="I21" s="500"/>
      <c r="J21" s="500"/>
      <c r="K21" s="500" t="s">
        <v>1433</v>
      </c>
      <c r="L21" s="500" t="s">
        <v>1433</v>
      </c>
      <c r="M21" s="500" t="s">
        <v>1433</v>
      </c>
      <c r="N21" s="500" t="s">
        <v>1433</v>
      </c>
      <c r="O21" s="500" t="s">
        <v>1433</v>
      </c>
      <c r="P21" s="500"/>
      <c r="Q21" s="500"/>
      <c r="R21" s="500" t="s">
        <v>1433</v>
      </c>
      <c r="S21" s="500" t="s">
        <v>1433</v>
      </c>
      <c r="T21" s="500" t="s">
        <v>1433</v>
      </c>
      <c r="U21" s="500" t="s">
        <v>1433</v>
      </c>
      <c r="V21" s="500" t="s">
        <v>1433</v>
      </c>
      <c r="W21" s="500"/>
      <c r="X21" s="500"/>
      <c r="Y21" s="500" t="s">
        <v>1433</v>
      </c>
      <c r="Z21" s="500" t="s">
        <v>1433</v>
      </c>
      <c r="AA21" s="500" t="s">
        <v>1433</v>
      </c>
      <c r="AB21" s="500" t="s">
        <v>1433</v>
      </c>
      <c r="AC21" s="500" t="s">
        <v>1433</v>
      </c>
      <c r="AD21" s="500"/>
      <c r="AE21" s="500"/>
      <c r="AF21" s="500" t="s">
        <v>1433</v>
      </c>
      <c r="AG21" s="500" t="s">
        <v>1433</v>
      </c>
      <c r="AH21" s="500" t="s">
        <v>1433</v>
      </c>
      <c r="AI21" s="500" t="s">
        <v>1433</v>
      </c>
      <c r="AJ21" s="500" t="s">
        <v>1433</v>
      </c>
      <c r="AK21" s="500"/>
      <c r="AL21" s="500"/>
    </row>
    <row r="22" spans="1:38">
      <c r="A22" s="491"/>
      <c r="B22" s="492"/>
      <c r="C22" s="504" t="s">
        <v>1442</v>
      </c>
      <c r="D22" s="494" t="s">
        <v>1279</v>
      </c>
      <c r="E22" s="494" t="s">
        <v>1279</v>
      </c>
      <c r="F22" s="494" t="s">
        <v>1279</v>
      </c>
      <c r="G22" s="495" t="s">
        <v>1433</v>
      </c>
      <c r="H22" s="495" t="s">
        <v>1433</v>
      </c>
      <c r="I22" s="495"/>
      <c r="J22" s="495"/>
      <c r="K22" s="494" t="s">
        <v>1279</v>
      </c>
      <c r="L22" s="494" t="s">
        <v>1279</v>
      </c>
      <c r="M22" s="494" t="s">
        <v>1279</v>
      </c>
      <c r="N22" s="495" t="s">
        <v>1433</v>
      </c>
      <c r="O22" s="495" t="s">
        <v>1433</v>
      </c>
      <c r="P22" s="495"/>
      <c r="Q22" s="495"/>
      <c r="R22" s="494" t="s">
        <v>1279</v>
      </c>
      <c r="S22" s="494" t="s">
        <v>1279</v>
      </c>
      <c r="T22" s="494" t="s">
        <v>1279</v>
      </c>
      <c r="U22" s="495" t="s">
        <v>1433</v>
      </c>
      <c r="V22" s="495" t="s">
        <v>1433</v>
      </c>
      <c r="W22" s="495"/>
      <c r="X22" s="495"/>
      <c r="Y22" s="495" t="s">
        <v>1433</v>
      </c>
      <c r="Z22" s="495" t="s">
        <v>1433</v>
      </c>
      <c r="AA22" s="495" t="s">
        <v>1433</v>
      </c>
      <c r="AB22" s="495" t="s">
        <v>1433</v>
      </c>
      <c r="AC22" s="495" t="s">
        <v>1433</v>
      </c>
      <c r="AD22" s="495"/>
      <c r="AE22" s="495"/>
      <c r="AF22" s="495" t="s">
        <v>1433</v>
      </c>
      <c r="AG22" s="495" t="s">
        <v>1433</v>
      </c>
      <c r="AH22" s="495" t="s">
        <v>1433</v>
      </c>
      <c r="AI22" s="495" t="s">
        <v>1433</v>
      </c>
      <c r="AJ22" s="495" t="s">
        <v>1433</v>
      </c>
      <c r="AK22" s="495"/>
      <c r="AL22" s="495"/>
    </row>
    <row r="23" spans="1:38">
      <c r="A23" s="491"/>
      <c r="B23" s="492"/>
      <c r="C23" s="505" t="s">
        <v>1443</v>
      </c>
      <c r="D23" s="495" t="s">
        <v>1433</v>
      </c>
      <c r="E23" s="495" t="s">
        <v>1433</v>
      </c>
      <c r="F23" s="495" t="s">
        <v>1433</v>
      </c>
      <c r="G23" s="495" t="s">
        <v>1433</v>
      </c>
      <c r="H23" s="495" t="s">
        <v>1433</v>
      </c>
      <c r="I23" s="495"/>
      <c r="J23" s="495"/>
      <c r="K23" s="495" t="s">
        <v>1433</v>
      </c>
      <c r="L23" s="495" t="s">
        <v>1433</v>
      </c>
      <c r="M23" s="495" t="s">
        <v>1433</v>
      </c>
      <c r="N23" s="495" t="s">
        <v>1433</v>
      </c>
      <c r="O23" s="495" t="s">
        <v>1433</v>
      </c>
      <c r="P23" s="495"/>
      <c r="Q23" s="495"/>
      <c r="R23" s="495" t="s">
        <v>1433</v>
      </c>
      <c r="S23" s="495" t="s">
        <v>1433</v>
      </c>
      <c r="T23" s="495" t="s">
        <v>1433</v>
      </c>
      <c r="U23" s="495" t="s">
        <v>1433</v>
      </c>
      <c r="V23" s="495" t="s">
        <v>1433</v>
      </c>
      <c r="W23" s="495"/>
      <c r="X23" s="495"/>
      <c r="Y23" s="495" t="s">
        <v>1433</v>
      </c>
      <c r="Z23" s="495" t="s">
        <v>1433</v>
      </c>
      <c r="AA23" s="495" t="s">
        <v>1433</v>
      </c>
      <c r="AB23" s="495" t="s">
        <v>1433</v>
      </c>
      <c r="AC23" s="495" t="s">
        <v>1433</v>
      </c>
      <c r="AD23" s="495"/>
      <c r="AE23" s="495"/>
      <c r="AF23" s="495" t="s">
        <v>1433</v>
      </c>
      <c r="AG23" s="495" t="s">
        <v>1433</v>
      </c>
      <c r="AH23" s="495" t="s">
        <v>1433</v>
      </c>
      <c r="AI23" s="495" t="s">
        <v>1433</v>
      </c>
      <c r="AJ23" s="495" t="s">
        <v>1433</v>
      </c>
      <c r="AK23" s="495"/>
      <c r="AL23" s="495"/>
    </row>
  </sheetData>
  <mergeCells count="8">
    <mergeCell ref="D2:J2"/>
    <mergeCell ref="K2:Q2"/>
    <mergeCell ref="R2:X2"/>
    <mergeCell ref="Y2:AE2"/>
    <mergeCell ref="AF2:AL2"/>
    <mergeCell ref="A2:A3"/>
    <mergeCell ref="B2:B3"/>
    <mergeCell ref="C2:C3"/>
  </mergeCells>
  <conditionalFormatting sqref="R2">
    <cfRule type="cellIs" dxfId="0" priority="4" operator="lessThan">
      <formula>0</formula>
    </cfRule>
  </conditionalFormatting>
  <conditionalFormatting sqref="Y2">
    <cfRule type="cellIs" dxfId="0" priority="2" operator="lessThan">
      <formula>0</formula>
    </cfRule>
  </conditionalFormatting>
  <conditionalFormatting sqref="C17">
    <cfRule type="cellIs" dxfId="0" priority="41" operator="lessThan">
      <formula>0</formula>
    </cfRule>
  </conditionalFormatting>
  <conditionalFormatting sqref="C23">
    <cfRule type="cellIs" dxfId="0" priority="46" operator="lessThan">
      <formula>0</formula>
    </cfRule>
  </conditionalFormatting>
  <conditionalFormatting sqref="C2:C15">
    <cfRule type="cellIs" dxfId="0" priority="45" operator="lessThan">
      <formula>0</formula>
    </cfRule>
  </conditionalFormatting>
  <conditionalFormatting sqref="C19:C20">
    <cfRule type="cellIs" dxfId="0" priority="47" operator="lessThan">
      <formula>0</formula>
    </cfRule>
  </conditionalFormatting>
  <conditionalFormatting sqref="A2:B2 A3">
    <cfRule type="cellIs" dxfId="0" priority="50" operator="lessThan">
      <formula>0</formula>
    </cfRule>
  </conditionalFormatting>
  <conditionalFormatting sqref="D2 K2 AF2">
    <cfRule type="cellIs" dxfId="0" priority="49" operator="lessThan">
      <formula>0</formula>
    </cfRule>
  </conditionalFormatting>
  <conditionalFormatting sqref="D3:Q23 AF3:AL23">
    <cfRule type="cellIs" dxfId="0" priority="5" operator="lessThan">
      <formula>0</formula>
    </cfRule>
  </conditionalFormatting>
  <conditionalFormatting sqref="R3:X23">
    <cfRule type="cellIs" dxfId="0" priority="3" operator="lessThan">
      <formula>0</formula>
    </cfRule>
  </conditionalFormatting>
  <conditionalFormatting sqref="Y3:AE23">
    <cfRule type="cellIs" dxfId="0" priority="1" operator="lessThan">
      <formula>0</formula>
    </cfRule>
  </conditionalFormatting>
  <conditionalFormatting sqref="A4:B23">
    <cfRule type="cellIs" dxfId="0" priority="48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2" tint="-0.249977111117893"/>
  </sheetPr>
  <dimension ref="A1:AG24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I30" sqref="I30"/>
    </sheetView>
  </sheetViews>
  <sheetFormatPr defaultColWidth="8.90740740740741" defaultRowHeight="12"/>
  <cols>
    <col min="1" max="16384" width="8.90740740740741" style="438"/>
  </cols>
  <sheetData>
    <row r="1" ht="14.4" spans="1:33">
      <c r="A1" s="61" t="s">
        <v>100</v>
      </c>
      <c r="B1" s="476"/>
    </row>
    <row r="2" s="473" customFormat="1" ht="26" customHeight="1" spans="1:33">
      <c r="A2" s="477"/>
      <c r="B2" s="427" t="s">
        <v>103</v>
      </c>
      <c r="C2" s="427" t="s">
        <v>1120</v>
      </c>
      <c r="D2" s="427" t="s">
        <v>291</v>
      </c>
      <c r="E2" s="427" t="s">
        <v>292</v>
      </c>
      <c r="F2" s="428" t="s">
        <v>1122</v>
      </c>
      <c r="G2" s="429"/>
      <c r="H2" s="429"/>
      <c r="I2" s="429"/>
      <c r="J2" s="441"/>
      <c r="K2" s="430" t="s">
        <v>1124</v>
      </c>
      <c r="L2" s="431"/>
      <c r="M2" s="431"/>
      <c r="N2" s="431"/>
      <c r="O2" s="432"/>
      <c r="P2" s="430" t="s">
        <v>1236</v>
      </c>
      <c r="Q2" s="431"/>
      <c r="R2" s="431"/>
      <c r="S2" s="431"/>
      <c r="T2" s="432"/>
      <c r="U2" s="433" t="s">
        <v>1237</v>
      </c>
      <c r="V2" s="433"/>
      <c r="W2" s="433"/>
      <c r="X2" s="433"/>
      <c r="Y2" s="433"/>
      <c r="Z2" s="433" t="s">
        <v>1427</v>
      </c>
      <c r="AA2" s="433"/>
      <c r="AB2" s="433"/>
      <c r="AC2" s="433"/>
      <c r="AD2" s="433"/>
    </row>
    <row r="3" s="473" customFormat="1" ht="26" customHeight="1" spans="1:33">
      <c r="A3" s="477"/>
      <c r="B3" s="434"/>
      <c r="C3" s="427"/>
      <c r="D3" s="434"/>
      <c r="E3" s="427"/>
      <c r="F3" s="427" t="s">
        <v>51</v>
      </c>
      <c r="G3" s="427" t="s">
        <v>1429</v>
      </c>
      <c r="H3" s="427" t="s">
        <v>1430</v>
      </c>
      <c r="I3" s="427" t="s">
        <v>1431</v>
      </c>
      <c r="J3" s="427" t="s">
        <v>1432</v>
      </c>
      <c r="K3" s="478" t="s">
        <v>51</v>
      </c>
      <c r="L3" s="478" t="s">
        <v>1429</v>
      </c>
      <c r="M3" s="478" t="s">
        <v>1430</v>
      </c>
      <c r="N3" s="478" t="s">
        <v>1431</v>
      </c>
      <c r="O3" s="478" t="s">
        <v>1432</v>
      </c>
      <c r="P3" s="478" t="s">
        <v>51</v>
      </c>
      <c r="Q3" s="478" t="s">
        <v>1429</v>
      </c>
      <c r="R3" s="478" t="s">
        <v>1430</v>
      </c>
      <c r="S3" s="478" t="s">
        <v>1431</v>
      </c>
      <c r="T3" s="478" t="s">
        <v>1432</v>
      </c>
      <c r="U3" s="433" t="s">
        <v>51</v>
      </c>
      <c r="V3" s="433" t="s">
        <v>1429</v>
      </c>
      <c r="W3" s="433" t="s">
        <v>1430</v>
      </c>
      <c r="X3" s="433" t="s">
        <v>1431</v>
      </c>
      <c r="Y3" s="433" t="s">
        <v>1432</v>
      </c>
      <c r="Z3" s="433" t="s">
        <v>51</v>
      </c>
      <c r="AA3" s="433" t="s">
        <v>1429</v>
      </c>
      <c r="AB3" s="433" t="s">
        <v>1430</v>
      </c>
      <c r="AC3" s="433" t="s">
        <v>1431</v>
      </c>
      <c r="AD3" s="433" t="s">
        <v>1432</v>
      </c>
    </row>
    <row r="4" s="474" customFormat="1" spans="1:33">
      <c r="A4" s="479"/>
      <c r="B4" s="435"/>
      <c r="C4" s="435"/>
      <c r="D4" s="435" t="s">
        <v>168</v>
      </c>
      <c r="E4" s="435" t="s">
        <v>1444</v>
      </c>
      <c r="F4" s="437" t="s">
        <v>1279</v>
      </c>
      <c r="G4" s="437" t="s">
        <v>1279</v>
      </c>
      <c r="H4" s="437" t="s">
        <v>1433</v>
      </c>
      <c r="I4" s="437"/>
      <c r="J4" s="437"/>
      <c r="K4" s="437" t="s">
        <v>1279</v>
      </c>
      <c r="L4" s="437" t="s">
        <v>1279</v>
      </c>
      <c r="M4" s="437" t="s">
        <v>1433</v>
      </c>
      <c r="N4" s="437"/>
      <c r="O4" s="437"/>
      <c r="P4" s="437" t="s">
        <v>1279</v>
      </c>
      <c r="Q4" s="437" t="s">
        <v>1279</v>
      </c>
      <c r="R4" s="437" t="s">
        <v>1433</v>
      </c>
      <c r="S4" s="437"/>
      <c r="T4" s="437"/>
      <c r="U4" s="437" t="s">
        <v>1433</v>
      </c>
      <c r="V4" s="437" t="s">
        <v>1433</v>
      </c>
      <c r="W4" s="437" t="s">
        <v>1433</v>
      </c>
      <c r="X4" s="437"/>
      <c r="Y4" s="437"/>
      <c r="Z4" s="437" t="s">
        <v>1433</v>
      </c>
      <c r="AA4" s="437" t="s">
        <v>1433</v>
      </c>
      <c r="AB4" s="437" t="s">
        <v>1433</v>
      </c>
      <c r="AC4" s="437"/>
      <c r="AD4" s="437"/>
      <c r="AE4" s="480"/>
      <c r="AF4" s="480"/>
    </row>
    <row r="5" s="474" customFormat="1" spans="1:33">
      <c r="A5" s="479"/>
      <c r="B5" s="435"/>
      <c r="C5" s="435"/>
      <c r="D5" s="435"/>
      <c r="E5" s="435" t="s">
        <v>1445</v>
      </c>
      <c r="F5" s="437" t="s">
        <v>1279</v>
      </c>
      <c r="G5" s="437" t="s">
        <v>1279</v>
      </c>
      <c r="H5" s="437" t="s">
        <v>1433</v>
      </c>
      <c r="I5" s="437"/>
      <c r="J5" s="437"/>
      <c r="K5" s="437" t="s">
        <v>1279</v>
      </c>
      <c r="L5" s="437" t="s">
        <v>1279</v>
      </c>
      <c r="M5" s="437" t="s">
        <v>1433</v>
      </c>
      <c r="N5" s="437"/>
      <c r="O5" s="437"/>
      <c r="P5" s="437" t="s">
        <v>1279</v>
      </c>
      <c r="Q5" s="437" t="s">
        <v>1279</v>
      </c>
      <c r="R5" s="437" t="s">
        <v>1433</v>
      </c>
      <c r="S5" s="437"/>
      <c r="T5" s="437"/>
      <c r="U5" s="437" t="s">
        <v>1433</v>
      </c>
      <c r="V5" s="437" t="s">
        <v>1433</v>
      </c>
      <c r="W5" s="437" t="s">
        <v>1433</v>
      </c>
      <c r="X5" s="437"/>
      <c r="Y5" s="437"/>
      <c r="Z5" s="437" t="s">
        <v>1433</v>
      </c>
      <c r="AA5" s="437" t="s">
        <v>1433</v>
      </c>
      <c r="AB5" s="437" t="s">
        <v>1433</v>
      </c>
      <c r="AC5" s="437"/>
      <c r="AD5" s="437"/>
      <c r="AE5" s="480"/>
      <c r="AF5" s="480"/>
    </row>
    <row r="6" s="474" customFormat="1" spans="1:33">
      <c r="A6" s="479"/>
      <c r="B6" s="435"/>
      <c r="C6" s="435"/>
      <c r="D6" s="435"/>
      <c r="E6" s="435"/>
      <c r="F6" s="437" t="s">
        <v>1279</v>
      </c>
      <c r="G6" s="437" t="s">
        <v>1279</v>
      </c>
      <c r="H6" s="437" t="s">
        <v>1433</v>
      </c>
      <c r="I6" s="437"/>
      <c r="J6" s="437"/>
      <c r="K6" s="437" t="s">
        <v>1279</v>
      </c>
      <c r="L6" s="437" t="s">
        <v>1279</v>
      </c>
      <c r="M6" s="437" t="s">
        <v>1433</v>
      </c>
      <c r="N6" s="437"/>
      <c r="O6" s="437"/>
      <c r="P6" s="437" t="s">
        <v>1279</v>
      </c>
      <c r="Q6" s="437" t="s">
        <v>1279</v>
      </c>
      <c r="R6" s="437" t="s">
        <v>1433</v>
      </c>
      <c r="S6" s="437"/>
      <c r="T6" s="437"/>
      <c r="U6" s="437" t="s">
        <v>1433</v>
      </c>
      <c r="V6" s="437" t="s">
        <v>1433</v>
      </c>
      <c r="W6" s="437" t="s">
        <v>1433</v>
      </c>
      <c r="X6" s="437"/>
      <c r="Y6" s="437"/>
      <c r="Z6" s="437" t="s">
        <v>1433</v>
      </c>
      <c r="AA6" s="437" t="s">
        <v>1433</v>
      </c>
      <c r="AB6" s="437" t="s">
        <v>1433</v>
      </c>
      <c r="AC6" s="437"/>
      <c r="AD6" s="437"/>
      <c r="AE6" s="480" t="str">
        <f t="shared" ref="AE6:AE19" si="0">D6&amp;E6</f>
        <v/>
      </c>
      <c r="AF6" s="480"/>
    </row>
    <row r="7" s="474" customFormat="1" spans="1:33">
      <c r="A7" s="479"/>
      <c r="B7" s="435"/>
      <c r="C7" s="435"/>
      <c r="D7" s="435"/>
      <c r="E7" s="435"/>
      <c r="F7" s="437" t="s">
        <v>1279</v>
      </c>
      <c r="G7" s="437" t="s">
        <v>1279</v>
      </c>
      <c r="H7" s="437" t="s">
        <v>1433</v>
      </c>
      <c r="I7" s="437"/>
      <c r="J7" s="437"/>
      <c r="K7" s="437" t="s">
        <v>1279</v>
      </c>
      <c r="L7" s="437" t="s">
        <v>1279</v>
      </c>
      <c r="M7" s="437" t="s">
        <v>1433</v>
      </c>
      <c r="N7" s="437"/>
      <c r="O7" s="437"/>
      <c r="P7" s="437" t="s">
        <v>1279</v>
      </c>
      <c r="Q7" s="437" t="s">
        <v>1279</v>
      </c>
      <c r="R7" s="437" t="s">
        <v>1433</v>
      </c>
      <c r="S7" s="437"/>
      <c r="T7" s="437"/>
      <c r="U7" s="437" t="s">
        <v>1433</v>
      </c>
      <c r="V7" s="437" t="s">
        <v>1433</v>
      </c>
      <c r="W7" s="437" t="s">
        <v>1433</v>
      </c>
      <c r="X7" s="437"/>
      <c r="Y7" s="437"/>
      <c r="Z7" s="437" t="s">
        <v>1433</v>
      </c>
      <c r="AA7" s="437" t="s">
        <v>1433</v>
      </c>
      <c r="AB7" s="437" t="s">
        <v>1433</v>
      </c>
      <c r="AC7" s="437"/>
      <c r="AD7" s="437"/>
      <c r="AE7" s="480" t="str">
        <f t="shared" si="0"/>
        <v/>
      </c>
      <c r="AF7" s="480"/>
    </row>
    <row r="8" s="475" customFormat="1" spans="1:33">
      <c r="A8" s="479"/>
      <c r="B8" s="435"/>
      <c r="C8" s="435"/>
      <c r="D8" s="435"/>
      <c r="E8" s="435"/>
      <c r="F8" s="437" t="s">
        <v>1279</v>
      </c>
      <c r="G8" s="437" t="s">
        <v>1279</v>
      </c>
      <c r="H8" s="437" t="s">
        <v>1433</v>
      </c>
      <c r="I8" s="437"/>
      <c r="J8" s="437"/>
      <c r="K8" s="437" t="s">
        <v>1279</v>
      </c>
      <c r="L8" s="437" t="s">
        <v>1279</v>
      </c>
      <c r="M8" s="437" t="s">
        <v>1433</v>
      </c>
      <c r="N8" s="437"/>
      <c r="O8" s="437"/>
      <c r="P8" s="437" t="s">
        <v>1279</v>
      </c>
      <c r="Q8" s="437" t="s">
        <v>1279</v>
      </c>
      <c r="R8" s="437" t="s">
        <v>1433</v>
      </c>
      <c r="S8" s="437"/>
      <c r="T8" s="437"/>
      <c r="U8" s="437" t="s">
        <v>1433</v>
      </c>
      <c r="V8" s="437" t="s">
        <v>1433</v>
      </c>
      <c r="W8" s="437" t="s">
        <v>1433</v>
      </c>
      <c r="X8" s="437"/>
      <c r="Y8" s="437"/>
      <c r="Z8" s="437" t="s">
        <v>1433</v>
      </c>
      <c r="AA8" s="437" t="s">
        <v>1433</v>
      </c>
      <c r="AB8" s="437" t="s">
        <v>1433</v>
      </c>
      <c r="AC8" s="437"/>
      <c r="AD8" s="437"/>
      <c r="AE8" s="480" t="str">
        <f t="shared" si="0"/>
        <v/>
      </c>
      <c r="AF8" s="480"/>
      <c r="AG8" s="474"/>
    </row>
    <row r="9" s="475" customFormat="1" spans="1:33">
      <c r="A9" s="479"/>
      <c r="B9" s="435"/>
      <c r="C9" s="435"/>
      <c r="D9" s="435"/>
      <c r="E9" s="435"/>
      <c r="F9" s="437" t="s">
        <v>1279</v>
      </c>
      <c r="G9" s="437" t="s">
        <v>1279</v>
      </c>
      <c r="H9" s="437" t="s">
        <v>1433</v>
      </c>
      <c r="I9" s="437"/>
      <c r="J9" s="437"/>
      <c r="K9" s="437" t="s">
        <v>1279</v>
      </c>
      <c r="L9" s="437" t="s">
        <v>1279</v>
      </c>
      <c r="M9" s="437" t="s">
        <v>1433</v>
      </c>
      <c r="N9" s="437"/>
      <c r="O9" s="437"/>
      <c r="P9" s="437" t="s">
        <v>1279</v>
      </c>
      <c r="Q9" s="437" t="s">
        <v>1279</v>
      </c>
      <c r="R9" s="437" t="s">
        <v>1433</v>
      </c>
      <c r="S9" s="437"/>
      <c r="T9" s="437"/>
      <c r="U9" s="437" t="s">
        <v>1433</v>
      </c>
      <c r="V9" s="437" t="s">
        <v>1433</v>
      </c>
      <c r="W9" s="437" t="s">
        <v>1433</v>
      </c>
      <c r="X9" s="437"/>
      <c r="Y9" s="437"/>
      <c r="Z9" s="437" t="s">
        <v>1433</v>
      </c>
      <c r="AA9" s="437" t="s">
        <v>1433</v>
      </c>
      <c r="AB9" s="437" t="s">
        <v>1433</v>
      </c>
      <c r="AC9" s="437"/>
      <c r="AD9" s="437"/>
      <c r="AE9" s="480" t="str">
        <f t="shared" si="0"/>
        <v/>
      </c>
      <c r="AF9" s="480"/>
      <c r="AG9" s="474"/>
    </row>
    <row r="10" s="475" customFormat="1" spans="1:33">
      <c r="A10" s="479"/>
      <c r="B10" s="435"/>
      <c r="C10" s="435"/>
      <c r="D10" s="435"/>
      <c r="E10" s="435"/>
      <c r="F10" s="437" t="s">
        <v>1279</v>
      </c>
      <c r="G10" s="437" t="s">
        <v>1279</v>
      </c>
      <c r="H10" s="437" t="s">
        <v>1433</v>
      </c>
      <c r="I10" s="437"/>
      <c r="J10" s="437"/>
      <c r="K10" s="437" t="s">
        <v>1279</v>
      </c>
      <c r="L10" s="437" t="s">
        <v>1279</v>
      </c>
      <c r="M10" s="437" t="s">
        <v>1433</v>
      </c>
      <c r="N10" s="437"/>
      <c r="O10" s="437"/>
      <c r="P10" s="437" t="s">
        <v>1279</v>
      </c>
      <c r="Q10" s="437" t="s">
        <v>1279</v>
      </c>
      <c r="R10" s="437" t="s">
        <v>1433</v>
      </c>
      <c r="S10" s="437"/>
      <c r="T10" s="437"/>
      <c r="U10" s="437" t="s">
        <v>1433</v>
      </c>
      <c r="V10" s="437" t="s">
        <v>1433</v>
      </c>
      <c r="W10" s="437" t="s">
        <v>1433</v>
      </c>
      <c r="X10" s="437"/>
      <c r="Y10" s="437"/>
      <c r="Z10" s="437" t="s">
        <v>1433</v>
      </c>
      <c r="AA10" s="437" t="s">
        <v>1433</v>
      </c>
      <c r="AB10" s="437" t="s">
        <v>1433</v>
      </c>
      <c r="AC10" s="437"/>
      <c r="AD10" s="437"/>
      <c r="AE10" s="480" t="str">
        <f t="shared" si="0"/>
        <v/>
      </c>
      <c r="AF10" s="480"/>
      <c r="AG10" s="474"/>
    </row>
    <row r="11" s="474" customFormat="1" spans="1:33">
      <c r="A11" s="479"/>
      <c r="B11" s="435"/>
      <c r="C11" s="435"/>
      <c r="D11" s="435"/>
      <c r="E11" s="435"/>
      <c r="F11" s="437" t="s">
        <v>1279</v>
      </c>
      <c r="G11" s="437" t="s">
        <v>1279</v>
      </c>
      <c r="H11" s="437" t="s">
        <v>1433</v>
      </c>
      <c r="I11" s="437"/>
      <c r="J11" s="437"/>
      <c r="K11" s="437" t="s">
        <v>1279</v>
      </c>
      <c r="L11" s="437" t="s">
        <v>1279</v>
      </c>
      <c r="M11" s="437" t="s">
        <v>1433</v>
      </c>
      <c r="N11" s="437"/>
      <c r="O11" s="437"/>
      <c r="P11" s="437" t="s">
        <v>1279</v>
      </c>
      <c r="Q11" s="437" t="s">
        <v>1279</v>
      </c>
      <c r="R11" s="437" t="s">
        <v>1433</v>
      </c>
      <c r="S11" s="437"/>
      <c r="T11" s="437"/>
      <c r="U11" s="437" t="s">
        <v>1433</v>
      </c>
      <c r="V11" s="437" t="s">
        <v>1433</v>
      </c>
      <c r="W11" s="437" t="s">
        <v>1433</v>
      </c>
      <c r="X11" s="437"/>
      <c r="Y11" s="437"/>
      <c r="Z11" s="437" t="s">
        <v>1433</v>
      </c>
      <c r="AA11" s="437" t="s">
        <v>1433</v>
      </c>
      <c r="AB11" s="437" t="s">
        <v>1433</v>
      </c>
      <c r="AC11" s="437"/>
      <c r="AD11" s="437"/>
      <c r="AE11" s="480" t="str">
        <f t="shared" si="0"/>
        <v/>
      </c>
      <c r="AF11" s="480"/>
    </row>
    <row r="12" s="474" customFormat="1" spans="1:33">
      <c r="A12" s="479"/>
      <c r="B12" s="435"/>
      <c r="C12" s="435"/>
      <c r="D12" s="435"/>
      <c r="E12" s="435"/>
      <c r="F12" s="437" t="s">
        <v>1279</v>
      </c>
      <c r="G12" s="437" t="s">
        <v>1279</v>
      </c>
      <c r="H12" s="437" t="s">
        <v>1433</v>
      </c>
      <c r="I12" s="437"/>
      <c r="J12" s="437"/>
      <c r="K12" s="437" t="s">
        <v>1279</v>
      </c>
      <c r="L12" s="437" t="s">
        <v>1279</v>
      </c>
      <c r="M12" s="437" t="s">
        <v>1433</v>
      </c>
      <c r="N12" s="437"/>
      <c r="O12" s="437"/>
      <c r="P12" s="437" t="s">
        <v>1279</v>
      </c>
      <c r="Q12" s="437" t="s">
        <v>1279</v>
      </c>
      <c r="R12" s="437" t="s">
        <v>1433</v>
      </c>
      <c r="S12" s="437"/>
      <c r="T12" s="437"/>
      <c r="U12" s="437" t="s">
        <v>1433</v>
      </c>
      <c r="V12" s="437" t="s">
        <v>1433</v>
      </c>
      <c r="W12" s="437" t="s">
        <v>1433</v>
      </c>
      <c r="X12" s="437"/>
      <c r="Y12" s="437"/>
      <c r="Z12" s="437" t="s">
        <v>1433</v>
      </c>
      <c r="AA12" s="437" t="s">
        <v>1433</v>
      </c>
      <c r="AB12" s="437" t="s">
        <v>1433</v>
      </c>
      <c r="AC12" s="437"/>
      <c r="AD12" s="437"/>
      <c r="AE12" s="480" t="str">
        <f t="shared" si="0"/>
        <v/>
      </c>
      <c r="AF12" s="480"/>
    </row>
    <row r="13" s="475" customFormat="1" spans="1:33">
      <c r="A13" s="479"/>
      <c r="B13" s="435"/>
      <c r="C13" s="435"/>
      <c r="D13" s="435"/>
      <c r="E13" s="435"/>
      <c r="F13" s="437" t="s">
        <v>1279</v>
      </c>
      <c r="G13" s="437" t="s">
        <v>1279</v>
      </c>
      <c r="H13" s="437" t="s">
        <v>1433</v>
      </c>
      <c r="I13" s="437"/>
      <c r="J13" s="437"/>
      <c r="K13" s="437" t="s">
        <v>1279</v>
      </c>
      <c r="L13" s="437" t="s">
        <v>1279</v>
      </c>
      <c r="M13" s="437" t="s">
        <v>1433</v>
      </c>
      <c r="N13" s="437"/>
      <c r="O13" s="437"/>
      <c r="P13" s="437" t="s">
        <v>1279</v>
      </c>
      <c r="Q13" s="437" t="s">
        <v>1279</v>
      </c>
      <c r="R13" s="437" t="s">
        <v>1433</v>
      </c>
      <c r="S13" s="437"/>
      <c r="T13" s="437"/>
      <c r="U13" s="437" t="s">
        <v>1433</v>
      </c>
      <c r="V13" s="437" t="s">
        <v>1433</v>
      </c>
      <c r="W13" s="437" t="s">
        <v>1433</v>
      </c>
      <c r="X13" s="437"/>
      <c r="Y13" s="437"/>
      <c r="Z13" s="437" t="s">
        <v>1433</v>
      </c>
      <c r="AA13" s="437" t="s">
        <v>1433</v>
      </c>
      <c r="AB13" s="437" t="s">
        <v>1433</v>
      </c>
      <c r="AC13" s="437"/>
      <c r="AD13" s="437"/>
      <c r="AE13" s="480" t="str">
        <f t="shared" si="0"/>
        <v/>
      </c>
      <c r="AF13" s="480"/>
      <c r="AG13" s="474"/>
    </row>
    <row r="14" s="475" customFormat="1" spans="1:33">
      <c r="A14" s="479"/>
      <c r="B14" s="435"/>
      <c r="C14" s="435"/>
      <c r="D14" s="435"/>
      <c r="E14" s="435"/>
      <c r="F14" s="437" t="s">
        <v>1279</v>
      </c>
      <c r="G14" s="437" t="s">
        <v>1279</v>
      </c>
      <c r="H14" s="437" t="s">
        <v>1433</v>
      </c>
      <c r="I14" s="437"/>
      <c r="J14" s="437"/>
      <c r="K14" s="437" t="s">
        <v>1279</v>
      </c>
      <c r="L14" s="437" t="s">
        <v>1279</v>
      </c>
      <c r="M14" s="437" t="s">
        <v>1433</v>
      </c>
      <c r="N14" s="437"/>
      <c r="O14" s="437"/>
      <c r="P14" s="437" t="s">
        <v>1279</v>
      </c>
      <c r="Q14" s="437" t="s">
        <v>1279</v>
      </c>
      <c r="R14" s="437" t="s">
        <v>1433</v>
      </c>
      <c r="S14" s="437"/>
      <c r="T14" s="437"/>
      <c r="U14" s="437" t="s">
        <v>1433</v>
      </c>
      <c r="V14" s="437" t="s">
        <v>1433</v>
      </c>
      <c r="W14" s="437" t="s">
        <v>1433</v>
      </c>
      <c r="X14" s="437"/>
      <c r="Y14" s="437"/>
      <c r="Z14" s="437" t="s">
        <v>1433</v>
      </c>
      <c r="AA14" s="437" t="s">
        <v>1433</v>
      </c>
      <c r="AB14" s="437" t="s">
        <v>1433</v>
      </c>
      <c r="AC14" s="437"/>
      <c r="AD14" s="437"/>
      <c r="AE14" s="480" t="str">
        <f t="shared" si="0"/>
        <v/>
      </c>
      <c r="AF14" s="480"/>
      <c r="AG14" s="474"/>
    </row>
    <row r="15" s="474" customFormat="1" spans="1:33">
      <c r="A15" s="479"/>
      <c r="B15" s="435"/>
      <c r="C15" s="435"/>
      <c r="D15" s="435"/>
      <c r="E15" s="435"/>
      <c r="F15" s="437" t="s">
        <v>1279</v>
      </c>
      <c r="G15" s="437" t="s">
        <v>1279</v>
      </c>
      <c r="H15" s="437" t="s">
        <v>1433</v>
      </c>
      <c r="I15" s="437"/>
      <c r="J15" s="437"/>
      <c r="K15" s="437" t="s">
        <v>1279</v>
      </c>
      <c r="L15" s="437" t="s">
        <v>1279</v>
      </c>
      <c r="M15" s="437" t="s">
        <v>1433</v>
      </c>
      <c r="N15" s="437"/>
      <c r="O15" s="437"/>
      <c r="P15" s="437" t="s">
        <v>1279</v>
      </c>
      <c r="Q15" s="437" t="s">
        <v>1279</v>
      </c>
      <c r="R15" s="437" t="s">
        <v>1433</v>
      </c>
      <c r="S15" s="437"/>
      <c r="T15" s="437"/>
      <c r="U15" s="437" t="s">
        <v>1433</v>
      </c>
      <c r="V15" s="437" t="s">
        <v>1433</v>
      </c>
      <c r="W15" s="437" t="s">
        <v>1433</v>
      </c>
      <c r="X15" s="437"/>
      <c r="Y15" s="437"/>
      <c r="Z15" s="437" t="s">
        <v>1433</v>
      </c>
      <c r="AA15" s="437" t="s">
        <v>1433</v>
      </c>
      <c r="AB15" s="437" t="s">
        <v>1433</v>
      </c>
      <c r="AC15" s="437"/>
      <c r="AD15" s="437"/>
      <c r="AE15" s="480" t="str">
        <f t="shared" si="0"/>
        <v/>
      </c>
      <c r="AF15" s="480"/>
    </row>
    <row r="16" s="475" customFormat="1" spans="1:33">
      <c r="A16" s="479"/>
      <c r="B16" s="435"/>
      <c r="C16" s="435"/>
      <c r="D16" s="435"/>
      <c r="E16" s="435"/>
      <c r="F16" s="437" t="s">
        <v>1279</v>
      </c>
      <c r="G16" s="437" t="s">
        <v>1279</v>
      </c>
      <c r="H16" s="437" t="s">
        <v>1433</v>
      </c>
      <c r="I16" s="437"/>
      <c r="J16" s="437"/>
      <c r="K16" s="437" t="s">
        <v>1279</v>
      </c>
      <c r="L16" s="437" t="s">
        <v>1279</v>
      </c>
      <c r="M16" s="437" t="s">
        <v>1433</v>
      </c>
      <c r="N16" s="437"/>
      <c r="O16" s="437"/>
      <c r="P16" s="437" t="s">
        <v>1279</v>
      </c>
      <c r="Q16" s="437" t="s">
        <v>1279</v>
      </c>
      <c r="R16" s="437" t="s">
        <v>1433</v>
      </c>
      <c r="S16" s="437"/>
      <c r="T16" s="437"/>
      <c r="U16" s="437" t="s">
        <v>1433</v>
      </c>
      <c r="V16" s="437" t="s">
        <v>1433</v>
      </c>
      <c r="W16" s="437" t="s">
        <v>1433</v>
      </c>
      <c r="X16" s="437"/>
      <c r="Y16" s="437"/>
      <c r="Z16" s="437" t="s">
        <v>1433</v>
      </c>
      <c r="AA16" s="437" t="s">
        <v>1433</v>
      </c>
      <c r="AB16" s="437" t="s">
        <v>1433</v>
      </c>
      <c r="AC16" s="437"/>
      <c r="AD16" s="437"/>
      <c r="AE16" s="480" t="str">
        <f t="shared" si="0"/>
        <v/>
      </c>
      <c r="AF16" s="480"/>
      <c r="AG16" s="474"/>
    </row>
    <row r="17" s="475" customFormat="1" spans="1:33">
      <c r="A17" s="479"/>
      <c r="B17" s="435"/>
      <c r="C17" s="435"/>
      <c r="D17" s="435"/>
      <c r="E17" s="435"/>
      <c r="F17" s="437" t="s">
        <v>1279</v>
      </c>
      <c r="G17" s="437" t="s">
        <v>1279</v>
      </c>
      <c r="H17" s="437" t="s">
        <v>1433</v>
      </c>
      <c r="I17" s="437"/>
      <c r="J17" s="437"/>
      <c r="K17" s="437" t="s">
        <v>1279</v>
      </c>
      <c r="L17" s="437" t="s">
        <v>1279</v>
      </c>
      <c r="M17" s="437" t="s">
        <v>1433</v>
      </c>
      <c r="N17" s="437"/>
      <c r="O17" s="437"/>
      <c r="P17" s="437" t="s">
        <v>1279</v>
      </c>
      <c r="Q17" s="437" t="s">
        <v>1279</v>
      </c>
      <c r="R17" s="437" t="s">
        <v>1433</v>
      </c>
      <c r="S17" s="437"/>
      <c r="T17" s="437"/>
      <c r="U17" s="437" t="s">
        <v>1433</v>
      </c>
      <c r="V17" s="437" t="s">
        <v>1433</v>
      </c>
      <c r="W17" s="437" t="s">
        <v>1433</v>
      </c>
      <c r="X17" s="437"/>
      <c r="Y17" s="437"/>
      <c r="Z17" s="437" t="s">
        <v>1433</v>
      </c>
      <c r="AA17" s="437" t="s">
        <v>1433</v>
      </c>
      <c r="AB17" s="437" t="s">
        <v>1433</v>
      </c>
      <c r="AC17" s="437"/>
      <c r="AD17" s="437"/>
      <c r="AE17" s="480" t="str">
        <f t="shared" si="0"/>
        <v/>
      </c>
      <c r="AF17" s="480"/>
      <c r="AG17" s="474"/>
    </row>
    <row r="18" s="475" customFormat="1" spans="1:33">
      <c r="A18" s="479"/>
      <c r="B18" s="435"/>
      <c r="C18" s="435"/>
      <c r="D18" s="435"/>
      <c r="E18" s="435"/>
      <c r="F18" s="437" t="s">
        <v>1279</v>
      </c>
      <c r="G18" s="437" t="s">
        <v>1279</v>
      </c>
      <c r="H18" s="437" t="s">
        <v>1433</v>
      </c>
      <c r="I18" s="437"/>
      <c r="J18" s="437"/>
      <c r="K18" s="437" t="s">
        <v>1279</v>
      </c>
      <c r="L18" s="437" t="s">
        <v>1279</v>
      </c>
      <c r="M18" s="437" t="s">
        <v>1433</v>
      </c>
      <c r="N18" s="437"/>
      <c r="O18" s="437"/>
      <c r="P18" s="437" t="s">
        <v>1279</v>
      </c>
      <c r="Q18" s="437" t="s">
        <v>1279</v>
      </c>
      <c r="R18" s="437" t="s">
        <v>1433</v>
      </c>
      <c r="S18" s="437"/>
      <c r="T18" s="437"/>
      <c r="U18" s="437" t="s">
        <v>1433</v>
      </c>
      <c r="V18" s="437" t="s">
        <v>1433</v>
      </c>
      <c r="W18" s="437" t="s">
        <v>1433</v>
      </c>
      <c r="X18" s="437"/>
      <c r="Y18" s="437"/>
      <c r="Z18" s="437" t="s">
        <v>1433</v>
      </c>
      <c r="AA18" s="437" t="s">
        <v>1433</v>
      </c>
      <c r="AB18" s="437" t="s">
        <v>1433</v>
      </c>
      <c r="AC18" s="437"/>
      <c r="AD18" s="437"/>
      <c r="AE18" s="480" t="str">
        <f t="shared" si="0"/>
        <v/>
      </c>
      <c r="AF18" s="480"/>
      <c r="AG18" s="474"/>
    </row>
    <row r="19" s="475" customFormat="1" spans="1:33">
      <c r="A19" s="479"/>
      <c r="B19" s="435"/>
      <c r="C19" s="435"/>
      <c r="D19" s="435"/>
      <c r="E19" s="435"/>
      <c r="F19" s="437" t="s">
        <v>1279</v>
      </c>
      <c r="G19" s="437" t="s">
        <v>1279</v>
      </c>
      <c r="H19" s="437" t="s">
        <v>1433</v>
      </c>
      <c r="I19" s="437"/>
      <c r="J19" s="437"/>
      <c r="K19" s="437" t="s">
        <v>1279</v>
      </c>
      <c r="L19" s="437" t="s">
        <v>1279</v>
      </c>
      <c r="M19" s="437" t="s">
        <v>1433</v>
      </c>
      <c r="N19" s="437"/>
      <c r="O19" s="437"/>
      <c r="P19" s="437" t="s">
        <v>1279</v>
      </c>
      <c r="Q19" s="437" t="s">
        <v>1279</v>
      </c>
      <c r="R19" s="437" t="s">
        <v>1433</v>
      </c>
      <c r="S19" s="437"/>
      <c r="T19" s="437"/>
      <c r="U19" s="437" t="s">
        <v>1433</v>
      </c>
      <c r="V19" s="437" t="s">
        <v>1433</v>
      </c>
      <c r="W19" s="437" t="s">
        <v>1433</v>
      </c>
      <c r="X19" s="437"/>
      <c r="Y19" s="437"/>
      <c r="Z19" s="437" t="s">
        <v>1433</v>
      </c>
      <c r="AA19" s="437" t="s">
        <v>1433</v>
      </c>
      <c r="AB19" s="437" t="s">
        <v>1433</v>
      </c>
      <c r="AC19" s="437"/>
      <c r="AD19" s="437"/>
      <c r="AE19" s="480" t="str">
        <f t="shared" si="0"/>
        <v/>
      </c>
      <c r="AF19" s="480"/>
      <c r="AG19" s="474"/>
    </row>
    <row r="20" s="475" customFormat="1" spans="1:33">
      <c r="A20" s="479"/>
      <c r="B20" s="435"/>
      <c r="C20" s="435"/>
      <c r="D20" s="435"/>
      <c r="E20" s="435"/>
      <c r="F20" s="437" t="s">
        <v>1279</v>
      </c>
      <c r="G20" s="437" t="s">
        <v>1279</v>
      </c>
      <c r="H20" s="437" t="s">
        <v>1433</v>
      </c>
      <c r="I20" s="437"/>
      <c r="J20" s="437"/>
      <c r="K20" s="437" t="s">
        <v>1279</v>
      </c>
      <c r="L20" s="437" t="s">
        <v>1279</v>
      </c>
      <c r="M20" s="437" t="s">
        <v>1433</v>
      </c>
      <c r="N20" s="437"/>
      <c r="O20" s="437"/>
      <c r="P20" s="437" t="s">
        <v>1279</v>
      </c>
      <c r="Q20" s="437" t="s">
        <v>1279</v>
      </c>
      <c r="R20" s="437" t="s">
        <v>1433</v>
      </c>
      <c r="S20" s="437"/>
      <c r="T20" s="437"/>
      <c r="U20" s="437" t="s">
        <v>1433</v>
      </c>
      <c r="V20" s="437" t="s">
        <v>1433</v>
      </c>
      <c r="W20" s="437" t="s">
        <v>1433</v>
      </c>
      <c r="X20" s="437"/>
      <c r="Y20" s="437"/>
      <c r="Z20" s="437" t="s">
        <v>1433</v>
      </c>
      <c r="AA20" s="437" t="s">
        <v>1433</v>
      </c>
      <c r="AB20" s="437" t="s">
        <v>1433</v>
      </c>
      <c r="AC20" s="437"/>
      <c r="AD20" s="437"/>
      <c r="AE20" s="480"/>
      <c r="AF20" s="480"/>
      <c r="AG20" s="474"/>
    </row>
    <row r="21" s="475" customFormat="1" spans="1:33">
      <c r="A21" s="479"/>
      <c r="B21" s="435"/>
      <c r="C21" s="435"/>
      <c r="D21" s="435"/>
      <c r="E21" s="435"/>
      <c r="F21" s="437" t="s">
        <v>1279</v>
      </c>
      <c r="G21" s="437" t="s">
        <v>1279</v>
      </c>
      <c r="H21" s="437" t="s">
        <v>1433</v>
      </c>
      <c r="I21" s="437"/>
      <c r="J21" s="437"/>
      <c r="K21" s="437" t="s">
        <v>1279</v>
      </c>
      <c r="L21" s="437" t="s">
        <v>1279</v>
      </c>
      <c r="M21" s="437" t="s">
        <v>1433</v>
      </c>
      <c r="N21" s="437"/>
      <c r="O21" s="437"/>
      <c r="P21" s="437" t="s">
        <v>1279</v>
      </c>
      <c r="Q21" s="437" t="s">
        <v>1279</v>
      </c>
      <c r="R21" s="437" t="s">
        <v>1433</v>
      </c>
      <c r="S21" s="437"/>
      <c r="T21" s="437"/>
      <c r="U21" s="437" t="s">
        <v>1433</v>
      </c>
      <c r="V21" s="437" t="s">
        <v>1433</v>
      </c>
      <c r="W21" s="437" t="s">
        <v>1433</v>
      </c>
      <c r="X21" s="437"/>
      <c r="Y21" s="437"/>
      <c r="Z21" s="437" t="s">
        <v>1433</v>
      </c>
      <c r="AA21" s="437" t="s">
        <v>1433</v>
      </c>
      <c r="AB21" s="437" t="s">
        <v>1433</v>
      </c>
      <c r="AC21" s="437"/>
      <c r="AD21" s="437"/>
      <c r="AE21" s="480"/>
      <c r="AF21" s="480"/>
      <c r="AG21" s="474"/>
    </row>
    <row r="22" s="475" customFormat="1" spans="1:33">
      <c r="A22" s="479"/>
      <c r="B22" s="435"/>
      <c r="C22" s="435"/>
      <c r="D22" s="435"/>
      <c r="E22" s="435"/>
      <c r="F22" s="437" t="s">
        <v>1279</v>
      </c>
      <c r="G22" s="437" t="s">
        <v>1279</v>
      </c>
      <c r="H22" s="437" t="s">
        <v>1433</v>
      </c>
      <c r="I22" s="437"/>
      <c r="J22" s="437"/>
      <c r="K22" s="437" t="s">
        <v>1279</v>
      </c>
      <c r="L22" s="437" t="s">
        <v>1279</v>
      </c>
      <c r="M22" s="437" t="s">
        <v>1433</v>
      </c>
      <c r="N22" s="437"/>
      <c r="O22" s="437"/>
      <c r="P22" s="437" t="s">
        <v>1279</v>
      </c>
      <c r="Q22" s="437" t="s">
        <v>1279</v>
      </c>
      <c r="R22" s="437" t="s">
        <v>1433</v>
      </c>
      <c r="S22" s="437"/>
      <c r="T22" s="437"/>
      <c r="U22" s="437" t="s">
        <v>1433</v>
      </c>
      <c r="V22" s="437" t="s">
        <v>1433</v>
      </c>
      <c r="W22" s="437" t="s">
        <v>1433</v>
      </c>
      <c r="X22" s="437"/>
      <c r="Y22" s="437"/>
      <c r="Z22" s="437" t="s">
        <v>1433</v>
      </c>
      <c r="AA22" s="437" t="s">
        <v>1433</v>
      </c>
      <c r="AB22" s="437" t="s">
        <v>1433</v>
      </c>
      <c r="AC22" s="437"/>
      <c r="AD22" s="437"/>
      <c r="AE22" s="480"/>
      <c r="AF22" s="480"/>
      <c r="AG22" s="474"/>
    </row>
    <row r="23" s="474" customFormat="1" spans="1:33">
      <c r="A23" s="479"/>
      <c r="B23" s="435"/>
      <c r="C23" s="435"/>
      <c r="D23" s="435"/>
      <c r="E23" s="435"/>
      <c r="F23" s="437" t="s">
        <v>1279</v>
      </c>
      <c r="G23" s="437" t="s">
        <v>1279</v>
      </c>
      <c r="H23" s="437" t="s">
        <v>1433</v>
      </c>
      <c r="I23" s="437"/>
      <c r="J23" s="437"/>
      <c r="K23" s="437" t="s">
        <v>1279</v>
      </c>
      <c r="L23" s="437" t="s">
        <v>1279</v>
      </c>
      <c r="M23" s="437" t="s">
        <v>1433</v>
      </c>
      <c r="N23" s="437"/>
      <c r="O23" s="437"/>
      <c r="P23" s="437" t="s">
        <v>1279</v>
      </c>
      <c r="Q23" s="437" t="s">
        <v>1279</v>
      </c>
      <c r="R23" s="437" t="s">
        <v>1433</v>
      </c>
      <c r="S23" s="437"/>
      <c r="T23" s="437"/>
      <c r="U23" s="437" t="s">
        <v>1433</v>
      </c>
      <c r="V23" s="437" t="s">
        <v>1433</v>
      </c>
      <c r="W23" s="437" t="s">
        <v>1433</v>
      </c>
      <c r="X23" s="437"/>
      <c r="Y23" s="437"/>
      <c r="Z23" s="437" t="s">
        <v>1433</v>
      </c>
      <c r="AA23" s="437" t="s">
        <v>1433</v>
      </c>
      <c r="AB23" s="437" t="s">
        <v>1433</v>
      </c>
      <c r="AC23" s="437"/>
      <c r="AD23" s="437"/>
      <c r="AE23" s="480" t="str">
        <f>D23&amp;E23</f>
        <v/>
      </c>
      <c r="AF23" s="480"/>
    </row>
    <row r="24" s="475" customFormat="1" spans="1:33">
      <c r="A24" s="479"/>
      <c r="B24" s="435"/>
      <c r="C24" s="435"/>
      <c r="D24" s="435"/>
      <c r="E24" s="435"/>
      <c r="F24" s="437" t="s">
        <v>1279</v>
      </c>
      <c r="G24" s="437" t="s">
        <v>1279</v>
      </c>
      <c r="H24" s="437" t="s">
        <v>1433</v>
      </c>
      <c r="I24" s="437"/>
      <c r="J24" s="437"/>
      <c r="K24" s="437" t="s">
        <v>1279</v>
      </c>
      <c r="L24" s="437" t="s">
        <v>1279</v>
      </c>
      <c r="M24" s="437" t="s">
        <v>1433</v>
      </c>
      <c r="N24" s="437"/>
      <c r="O24" s="437"/>
      <c r="P24" s="437" t="s">
        <v>1279</v>
      </c>
      <c r="Q24" s="437" t="s">
        <v>1279</v>
      </c>
      <c r="R24" s="437" t="s">
        <v>1433</v>
      </c>
      <c r="S24" s="437"/>
      <c r="T24" s="437"/>
      <c r="U24" s="437" t="s">
        <v>1433</v>
      </c>
      <c r="V24" s="437" t="s">
        <v>1433</v>
      </c>
      <c r="W24" s="437" t="s">
        <v>1433</v>
      </c>
      <c r="X24" s="437"/>
      <c r="Y24" s="437"/>
      <c r="Z24" s="437" t="s">
        <v>1433</v>
      </c>
      <c r="AA24" s="437" t="s">
        <v>1433</v>
      </c>
      <c r="AB24" s="437" t="s">
        <v>1433</v>
      </c>
      <c r="AC24" s="437"/>
      <c r="AD24" s="437"/>
      <c r="AE24" s="480" t="str">
        <f>D24&amp;E24</f>
        <v/>
      </c>
      <c r="AF24" s="480"/>
      <c r="AG24" s="474"/>
    </row>
  </sheetData>
  <mergeCells count="9">
    <mergeCell ref="F2:J2"/>
    <mergeCell ref="K2:O2"/>
    <mergeCell ref="P2:T2"/>
    <mergeCell ref="U2:Y2"/>
    <mergeCell ref="Z2:AD2"/>
    <mergeCell ref="B2:B3"/>
    <mergeCell ref="C2:C3"/>
    <mergeCell ref="D2:D3"/>
    <mergeCell ref="E2:E3"/>
  </mergeCells>
  <conditionalFormatting sqref="U2">
    <cfRule type="cellIs" dxfId="0" priority="3" operator="lessThan">
      <formula>0</formula>
    </cfRule>
  </conditionalFormatting>
  <conditionalFormatting sqref="Q3:T3">
    <cfRule type="cellIs" dxfId="0" priority="5" operator="lessThan">
      <formula>0</formula>
    </cfRule>
  </conditionalFormatting>
  <conditionalFormatting sqref="U3:Y3">
    <cfRule type="cellIs" dxfId="0" priority="2" operator="lessThan">
      <formula>0</formula>
    </cfRule>
  </conditionalFormatting>
  <conditionalFormatting sqref="A2 AG2:XFD2 A3 F3:J3 L3:O3 Z3:AD3 AG3:XFD24">
    <cfRule type="cellIs" dxfId="0" priority="159" operator="lessThan">
      <formula>0</formula>
    </cfRule>
  </conditionalFormatting>
  <conditionalFormatting sqref="B2:F2 K2 Z2 K3">
    <cfRule type="cellIs" dxfId="0" priority="160" operator="lessThan">
      <formula>0</formula>
    </cfRule>
  </conditionalFormatting>
  <conditionalFormatting sqref="P2 P3">
    <cfRule type="cellIs" dxfId="0" priority="6" operator="lessThan">
      <formula>0</formula>
    </cfRule>
  </conditionalFormatting>
  <conditionalFormatting sqref="B3 D3">
    <cfRule type="cellIs" dxfId="0" priority="161" operator="lessThan">
      <formula>0</formula>
    </cfRule>
  </conditionalFormatting>
  <conditionalFormatting sqref="A4:O24 Z4:AD24">
    <cfRule type="cellIs" dxfId="0" priority="7" operator="lessThan">
      <formula>0</formula>
    </cfRule>
  </conditionalFormatting>
  <conditionalFormatting sqref="P4:T24">
    <cfRule type="cellIs" dxfId="0" priority="4" operator="lessThan">
      <formula>0</formula>
    </cfRule>
  </conditionalFormatting>
  <conditionalFormatting sqref="U4:Y24">
    <cfRule type="cellIs" dxfId="0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2" tint="-0.249977111117893"/>
  </sheetPr>
  <dimension ref="A1:AD9"/>
  <sheetViews>
    <sheetView zoomScale="85" zoomScaleNormal="85" workbookViewId="0">
      <selection activeCell="Z17" sqref="Z17"/>
    </sheetView>
  </sheetViews>
  <sheetFormatPr defaultColWidth="8.90740740740741" defaultRowHeight="14.4"/>
  <cols>
    <col min="1" max="1" width="5.62962962962963" customWidth="1"/>
    <col min="2" max="2" width="11.9074074074074" customWidth="1"/>
    <col min="3" max="3" width="20" customWidth="1"/>
    <col min="4" max="4" width="13.0925925925926" customWidth="1"/>
    <col min="5" max="5" width="9.62962962962963" customWidth="1"/>
    <col min="6" max="6" width="5.62962962962963" customWidth="1"/>
    <col min="7" max="7" width="11.9074074074074" customWidth="1"/>
    <col min="8" max="8" width="7.36111111111111" customWidth="1"/>
    <col min="9" max="11" width="5.62962962962963" customWidth="1"/>
    <col min="12" max="12" width="10.1944444444444" customWidth="1"/>
    <col min="13" max="15" width="9.62962962962963" customWidth="1"/>
    <col min="16" max="19" width="8.81481481481481" customWidth="1"/>
    <col min="20" max="20" width="12.8148148148148" customWidth="1"/>
    <col min="21" max="21" width="8.81481481481481" customWidth="1"/>
    <col min="22" max="22" width="12.8148148148148" customWidth="1"/>
    <col min="23" max="23" width="8.81481481481481" customWidth="1"/>
    <col min="24" max="24" width="15.3611111111111" customWidth="1"/>
    <col min="25" max="26" width="10.8148148148148" customWidth="1"/>
    <col min="27" max="27" width="8.81481481481481" customWidth="1"/>
    <col min="28" max="30" width="10.8148148148148" customWidth="1"/>
  </cols>
  <sheetData>
    <row r="1" spans="1:30">
      <c r="A1" s="61" t="s">
        <v>100</v>
      </c>
      <c r="B1" s="461" t="s">
        <v>1446</v>
      </c>
      <c r="C1" s="462" t="s">
        <v>1447</v>
      </c>
      <c r="D1" s="158"/>
      <c r="E1" s="158"/>
    </row>
    <row r="2" spans="1:30">
      <c r="B2" s="461" t="s">
        <v>1448</v>
      </c>
      <c r="C2" s="462">
        <v>2026</v>
      </c>
      <c r="D2" s="461" t="s">
        <v>1449</v>
      </c>
      <c r="E2" s="158" t="s">
        <v>1450</v>
      </c>
    </row>
    <row r="3" spans="1:30">
      <c r="B3" s="461" t="s">
        <v>1451</v>
      </c>
      <c r="C3" s="462" t="s">
        <v>1452</v>
      </c>
      <c r="D3" s="158"/>
      <c r="E3" s="158"/>
    </row>
    <row r="4" spans="1:30">
      <c r="B4" s="461" t="s">
        <v>1453</v>
      </c>
      <c r="C4" s="463" t="s">
        <v>1454</v>
      </c>
      <c r="D4" s="158"/>
      <c r="E4" s="158"/>
    </row>
    <row r="5" spans="1:30">
      <c r="B5" s="461" t="s">
        <v>1455</v>
      </c>
      <c r="C5" s="462" t="s">
        <v>1456</v>
      </c>
      <c r="D5" s="158"/>
      <c r="E5" s="158"/>
    </row>
    <row r="7" s="459" customFormat="1" ht="27" customHeight="1" spans="1:30">
      <c r="A7" s="464" t="s">
        <v>1457</v>
      </c>
      <c r="B7" s="464" t="s">
        <v>103</v>
      </c>
      <c r="C7" s="464" t="s">
        <v>1120</v>
      </c>
      <c r="D7" s="465" t="s">
        <v>1458</v>
      </c>
      <c r="E7" s="465" t="s">
        <v>1459</v>
      </c>
      <c r="F7" s="465" t="s">
        <v>1460</v>
      </c>
      <c r="G7" s="465" t="s">
        <v>1461</v>
      </c>
      <c r="H7" s="465" t="s">
        <v>1462</v>
      </c>
      <c r="I7" s="465" t="s">
        <v>1463</v>
      </c>
      <c r="J7" s="465" t="s">
        <v>291</v>
      </c>
      <c r="K7" s="465" t="s">
        <v>292</v>
      </c>
      <c r="L7" s="465" t="s">
        <v>1464</v>
      </c>
      <c r="M7" s="466" t="s">
        <v>1465</v>
      </c>
      <c r="N7" s="466" t="s">
        <v>1466</v>
      </c>
      <c r="O7" s="466" t="s">
        <v>1467</v>
      </c>
      <c r="P7" s="467" t="s">
        <v>1468</v>
      </c>
      <c r="Q7" s="467" t="s">
        <v>1469</v>
      </c>
      <c r="R7" s="467" t="s">
        <v>1470</v>
      </c>
      <c r="S7" s="467" t="s">
        <v>1471</v>
      </c>
      <c r="T7" s="468" t="s">
        <v>1472</v>
      </c>
      <c r="U7" s="469" t="s">
        <v>1473</v>
      </c>
      <c r="V7" s="470" t="s">
        <v>1474</v>
      </c>
      <c r="W7" s="470" t="s">
        <v>1475</v>
      </c>
      <c r="X7" s="470" t="s">
        <v>1476</v>
      </c>
      <c r="Y7" s="470" t="s">
        <v>1477</v>
      </c>
      <c r="Z7" s="470" t="s">
        <v>1478</v>
      </c>
      <c r="AA7" s="470" t="s">
        <v>1479</v>
      </c>
      <c r="AB7" s="467" t="s">
        <v>1480</v>
      </c>
      <c r="AC7" s="467" t="s">
        <v>1481</v>
      </c>
      <c r="AD7" s="467" t="s">
        <v>1482</v>
      </c>
    </row>
    <row r="8" s="460" customFormat="1" ht="12" spans="1:30">
      <c r="A8" s="471" t="s">
        <v>1483</v>
      </c>
      <c r="B8" s="471" t="s">
        <v>1484</v>
      </c>
      <c r="C8" s="471" t="s">
        <v>1456</v>
      </c>
      <c r="D8" s="471"/>
      <c r="E8" s="471"/>
      <c r="F8" s="471"/>
      <c r="G8" s="471"/>
      <c r="H8" s="471" t="s">
        <v>1485</v>
      </c>
      <c r="I8" s="471" t="s">
        <v>796</v>
      </c>
      <c r="J8" s="471" t="s">
        <v>133</v>
      </c>
      <c r="K8" s="471" t="s">
        <v>126</v>
      </c>
      <c r="L8" s="471" t="s">
        <v>1486</v>
      </c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1"/>
      <c r="Y8" s="471"/>
      <c r="Z8" s="471"/>
      <c r="AA8" s="471"/>
      <c r="AB8" s="471"/>
      <c r="AC8" s="471"/>
      <c r="AD8" s="471"/>
    </row>
    <row r="9" s="460" customFormat="1" ht="19" customHeight="1" spans="1:30">
      <c r="A9" s="471"/>
      <c r="B9" s="471"/>
      <c r="C9" s="471"/>
      <c r="D9" s="472" t="s">
        <v>1487</v>
      </c>
      <c r="E9" s="472" t="s">
        <v>1487</v>
      </c>
      <c r="F9" s="472" t="s">
        <v>1487</v>
      </c>
      <c r="G9" s="472" t="s">
        <v>1487</v>
      </c>
      <c r="H9" s="472" t="s">
        <v>1487</v>
      </c>
      <c r="I9" s="472" t="s">
        <v>1487</v>
      </c>
      <c r="J9" s="472" t="s">
        <v>1487</v>
      </c>
      <c r="K9" s="472" t="s">
        <v>1487</v>
      </c>
      <c r="L9" s="472" t="s">
        <v>1487</v>
      </c>
      <c r="M9" s="472" t="s">
        <v>1279</v>
      </c>
      <c r="N9" s="472" t="s">
        <v>1279</v>
      </c>
      <c r="O9" s="472" t="s">
        <v>1279</v>
      </c>
      <c r="P9" s="472" t="s">
        <v>1279</v>
      </c>
      <c r="Q9" s="472" t="s">
        <v>1279</v>
      </c>
      <c r="R9" s="472" t="s">
        <v>1279</v>
      </c>
      <c r="S9" s="472" t="s">
        <v>1279</v>
      </c>
      <c r="T9" s="472" t="s">
        <v>1279</v>
      </c>
      <c r="U9" s="472" t="s">
        <v>1279</v>
      </c>
      <c r="V9" s="472" t="s">
        <v>1279</v>
      </c>
      <c r="W9" s="472" t="s">
        <v>1279</v>
      </c>
      <c r="X9" s="472" t="s">
        <v>1279</v>
      </c>
      <c r="Y9" s="472" t="s">
        <v>1279</v>
      </c>
      <c r="Z9" s="472" t="s">
        <v>1279</v>
      </c>
      <c r="AA9" s="472" t="s">
        <v>1279</v>
      </c>
      <c r="AB9" s="472" t="s">
        <v>1279</v>
      </c>
      <c r="AC9" s="472" t="s">
        <v>1279</v>
      </c>
      <c r="AD9" s="472" t="s">
        <v>1279</v>
      </c>
    </row>
  </sheetData>
  <conditionalFormatting sqref="M8">
    <cfRule type="cellIs" dxfId="0" priority="18" operator="lessThan">
      <formula>0</formula>
    </cfRule>
  </conditionalFormatting>
  <conditionalFormatting sqref="N8">
    <cfRule type="cellIs" dxfId="0" priority="17" operator="lessThan">
      <formula>0</formula>
    </cfRule>
  </conditionalFormatting>
  <conditionalFormatting sqref="O8">
    <cfRule type="cellIs" dxfId="0" priority="16" operator="lessThan">
      <formula>0</formula>
    </cfRule>
  </conditionalFormatting>
  <conditionalFormatting sqref="Q8">
    <cfRule type="cellIs" dxfId="0" priority="15" operator="lessThan">
      <formula>0</formula>
    </cfRule>
  </conditionalFormatting>
  <conditionalFormatting sqref="R8">
    <cfRule type="cellIs" dxfId="0" priority="14" operator="lessThan">
      <formula>0</formula>
    </cfRule>
  </conditionalFormatting>
  <conditionalFormatting sqref="U8">
    <cfRule type="cellIs" dxfId="0" priority="13" operator="lessThan">
      <formula>0</formula>
    </cfRule>
  </conditionalFormatting>
  <conditionalFormatting sqref="W8">
    <cfRule type="cellIs" dxfId="0" priority="12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>
    <tabColor rgb="FF00B0F0"/>
  </sheetPr>
  <dimension ref="A1:V30"/>
  <sheetViews>
    <sheetView workbookViewId="0">
      <selection activeCell="R11" sqref="R11"/>
    </sheetView>
  </sheetViews>
  <sheetFormatPr defaultColWidth="9" defaultRowHeight="14.4"/>
  <cols>
    <col min="4" max="4" width="10.0925925925926" customWidth="1"/>
  </cols>
  <sheetData>
    <row r="1" spans="1:22">
      <c r="A1" s="61" t="s">
        <v>100</v>
      </c>
    </row>
    <row r="2" spans="1:22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</row>
    <row r="3" ht="14" customHeight="1" spans="1:22">
      <c r="A3" s="427" t="s">
        <v>291</v>
      </c>
      <c r="B3" s="427" t="s">
        <v>295</v>
      </c>
      <c r="C3" s="439" t="s">
        <v>1234</v>
      </c>
      <c r="D3" s="431"/>
      <c r="E3" s="431"/>
      <c r="F3" s="432"/>
      <c r="G3" s="440" t="s">
        <v>1235</v>
      </c>
      <c r="H3" s="429"/>
      <c r="I3" s="429"/>
      <c r="J3" s="441"/>
      <c r="K3" s="440" t="s">
        <v>1236</v>
      </c>
      <c r="L3" s="429"/>
      <c r="M3" s="429"/>
      <c r="N3" s="441"/>
      <c r="O3" s="442" t="s">
        <v>1237</v>
      </c>
      <c r="P3" s="443"/>
      <c r="Q3" s="443"/>
      <c r="R3" s="444"/>
      <c r="S3" s="442" t="s">
        <v>1488</v>
      </c>
      <c r="T3" s="443"/>
      <c r="U3" s="443"/>
      <c r="V3" s="444"/>
    </row>
    <row r="4" spans="1:22">
      <c r="A4" s="445"/>
      <c r="B4" s="445"/>
      <c r="C4" s="446"/>
      <c r="D4" s="447"/>
      <c r="E4" s="447"/>
      <c r="F4" s="448"/>
      <c r="G4" s="449"/>
      <c r="H4" s="450"/>
      <c r="I4" s="450"/>
      <c r="J4" s="451"/>
      <c r="K4" s="449"/>
      <c r="L4" s="450"/>
      <c r="M4" s="450"/>
      <c r="N4" s="451"/>
      <c r="O4" s="452"/>
      <c r="P4" s="453"/>
      <c r="Q4" s="453"/>
      <c r="R4" s="454"/>
      <c r="S4" s="452"/>
      <c r="T4" s="453"/>
      <c r="U4" s="453"/>
      <c r="V4" s="454"/>
    </row>
    <row r="5" spans="1:22">
      <c r="A5" s="455"/>
      <c r="B5" s="455"/>
      <c r="C5" s="456" t="s">
        <v>1489</v>
      </c>
      <c r="D5" s="457" t="s">
        <v>1183</v>
      </c>
      <c r="E5" s="456" t="s">
        <v>1429</v>
      </c>
      <c r="F5" s="456" t="s">
        <v>1148</v>
      </c>
      <c r="G5" s="445" t="s">
        <v>1489</v>
      </c>
      <c r="H5" s="457" t="s">
        <v>1183</v>
      </c>
      <c r="I5" s="445" t="s">
        <v>1429</v>
      </c>
      <c r="J5" s="445" t="s">
        <v>1148</v>
      </c>
      <c r="K5" s="445" t="s">
        <v>1489</v>
      </c>
      <c r="L5" s="457" t="s">
        <v>1183</v>
      </c>
      <c r="M5" s="445" t="s">
        <v>1429</v>
      </c>
      <c r="N5" s="445" t="s">
        <v>1148</v>
      </c>
      <c r="O5" s="458" t="s">
        <v>1489</v>
      </c>
      <c r="P5" s="457" t="s">
        <v>1183</v>
      </c>
      <c r="Q5" s="458" t="s">
        <v>1429</v>
      </c>
      <c r="R5" s="458" t="s">
        <v>1148</v>
      </c>
      <c r="S5" s="458" t="s">
        <v>1489</v>
      </c>
      <c r="T5" s="457" t="s">
        <v>1183</v>
      </c>
      <c r="U5" s="458" t="s">
        <v>1429</v>
      </c>
      <c r="V5" s="458" t="s">
        <v>1148</v>
      </c>
    </row>
    <row r="6" spans="1:22">
      <c r="A6" s="158" t="s">
        <v>1490</v>
      </c>
      <c r="B6" s="158" t="s">
        <v>1491</v>
      </c>
      <c r="C6" s="437" t="s">
        <v>1279</v>
      </c>
      <c r="D6" s="437" t="s">
        <v>1279</v>
      </c>
      <c r="E6" s="437" t="s">
        <v>1279</v>
      </c>
      <c r="F6" s="437" t="s">
        <v>1433</v>
      </c>
      <c r="G6" s="437" t="s">
        <v>1487</v>
      </c>
      <c r="H6" s="437" t="s">
        <v>1487</v>
      </c>
      <c r="I6" s="437" t="s">
        <v>1487</v>
      </c>
      <c r="J6" s="437" t="s">
        <v>1487</v>
      </c>
      <c r="K6" s="437" t="s">
        <v>1487</v>
      </c>
      <c r="L6" s="437" t="s">
        <v>1487</v>
      </c>
      <c r="M6" s="437" t="s">
        <v>1487</v>
      </c>
      <c r="N6" s="437" t="s">
        <v>1487</v>
      </c>
      <c r="O6" s="437" t="s">
        <v>1433</v>
      </c>
      <c r="P6" s="437" t="s">
        <v>1433</v>
      </c>
      <c r="Q6" s="437" t="s">
        <v>1433</v>
      </c>
      <c r="R6" s="437" t="s">
        <v>1433</v>
      </c>
      <c r="S6" s="437" t="s">
        <v>1433</v>
      </c>
      <c r="T6" s="437" t="s">
        <v>1433</v>
      </c>
      <c r="U6" s="437" t="s">
        <v>1433</v>
      </c>
      <c r="V6" s="437" t="s">
        <v>1433</v>
      </c>
    </row>
    <row r="7" spans="1:22">
      <c r="A7" s="158"/>
      <c r="B7" s="158" t="s">
        <v>1492</v>
      </c>
      <c r="C7" s="437" t="s">
        <v>1279</v>
      </c>
      <c r="D7" s="437" t="s">
        <v>1279</v>
      </c>
      <c r="E7" s="437" t="s">
        <v>1279</v>
      </c>
      <c r="F7" s="437" t="s">
        <v>1433</v>
      </c>
      <c r="G7" s="437" t="s">
        <v>1487</v>
      </c>
      <c r="H7" s="437" t="s">
        <v>1487</v>
      </c>
      <c r="I7" s="437" t="s">
        <v>1487</v>
      </c>
      <c r="J7" s="437" t="s">
        <v>1487</v>
      </c>
      <c r="K7" s="437" t="s">
        <v>1487</v>
      </c>
      <c r="L7" s="437" t="s">
        <v>1487</v>
      </c>
      <c r="M7" s="437" t="s">
        <v>1487</v>
      </c>
      <c r="N7" s="437" t="s">
        <v>1487</v>
      </c>
      <c r="O7" s="437" t="s">
        <v>1433</v>
      </c>
      <c r="P7" s="437" t="s">
        <v>1433</v>
      </c>
      <c r="Q7" s="437" t="s">
        <v>1433</v>
      </c>
      <c r="R7" s="437" t="s">
        <v>1433</v>
      </c>
      <c r="S7" s="437" t="s">
        <v>1433</v>
      </c>
      <c r="T7" s="437" t="s">
        <v>1433</v>
      </c>
      <c r="U7" s="437" t="s">
        <v>1433</v>
      </c>
      <c r="V7" s="437" t="s">
        <v>1433</v>
      </c>
    </row>
    <row r="8" spans="1:22">
      <c r="A8" s="158"/>
      <c r="B8" s="158"/>
      <c r="C8" s="437" t="s">
        <v>1279</v>
      </c>
      <c r="D8" s="437" t="s">
        <v>1279</v>
      </c>
      <c r="E8" s="437" t="s">
        <v>1279</v>
      </c>
      <c r="F8" s="437" t="s">
        <v>1433</v>
      </c>
      <c r="G8" s="437" t="s">
        <v>1487</v>
      </c>
      <c r="H8" s="437" t="s">
        <v>1487</v>
      </c>
      <c r="I8" s="437" t="s">
        <v>1487</v>
      </c>
      <c r="J8" s="437" t="s">
        <v>1487</v>
      </c>
      <c r="K8" s="437" t="s">
        <v>1487</v>
      </c>
      <c r="L8" s="437" t="s">
        <v>1487</v>
      </c>
      <c r="M8" s="437" t="s">
        <v>1487</v>
      </c>
      <c r="N8" s="437" t="s">
        <v>1487</v>
      </c>
      <c r="O8" s="437" t="s">
        <v>1433</v>
      </c>
      <c r="P8" s="437" t="s">
        <v>1433</v>
      </c>
      <c r="Q8" s="437" t="s">
        <v>1433</v>
      </c>
      <c r="R8" s="437" t="s">
        <v>1433</v>
      </c>
      <c r="S8" s="437" t="s">
        <v>1433</v>
      </c>
      <c r="T8" s="437" t="s">
        <v>1433</v>
      </c>
      <c r="U8" s="437" t="s">
        <v>1433</v>
      </c>
      <c r="V8" s="437" t="s">
        <v>1433</v>
      </c>
    </row>
    <row r="9" spans="1:22">
      <c r="A9" s="158"/>
      <c r="B9" s="158"/>
      <c r="C9" s="437" t="s">
        <v>1279</v>
      </c>
      <c r="D9" s="437" t="s">
        <v>1279</v>
      </c>
      <c r="E9" s="437" t="s">
        <v>1279</v>
      </c>
      <c r="F9" s="437" t="s">
        <v>1433</v>
      </c>
      <c r="G9" s="437" t="s">
        <v>1487</v>
      </c>
      <c r="H9" s="437" t="s">
        <v>1487</v>
      </c>
      <c r="I9" s="437" t="s">
        <v>1487</v>
      </c>
      <c r="J9" s="437" t="s">
        <v>1487</v>
      </c>
      <c r="K9" s="437" t="s">
        <v>1487</v>
      </c>
      <c r="L9" s="437" t="s">
        <v>1487</v>
      </c>
      <c r="M9" s="437" t="s">
        <v>1487</v>
      </c>
      <c r="N9" s="437" t="s">
        <v>1487</v>
      </c>
      <c r="O9" s="437" t="s">
        <v>1433</v>
      </c>
      <c r="P9" s="437" t="s">
        <v>1433</v>
      </c>
      <c r="Q9" s="437" t="s">
        <v>1433</v>
      </c>
      <c r="R9" s="437" t="s">
        <v>1433</v>
      </c>
      <c r="S9" s="437" t="s">
        <v>1433</v>
      </c>
      <c r="T9" s="437" t="s">
        <v>1433</v>
      </c>
      <c r="U9" s="437" t="s">
        <v>1433</v>
      </c>
      <c r="V9" s="437" t="s">
        <v>1433</v>
      </c>
    </row>
    <row r="10" spans="1:22">
      <c r="A10" s="158"/>
      <c r="B10" s="158"/>
      <c r="C10" s="437" t="s">
        <v>1279</v>
      </c>
      <c r="D10" s="437" t="s">
        <v>1279</v>
      </c>
      <c r="E10" s="437" t="s">
        <v>1279</v>
      </c>
      <c r="F10" s="437" t="s">
        <v>1433</v>
      </c>
      <c r="G10" s="437" t="s">
        <v>1487</v>
      </c>
      <c r="H10" s="437" t="s">
        <v>1487</v>
      </c>
      <c r="I10" s="437" t="s">
        <v>1487</v>
      </c>
      <c r="J10" s="437" t="s">
        <v>1487</v>
      </c>
      <c r="K10" s="437" t="s">
        <v>1487</v>
      </c>
      <c r="L10" s="437" t="s">
        <v>1487</v>
      </c>
      <c r="M10" s="437" t="s">
        <v>1487</v>
      </c>
      <c r="N10" s="437" t="s">
        <v>1487</v>
      </c>
      <c r="O10" s="437" t="s">
        <v>1433</v>
      </c>
      <c r="P10" s="437" t="s">
        <v>1433</v>
      </c>
      <c r="Q10" s="437" t="s">
        <v>1433</v>
      </c>
      <c r="R10" s="437" t="s">
        <v>1433</v>
      </c>
      <c r="S10" s="437" t="s">
        <v>1433</v>
      </c>
      <c r="T10" s="437" t="s">
        <v>1433</v>
      </c>
      <c r="U10" s="437" t="s">
        <v>1433</v>
      </c>
      <c r="V10" s="437" t="s">
        <v>1433</v>
      </c>
    </row>
    <row r="11" spans="1:22">
      <c r="A11" s="158"/>
      <c r="B11" s="158"/>
      <c r="C11" s="437" t="s">
        <v>1279</v>
      </c>
      <c r="D11" s="437" t="s">
        <v>1279</v>
      </c>
      <c r="E11" s="437" t="s">
        <v>1279</v>
      </c>
      <c r="F11" s="437" t="s">
        <v>1433</v>
      </c>
      <c r="G11" s="437" t="s">
        <v>1487</v>
      </c>
      <c r="H11" s="437" t="s">
        <v>1487</v>
      </c>
      <c r="I11" s="437" t="s">
        <v>1487</v>
      </c>
      <c r="J11" s="437" t="s">
        <v>1487</v>
      </c>
      <c r="K11" s="437" t="s">
        <v>1487</v>
      </c>
      <c r="L11" s="437" t="s">
        <v>1487</v>
      </c>
      <c r="M11" s="437" t="s">
        <v>1487</v>
      </c>
      <c r="N11" s="437" t="s">
        <v>1487</v>
      </c>
      <c r="O11" s="437" t="s">
        <v>1433</v>
      </c>
      <c r="P11" s="437" t="s">
        <v>1433</v>
      </c>
      <c r="Q11" s="437" t="s">
        <v>1433</v>
      </c>
      <c r="R11" s="437" t="s">
        <v>1433</v>
      </c>
      <c r="S11" s="437" t="s">
        <v>1433</v>
      </c>
      <c r="T11" s="437" t="s">
        <v>1433</v>
      </c>
      <c r="U11" s="437" t="s">
        <v>1433</v>
      </c>
      <c r="V11" s="437" t="s">
        <v>1433</v>
      </c>
    </row>
    <row r="12" spans="1:22">
      <c r="A12" s="158"/>
      <c r="B12" s="158"/>
      <c r="C12" s="437" t="s">
        <v>1279</v>
      </c>
      <c r="D12" s="437" t="s">
        <v>1279</v>
      </c>
      <c r="E12" s="437" t="s">
        <v>1279</v>
      </c>
      <c r="F12" s="437" t="s">
        <v>1433</v>
      </c>
      <c r="G12" s="437" t="s">
        <v>1487</v>
      </c>
      <c r="H12" s="437" t="s">
        <v>1487</v>
      </c>
      <c r="I12" s="437" t="s">
        <v>1487</v>
      </c>
      <c r="J12" s="437" t="s">
        <v>1487</v>
      </c>
      <c r="K12" s="437" t="s">
        <v>1487</v>
      </c>
      <c r="L12" s="437" t="s">
        <v>1487</v>
      </c>
      <c r="M12" s="437" t="s">
        <v>1487</v>
      </c>
      <c r="N12" s="437" t="s">
        <v>1487</v>
      </c>
      <c r="O12" s="437" t="s">
        <v>1433</v>
      </c>
      <c r="P12" s="437" t="s">
        <v>1433</v>
      </c>
      <c r="Q12" s="437" t="s">
        <v>1433</v>
      </c>
      <c r="R12" s="437" t="s">
        <v>1433</v>
      </c>
      <c r="S12" s="437" t="s">
        <v>1433</v>
      </c>
      <c r="T12" s="437" t="s">
        <v>1433</v>
      </c>
      <c r="U12" s="437" t="s">
        <v>1433</v>
      </c>
      <c r="V12" s="437" t="s">
        <v>1433</v>
      </c>
    </row>
    <row r="13" spans="1:22">
      <c r="A13" s="158"/>
      <c r="B13" s="158"/>
      <c r="C13" s="437" t="s">
        <v>1279</v>
      </c>
      <c r="D13" s="437" t="s">
        <v>1279</v>
      </c>
      <c r="E13" s="437" t="s">
        <v>1279</v>
      </c>
      <c r="F13" s="437" t="s">
        <v>1433</v>
      </c>
      <c r="G13" s="437" t="s">
        <v>1487</v>
      </c>
      <c r="H13" s="437" t="s">
        <v>1487</v>
      </c>
      <c r="I13" s="437" t="s">
        <v>1487</v>
      </c>
      <c r="J13" s="437" t="s">
        <v>1487</v>
      </c>
      <c r="K13" s="437" t="s">
        <v>1487</v>
      </c>
      <c r="L13" s="437" t="s">
        <v>1487</v>
      </c>
      <c r="M13" s="437" t="s">
        <v>1487</v>
      </c>
      <c r="N13" s="437" t="s">
        <v>1487</v>
      </c>
      <c r="O13" s="437" t="s">
        <v>1433</v>
      </c>
      <c r="P13" s="437" t="s">
        <v>1433</v>
      </c>
      <c r="Q13" s="437" t="s">
        <v>1433</v>
      </c>
      <c r="R13" s="437" t="s">
        <v>1433</v>
      </c>
      <c r="S13" s="437" t="s">
        <v>1433</v>
      </c>
      <c r="T13" s="437" t="s">
        <v>1433</v>
      </c>
      <c r="U13" s="437" t="s">
        <v>1433</v>
      </c>
      <c r="V13" s="437" t="s">
        <v>1433</v>
      </c>
    </row>
    <row r="14" spans="1:22">
      <c r="A14" s="158"/>
      <c r="B14" s="158"/>
      <c r="C14" s="437" t="s">
        <v>1279</v>
      </c>
      <c r="D14" s="437" t="s">
        <v>1279</v>
      </c>
      <c r="E14" s="437" t="s">
        <v>1279</v>
      </c>
      <c r="F14" s="437" t="s">
        <v>1433</v>
      </c>
      <c r="G14" s="437" t="s">
        <v>1487</v>
      </c>
      <c r="H14" s="437" t="s">
        <v>1487</v>
      </c>
      <c r="I14" s="437" t="s">
        <v>1487</v>
      </c>
      <c r="J14" s="437" t="s">
        <v>1487</v>
      </c>
      <c r="K14" s="437" t="s">
        <v>1487</v>
      </c>
      <c r="L14" s="437" t="s">
        <v>1487</v>
      </c>
      <c r="M14" s="437" t="s">
        <v>1487</v>
      </c>
      <c r="N14" s="437" t="s">
        <v>1487</v>
      </c>
      <c r="O14" s="437" t="s">
        <v>1433</v>
      </c>
      <c r="P14" s="437" t="s">
        <v>1433</v>
      </c>
      <c r="Q14" s="437" t="s">
        <v>1433</v>
      </c>
      <c r="R14" s="437" t="s">
        <v>1433</v>
      </c>
      <c r="S14" s="437" t="s">
        <v>1433</v>
      </c>
      <c r="T14" s="437" t="s">
        <v>1433</v>
      </c>
      <c r="U14" s="437" t="s">
        <v>1433</v>
      </c>
      <c r="V14" s="437" t="s">
        <v>1433</v>
      </c>
    </row>
    <row r="15" spans="1:22">
      <c r="A15" s="158"/>
      <c r="B15" s="158"/>
      <c r="C15" s="437" t="s">
        <v>1279</v>
      </c>
      <c r="D15" s="437" t="s">
        <v>1279</v>
      </c>
      <c r="E15" s="437" t="s">
        <v>1279</v>
      </c>
      <c r="F15" s="437" t="s">
        <v>1433</v>
      </c>
      <c r="G15" s="437" t="s">
        <v>1487</v>
      </c>
      <c r="H15" s="437" t="s">
        <v>1487</v>
      </c>
      <c r="I15" s="437" t="s">
        <v>1487</v>
      </c>
      <c r="J15" s="437" t="s">
        <v>1487</v>
      </c>
      <c r="K15" s="437" t="s">
        <v>1487</v>
      </c>
      <c r="L15" s="437" t="s">
        <v>1487</v>
      </c>
      <c r="M15" s="437" t="s">
        <v>1487</v>
      </c>
      <c r="N15" s="437" t="s">
        <v>1487</v>
      </c>
      <c r="O15" s="437" t="s">
        <v>1433</v>
      </c>
      <c r="P15" s="437" t="s">
        <v>1433</v>
      </c>
      <c r="Q15" s="437" t="s">
        <v>1433</v>
      </c>
      <c r="R15" s="437" t="s">
        <v>1433</v>
      </c>
      <c r="S15" s="437" t="s">
        <v>1433</v>
      </c>
      <c r="T15" s="437" t="s">
        <v>1433</v>
      </c>
      <c r="U15" s="437" t="s">
        <v>1433</v>
      </c>
      <c r="V15" s="437" t="s">
        <v>1433</v>
      </c>
    </row>
    <row r="16" spans="1:22">
      <c r="A16" s="158"/>
      <c r="B16" s="158"/>
      <c r="C16" s="437" t="s">
        <v>1279</v>
      </c>
      <c r="D16" s="437" t="s">
        <v>1279</v>
      </c>
      <c r="E16" s="437" t="s">
        <v>1279</v>
      </c>
      <c r="F16" s="437" t="s">
        <v>1433</v>
      </c>
      <c r="G16" s="437" t="s">
        <v>1487</v>
      </c>
      <c r="H16" s="437" t="s">
        <v>1487</v>
      </c>
      <c r="I16" s="437" t="s">
        <v>1487</v>
      </c>
      <c r="J16" s="437" t="s">
        <v>1487</v>
      </c>
      <c r="K16" s="437" t="s">
        <v>1487</v>
      </c>
      <c r="L16" s="437" t="s">
        <v>1487</v>
      </c>
      <c r="M16" s="437" t="s">
        <v>1487</v>
      </c>
      <c r="N16" s="437" t="s">
        <v>1487</v>
      </c>
      <c r="O16" s="437" t="s">
        <v>1433</v>
      </c>
      <c r="P16" s="437" t="s">
        <v>1433</v>
      </c>
      <c r="Q16" s="437" t="s">
        <v>1433</v>
      </c>
      <c r="R16" s="437" t="s">
        <v>1433</v>
      </c>
      <c r="S16" s="437" t="s">
        <v>1433</v>
      </c>
      <c r="T16" s="437" t="s">
        <v>1433</v>
      </c>
      <c r="U16" s="437" t="s">
        <v>1433</v>
      </c>
      <c r="V16" s="437" t="s">
        <v>1433</v>
      </c>
    </row>
    <row r="17" spans="1:22">
      <c r="A17" s="158"/>
      <c r="B17" s="158"/>
      <c r="C17" s="437" t="s">
        <v>1279</v>
      </c>
      <c r="D17" s="437" t="s">
        <v>1279</v>
      </c>
      <c r="E17" s="437" t="s">
        <v>1279</v>
      </c>
      <c r="F17" s="437" t="s">
        <v>1433</v>
      </c>
      <c r="G17" s="437" t="s">
        <v>1487</v>
      </c>
      <c r="H17" s="437" t="s">
        <v>1487</v>
      </c>
      <c r="I17" s="437" t="s">
        <v>1487</v>
      </c>
      <c r="J17" s="437" t="s">
        <v>1487</v>
      </c>
      <c r="K17" s="437" t="s">
        <v>1487</v>
      </c>
      <c r="L17" s="437" t="s">
        <v>1487</v>
      </c>
      <c r="M17" s="437" t="s">
        <v>1487</v>
      </c>
      <c r="N17" s="437" t="s">
        <v>1487</v>
      </c>
      <c r="O17" s="437" t="s">
        <v>1433</v>
      </c>
      <c r="P17" s="437" t="s">
        <v>1433</v>
      </c>
      <c r="Q17" s="437" t="s">
        <v>1433</v>
      </c>
      <c r="R17" s="437" t="s">
        <v>1433</v>
      </c>
      <c r="S17" s="437" t="s">
        <v>1433</v>
      </c>
      <c r="T17" s="437" t="s">
        <v>1433</v>
      </c>
      <c r="U17" s="437" t="s">
        <v>1433</v>
      </c>
      <c r="V17" s="437" t="s">
        <v>1433</v>
      </c>
    </row>
    <row r="18" spans="1:22">
      <c r="A18" s="158"/>
      <c r="B18" s="158"/>
      <c r="C18" s="437" t="s">
        <v>1279</v>
      </c>
      <c r="D18" s="437" t="s">
        <v>1279</v>
      </c>
      <c r="E18" s="437" t="s">
        <v>1279</v>
      </c>
      <c r="F18" s="437" t="s">
        <v>1433</v>
      </c>
      <c r="G18" s="437" t="s">
        <v>1487</v>
      </c>
      <c r="H18" s="437" t="s">
        <v>1487</v>
      </c>
      <c r="I18" s="437" t="s">
        <v>1487</v>
      </c>
      <c r="J18" s="437" t="s">
        <v>1487</v>
      </c>
      <c r="K18" s="437" t="s">
        <v>1487</v>
      </c>
      <c r="L18" s="437" t="s">
        <v>1487</v>
      </c>
      <c r="M18" s="437" t="s">
        <v>1487</v>
      </c>
      <c r="N18" s="437" t="s">
        <v>1487</v>
      </c>
      <c r="O18" s="437" t="s">
        <v>1433</v>
      </c>
      <c r="P18" s="437" t="s">
        <v>1433</v>
      </c>
      <c r="Q18" s="437" t="s">
        <v>1433</v>
      </c>
      <c r="R18" s="437" t="s">
        <v>1433</v>
      </c>
      <c r="S18" s="437" t="s">
        <v>1433</v>
      </c>
      <c r="T18" s="437" t="s">
        <v>1433</v>
      </c>
      <c r="U18" s="437" t="s">
        <v>1433</v>
      </c>
      <c r="V18" s="437" t="s">
        <v>1433</v>
      </c>
    </row>
    <row r="19" spans="1:22">
      <c r="A19" s="158"/>
      <c r="B19" s="158"/>
      <c r="C19" s="437" t="s">
        <v>1279</v>
      </c>
      <c r="D19" s="437" t="s">
        <v>1279</v>
      </c>
      <c r="E19" s="437" t="s">
        <v>1279</v>
      </c>
      <c r="F19" s="437" t="s">
        <v>1433</v>
      </c>
      <c r="G19" s="437" t="s">
        <v>1487</v>
      </c>
      <c r="H19" s="437" t="s">
        <v>1487</v>
      </c>
      <c r="I19" s="437" t="s">
        <v>1487</v>
      </c>
      <c r="J19" s="437" t="s">
        <v>1487</v>
      </c>
      <c r="K19" s="437" t="s">
        <v>1487</v>
      </c>
      <c r="L19" s="437" t="s">
        <v>1487</v>
      </c>
      <c r="M19" s="437" t="s">
        <v>1487</v>
      </c>
      <c r="N19" s="437" t="s">
        <v>1487</v>
      </c>
      <c r="O19" s="437" t="s">
        <v>1433</v>
      </c>
      <c r="P19" s="437" t="s">
        <v>1433</v>
      </c>
      <c r="Q19" s="437" t="s">
        <v>1433</v>
      </c>
      <c r="R19" s="437" t="s">
        <v>1433</v>
      </c>
      <c r="S19" s="437" t="s">
        <v>1433</v>
      </c>
      <c r="T19" s="437" t="s">
        <v>1433</v>
      </c>
      <c r="U19" s="437" t="s">
        <v>1433</v>
      </c>
      <c r="V19" s="437" t="s">
        <v>1433</v>
      </c>
    </row>
    <row r="20" spans="1:22">
      <c r="A20" s="158"/>
      <c r="B20" s="158"/>
      <c r="C20" s="437" t="s">
        <v>1279</v>
      </c>
      <c r="D20" s="437" t="s">
        <v>1279</v>
      </c>
      <c r="E20" s="437" t="s">
        <v>1279</v>
      </c>
      <c r="F20" s="437" t="s">
        <v>1433</v>
      </c>
      <c r="G20" s="437" t="s">
        <v>1487</v>
      </c>
      <c r="H20" s="437" t="s">
        <v>1487</v>
      </c>
      <c r="I20" s="437" t="s">
        <v>1487</v>
      </c>
      <c r="J20" s="437" t="s">
        <v>1487</v>
      </c>
      <c r="K20" s="437" t="s">
        <v>1487</v>
      </c>
      <c r="L20" s="437" t="s">
        <v>1487</v>
      </c>
      <c r="M20" s="437" t="s">
        <v>1487</v>
      </c>
      <c r="N20" s="437" t="s">
        <v>1487</v>
      </c>
      <c r="O20" s="437" t="s">
        <v>1433</v>
      </c>
      <c r="P20" s="437" t="s">
        <v>1433</v>
      </c>
      <c r="Q20" s="437" t="s">
        <v>1433</v>
      </c>
      <c r="R20" s="437" t="s">
        <v>1433</v>
      </c>
      <c r="S20" s="437" t="s">
        <v>1433</v>
      </c>
      <c r="T20" s="437" t="s">
        <v>1433</v>
      </c>
      <c r="U20" s="437" t="s">
        <v>1433</v>
      </c>
      <c r="V20" s="437" t="s">
        <v>1433</v>
      </c>
    </row>
    <row r="21" spans="1:22">
      <c r="A21" s="158"/>
      <c r="B21" s="158"/>
      <c r="C21" s="437" t="s">
        <v>1279</v>
      </c>
      <c r="D21" s="437" t="s">
        <v>1279</v>
      </c>
      <c r="E21" s="437" t="s">
        <v>1279</v>
      </c>
      <c r="F21" s="437" t="s">
        <v>1433</v>
      </c>
      <c r="G21" s="437" t="s">
        <v>1487</v>
      </c>
      <c r="H21" s="437" t="s">
        <v>1487</v>
      </c>
      <c r="I21" s="437" t="s">
        <v>1487</v>
      </c>
      <c r="J21" s="437" t="s">
        <v>1487</v>
      </c>
      <c r="K21" s="437" t="s">
        <v>1487</v>
      </c>
      <c r="L21" s="437" t="s">
        <v>1487</v>
      </c>
      <c r="M21" s="437" t="s">
        <v>1487</v>
      </c>
      <c r="N21" s="437" t="s">
        <v>1487</v>
      </c>
      <c r="O21" s="437" t="s">
        <v>1433</v>
      </c>
      <c r="P21" s="437" t="s">
        <v>1433</v>
      </c>
      <c r="Q21" s="437" t="s">
        <v>1433</v>
      </c>
      <c r="R21" s="437" t="s">
        <v>1433</v>
      </c>
      <c r="S21" s="437" t="s">
        <v>1433</v>
      </c>
      <c r="T21" s="437" t="s">
        <v>1433</v>
      </c>
      <c r="U21" s="437" t="s">
        <v>1433</v>
      </c>
      <c r="V21" s="437" t="s">
        <v>1433</v>
      </c>
    </row>
    <row r="22" spans="1:22">
      <c r="A22" s="158"/>
      <c r="B22" s="158"/>
      <c r="C22" s="437" t="s">
        <v>1279</v>
      </c>
      <c r="D22" s="437" t="s">
        <v>1279</v>
      </c>
      <c r="E22" s="437" t="s">
        <v>1279</v>
      </c>
      <c r="F22" s="437" t="s">
        <v>1433</v>
      </c>
      <c r="G22" s="437" t="s">
        <v>1487</v>
      </c>
      <c r="H22" s="437" t="s">
        <v>1487</v>
      </c>
      <c r="I22" s="437" t="s">
        <v>1487</v>
      </c>
      <c r="J22" s="437" t="s">
        <v>1487</v>
      </c>
      <c r="K22" s="437" t="s">
        <v>1487</v>
      </c>
      <c r="L22" s="437" t="s">
        <v>1487</v>
      </c>
      <c r="M22" s="437" t="s">
        <v>1487</v>
      </c>
      <c r="N22" s="437" t="s">
        <v>1487</v>
      </c>
      <c r="O22" s="437" t="s">
        <v>1433</v>
      </c>
      <c r="P22" s="437" t="s">
        <v>1433</v>
      </c>
      <c r="Q22" s="437" t="s">
        <v>1433</v>
      </c>
      <c r="R22" s="437" t="s">
        <v>1433</v>
      </c>
      <c r="S22" s="437" t="s">
        <v>1433</v>
      </c>
      <c r="T22" s="437" t="s">
        <v>1433</v>
      </c>
      <c r="U22" s="437" t="s">
        <v>1433</v>
      </c>
      <c r="V22" s="437" t="s">
        <v>1433</v>
      </c>
    </row>
    <row r="23" spans="1:22">
      <c r="A23" s="158"/>
      <c r="B23" s="158"/>
      <c r="C23" s="437" t="s">
        <v>1279</v>
      </c>
      <c r="D23" s="437" t="s">
        <v>1279</v>
      </c>
      <c r="E23" s="437" t="s">
        <v>1279</v>
      </c>
      <c r="F23" s="437" t="s">
        <v>1433</v>
      </c>
      <c r="G23" s="437" t="s">
        <v>1487</v>
      </c>
      <c r="H23" s="437" t="s">
        <v>1487</v>
      </c>
      <c r="I23" s="437" t="s">
        <v>1487</v>
      </c>
      <c r="J23" s="437" t="s">
        <v>1487</v>
      </c>
      <c r="K23" s="437" t="s">
        <v>1487</v>
      </c>
      <c r="L23" s="437" t="s">
        <v>1487</v>
      </c>
      <c r="M23" s="437" t="s">
        <v>1487</v>
      </c>
      <c r="N23" s="437" t="s">
        <v>1487</v>
      </c>
      <c r="O23" s="437" t="s">
        <v>1433</v>
      </c>
      <c r="P23" s="437" t="s">
        <v>1433</v>
      </c>
      <c r="Q23" s="437" t="s">
        <v>1433</v>
      </c>
      <c r="R23" s="437" t="s">
        <v>1433</v>
      </c>
      <c r="S23" s="437" t="s">
        <v>1433</v>
      </c>
      <c r="T23" s="437" t="s">
        <v>1433</v>
      </c>
      <c r="U23" s="437" t="s">
        <v>1433</v>
      </c>
      <c r="V23" s="437" t="s">
        <v>1433</v>
      </c>
    </row>
    <row r="24" spans="1:22">
      <c r="A24" s="158"/>
      <c r="B24" s="158"/>
      <c r="C24" s="437" t="s">
        <v>1279</v>
      </c>
      <c r="D24" s="437" t="s">
        <v>1279</v>
      </c>
      <c r="E24" s="437" t="s">
        <v>1279</v>
      </c>
      <c r="F24" s="437" t="s">
        <v>1433</v>
      </c>
      <c r="G24" s="437" t="s">
        <v>1487</v>
      </c>
      <c r="H24" s="437" t="s">
        <v>1487</v>
      </c>
      <c r="I24" s="437" t="s">
        <v>1487</v>
      </c>
      <c r="J24" s="437" t="s">
        <v>1487</v>
      </c>
      <c r="K24" s="437" t="s">
        <v>1487</v>
      </c>
      <c r="L24" s="437" t="s">
        <v>1487</v>
      </c>
      <c r="M24" s="437" t="s">
        <v>1487</v>
      </c>
      <c r="N24" s="437" t="s">
        <v>1487</v>
      </c>
      <c r="O24" s="437" t="s">
        <v>1433</v>
      </c>
      <c r="P24" s="437" t="s">
        <v>1433</v>
      </c>
      <c r="Q24" s="437" t="s">
        <v>1433</v>
      </c>
      <c r="R24" s="437" t="s">
        <v>1433</v>
      </c>
      <c r="S24" s="437" t="s">
        <v>1433</v>
      </c>
      <c r="T24" s="437" t="s">
        <v>1433</v>
      </c>
      <c r="U24" s="437" t="s">
        <v>1433</v>
      </c>
      <c r="V24" s="437" t="s">
        <v>1433</v>
      </c>
    </row>
    <row r="25" spans="1:22">
      <c r="A25" s="158"/>
      <c r="B25" s="158"/>
      <c r="C25" s="437" t="s">
        <v>1279</v>
      </c>
      <c r="D25" s="437" t="s">
        <v>1279</v>
      </c>
      <c r="E25" s="437" t="s">
        <v>1279</v>
      </c>
      <c r="F25" s="437" t="s">
        <v>1433</v>
      </c>
      <c r="G25" s="437" t="s">
        <v>1487</v>
      </c>
      <c r="H25" s="437" t="s">
        <v>1487</v>
      </c>
      <c r="I25" s="437" t="s">
        <v>1487</v>
      </c>
      <c r="J25" s="437" t="s">
        <v>1487</v>
      </c>
      <c r="K25" s="437" t="s">
        <v>1487</v>
      </c>
      <c r="L25" s="437" t="s">
        <v>1487</v>
      </c>
      <c r="M25" s="437" t="s">
        <v>1487</v>
      </c>
      <c r="N25" s="437" t="s">
        <v>1487</v>
      </c>
      <c r="O25" s="437" t="s">
        <v>1433</v>
      </c>
      <c r="P25" s="437" t="s">
        <v>1433</v>
      </c>
      <c r="Q25" s="437" t="s">
        <v>1433</v>
      </c>
      <c r="R25" s="437" t="s">
        <v>1433</v>
      </c>
      <c r="S25" s="437" t="s">
        <v>1433</v>
      </c>
      <c r="T25" s="437" t="s">
        <v>1433</v>
      </c>
      <c r="U25" s="437" t="s">
        <v>1433</v>
      </c>
      <c r="V25" s="437" t="s">
        <v>1433</v>
      </c>
    </row>
    <row r="26" spans="1:22">
      <c r="A26" s="158"/>
      <c r="B26" s="158"/>
      <c r="C26" s="437" t="s">
        <v>1279</v>
      </c>
      <c r="D26" s="437" t="s">
        <v>1279</v>
      </c>
      <c r="E26" s="437" t="s">
        <v>1279</v>
      </c>
      <c r="F26" s="437" t="s">
        <v>1433</v>
      </c>
      <c r="G26" s="437" t="s">
        <v>1487</v>
      </c>
      <c r="H26" s="437" t="s">
        <v>1487</v>
      </c>
      <c r="I26" s="437" t="s">
        <v>1487</v>
      </c>
      <c r="J26" s="437" t="s">
        <v>1487</v>
      </c>
      <c r="K26" s="437" t="s">
        <v>1487</v>
      </c>
      <c r="L26" s="437" t="s">
        <v>1487</v>
      </c>
      <c r="M26" s="437" t="s">
        <v>1487</v>
      </c>
      <c r="N26" s="437" t="s">
        <v>1487</v>
      </c>
      <c r="O26" s="437" t="s">
        <v>1433</v>
      </c>
      <c r="P26" s="437" t="s">
        <v>1433</v>
      </c>
      <c r="Q26" s="437" t="s">
        <v>1433</v>
      </c>
      <c r="R26" s="437" t="s">
        <v>1433</v>
      </c>
      <c r="S26" s="437" t="s">
        <v>1433</v>
      </c>
      <c r="T26" s="437" t="s">
        <v>1433</v>
      </c>
      <c r="U26" s="437" t="s">
        <v>1433</v>
      </c>
      <c r="V26" s="437" t="s">
        <v>1433</v>
      </c>
    </row>
    <row r="27" spans="1:22">
      <c r="A27" s="158"/>
      <c r="B27" s="158"/>
      <c r="C27" s="437" t="s">
        <v>1279</v>
      </c>
      <c r="D27" s="437" t="s">
        <v>1279</v>
      </c>
      <c r="E27" s="437" t="s">
        <v>1279</v>
      </c>
      <c r="F27" s="437" t="s">
        <v>1433</v>
      </c>
      <c r="G27" s="437" t="s">
        <v>1487</v>
      </c>
      <c r="H27" s="437" t="s">
        <v>1487</v>
      </c>
      <c r="I27" s="437" t="s">
        <v>1487</v>
      </c>
      <c r="J27" s="437" t="s">
        <v>1487</v>
      </c>
      <c r="K27" s="437" t="s">
        <v>1487</v>
      </c>
      <c r="L27" s="437" t="s">
        <v>1487</v>
      </c>
      <c r="M27" s="437" t="s">
        <v>1487</v>
      </c>
      <c r="N27" s="437" t="s">
        <v>1487</v>
      </c>
      <c r="O27" s="437" t="s">
        <v>1433</v>
      </c>
      <c r="P27" s="437" t="s">
        <v>1433</v>
      </c>
      <c r="Q27" s="437" t="s">
        <v>1433</v>
      </c>
      <c r="R27" s="437" t="s">
        <v>1433</v>
      </c>
      <c r="S27" s="437" t="s">
        <v>1433</v>
      </c>
      <c r="T27" s="437" t="s">
        <v>1433</v>
      </c>
      <c r="U27" s="437" t="s">
        <v>1433</v>
      </c>
      <c r="V27" s="437" t="s">
        <v>1433</v>
      </c>
    </row>
    <row r="28" spans="1:22">
      <c r="A28" s="158"/>
      <c r="B28" s="158"/>
      <c r="C28" s="437" t="s">
        <v>1279</v>
      </c>
      <c r="D28" s="437" t="s">
        <v>1279</v>
      </c>
      <c r="E28" s="437" t="s">
        <v>1279</v>
      </c>
      <c r="F28" s="437" t="s">
        <v>1433</v>
      </c>
      <c r="G28" s="437" t="s">
        <v>1487</v>
      </c>
      <c r="H28" s="437" t="s">
        <v>1487</v>
      </c>
      <c r="I28" s="437" t="s">
        <v>1487</v>
      </c>
      <c r="J28" s="437" t="s">
        <v>1487</v>
      </c>
      <c r="K28" s="437" t="s">
        <v>1487</v>
      </c>
      <c r="L28" s="437" t="s">
        <v>1487</v>
      </c>
      <c r="M28" s="437" t="s">
        <v>1487</v>
      </c>
      <c r="N28" s="437" t="s">
        <v>1487</v>
      </c>
      <c r="O28" s="437" t="s">
        <v>1433</v>
      </c>
      <c r="P28" s="437" t="s">
        <v>1433</v>
      </c>
      <c r="Q28" s="437" t="s">
        <v>1433</v>
      </c>
      <c r="R28" s="437" t="s">
        <v>1433</v>
      </c>
      <c r="S28" s="437" t="s">
        <v>1433</v>
      </c>
      <c r="T28" s="437" t="s">
        <v>1433</v>
      </c>
      <c r="U28" s="437" t="s">
        <v>1433</v>
      </c>
      <c r="V28" s="437" t="s">
        <v>1433</v>
      </c>
    </row>
    <row r="29" spans="1:22">
      <c r="A29" s="158"/>
      <c r="B29" s="158"/>
      <c r="C29" s="437" t="s">
        <v>1279</v>
      </c>
      <c r="D29" s="437" t="s">
        <v>1279</v>
      </c>
      <c r="E29" s="437" t="s">
        <v>1279</v>
      </c>
      <c r="F29" s="437" t="s">
        <v>1433</v>
      </c>
      <c r="G29" s="437" t="s">
        <v>1487</v>
      </c>
      <c r="H29" s="437" t="s">
        <v>1487</v>
      </c>
      <c r="I29" s="437" t="s">
        <v>1487</v>
      </c>
      <c r="J29" s="437" t="s">
        <v>1487</v>
      </c>
      <c r="K29" s="437" t="s">
        <v>1487</v>
      </c>
      <c r="L29" s="437" t="s">
        <v>1487</v>
      </c>
      <c r="M29" s="437" t="s">
        <v>1487</v>
      </c>
      <c r="N29" s="437" t="s">
        <v>1487</v>
      </c>
      <c r="O29" s="437" t="s">
        <v>1433</v>
      </c>
      <c r="P29" s="437" t="s">
        <v>1433</v>
      </c>
      <c r="Q29" s="437" t="s">
        <v>1433</v>
      </c>
      <c r="R29" s="437" t="s">
        <v>1433</v>
      </c>
      <c r="S29" s="437" t="s">
        <v>1433</v>
      </c>
      <c r="T29" s="437" t="s">
        <v>1433</v>
      </c>
      <c r="U29" s="437" t="s">
        <v>1433</v>
      </c>
      <c r="V29" s="437" t="s">
        <v>1433</v>
      </c>
    </row>
    <row r="30" spans="1:22">
      <c r="A30" s="158"/>
      <c r="B30" s="158"/>
      <c r="C30" s="437" t="s">
        <v>1279</v>
      </c>
      <c r="D30" s="437" t="s">
        <v>1279</v>
      </c>
      <c r="E30" s="437" t="s">
        <v>1279</v>
      </c>
      <c r="F30" s="437" t="s">
        <v>1433</v>
      </c>
      <c r="G30" s="437" t="s">
        <v>1487</v>
      </c>
      <c r="H30" s="437" t="s">
        <v>1487</v>
      </c>
      <c r="I30" s="437" t="s">
        <v>1487</v>
      </c>
      <c r="J30" s="437" t="s">
        <v>1487</v>
      </c>
      <c r="K30" s="437" t="s">
        <v>1487</v>
      </c>
      <c r="L30" s="437" t="s">
        <v>1487</v>
      </c>
      <c r="M30" s="437" t="s">
        <v>1487</v>
      </c>
      <c r="N30" s="437" t="s">
        <v>1487</v>
      </c>
      <c r="O30" s="437" t="s">
        <v>1433</v>
      </c>
      <c r="P30" s="437" t="s">
        <v>1433</v>
      </c>
      <c r="Q30" s="437" t="s">
        <v>1433</v>
      </c>
      <c r="R30" s="437" t="s">
        <v>1433</v>
      </c>
      <c r="S30" s="437" t="s">
        <v>1433</v>
      </c>
      <c r="T30" s="437" t="s">
        <v>1433</v>
      </c>
      <c r="U30" s="437" t="s">
        <v>1433</v>
      </c>
      <c r="V30" s="437" t="s">
        <v>1433</v>
      </c>
    </row>
  </sheetData>
  <mergeCells count="7">
    <mergeCell ref="A3:A5"/>
    <mergeCell ref="B3:B5"/>
    <mergeCell ref="C3:F4"/>
    <mergeCell ref="G3:J4"/>
    <mergeCell ref="K3:N4"/>
    <mergeCell ref="O3:R4"/>
    <mergeCell ref="S3:V4"/>
  </mergeCells>
  <conditionalFormatting sqref="K3">
    <cfRule type="cellIs" dxfId="0" priority="62" operator="lessThan">
      <formula>0</formula>
    </cfRule>
  </conditionalFormatting>
  <conditionalFormatting sqref="O3">
    <cfRule type="cellIs" dxfId="0" priority="60" operator="lessThan">
      <formula>0</formula>
    </cfRule>
  </conditionalFormatting>
  <conditionalFormatting sqref="C5:J5">
    <cfRule type="cellIs" dxfId="0" priority="67" operator="lessThan">
      <formula>0</formula>
    </cfRule>
  </conditionalFormatting>
  <conditionalFormatting sqref="K5:N5">
    <cfRule type="cellIs" dxfId="0" priority="63" operator="lessThan">
      <formula>0</formula>
    </cfRule>
  </conditionalFormatting>
  <conditionalFormatting sqref="P5">
    <cfRule type="cellIs" dxfId="0" priority="3" operator="lessThan">
      <formula>0</formula>
    </cfRule>
  </conditionalFormatting>
  <conditionalFormatting sqref="T5">
    <cfRule type="cellIs" dxfId="0" priority="1" operator="lessThan">
      <formula>0</formula>
    </cfRule>
  </conditionalFormatting>
  <conditionalFormatting sqref="C6:E6">
    <cfRule type="cellIs" dxfId="0" priority="59" operator="lessThan">
      <formula>0</formula>
    </cfRule>
  </conditionalFormatting>
  <conditionalFormatting sqref="F6">
    <cfRule type="cellIs" dxfId="0" priority="58" operator="lessThan">
      <formula>0</formula>
    </cfRule>
  </conditionalFormatting>
  <conditionalFormatting sqref="G6:J6">
    <cfRule type="cellIs" dxfId="0" priority="9" operator="lessThan">
      <formula>0</formula>
    </cfRule>
  </conditionalFormatting>
  <conditionalFormatting sqref="K6:N6">
    <cfRule type="cellIs" dxfId="0" priority="7" operator="lessThan">
      <formula>0</formula>
    </cfRule>
  </conditionalFormatting>
  <conditionalFormatting sqref="C7:E7">
    <cfRule type="cellIs" dxfId="0" priority="57" operator="lessThan">
      <formula>0</formula>
    </cfRule>
  </conditionalFormatting>
  <conditionalFormatting sqref="F7">
    <cfRule type="cellIs" dxfId="0" priority="33" operator="lessThan">
      <formula>0</formula>
    </cfRule>
  </conditionalFormatting>
  <conditionalFormatting sqref="C8:E8">
    <cfRule type="cellIs" dxfId="0" priority="56" operator="lessThan">
      <formula>0</formula>
    </cfRule>
  </conditionalFormatting>
  <conditionalFormatting sqref="F8">
    <cfRule type="cellIs" dxfId="0" priority="32" operator="lessThan">
      <formula>0</formula>
    </cfRule>
  </conditionalFormatting>
  <conditionalFormatting sqref="C9:E9">
    <cfRule type="cellIs" dxfId="0" priority="55" operator="lessThan">
      <formula>0</formula>
    </cfRule>
  </conditionalFormatting>
  <conditionalFormatting sqref="F9">
    <cfRule type="cellIs" dxfId="0" priority="31" operator="lessThan">
      <formula>0</formula>
    </cfRule>
  </conditionalFormatting>
  <conditionalFormatting sqref="C10:E10">
    <cfRule type="cellIs" dxfId="0" priority="54" operator="lessThan">
      <formula>0</formula>
    </cfRule>
  </conditionalFormatting>
  <conditionalFormatting sqref="F10">
    <cfRule type="cellIs" dxfId="0" priority="30" operator="lessThan">
      <formula>0</formula>
    </cfRule>
  </conditionalFormatting>
  <conditionalFormatting sqref="C11:E11">
    <cfRule type="cellIs" dxfId="0" priority="53" operator="lessThan">
      <formula>0</formula>
    </cfRule>
  </conditionalFormatting>
  <conditionalFormatting sqref="F11">
    <cfRule type="cellIs" dxfId="0" priority="29" operator="lessThan">
      <formula>0</formula>
    </cfRule>
  </conditionalFormatting>
  <conditionalFormatting sqref="C12:E12">
    <cfRule type="cellIs" dxfId="0" priority="52" operator="lessThan">
      <formula>0</formula>
    </cfRule>
  </conditionalFormatting>
  <conditionalFormatting sqref="F12">
    <cfRule type="cellIs" dxfId="0" priority="28" operator="lessThan">
      <formula>0</formula>
    </cfRule>
  </conditionalFormatting>
  <conditionalFormatting sqref="C13:E13">
    <cfRule type="cellIs" dxfId="0" priority="51" operator="lessThan">
      <formula>0</formula>
    </cfRule>
  </conditionalFormatting>
  <conditionalFormatting sqref="F13">
    <cfRule type="cellIs" dxfId="0" priority="27" operator="lessThan">
      <formula>0</formula>
    </cfRule>
  </conditionalFormatting>
  <conditionalFormatting sqref="C14:E14">
    <cfRule type="cellIs" dxfId="0" priority="50" operator="lessThan">
      <formula>0</formula>
    </cfRule>
  </conditionalFormatting>
  <conditionalFormatting sqref="F14">
    <cfRule type="cellIs" dxfId="0" priority="26" operator="lessThan">
      <formula>0</formula>
    </cfRule>
  </conditionalFormatting>
  <conditionalFormatting sqref="C15:E15">
    <cfRule type="cellIs" dxfId="0" priority="49" operator="lessThan">
      <formula>0</formula>
    </cfRule>
  </conditionalFormatting>
  <conditionalFormatting sqref="F15">
    <cfRule type="cellIs" dxfId="0" priority="25" operator="lessThan">
      <formula>0</formula>
    </cfRule>
  </conditionalFormatting>
  <conditionalFormatting sqref="C16:E16">
    <cfRule type="cellIs" dxfId="0" priority="48" operator="lessThan">
      <formula>0</formula>
    </cfRule>
  </conditionalFormatting>
  <conditionalFormatting sqref="F16">
    <cfRule type="cellIs" dxfId="0" priority="24" operator="lessThan">
      <formula>0</formula>
    </cfRule>
  </conditionalFormatting>
  <conditionalFormatting sqref="C17:E17">
    <cfRule type="cellIs" dxfId="0" priority="47" operator="lessThan">
      <formula>0</formula>
    </cfRule>
  </conditionalFormatting>
  <conditionalFormatting sqref="F17">
    <cfRule type="cellIs" dxfId="0" priority="23" operator="lessThan">
      <formula>0</formula>
    </cfRule>
  </conditionalFormatting>
  <conditionalFormatting sqref="C18:E18">
    <cfRule type="cellIs" dxfId="0" priority="46" operator="lessThan">
      <formula>0</formula>
    </cfRule>
  </conditionalFormatting>
  <conditionalFormatting sqref="F18">
    <cfRule type="cellIs" dxfId="0" priority="22" operator="lessThan">
      <formula>0</formula>
    </cfRule>
  </conditionalFormatting>
  <conditionalFormatting sqref="C19:E19">
    <cfRule type="cellIs" dxfId="0" priority="45" operator="lessThan">
      <formula>0</formula>
    </cfRule>
  </conditionalFormatting>
  <conditionalFormatting sqref="F19">
    <cfRule type="cellIs" dxfId="0" priority="21" operator="lessThan">
      <formula>0</formula>
    </cfRule>
  </conditionalFormatting>
  <conditionalFormatting sqref="C20:E20">
    <cfRule type="cellIs" dxfId="0" priority="44" operator="lessThan">
      <formula>0</formula>
    </cfRule>
  </conditionalFormatting>
  <conditionalFormatting sqref="F20">
    <cfRule type="cellIs" dxfId="0" priority="20" operator="lessThan">
      <formula>0</formula>
    </cfRule>
  </conditionalFormatting>
  <conditionalFormatting sqref="C21:E21">
    <cfRule type="cellIs" dxfId="0" priority="43" operator="lessThan">
      <formula>0</formula>
    </cfRule>
  </conditionalFormatting>
  <conditionalFormatting sqref="F21">
    <cfRule type="cellIs" dxfId="0" priority="19" operator="lessThan">
      <formula>0</formula>
    </cfRule>
  </conditionalFormatting>
  <conditionalFormatting sqref="C22:E22">
    <cfRule type="cellIs" dxfId="0" priority="42" operator="lessThan">
      <formula>0</formula>
    </cfRule>
  </conditionalFormatting>
  <conditionalFormatting sqref="F22">
    <cfRule type="cellIs" dxfId="0" priority="18" operator="lessThan">
      <formula>0</formula>
    </cfRule>
  </conditionalFormatting>
  <conditionalFormatting sqref="C23:E23">
    <cfRule type="cellIs" dxfId="0" priority="41" operator="lessThan">
      <formula>0</formula>
    </cfRule>
  </conditionalFormatting>
  <conditionalFormatting sqref="F23">
    <cfRule type="cellIs" dxfId="0" priority="17" operator="lessThan">
      <formula>0</formula>
    </cfRule>
  </conditionalFormatting>
  <conditionalFormatting sqref="C24:E24">
    <cfRule type="cellIs" dxfId="0" priority="40" operator="lessThan">
      <formula>0</formula>
    </cfRule>
  </conditionalFormatting>
  <conditionalFormatting sqref="F24">
    <cfRule type="cellIs" dxfId="0" priority="16" operator="lessThan">
      <formula>0</formula>
    </cfRule>
  </conditionalFormatting>
  <conditionalFormatting sqref="C25:E25">
    <cfRule type="cellIs" dxfId="0" priority="39" operator="lessThan">
      <formula>0</formula>
    </cfRule>
  </conditionalFormatting>
  <conditionalFormatting sqref="F25">
    <cfRule type="cellIs" dxfId="0" priority="15" operator="lessThan">
      <formula>0</formula>
    </cfRule>
  </conditionalFormatting>
  <conditionalFormatting sqref="C26:E26">
    <cfRule type="cellIs" dxfId="0" priority="38" operator="lessThan">
      <formula>0</formula>
    </cfRule>
  </conditionalFormatting>
  <conditionalFormatting sqref="F26">
    <cfRule type="cellIs" dxfId="0" priority="14" operator="lessThan">
      <formula>0</formula>
    </cfRule>
  </conditionalFormatting>
  <conditionalFormatting sqref="C27:E27">
    <cfRule type="cellIs" dxfId="0" priority="37" operator="lessThan">
      <formula>0</formula>
    </cfRule>
  </conditionalFormatting>
  <conditionalFormatting sqref="F27">
    <cfRule type="cellIs" dxfId="0" priority="13" operator="lessThan">
      <formula>0</formula>
    </cfRule>
  </conditionalFormatting>
  <conditionalFormatting sqref="C28:E28">
    <cfRule type="cellIs" dxfId="0" priority="36" operator="lessThan">
      <formula>0</formula>
    </cfRule>
  </conditionalFormatting>
  <conditionalFormatting sqref="F28">
    <cfRule type="cellIs" dxfId="0" priority="12" operator="lessThan">
      <formula>0</formula>
    </cfRule>
  </conditionalFormatting>
  <conditionalFormatting sqref="C29:E29">
    <cfRule type="cellIs" dxfId="0" priority="35" operator="lessThan">
      <formula>0</formula>
    </cfRule>
  </conditionalFormatting>
  <conditionalFormatting sqref="F29">
    <cfRule type="cellIs" dxfId="0" priority="11" operator="lessThan">
      <formula>0</formula>
    </cfRule>
  </conditionalFormatting>
  <conditionalFormatting sqref="C30:E30">
    <cfRule type="cellIs" dxfId="0" priority="34" operator="lessThan">
      <formula>0</formula>
    </cfRule>
  </conditionalFormatting>
  <conditionalFormatting sqref="F30">
    <cfRule type="cellIs" dxfId="0" priority="10" operator="lessThan">
      <formula>0</formula>
    </cfRule>
  </conditionalFormatting>
  <conditionalFormatting sqref="A3:B5">
    <cfRule type="cellIs" dxfId="0" priority="65" operator="lessThan">
      <formula>0</formula>
    </cfRule>
  </conditionalFormatting>
  <conditionalFormatting sqref="G3 S3">
    <cfRule type="cellIs" dxfId="0" priority="66" operator="lessThan">
      <formula>0</formula>
    </cfRule>
  </conditionalFormatting>
  <conditionalFormatting sqref="O5 Q5:R5">
    <cfRule type="cellIs" dxfId="0" priority="61" operator="lessThan">
      <formula>0</formula>
    </cfRule>
  </conditionalFormatting>
  <conditionalFormatting sqref="S5 U5:V5">
    <cfRule type="cellIs" dxfId="0" priority="2" operator="lessThan">
      <formula>0</formula>
    </cfRule>
  </conditionalFormatting>
  <conditionalFormatting sqref="O6:R30">
    <cfRule type="cellIs" dxfId="0" priority="5" operator="lessThan">
      <formula>0</formula>
    </cfRule>
  </conditionalFormatting>
  <conditionalFormatting sqref="S6:V30">
    <cfRule type="cellIs" dxfId="0" priority="4" operator="lessThan">
      <formula>0</formula>
    </cfRule>
  </conditionalFormatting>
  <conditionalFormatting sqref="G7:J30">
    <cfRule type="cellIs" dxfId="0" priority="8" operator="lessThan">
      <formula>0</formula>
    </cfRule>
  </conditionalFormatting>
  <conditionalFormatting sqref="K7:N30">
    <cfRule type="cellIs" dxfId="0" priority="6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23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P28" sqref="P28"/>
    </sheetView>
  </sheetViews>
  <sheetFormatPr defaultColWidth="8.88888888888889" defaultRowHeight="14.4"/>
  <sheetData>
    <row r="1" spans="1:39">
      <c r="A1" s="61" t="s">
        <v>100</v>
      </c>
      <c r="B1" s="427" t="s">
        <v>1120</v>
      </c>
      <c r="C1" s="427" t="s">
        <v>291</v>
      </c>
      <c r="D1" s="427" t="s">
        <v>292</v>
      </c>
      <c r="E1" s="428" t="s">
        <v>1122</v>
      </c>
      <c r="F1" s="429"/>
      <c r="G1" s="429"/>
      <c r="H1" s="429"/>
      <c r="I1" s="429"/>
      <c r="J1" s="429"/>
      <c r="K1" s="429"/>
      <c r="L1" s="430" t="s">
        <v>1426</v>
      </c>
      <c r="M1" s="431"/>
      <c r="N1" s="431"/>
      <c r="O1" s="431"/>
      <c r="P1" s="431"/>
      <c r="Q1" s="431"/>
      <c r="R1" s="432"/>
      <c r="S1" s="430" t="s">
        <v>1236</v>
      </c>
      <c r="T1" s="431"/>
      <c r="U1" s="431"/>
      <c r="V1" s="431"/>
      <c r="W1" s="431"/>
      <c r="X1" s="431"/>
      <c r="Y1" s="432"/>
      <c r="Z1" s="433" t="s">
        <v>1237</v>
      </c>
      <c r="AA1" s="433"/>
      <c r="AB1" s="433"/>
      <c r="AC1" s="433"/>
      <c r="AD1" s="433"/>
      <c r="AE1" s="433"/>
      <c r="AF1" s="433"/>
      <c r="AG1" s="433" t="s">
        <v>1427</v>
      </c>
      <c r="AH1" s="433"/>
      <c r="AI1" s="433"/>
      <c r="AJ1" s="433"/>
      <c r="AK1" s="433"/>
      <c r="AL1" s="433"/>
      <c r="AM1" s="433"/>
    </row>
    <row r="2" ht="36" spans="1:39">
      <c r="A2" s="434"/>
      <c r="B2" s="427"/>
      <c r="C2" s="434"/>
      <c r="D2" s="427"/>
      <c r="E2" s="427" t="s">
        <v>1476</v>
      </c>
      <c r="F2" s="427" t="s">
        <v>1493</v>
      </c>
      <c r="G2" s="427" t="s">
        <v>1494</v>
      </c>
      <c r="H2" s="427" t="s">
        <v>1495</v>
      </c>
      <c r="I2" s="427" t="s">
        <v>1496</v>
      </c>
      <c r="J2" s="427" t="s">
        <v>1497</v>
      </c>
      <c r="K2" s="427" t="s">
        <v>1498</v>
      </c>
      <c r="L2" s="427" t="s">
        <v>1476</v>
      </c>
      <c r="M2" s="427" t="s">
        <v>1493</v>
      </c>
      <c r="N2" s="427" t="s">
        <v>1494</v>
      </c>
      <c r="O2" s="427" t="s">
        <v>1495</v>
      </c>
      <c r="P2" s="427" t="s">
        <v>1496</v>
      </c>
      <c r="Q2" s="427" t="s">
        <v>1497</v>
      </c>
      <c r="R2" s="427" t="s">
        <v>1498</v>
      </c>
      <c r="S2" s="427" t="s">
        <v>1476</v>
      </c>
      <c r="T2" s="427" t="s">
        <v>1493</v>
      </c>
      <c r="U2" s="427" t="s">
        <v>1494</v>
      </c>
      <c r="V2" s="427" t="s">
        <v>1495</v>
      </c>
      <c r="W2" s="427" t="s">
        <v>1496</v>
      </c>
      <c r="X2" s="427" t="s">
        <v>1497</v>
      </c>
      <c r="Y2" s="427" t="s">
        <v>1498</v>
      </c>
      <c r="Z2" s="427" t="s">
        <v>1476</v>
      </c>
      <c r="AA2" s="427" t="s">
        <v>1493</v>
      </c>
      <c r="AB2" s="427" t="s">
        <v>1494</v>
      </c>
      <c r="AC2" s="427" t="s">
        <v>1495</v>
      </c>
      <c r="AD2" s="427" t="s">
        <v>1496</v>
      </c>
      <c r="AE2" s="427" t="s">
        <v>1497</v>
      </c>
      <c r="AF2" s="427" t="s">
        <v>1498</v>
      </c>
      <c r="AG2" s="427" t="s">
        <v>1476</v>
      </c>
      <c r="AH2" s="427" t="s">
        <v>1493</v>
      </c>
      <c r="AI2" s="427" t="s">
        <v>1494</v>
      </c>
      <c r="AJ2" s="427" t="s">
        <v>1495</v>
      </c>
      <c r="AK2" s="427" t="s">
        <v>1496</v>
      </c>
      <c r="AL2" s="427" t="s">
        <v>1497</v>
      </c>
      <c r="AM2" s="427" t="s">
        <v>1498</v>
      </c>
    </row>
    <row r="3" spans="1:39">
      <c r="A3" s="435"/>
      <c r="B3" s="435"/>
      <c r="C3" s="435" t="s">
        <v>168</v>
      </c>
      <c r="D3" s="435" t="s">
        <v>1444</v>
      </c>
      <c r="E3" s="437" t="s">
        <v>1279</v>
      </c>
      <c r="F3" s="437" t="s">
        <v>1279</v>
      </c>
      <c r="G3" s="437" t="s">
        <v>1433</v>
      </c>
      <c r="H3" s="437"/>
      <c r="I3" s="437"/>
      <c r="J3" s="437"/>
      <c r="K3" s="437"/>
      <c r="L3" s="437" t="s">
        <v>1487</v>
      </c>
      <c r="M3" s="437" t="s">
        <v>1487</v>
      </c>
      <c r="N3" s="437" t="s">
        <v>1487</v>
      </c>
      <c r="O3" s="437"/>
      <c r="P3" s="437"/>
      <c r="Q3" s="437"/>
      <c r="R3" s="437"/>
      <c r="S3" s="437" t="s">
        <v>1487</v>
      </c>
      <c r="T3" s="437" t="s">
        <v>1487</v>
      </c>
      <c r="U3" s="437" t="s">
        <v>1487</v>
      </c>
      <c r="V3" s="437"/>
      <c r="W3" s="437"/>
      <c r="X3" s="437"/>
      <c r="Y3" s="437"/>
      <c r="Z3" s="437" t="s">
        <v>1433</v>
      </c>
      <c r="AA3" s="437" t="s">
        <v>1433</v>
      </c>
      <c r="AB3" s="437" t="s">
        <v>1433</v>
      </c>
      <c r="AC3" s="437"/>
      <c r="AD3" s="437"/>
      <c r="AE3" s="437"/>
      <c r="AF3" s="437"/>
      <c r="AG3" s="437" t="s">
        <v>1433</v>
      </c>
      <c r="AH3" s="437" t="s">
        <v>1433</v>
      </c>
      <c r="AI3" s="437" t="s">
        <v>1433</v>
      </c>
      <c r="AJ3" s="437"/>
      <c r="AK3" s="437"/>
      <c r="AL3" s="437"/>
      <c r="AM3" s="437"/>
    </row>
    <row r="4" spans="1:39">
      <c r="A4" s="435"/>
      <c r="B4" s="435"/>
      <c r="C4" s="435"/>
      <c r="D4" s="435" t="s">
        <v>1445</v>
      </c>
      <c r="E4" s="437" t="s">
        <v>1279</v>
      </c>
      <c r="F4" s="437" t="s">
        <v>1279</v>
      </c>
      <c r="G4" s="437" t="s">
        <v>1433</v>
      </c>
      <c r="H4" s="437"/>
      <c r="I4" s="437"/>
      <c r="J4" s="437"/>
      <c r="K4" s="437"/>
      <c r="L4" s="437" t="s">
        <v>1487</v>
      </c>
      <c r="M4" s="437" t="s">
        <v>1487</v>
      </c>
      <c r="N4" s="437" t="s">
        <v>1487</v>
      </c>
      <c r="O4" s="437"/>
      <c r="P4" s="437"/>
      <c r="Q4" s="437"/>
      <c r="R4" s="437"/>
      <c r="S4" s="437" t="s">
        <v>1487</v>
      </c>
      <c r="T4" s="437" t="s">
        <v>1487</v>
      </c>
      <c r="U4" s="437" t="s">
        <v>1487</v>
      </c>
      <c r="V4" s="437"/>
      <c r="W4" s="437"/>
      <c r="X4" s="437"/>
      <c r="Y4" s="437"/>
      <c r="Z4" s="437" t="s">
        <v>1433</v>
      </c>
      <c r="AA4" s="437" t="s">
        <v>1433</v>
      </c>
      <c r="AB4" s="437" t="s">
        <v>1433</v>
      </c>
      <c r="AC4" s="437"/>
      <c r="AD4" s="437"/>
      <c r="AE4" s="437"/>
      <c r="AF4" s="437"/>
      <c r="AG4" s="437" t="s">
        <v>1433</v>
      </c>
      <c r="AH4" s="437" t="s">
        <v>1433</v>
      </c>
      <c r="AI4" s="437" t="s">
        <v>1433</v>
      </c>
      <c r="AJ4" s="437"/>
      <c r="AK4" s="437"/>
      <c r="AL4" s="437"/>
      <c r="AM4" s="437"/>
    </row>
    <row r="5" spans="1:39">
      <c r="A5" s="435"/>
      <c r="B5" s="435"/>
      <c r="C5" s="435"/>
      <c r="D5" s="435"/>
      <c r="E5" s="437" t="s">
        <v>1279</v>
      </c>
      <c r="F5" s="437" t="s">
        <v>1279</v>
      </c>
      <c r="G5" s="437" t="s">
        <v>1433</v>
      </c>
      <c r="H5" s="437"/>
      <c r="I5" s="437"/>
      <c r="J5" s="437"/>
      <c r="K5" s="437"/>
      <c r="L5" s="437" t="s">
        <v>1487</v>
      </c>
      <c r="M5" s="437" t="s">
        <v>1487</v>
      </c>
      <c r="N5" s="437" t="s">
        <v>1487</v>
      </c>
      <c r="O5" s="437"/>
      <c r="P5" s="437"/>
      <c r="Q5" s="437"/>
      <c r="R5" s="437"/>
      <c r="S5" s="437" t="s">
        <v>1487</v>
      </c>
      <c r="T5" s="437" t="s">
        <v>1487</v>
      </c>
      <c r="U5" s="437" t="s">
        <v>1487</v>
      </c>
      <c r="V5" s="437"/>
      <c r="W5" s="437"/>
      <c r="X5" s="437"/>
      <c r="Y5" s="437"/>
      <c r="Z5" s="437" t="s">
        <v>1433</v>
      </c>
      <c r="AA5" s="437" t="s">
        <v>1433</v>
      </c>
      <c r="AB5" s="437" t="s">
        <v>1433</v>
      </c>
      <c r="AC5" s="437"/>
      <c r="AD5" s="437"/>
      <c r="AE5" s="437"/>
      <c r="AF5" s="437"/>
      <c r="AG5" s="437" t="s">
        <v>1433</v>
      </c>
      <c r="AH5" s="437" t="s">
        <v>1433</v>
      </c>
      <c r="AI5" s="437" t="s">
        <v>1433</v>
      </c>
      <c r="AJ5" s="437"/>
      <c r="AK5" s="437"/>
      <c r="AL5" s="437"/>
      <c r="AM5" s="437"/>
    </row>
    <row r="6" spans="1:39">
      <c r="A6" s="435"/>
      <c r="B6" s="435"/>
      <c r="C6" s="435"/>
      <c r="D6" s="435"/>
      <c r="E6" s="437" t="s">
        <v>1279</v>
      </c>
      <c r="F6" s="437" t="s">
        <v>1279</v>
      </c>
      <c r="G6" s="437" t="s">
        <v>1433</v>
      </c>
      <c r="H6" s="437"/>
      <c r="I6" s="437"/>
      <c r="J6" s="437"/>
      <c r="K6" s="437"/>
      <c r="L6" s="437" t="s">
        <v>1487</v>
      </c>
      <c r="M6" s="437" t="s">
        <v>1487</v>
      </c>
      <c r="N6" s="437" t="s">
        <v>1487</v>
      </c>
      <c r="O6" s="437"/>
      <c r="P6" s="437"/>
      <c r="Q6" s="437"/>
      <c r="R6" s="437"/>
      <c r="S6" s="437" t="s">
        <v>1487</v>
      </c>
      <c r="T6" s="437" t="s">
        <v>1487</v>
      </c>
      <c r="U6" s="437" t="s">
        <v>1487</v>
      </c>
      <c r="V6" s="437"/>
      <c r="W6" s="437"/>
      <c r="X6" s="437"/>
      <c r="Y6" s="437"/>
      <c r="Z6" s="437" t="s">
        <v>1433</v>
      </c>
      <c r="AA6" s="437" t="s">
        <v>1433</v>
      </c>
      <c r="AB6" s="437" t="s">
        <v>1433</v>
      </c>
      <c r="AC6" s="437"/>
      <c r="AD6" s="437"/>
      <c r="AE6" s="437"/>
      <c r="AF6" s="437"/>
      <c r="AG6" s="437" t="s">
        <v>1433</v>
      </c>
      <c r="AH6" s="437" t="s">
        <v>1433</v>
      </c>
      <c r="AI6" s="437" t="s">
        <v>1433</v>
      </c>
      <c r="AJ6" s="437"/>
      <c r="AK6" s="437"/>
      <c r="AL6" s="437"/>
      <c r="AM6" s="437"/>
    </row>
    <row r="7" spans="1:39">
      <c r="A7" s="435"/>
      <c r="B7" s="435"/>
      <c r="C7" s="435"/>
      <c r="D7" s="435"/>
      <c r="E7" s="437" t="s">
        <v>1279</v>
      </c>
      <c r="F7" s="437" t="s">
        <v>1279</v>
      </c>
      <c r="G7" s="437" t="s">
        <v>1433</v>
      </c>
      <c r="H7" s="437"/>
      <c r="I7" s="437"/>
      <c r="J7" s="437"/>
      <c r="K7" s="437"/>
      <c r="L7" s="437" t="s">
        <v>1487</v>
      </c>
      <c r="M7" s="437" t="s">
        <v>1487</v>
      </c>
      <c r="N7" s="437" t="s">
        <v>1487</v>
      </c>
      <c r="O7" s="437"/>
      <c r="P7" s="437"/>
      <c r="Q7" s="437"/>
      <c r="R7" s="437"/>
      <c r="S7" s="437" t="s">
        <v>1487</v>
      </c>
      <c r="T7" s="437" t="s">
        <v>1487</v>
      </c>
      <c r="U7" s="437" t="s">
        <v>1487</v>
      </c>
      <c r="V7" s="437"/>
      <c r="W7" s="437"/>
      <c r="X7" s="437"/>
      <c r="Y7" s="437"/>
      <c r="Z7" s="437" t="s">
        <v>1433</v>
      </c>
      <c r="AA7" s="437" t="s">
        <v>1433</v>
      </c>
      <c r="AB7" s="437" t="s">
        <v>1433</v>
      </c>
      <c r="AC7" s="437"/>
      <c r="AD7" s="437"/>
      <c r="AE7" s="437"/>
      <c r="AF7" s="437"/>
      <c r="AG7" s="437" t="s">
        <v>1433</v>
      </c>
      <c r="AH7" s="437" t="s">
        <v>1433</v>
      </c>
      <c r="AI7" s="437" t="s">
        <v>1433</v>
      </c>
      <c r="AJ7" s="437"/>
      <c r="AK7" s="437"/>
      <c r="AL7" s="437"/>
      <c r="AM7" s="437"/>
    </row>
    <row r="8" spans="1:39">
      <c r="A8" s="435"/>
      <c r="B8" s="435"/>
      <c r="C8" s="435"/>
      <c r="D8" s="435"/>
      <c r="E8" s="437" t="s">
        <v>1279</v>
      </c>
      <c r="F8" s="437" t="s">
        <v>1279</v>
      </c>
      <c r="G8" s="437" t="s">
        <v>1433</v>
      </c>
      <c r="H8" s="437"/>
      <c r="I8" s="437"/>
      <c r="J8" s="437"/>
      <c r="K8" s="437"/>
      <c r="L8" s="437" t="s">
        <v>1487</v>
      </c>
      <c r="M8" s="437" t="s">
        <v>1487</v>
      </c>
      <c r="N8" s="437" t="s">
        <v>1487</v>
      </c>
      <c r="O8" s="437"/>
      <c r="P8" s="437"/>
      <c r="Q8" s="437"/>
      <c r="R8" s="437"/>
      <c r="S8" s="437" t="s">
        <v>1487</v>
      </c>
      <c r="T8" s="437" t="s">
        <v>1487</v>
      </c>
      <c r="U8" s="437" t="s">
        <v>1487</v>
      </c>
      <c r="V8" s="437"/>
      <c r="W8" s="437"/>
      <c r="X8" s="437"/>
      <c r="Y8" s="437"/>
      <c r="Z8" s="437" t="s">
        <v>1433</v>
      </c>
      <c r="AA8" s="437" t="s">
        <v>1433</v>
      </c>
      <c r="AB8" s="437" t="s">
        <v>1433</v>
      </c>
      <c r="AC8" s="437"/>
      <c r="AD8" s="437"/>
      <c r="AE8" s="437"/>
      <c r="AF8" s="437"/>
      <c r="AG8" s="437" t="s">
        <v>1433</v>
      </c>
      <c r="AH8" s="437" t="s">
        <v>1433</v>
      </c>
      <c r="AI8" s="437" t="s">
        <v>1433</v>
      </c>
      <c r="AJ8" s="437"/>
      <c r="AK8" s="437"/>
      <c r="AL8" s="437"/>
      <c r="AM8" s="437"/>
    </row>
    <row r="9" spans="1:39">
      <c r="A9" s="435"/>
      <c r="B9" s="435"/>
      <c r="C9" s="435"/>
      <c r="D9" s="435"/>
      <c r="E9" s="437" t="s">
        <v>1279</v>
      </c>
      <c r="F9" s="437" t="s">
        <v>1279</v>
      </c>
      <c r="G9" s="437" t="s">
        <v>1433</v>
      </c>
      <c r="H9" s="437"/>
      <c r="I9" s="437"/>
      <c r="J9" s="437"/>
      <c r="K9" s="437"/>
      <c r="L9" s="437" t="s">
        <v>1487</v>
      </c>
      <c r="M9" s="437" t="s">
        <v>1487</v>
      </c>
      <c r="N9" s="437" t="s">
        <v>1487</v>
      </c>
      <c r="O9" s="437"/>
      <c r="P9" s="437"/>
      <c r="Q9" s="437"/>
      <c r="R9" s="437"/>
      <c r="S9" s="437" t="s">
        <v>1487</v>
      </c>
      <c r="T9" s="437" t="s">
        <v>1487</v>
      </c>
      <c r="U9" s="437" t="s">
        <v>1487</v>
      </c>
      <c r="V9" s="437"/>
      <c r="W9" s="437"/>
      <c r="X9" s="437"/>
      <c r="Y9" s="437"/>
      <c r="Z9" s="437" t="s">
        <v>1433</v>
      </c>
      <c r="AA9" s="437" t="s">
        <v>1433</v>
      </c>
      <c r="AB9" s="437" t="s">
        <v>1433</v>
      </c>
      <c r="AC9" s="437"/>
      <c r="AD9" s="437"/>
      <c r="AE9" s="437"/>
      <c r="AF9" s="437"/>
      <c r="AG9" s="437" t="s">
        <v>1433</v>
      </c>
      <c r="AH9" s="437" t="s">
        <v>1433</v>
      </c>
      <c r="AI9" s="437" t="s">
        <v>1433</v>
      </c>
      <c r="AJ9" s="437"/>
      <c r="AK9" s="437"/>
      <c r="AL9" s="437"/>
      <c r="AM9" s="437"/>
    </row>
    <row r="10" spans="1:39">
      <c r="A10" s="435"/>
      <c r="B10" s="435"/>
      <c r="C10" s="435"/>
      <c r="D10" s="435"/>
      <c r="E10" s="437" t="s">
        <v>1279</v>
      </c>
      <c r="F10" s="437" t="s">
        <v>1279</v>
      </c>
      <c r="G10" s="437" t="s">
        <v>1433</v>
      </c>
      <c r="H10" s="437"/>
      <c r="I10" s="437"/>
      <c r="J10" s="437"/>
      <c r="K10" s="437"/>
      <c r="L10" s="437" t="s">
        <v>1487</v>
      </c>
      <c r="M10" s="437" t="s">
        <v>1487</v>
      </c>
      <c r="N10" s="437" t="s">
        <v>1487</v>
      </c>
      <c r="O10" s="437"/>
      <c r="P10" s="437"/>
      <c r="Q10" s="437"/>
      <c r="R10" s="437"/>
      <c r="S10" s="437" t="s">
        <v>1487</v>
      </c>
      <c r="T10" s="437" t="s">
        <v>1487</v>
      </c>
      <c r="U10" s="437" t="s">
        <v>1487</v>
      </c>
      <c r="V10" s="437"/>
      <c r="W10" s="437"/>
      <c r="X10" s="437"/>
      <c r="Y10" s="437"/>
      <c r="Z10" s="437" t="s">
        <v>1433</v>
      </c>
      <c r="AA10" s="437" t="s">
        <v>1433</v>
      </c>
      <c r="AB10" s="437" t="s">
        <v>1433</v>
      </c>
      <c r="AC10" s="437"/>
      <c r="AD10" s="437"/>
      <c r="AE10" s="437"/>
      <c r="AF10" s="437"/>
      <c r="AG10" s="437" t="s">
        <v>1433</v>
      </c>
      <c r="AH10" s="437" t="s">
        <v>1433</v>
      </c>
      <c r="AI10" s="437" t="s">
        <v>1433</v>
      </c>
      <c r="AJ10" s="437"/>
      <c r="AK10" s="437"/>
      <c r="AL10" s="437"/>
      <c r="AM10" s="437"/>
    </row>
    <row r="11" spans="1:39">
      <c r="A11" s="435"/>
      <c r="B11" s="435"/>
      <c r="C11" s="435"/>
      <c r="D11" s="435"/>
      <c r="E11" s="437" t="s">
        <v>1279</v>
      </c>
      <c r="F11" s="437" t="s">
        <v>1279</v>
      </c>
      <c r="G11" s="437" t="s">
        <v>1433</v>
      </c>
      <c r="H11" s="437"/>
      <c r="I11" s="437"/>
      <c r="J11" s="437"/>
      <c r="K11" s="437"/>
      <c r="L11" s="437" t="s">
        <v>1487</v>
      </c>
      <c r="M11" s="437" t="s">
        <v>1487</v>
      </c>
      <c r="N11" s="437" t="s">
        <v>1487</v>
      </c>
      <c r="O11" s="437"/>
      <c r="P11" s="437"/>
      <c r="Q11" s="437"/>
      <c r="R11" s="437"/>
      <c r="S11" s="437" t="s">
        <v>1487</v>
      </c>
      <c r="T11" s="437" t="s">
        <v>1487</v>
      </c>
      <c r="U11" s="437" t="s">
        <v>1487</v>
      </c>
      <c r="V11" s="437"/>
      <c r="W11" s="437"/>
      <c r="X11" s="437"/>
      <c r="Y11" s="437"/>
      <c r="Z11" s="437" t="s">
        <v>1433</v>
      </c>
      <c r="AA11" s="437" t="s">
        <v>1433</v>
      </c>
      <c r="AB11" s="437" t="s">
        <v>1433</v>
      </c>
      <c r="AC11" s="437"/>
      <c r="AD11" s="437"/>
      <c r="AE11" s="437"/>
      <c r="AF11" s="437"/>
      <c r="AG11" s="437" t="s">
        <v>1433</v>
      </c>
      <c r="AH11" s="437" t="s">
        <v>1433</v>
      </c>
      <c r="AI11" s="437" t="s">
        <v>1433</v>
      </c>
      <c r="AJ11" s="437"/>
      <c r="AK11" s="437"/>
      <c r="AL11" s="437"/>
      <c r="AM11" s="437"/>
    </row>
    <row r="12" spans="1:39">
      <c r="A12" s="435"/>
      <c r="B12" s="435"/>
      <c r="C12" s="435"/>
      <c r="D12" s="435"/>
      <c r="E12" s="437" t="s">
        <v>1279</v>
      </c>
      <c r="F12" s="437" t="s">
        <v>1279</v>
      </c>
      <c r="G12" s="437" t="s">
        <v>1433</v>
      </c>
      <c r="H12" s="437"/>
      <c r="I12" s="437"/>
      <c r="J12" s="437"/>
      <c r="K12" s="437"/>
      <c r="L12" s="437" t="s">
        <v>1487</v>
      </c>
      <c r="M12" s="437" t="s">
        <v>1487</v>
      </c>
      <c r="N12" s="437" t="s">
        <v>1487</v>
      </c>
      <c r="O12" s="437"/>
      <c r="P12" s="437"/>
      <c r="Q12" s="437"/>
      <c r="R12" s="437"/>
      <c r="S12" s="437" t="s">
        <v>1487</v>
      </c>
      <c r="T12" s="437" t="s">
        <v>1487</v>
      </c>
      <c r="U12" s="437" t="s">
        <v>1487</v>
      </c>
      <c r="V12" s="437"/>
      <c r="W12" s="437"/>
      <c r="X12" s="437"/>
      <c r="Y12" s="437"/>
      <c r="Z12" s="437" t="s">
        <v>1433</v>
      </c>
      <c r="AA12" s="437" t="s">
        <v>1433</v>
      </c>
      <c r="AB12" s="437" t="s">
        <v>1433</v>
      </c>
      <c r="AC12" s="437"/>
      <c r="AD12" s="437"/>
      <c r="AE12" s="437"/>
      <c r="AF12" s="437"/>
      <c r="AG12" s="437" t="s">
        <v>1433</v>
      </c>
      <c r="AH12" s="437" t="s">
        <v>1433</v>
      </c>
      <c r="AI12" s="437" t="s">
        <v>1433</v>
      </c>
      <c r="AJ12" s="437"/>
      <c r="AK12" s="437"/>
      <c r="AL12" s="437"/>
      <c r="AM12" s="437"/>
    </row>
    <row r="13" spans="1:39">
      <c r="A13" s="435"/>
      <c r="B13" s="435"/>
      <c r="C13" s="435"/>
      <c r="D13" s="435"/>
      <c r="E13" s="437" t="s">
        <v>1279</v>
      </c>
      <c r="F13" s="437" t="s">
        <v>1279</v>
      </c>
      <c r="G13" s="437" t="s">
        <v>1433</v>
      </c>
      <c r="H13" s="437"/>
      <c r="I13" s="437"/>
      <c r="J13" s="437"/>
      <c r="K13" s="437"/>
      <c r="L13" s="437" t="s">
        <v>1487</v>
      </c>
      <c r="M13" s="437" t="s">
        <v>1487</v>
      </c>
      <c r="N13" s="437" t="s">
        <v>1487</v>
      </c>
      <c r="O13" s="437"/>
      <c r="P13" s="437"/>
      <c r="Q13" s="437"/>
      <c r="R13" s="437"/>
      <c r="S13" s="437" t="s">
        <v>1487</v>
      </c>
      <c r="T13" s="437" t="s">
        <v>1487</v>
      </c>
      <c r="U13" s="437" t="s">
        <v>1487</v>
      </c>
      <c r="V13" s="437"/>
      <c r="W13" s="437"/>
      <c r="X13" s="437"/>
      <c r="Y13" s="437"/>
      <c r="Z13" s="437" t="s">
        <v>1433</v>
      </c>
      <c r="AA13" s="437" t="s">
        <v>1433</v>
      </c>
      <c r="AB13" s="437" t="s">
        <v>1433</v>
      </c>
      <c r="AC13" s="437"/>
      <c r="AD13" s="437"/>
      <c r="AE13" s="437"/>
      <c r="AF13" s="437"/>
      <c r="AG13" s="437" t="s">
        <v>1433</v>
      </c>
      <c r="AH13" s="437" t="s">
        <v>1433</v>
      </c>
      <c r="AI13" s="437" t="s">
        <v>1433</v>
      </c>
      <c r="AJ13" s="437"/>
      <c r="AK13" s="437"/>
      <c r="AL13" s="437"/>
      <c r="AM13" s="437"/>
    </row>
    <row r="14" spans="1:39">
      <c r="A14" s="435"/>
      <c r="B14" s="435"/>
      <c r="C14" s="435"/>
      <c r="D14" s="435"/>
      <c r="E14" s="437" t="s">
        <v>1279</v>
      </c>
      <c r="F14" s="437" t="s">
        <v>1279</v>
      </c>
      <c r="G14" s="437" t="s">
        <v>1433</v>
      </c>
      <c r="H14" s="437"/>
      <c r="I14" s="437"/>
      <c r="J14" s="437"/>
      <c r="K14" s="437"/>
      <c r="L14" s="437" t="s">
        <v>1487</v>
      </c>
      <c r="M14" s="437" t="s">
        <v>1487</v>
      </c>
      <c r="N14" s="437" t="s">
        <v>1487</v>
      </c>
      <c r="O14" s="437"/>
      <c r="P14" s="437"/>
      <c r="Q14" s="437"/>
      <c r="R14" s="437"/>
      <c r="S14" s="437" t="s">
        <v>1487</v>
      </c>
      <c r="T14" s="437" t="s">
        <v>1487</v>
      </c>
      <c r="U14" s="437" t="s">
        <v>1487</v>
      </c>
      <c r="V14" s="437"/>
      <c r="W14" s="437"/>
      <c r="X14" s="437"/>
      <c r="Y14" s="437"/>
      <c r="Z14" s="437" t="s">
        <v>1433</v>
      </c>
      <c r="AA14" s="437" t="s">
        <v>1433</v>
      </c>
      <c r="AB14" s="437" t="s">
        <v>1433</v>
      </c>
      <c r="AC14" s="437"/>
      <c r="AD14" s="437"/>
      <c r="AE14" s="437"/>
      <c r="AF14" s="437"/>
      <c r="AG14" s="437" t="s">
        <v>1433</v>
      </c>
      <c r="AH14" s="437" t="s">
        <v>1433</v>
      </c>
      <c r="AI14" s="437" t="s">
        <v>1433</v>
      </c>
      <c r="AJ14" s="437"/>
      <c r="AK14" s="437"/>
      <c r="AL14" s="437"/>
      <c r="AM14" s="437"/>
    </row>
    <row r="15" spans="1:39">
      <c r="A15" s="435"/>
      <c r="B15" s="435"/>
      <c r="C15" s="435"/>
      <c r="D15" s="435"/>
      <c r="E15" s="437" t="s">
        <v>1279</v>
      </c>
      <c r="F15" s="437" t="s">
        <v>1279</v>
      </c>
      <c r="G15" s="437" t="s">
        <v>1433</v>
      </c>
      <c r="H15" s="437"/>
      <c r="I15" s="437"/>
      <c r="J15" s="437"/>
      <c r="K15" s="437"/>
      <c r="L15" s="437" t="s">
        <v>1487</v>
      </c>
      <c r="M15" s="437" t="s">
        <v>1487</v>
      </c>
      <c r="N15" s="437" t="s">
        <v>1487</v>
      </c>
      <c r="O15" s="437"/>
      <c r="P15" s="437"/>
      <c r="Q15" s="437"/>
      <c r="R15" s="437"/>
      <c r="S15" s="437" t="s">
        <v>1487</v>
      </c>
      <c r="T15" s="437" t="s">
        <v>1487</v>
      </c>
      <c r="U15" s="437" t="s">
        <v>1487</v>
      </c>
      <c r="V15" s="437"/>
      <c r="W15" s="437"/>
      <c r="X15" s="437"/>
      <c r="Y15" s="437"/>
      <c r="Z15" s="437" t="s">
        <v>1433</v>
      </c>
      <c r="AA15" s="437" t="s">
        <v>1433</v>
      </c>
      <c r="AB15" s="437" t="s">
        <v>1433</v>
      </c>
      <c r="AC15" s="437"/>
      <c r="AD15" s="437"/>
      <c r="AE15" s="437"/>
      <c r="AF15" s="437"/>
      <c r="AG15" s="437" t="s">
        <v>1433</v>
      </c>
      <c r="AH15" s="437" t="s">
        <v>1433</v>
      </c>
      <c r="AI15" s="437" t="s">
        <v>1433</v>
      </c>
      <c r="AJ15" s="437"/>
      <c r="AK15" s="437"/>
      <c r="AL15" s="437"/>
      <c r="AM15" s="437"/>
    </row>
    <row r="16" spans="1:39">
      <c r="A16" s="435"/>
      <c r="B16" s="435"/>
      <c r="C16" s="435"/>
      <c r="D16" s="435"/>
      <c r="E16" s="437" t="s">
        <v>1279</v>
      </c>
      <c r="F16" s="437" t="s">
        <v>1279</v>
      </c>
      <c r="G16" s="437" t="s">
        <v>1433</v>
      </c>
      <c r="H16" s="437"/>
      <c r="I16" s="437"/>
      <c r="J16" s="437"/>
      <c r="K16" s="437"/>
      <c r="L16" s="437" t="s">
        <v>1487</v>
      </c>
      <c r="M16" s="437" t="s">
        <v>1487</v>
      </c>
      <c r="N16" s="437" t="s">
        <v>1487</v>
      </c>
      <c r="O16" s="437"/>
      <c r="P16" s="437"/>
      <c r="Q16" s="437"/>
      <c r="R16" s="437"/>
      <c r="S16" s="437" t="s">
        <v>1487</v>
      </c>
      <c r="T16" s="437" t="s">
        <v>1487</v>
      </c>
      <c r="U16" s="437" t="s">
        <v>1487</v>
      </c>
      <c r="V16" s="437"/>
      <c r="W16" s="437"/>
      <c r="X16" s="437"/>
      <c r="Y16" s="437"/>
      <c r="Z16" s="437" t="s">
        <v>1433</v>
      </c>
      <c r="AA16" s="437" t="s">
        <v>1433</v>
      </c>
      <c r="AB16" s="437" t="s">
        <v>1433</v>
      </c>
      <c r="AC16" s="437"/>
      <c r="AD16" s="437"/>
      <c r="AE16" s="437"/>
      <c r="AF16" s="437"/>
      <c r="AG16" s="437" t="s">
        <v>1433</v>
      </c>
      <c r="AH16" s="437" t="s">
        <v>1433</v>
      </c>
      <c r="AI16" s="437" t="s">
        <v>1433</v>
      </c>
      <c r="AJ16" s="437"/>
      <c r="AK16" s="437"/>
      <c r="AL16" s="437"/>
      <c r="AM16" s="437"/>
    </row>
    <row r="17" spans="1:39">
      <c r="A17" s="435"/>
      <c r="B17" s="435"/>
      <c r="C17" s="435"/>
      <c r="D17" s="435"/>
      <c r="E17" s="437" t="s">
        <v>1279</v>
      </c>
      <c r="F17" s="437" t="s">
        <v>1279</v>
      </c>
      <c r="G17" s="437" t="s">
        <v>1433</v>
      </c>
      <c r="H17" s="437"/>
      <c r="I17" s="437"/>
      <c r="J17" s="437"/>
      <c r="K17" s="437"/>
      <c r="L17" s="437" t="s">
        <v>1487</v>
      </c>
      <c r="M17" s="437" t="s">
        <v>1487</v>
      </c>
      <c r="N17" s="437" t="s">
        <v>1487</v>
      </c>
      <c r="O17" s="437"/>
      <c r="P17" s="437"/>
      <c r="Q17" s="437"/>
      <c r="R17" s="437"/>
      <c r="S17" s="437" t="s">
        <v>1487</v>
      </c>
      <c r="T17" s="437" t="s">
        <v>1487</v>
      </c>
      <c r="U17" s="437" t="s">
        <v>1487</v>
      </c>
      <c r="V17" s="437"/>
      <c r="W17" s="437"/>
      <c r="X17" s="437"/>
      <c r="Y17" s="437"/>
      <c r="Z17" s="437" t="s">
        <v>1433</v>
      </c>
      <c r="AA17" s="437" t="s">
        <v>1433</v>
      </c>
      <c r="AB17" s="437" t="s">
        <v>1433</v>
      </c>
      <c r="AC17" s="437"/>
      <c r="AD17" s="437"/>
      <c r="AE17" s="437"/>
      <c r="AF17" s="437"/>
      <c r="AG17" s="437" t="s">
        <v>1433</v>
      </c>
      <c r="AH17" s="437" t="s">
        <v>1433</v>
      </c>
      <c r="AI17" s="437" t="s">
        <v>1433</v>
      </c>
      <c r="AJ17" s="437"/>
      <c r="AK17" s="437"/>
      <c r="AL17" s="437"/>
      <c r="AM17" s="437"/>
    </row>
    <row r="18" spans="1:39">
      <c r="A18" s="435"/>
      <c r="B18" s="435"/>
      <c r="C18" s="435"/>
      <c r="D18" s="435"/>
      <c r="E18" s="437" t="s">
        <v>1279</v>
      </c>
      <c r="F18" s="437" t="s">
        <v>1279</v>
      </c>
      <c r="G18" s="437" t="s">
        <v>1433</v>
      </c>
      <c r="H18" s="437"/>
      <c r="I18" s="437"/>
      <c r="J18" s="437"/>
      <c r="K18" s="437"/>
      <c r="L18" s="437" t="s">
        <v>1487</v>
      </c>
      <c r="M18" s="437" t="s">
        <v>1487</v>
      </c>
      <c r="N18" s="437" t="s">
        <v>1487</v>
      </c>
      <c r="O18" s="437"/>
      <c r="P18" s="437"/>
      <c r="Q18" s="437"/>
      <c r="R18" s="437"/>
      <c r="S18" s="437" t="s">
        <v>1487</v>
      </c>
      <c r="T18" s="437" t="s">
        <v>1487</v>
      </c>
      <c r="U18" s="437" t="s">
        <v>1487</v>
      </c>
      <c r="V18" s="437"/>
      <c r="W18" s="437"/>
      <c r="X18" s="437"/>
      <c r="Y18" s="437"/>
      <c r="Z18" s="437" t="s">
        <v>1433</v>
      </c>
      <c r="AA18" s="437" t="s">
        <v>1433</v>
      </c>
      <c r="AB18" s="437" t="s">
        <v>1433</v>
      </c>
      <c r="AC18" s="437"/>
      <c r="AD18" s="437"/>
      <c r="AE18" s="437"/>
      <c r="AF18" s="437"/>
      <c r="AG18" s="437" t="s">
        <v>1433</v>
      </c>
      <c r="AH18" s="437" t="s">
        <v>1433</v>
      </c>
      <c r="AI18" s="437" t="s">
        <v>1433</v>
      </c>
      <c r="AJ18" s="437"/>
      <c r="AK18" s="437"/>
      <c r="AL18" s="437"/>
      <c r="AM18" s="437"/>
    </row>
    <row r="19" spans="1:39">
      <c r="A19" s="435"/>
      <c r="B19" s="435"/>
      <c r="C19" s="435"/>
      <c r="D19" s="435"/>
      <c r="E19" s="437" t="s">
        <v>1279</v>
      </c>
      <c r="F19" s="437" t="s">
        <v>1279</v>
      </c>
      <c r="G19" s="437" t="s">
        <v>1433</v>
      </c>
      <c r="H19" s="437"/>
      <c r="I19" s="437"/>
      <c r="J19" s="437"/>
      <c r="K19" s="437"/>
      <c r="L19" s="437" t="s">
        <v>1487</v>
      </c>
      <c r="M19" s="437" t="s">
        <v>1487</v>
      </c>
      <c r="N19" s="437" t="s">
        <v>1487</v>
      </c>
      <c r="O19" s="437"/>
      <c r="P19" s="437"/>
      <c r="Q19" s="437"/>
      <c r="R19" s="437"/>
      <c r="S19" s="437" t="s">
        <v>1487</v>
      </c>
      <c r="T19" s="437" t="s">
        <v>1487</v>
      </c>
      <c r="U19" s="437" t="s">
        <v>1487</v>
      </c>
      <c r="V19" s="437"/>
      <c r="W19" s="437"/>
      <c r="X19" s="437"/>
      <c r="Y19" s="437"/>
      <c r="Z19" s="437" t="s">
        <v>1433</v>
      </c>
      <c r="AA19" s="437" t="s">
        <v>1433</v>
      </c>
      <c r="AB19" s="437" t="s">
        <v>1433</v>
      </c>
      <c r="AC19" s="437"/>
      <c r="AD19" s="437"/>
      <c r="AE19" s="437"/>
      <c r="AF19" s="437"/>
      <c r="AG19" s="437" t="s">
        <v>1433</v>
      </c>
      <c r="AH19" s="437" t="s">
        <v>1433</v>
      </c>
      <c r="AI19" s="437" t="s">
        <v>1433</v>
      </c>
      <c r="AJ19" s="437"/>
      <c r="AK19" s="437"/>
      <c r="AL19" s="437"/>
      <c r="AM19" s="437"/>
    </row>
    <row r="20" spans="1:39">
      <c r="A20" s="435"/>
      <c r="B20" s="435"/>
      <c r="C20" s="435"/>
      <c r="D20" s="435"/>
      <c r="E20" s="437" t="s">
        <v>1279</v>
      </c>
      <c r="F20" s="437" t="s">
        <v>1279</v>
      </c>
      <c r="G20" s="437" t="s">
        <v>1433</v>
      </c>
      <c r="H20" s="437"/>
      <c r="I20" s="437"/>
      <c r="J20" s="437"/>
      <c r="K20" s="437"/>
      <c r="L20" s="437" t="s">
        <v>1487</v>
      </c>
      <c r="M20" s="437" t="s">
        <v>1487</v>
      </c>
      <c r="N20" s="437" t="s">
        <v>1487</v>
      </c>
      <c r="O20" s="437"/>
      <c r="P20" s="437"/>
      <c r="Q20" s="437"/>
      <c r="R20" s="437"/>
      <c r="S20" s="437" t="s">
        <v>1487</v>
      </c>
      <c r="T20" s="437" t="s">
        <v>1487</v>
      </c>
      <c r="U20" s="437" t="s">
        <v>1487</v>
      </c>
      <c r="V20" s="437"/>
      <c r="W20" s="437"/>
      <c r="X20" s="437"/>
      <c r="Y20" s="437"/>
      <c r="Z20" s="437" t="s">
        <v>1433</v>
      </c>
      <c r="AA20" s="437" t="s">
        <v>1433</v>
      </c>
      <c r="AB20" s="437" t="s">
        <v>1433</v>
      </c>
      <c r="AC20" s="437"/>
      <c r="AD20" s="437"/>
      <c r="AE20" s="437"/>
      <c r="AF20" s="437"/>
      <c r="AG20" s="437" t="s">
        <v>1433</v>
      </c>
      <c r="AH20" s="437" t="s">
        <v>1433</v>
      </c>
      <c r="AI20" s="437" t="s">
        <v>1433</v>
      </c>
      <c r="AJ20" s="437"/>
      <c r="AK20" s="437"/>
      <c r="AL20" s="437"/>
      <c r="AM20" s="437"/>
    </row>
    <row r="21" spans="1:39">
      <c r="A21" s="435"/>
      <c r="B21" s="435"/>
      <c r="C21" s="435"/>
      <c r="D21" s="435"/>
      <c r="E21" s="437" t="s">
        <v>1279</v>
      </c>
      <c r="F21" s="437" t="s">
        <v>1279</v>
      </c>
      <c r="G21" s="437" t="s">
        <v>1433</v>
      </c>
      <c r="H21" s="437"/>
      <c r="I21" s="437"/>
      <c r="J21" s="437"/>
      <c r="K21" s="437"/>
      <c r="L21" s="437" t="s">
        <v>1487</v>
      </c>
      <c r="M21" s="437" t="s">
        <v>1487</v>
      </c>
      <c r="N21" s="437" t="s">
        <v>1487</v>
      </c>
      <c r="O21" s="437"/>
      <c r="P21" s="437"/>
      <c r="Q21" s="437"/>
      <c r="R21" s="437"/>
      <c r="S21" s="437" t="s">
        <v>1487</v>
      </c>
      <c r="T21" s="437" t="s">
        <v>1487</v>
      </c>
      <c r="U21" s="437" t="s">
        <v>1487</v>
      </c>
      <c r="V21" s="437"/>
      <c r="W21" s="437"/>
      <c r="X21" s="437"/>
      <c r="Y21" s="437"/>
      <c r="Z21" s="437" t="s">
        <v>1433</v>
      </c>
      <c r="AA21" s="437" t="s">
        <v>1433</v>
      </c>
      <c r="AB21" s="437" t="s">
        <v>1433</v>
      </c>
      <c r="AC21" s="437"/>
      <c r="AD21" s="437"/>
      <c r="AE21" s="437"/>
      <c r="AF21" s="437"/>
      <c r="AG21" s="437" t="s">
        <v>1433</v>
      </c>
      <c r="AH21" s="437" t="s">
        <v>1433</v>
      </c>
      <c r="AI21" s="437" t="s">
        <v>1433</v>
      </c>
      <c r="AJ21" s="437"/>
      <c r="AK21" s="437"/>
      <c r="AL21" s="437"/>
      <c r="AM21" s="437"/>
    </row>
    <row r="22" spans="1:39">
      <c r="A22" s="435"/>
      <c r="B22" s="435"/>
      <c r="C22" s="435"/>
      <c r="D22" s="435"/>
      <c r="E22" s="437" t="s">
        <v>1279</v>
      </c>
      <c r="F22" s="437" t="s">
        <v>1279</v>
      </c>
      <c r="G22" s="437" t="s">
        <v>1433</v>
      </c>
      <c r="H22" s="437"/>
      <c r="I22" s="437"/>
      <c r="J22" s="437"/>
      <c r="K22" s="437"/>
      <c r="L22" s="437" t="s">
        <v>1487</v>
      </c>
      <c r="M22" s="437" t="s">
        <v>1487</v>
      </c>
      <c r="N22" s="437" t="s">
        <v>1487</v>
      </c>
      <c r="O22" s="437"/>
      <c r="P22" s="437"/>
      <c r="Q22" s="437"/>
      <c r="R22" s="437"/>
      <c r="S22" s="437" t="s">
        <v>1487</v>
      </c>
      <c r="T22" s="437" t="s">
        <v>1487</v>
      </c>
      <c r="U22" s="437" t="s">
        <v>1487</v>
      </c>
      <c r="V22" s="437"/>
      <c r="W22" s="437"/>
      <c r="X22" s="437"/>
      <c r="Y22" s="437"/>
      <c r="Z22" s="437" t="s">
        <v>1433</v>
      </c>
      <c r="AA22" s="437" t="s">
        <v>1433</v>
      </c>
      <c r="AB22" s="437" t="s">
        <v>1433</v>
      </c>
      <c r="AC22" s="437"/>
      <c r="AD22" s="437"/>
      <c r="AE22" s="437"/>
      <c r="AF22" s="437"/>
      <c r="AG22" s="437" t="s">
        <v>1433</v>
      </c>
      <c r="AH22" s="437" t="s">
        <v>1433</v>
      </c>
      <c r="AI22" s="437" t="s">
        <v>1433</v>
      </c>
      <c r="AJ22" s="437"/>
      <c r="AK22" s="437"/>
      <c r="AL22" s="437"/>
      <c r="AM22" s="437"/>
    </row>
    <row r="23" spans="1:39">
      <c r="A23" s="435"/>
      <c r="B23" s="435"/>
      <c r="C23" s="435"/>
      <c r="D23" s="435"/>
      <c r="E23" s="437" t="s">
        <v>1279</v>
      </c>
      <c r="F23" s="437" t="s">
        <v>1279</v>
      </c>
      <c r="G23" s="437" t="s">
        <v>1433</v>
      </c>
      <c r="H23" s="437"/>
      <c r="I23" s="437"/>
      <c r="J23" s="437"/>
      <c r="K23" s="437"/>
      <c r="L23" s="437" t="s">
        <v>1487</v>
      </c>
      <c r="M23" s="437" t="s">
        <v>1487</v>
      </c>
      <c r="N23" s="437" t="s">
        <v>1487</v>
      </c>
      <c r="O23" s="437"/>
      <c r="P23" s="437"/>
      <c r="Q23" s="437"/>
      <c r="R23" s="437"/>
      <c r="S23" s="437" t="s">
        <v>1487</v>
      </c>
      <c r="T23" s="437" t="s">
        <v>1487</v>
      </c>
      <c r="U23" s="437" t="s">
        <v>1487</v>
      </c>
      <c r="V23" s="437"/>
      <c r="W23" s="437"/>
      <c r="X23" s="437"/>
      <c r="Y23" s="437"/>
      <c r="Z23" s="437" t="s">
        <v>1433</v>
      </c>
      <c r="AA23" s="437" t="s">
        <v>1433</v>
      </c>
      <c r="AB23" s="437" t="s">
        <v>1433</v>
      </c>
      <c r="AC23" s="437"/>
      <c r="AD23" s="437"/>
      <c r="AE23" s="437"/>
      <c r="AF23" s="437"/>
      <c r="AG23" s="437" t="s">
        <v>1433</v>
      </c>
      <c r="AH23" s="437" t="s">
        <v>1433</v>
      </c>
      <c r="AI23" s="437" t="s">
        <v>1433</v>
      </c>
      <c r="AJ23" s="437"/>
      <c r="AK23" s="437"/>
      <c r="AL23" s="437"/>
      <c r="AM23" s="437"/>
    </row>
  </sheetData>
  <mergeCells count="9">
    <mergeCell ref="E1:K1"/>
    <mergeCell ref="L1:R1"/>
    <mergeCell ref="S1:Y1"/>
    <mergeCell ref="Z1:AF1"/>
    <mergeCell ref="AG1:AM1"/>
    <mergeCell ref="A1:A2"/>
    <mergeCell ref="B1:B2"/>
    <mergeCell ref="C1:C2"/>
    <mergeCell ref="D1:D2"/>
  </mergeCells>
  <conditionalFormatting sqref="S1">
    <cfRule type="cellIs" dxfId="0" priority="8" operator="lessThan">
      <formula>0</formula>
    </cfRule>
  </conditionalFormatting>
  <conditionalFormatting sqref="Z1">
    <cfRule type="cellIs" dxfId="0" priority="6" operator="lessThan">
      <formula>0</formula>
    </cfRule>
  </conditionalFormatting>
  <conditionalFormatting sqref="S3:U3">
    <cfRule type="cellIs" dxfId="0" priority="2" operator="lessThan">
      <formula>0</formula>
    </cfRule>
  </conditionalFormatting>
  <conditionalFormatting sqref="A1:E1 L1 AG1">
    <cfRule type="cellIs" dxfId="0" priority="10" operator="lessThan">
      <formula>0</formula>
    </cfRule>
  </conditionalFormatting>
  <conditionalFormatting sqref="A2 C2">
    <cfRule type="cellIs" dxfId="0" priority="11" operator="lessThan">
      <formula>0</formula>
    </cfRule>
  </conditionalFormatting>
  <conditionalFormatting sqref="E2:R2 AG2:AM2 A3:D23 H3:K23 O3:R23 AG3:AM23">
    <cfRule type="cellIs" dxfId="0" priority="9" operator="lessThan">
      <formula>0</formula>
    </cfRule>
  </conditionalFormatting>
  <conditionalFormatting sqref="S2:Y2 V3:Y23">
    <cfRule type="cellIs" dxfId="0" priority="7" operator="lessThan">
      <formula>0</formula>
    </cfRule>
  </conditionalFormatting>
  <conditionalFormatting sqref="Z2:AF23">
    <cfRule type="cellIs" dxfId="0" priority="5" operator="lessThan">
      <formula>0</formula>
    </cfRule>
  </conditionalFormatting>
  <conditionalFormatting sqref="E3:G23">
    <cfRule type="cellIs" dxfId="0" priority="4" operator="lessThan">
      <formula>0</formula>
    </cfRule>
  </conditionalFormatting>
  <conditionalFormatting sqref="L3:N23">
    <cfRule type="cellIs" dxfId="0" priority="3" operator="lessThan">
      <formula>0</formula>
    </cfRule>
  </conditionalFormatting>
  <conditionalFormatting sqref="S4:U23">
    <cfRule type="cellIs" dxfId="0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rgb="FFFF0000"/>
  </sheetPr>
  <dimension ref="A1:AP23"/>
  <sheetViews>
    <sheetView zoomScale="80" zoomScaleNormal="80" workbookViewId="0">
      <pane ySplit="2" topLeftCell="A3" activePane="bottomLeft" state="frozen"/>
      <selection/>
      <selection pane="bottomLeft" activeCell="J12" sqref="J12"/>
    </sheetView>
  </sheetViews>
  <sheetFormatPr defaultColWidth="9" defaultRowHeight="14.4"/>
  <cols>
    <col min="13" max="14" width="13.4537037037037" customWidth="1"/>
    <col min="20" max="21" width="12.2685185185185" customWidth="1"/>
    <col min="27" max="28" width="12.2685185185185" customWidth="1"/>
    <col min="34" max="35" width="12.9074074074074" customWidth="1"/>
    <col min="41" max="42" width="12.9074074074074" customWidth="1"/>
  </cols>
  <sheetData>
    <row r="1" spans="1:42">
      <c r="A1" s="61" t="s">
        <v>100</v>
      </c>
      <c r="B1" s="427" t="s">
        <v>1120</v>
      </c>
      <c r="C1" s="427" t="s">
        <v>291</v>
      </c>
      <c r="D1" s="427" t="s">
        <v>292</v>
      </c>
      <c r="E1" s="362" t="s">
        <v>1462</v>
      </c>
      <c r="F1" s="362" t="s">
        <v>295</v>
      </c>
      <c r="G1" s="427" t="s">
        <v>65</v>
      </c>
      <c r="H1" s="428" t="s">
        <v>1122</v>
      </c>
      <c r="I1" s="429"/>
      <c r="J1" s="429"/>
      <c r="K1" s="429"/>
      <c r="L1" s="429"/>
      <c r="M1" s="429"/>
      <c r="N1" s="429"/>
      <c r="O1" s="430" t="s">
        <v>1426</v>
      </c>
      <c r="P1" s="431"/>
      <c r="Q1" s="431"/>
      <c r="R1" s="431"/>
      <c r="S1" s="431"/>
      <c r="T1" s="431"/>
      <c r="U1" s="432"/>
      <c r="V1" s="430" t="s">
        <v>1236</v>
      </c>
      <c r="W1" s="431"/>
      <c r="X1" s="431"/>
      <c r="Y1" s="431"/>
      <c r="Z1" s="431"/>
      <c r="AA1" s="431"/>
      <c r="AB1" s="432"/>
      <c r="AC1" s="433" t="s">
        <v>1237</v>
      </c>
      <c r="AD1" s="433"/>
      <c r="AE1" s="433"/>
      <c r="AF1" s="433"/>
      <c r="AG1" s="433"/>
      <c r="AH1" s="433"/>
      <c r="AI1" s="433"/>
      <c r="AJ1" s="433" t="s">
        <v>1427</v>
      </c>
      <c r="AK1" s="433"/>
      <c r="AL1" s="433"/>
      <c r="AM1" s="433"/>
      <c r="AN1" s="433"/>
      <c r="AO1" s="433"/>
      <c r="AP1" s="433"/>
    </row>
    <row r="2" ht="36" spans="1:42">
      <c r="A2" s="434"/>
      <c r="B2" s="427"/>
      <c r="C2" s="434"/>
      <c r="D2" s="427"/>
      <c r="E2" s="364"/>
      <c r="F2" s="364"/>
      <c r="G2" s="427"/>
      <c r="H2" s="427" t="s">
        <v>1476</v>
      </c>
      <c r="I2" s="427" t="s">
        <v>1493</v>
      </c>
      <c r="J2" s="427" t="s">
        <v>1494</v>
      </c>
      <c r="K2" s="427" t="s">
        <v>1495</v>
      </c>
      <c r="L2" s="427" t="s">
        <v>1496</v>
      </c>
      <c r="M2" s="427" t="s">
        <v>1497</v>
      </c>
      <c r="N2" s="427" t="s">
        <v>1498</v>
      </c>
      <c r="O2" s="427" t="s">
        <v>1476</v>
      </c>
      <c r="P2" s="427" t="s">
        <v>1493</v>
      </c>
      <c r="Q2" s="427" t="s">
        <v>1494</v>
      </c>
      <c r="R2" s="427" t="s">
        <v>1495</v>
      </c>
      <c r="S2" s="427" t="s">
        <v>1496</v>
      </c>
      <c r="T2" s="427" t="s">
        <v>1497</v>
      </c>
      <c r="U2" s="427" t="s">
        <v>1498</v>
      </c>
      <c r="V2" s="427" t="s">
        <v>1476</v>
      </c>
      <c r="W2" s="427" t="s">
        <v>1493</v>
      </c>
      <c r="X2" s="427" t="s">
        <v>1494</v>
      </c>
      <c r="Y2" s="427" t="s">
        <v>1495</v>
      </c>
      <c r="Z2" s="427" t="s">
        <v>1496</v>
      </c>
      <c r="AA2" s="427" t="s">
        <v>1497</v>
      </c>
      <c r="AB2" s="427" t="s">
        <v>1498</v>
      </c>
      <c r="AC2" s="427" t="s">
        <v>1476</v>
      </c>
      <c r="AD2" s="427" t="s">
        <v>1493</v>
      </c>
      <c r="AE2" s="427" t="s">
        <v>1494</v>
      </c>
      <c r="AF2" s="427" t="s">
        <v>1495</v>
      </c>
      <c r="AG2" s="427" t="s">
        <v>1496</v>
      </c>
      <c r="AH2" s="427" t="s">
        <v>1497</v>
      </c>
      <c r="AI2" s="427" t="s">
        <v>1498</v>
      </c>
      <c r="AJ2" s="427" t="s">
        <v>1476</v>
      </c>
      <c r="AK2" s="427" t="s">
        <v>1493</v>
      </c>
      <c r="AL2" s="427" t="s">
        <v>1494</v>
      </c>
      <c r="AM2" s="427" t="s">
        <v>1495</v>
      </c>
      <c r="AN2" s="427" t="s">
        <v>1496</v>
      </c>
      <c r="AO2" s="427" t="s">
        <v>1497</v>
      </c>
      <c r="AP2" s="427" t="s">
        <v>1498</v>
      </c>
    </row>
    <row r="3" spans="1:42">
      <c r="A3" s="435"/>
      <c r="B3" s="435"/>
      <c r="C3" s="435" t="s">
        <v>168</v>
      </c>
      <c r="D3" s="435" t="s">
        <v>1444</v>
      </c>
      <c r="E3" s="435"/>
      <c r="F3" s="435"/>
      <c r="G3" s="436"/>
      <c r="H3" s="437" t="s">
        <v>1279</v>
      </c>
      <c r="I3" s="437" t="s">
        <v>1279</v>
      </c>
      <c r="J3" s="437" t="s">
        <v>1433</v>
      </c>
      <c r="K3" s="437"/>
      <c r="L3" s="437"/>
      <c r="M3" s="437"/>
      <c r="N3" s="437"/>
      <c r="O3" s="437" t="s">
        <v>1487</v>
      </c>
      <c r="P3" s="437" t="s">
        <v>1487</v>
      </c>
      <c r="Q3" s="437" t="s">
        <v>1487</v>
      </c>
      <c r="R3" s="437"/>
      <c r="S3" s="437"/>
      <c r="T3" s="437"/>
      <c r="U3" s="437"/>
      <c r="V3" s="437" t="s">
        <v>1487</v>
      </c>
      <c r="W3" s="437" t="s">
        <v>1487</v>
      </c>
      <c r="X3" s="437" t="s">
        <v>1487</v>
      </c>
      <c r="Y3" s="437"/>
      <c r="Z3" s="437"/>
      <c r="AA3" s="437"/>
      <c r="AB3" s="437"/>
      <c r="AC3" s="437" t="s">
        <v>1433</v>
      </c>
      <c r="AD3" s="437" t="s">
        <v>1433</v>
      </c>
      <c r="AE3" s="437" t="s">
        <v>1433</v>
      </c>
      <c r="AF3" s="437"/>
      <c r="AG3" s="437"/>
      <c r="AH3" s="437"/>
      <c r="AI3" s="437"/>
      <c r="AJ3" s="437" t="s">
        <v>1433</v>
      </c>
      <c r="AK3" s="437" t="s">
        <v>1433</v>
      </c>
      <c r="AL3" s="437" t="s">
        <v>1433</v>
      </c>
      <c r="AM3" s="437"/>
      <c r="AN3" s="437"/>
      <c r="AO3" s="437"/>
      <c r="AP3" s="437"/>
    </row>
    <row r="4" spans="1:42">
      <c r="A4" s="435"/>
      <c r="B4" s="435"/>
      <c r="C4" s="435"/>
      <c r="D4" s="435" t="s">
        <v>1445</v>
      </c>
      <c r="E4" s="435"/>
      <c r="F4" s="435"/>
      <c r="G4" s="436"/>
      <c r="H4" s="437" t="s">
        <v>1279</v>
      </c>
      <c r="I4" s="437" t="s">
        <v>1279</v>
      </c>
      <c r="J4" s="437" t="s">
        <v>1433</v>
      </c>
      <c r="K4" s="437"/>
      <c r="L4" s="437"/>
      <c r="M4" s="437"/>
      <c r="N4" s="437"/>
      <c r="O4" s="437" t="s">
        <v>1487</v>
      </c>
      <c r="P4" s="437" t="s">
        <v>1487</v>
      </c>
      <c r="Q4" s="437" t="s">
        <v>1487</v>
      </c>
      <c r="R4" s="437"/>
      <c r="S4" s="437"/>
      <c r="T4" s="437"/>
      <c r="U4" s="437"/>
      <c r="V4" s="437" t="s">
        <v>1487</v>
      </c>
      <c r="W4" s="437" t="s">
        <v>1487</v>
      </c>
      <c r="X4" s="437" t="s">
        <v>1487</v>
      </c>
      <c r="Y4" s="437"/>
      <c r="Z4" s="437"/>
      <c r="AA4" s="437"/>
      <c r="AB4" s="437"/>
      <c r="AC4" s="437" t="s">
        <v>1433</v>
      </c>
      <c r="AD4" s="437" t="s">
        <v>1433</v>
      </c>
      <c r="AE4" s="437" t="s">
        <v>1433</v>
      </c>
      <c r="AF4" s="437"/>
      <c r="AG4" s="437"/>
      <c r="AH4" s="437"/>
      <c r="AI4" s="437"/>
      <c r="AJ4" s="437" t="s">
        <v>1433</v>
      </c>
      <c r="AK4" s="437" t="s">
        <v>1433</v>
      </c>
      <c r="AL4" s="437" t="s">
        <v>1433</v>
      </c>
      <c r="AM4" s="437"/>
      <c r="AN4" s="437"/>
      <c r="AO4" s="437"/>
      <c r="AP4" s="437"/>
    </row>
    <row r="5" spans="1:42">
      <c r="A5" s="435"/>
      <c r="B5" s="435"/>
      <c r="C5" s="435"/>
      <c r="D5" s="435"/>
      <c r="E5" s="435"/>
      <c r="F5" s="435"/>
      <c r="G5" s="436"/>
      <c r="H5" s="437" t="s">
        <v>1279</v>
      </c>
      <c r="I5" s="437" t="s">
        <v>1279</v>
      </c>
      <c r="J5" s="437" t="s">
        <v>1433</v>
      </c>
      <c r="K5" s="437"/>
      <c r="L5" s="437"/>
      <c r="M5" s="437"/>
      <c r="N5" s="437"/>
      <c r="O5" s="437" t="s">
        <v>1487</v>
      </c>
      <c r="P5" s="437" t="s">
        <v>1487</v>
      </c>
      <c r="Q5" s="437" t="s">
        <v>1487</v>
      </c>
      <c r="R5" s="437"/>
      <c r="S5" s="437"/>
      <c r="T5" s="437"/>
      <c r="U5" s="437"/>
      <c r="V5" s="437" t="s">
        <v>1487</v>
      </c>
      <c r="W5" s="437" t="s">
        <v>1487</v>
      </c>
      <c r="X5" s="437" t="s">
        <v>1487</v>
      </c>
      <c r="Y5" s="437"/>
      <c r="Z5" s="437"/>
      <c r="AA5" s="437"/>
      <c r="AB5" s="437"/>
      <c r="AC5" s="437" t="s">
        <v>1433</v>
      </c>
      <c r="AD5" s="437" t="s">
        <v>1433</v>
      </c>
      <c r="AE5" s="437" t="s">
        <v>1433</v>
      </c>
      <c r="AF5" s="437"/>
      <c r="AG5" s="437"/>
      <c r="AH5" s="437"/>
      <c r="AI5" s="437"/>
      <c r="AJ5" s="437" t="s">
        <v>1433</v>
      </c>
      <c r="AK5" s="437" t="s">
        <v>1433</v>
      </c>
      <c r="AL5" s="437" t="s">
        <v>1433</v>
      </c>
      <c r="AM5" s="437"/>
      <c r="AN5" s="437"/>
      <c r="AO5" s="437"/>
      <c r="AP5" s="437"/>
    </row>
    <row r="6" spans="1:42">
      <c r="A6" s="435"/>
      <c r="B6" s="435"/>
      <c r="C6" s="435"/>
      <c r="D6" s="435"/>
      <c r="E6" s="435"/>
      <c r="F6" s="435"/>
      <c r="G6" s="436"/>
      <c r="H6" s="437" t="s">
        <v>1279</v>
      </c>
      <c r="I6" s="437" t="s">
        <v>1279</v>
      </c>
      <c r="J6" s="437" t="s">
        <v>1433</v>
      </c>
      <c r="K6" s="437"/>
      <c r="L6" s="437"/>
      <c r="M6" s="437"/>
      <c r="N6" s="437"/>
      <c r="O6" s="437" t="s">
        <v>1487</v>
      </c>
      <c r="P6" s="437" t="s">
        <v>1487</v>
      </c>
      <c r="Q6" s="437" t="s">
        <v>1487</v>
      </c>
      <c r="R6" s="437"/>
      <c r="S6" s="437"/>
      <c r="T6" s="437"/>
      <c r="U6" s="437"/>
      <c r="V6" s="437" t="s">
        <v>1487</v>
      </c>
      <c r="W6" s="437" t="s">
        <v>1487</v>
      </c>
      <c r="X6" s="437" t="s">
        <v>1487</v>
      </c>
      <c r="Y6" s="437"/>
      <c r="Z6" s="437"/>
      <c r="AA6" s="437"/>
      <c r="AB6" s="437"/>
      <c r="AC6" s="437" t="s">
        <v>1433</v>
      </c>
      <c r="AD6" s="437" t="s">
        <v>1433</v>
      </c>
      <c r="AE6" s="437" t="s">
        <v>1433</v>
      </c>
      <c r="AF6" s="437"/>
      <c r="AG6" s="437"/>
      <c r="AH6" s="437"/>
      <c r="AI6" s="437"/>
      <c r="AJ6" s="437" t="s">
        <v>1433</v>
      </c>
      <c r="AK6" s="437" t="s">
        <v>1433</v>
      </c>
      <c r="AL6" s="437" t="s">
        <v>1433</v>
      </c>
      <c r="AM6" s="437"/>
      <c r="AN6" s="437"/>
      <c r="AO6" s="437"/>
      <c r="AP6" s="437"/>
    </row>
    <row r="7" spans="1:42">
      <c r="A7" s="435"/>
      <c r="B7" s="435"/>
      <c r="C7" s="435"/>
      <c r="D7" s="435"/>
      <c r="E7" s="435"/>
      <c r="F7" s="435"/>
      <c r="G7" s="436"/>
      <c r="H7" s="437" t="s">
        <v>1279</v>
      </c>
      <c r="I7" s="437" t="s">
        <v>1279</v>
      </c>
      <c r="J7" s="437" t="s">
        <v>1433</v>
      </c>
      <c r="K7" s="437"/>
      <c r="L7" s="437"/>
      <c r="M7" s="437"/>
      <c r="N7" s="437"/>
      <c r="O7" s="437" t="s">
        <v>1487</v>
      </c>
      <c r="P7" s="437" t="s">
        <v>1487</v>
      </c>
      <c r="Q7" s="437" t="s">
        <v>1487</v>
      </c>
      <c r="R7" s="437"/>
      <c r="S7" s="437"/>
      <c r="T7" s="437"/>
      <c r="U7" s="437"/>
      <c r="V7" s="437" t="s">
        <v>1487</v>
      </c>
      <c r="W7" s="437" t="s">
        <v>1487</v>
      </c>
      <c r="X7" s="437" t="s">
        <v>1487</v>
      </c>
      <c r="Y7" s="437"/>
      <c r="Z7" s="437"/>
      <c r="AA7" s="437"/>
      <c r="AB7" s="437"/>
      <c r="AC7" s="437" t="s">
        <v>1433</v>
      </c>
      <c r="AD7" s="437" t="s">
        <v>1433</v>
      </c>
      <c r="AE7" s="437" t="s">
        <v>1433</v>
      </c>
      <c r="AF7" s="437"/>
      <c r="AG7" s="437"/>
      <c r="AH7" s="437"/>
      <c r="AI7" s="437"/>
      <c r="AJ7" s="437" t="s">
        <v>1433</v>
      </c>
      <c r="AK7" s="437" t="s">
        <v>1433</v>
      </c>
      <c r="AL7" s="437" t="s">
        <v>1433</v>
      </c>
      <c r="AM7" s="437"/>
      <c r="AN7" s="437"/>
      <c r="AO7" s="437"/>
      <c r="AP7" s="437"/>
    </row>
    <row r="8" spans="1:42">
      <c r="A8" s="435"/>
      <c r="B8" s="435"/>
      <c r="C8" s="435"/>
      <c r="D8" s="435"/>
      <c r="E8" s="435"/>
      <c r="F8" s="435"/>
      <c r="G8" s="436"/>
      <c r="H8" s="437" t="s">
        <v>1279</v>
      </c>
      <c r="I8" s="437" t="s">
        <v>1279</v>
      </c>
      <c r="J8" s="437" t="s">
        <v>1433</v>
      </c>
      <c r="K8" s="437"/>
      <c r="L8" s="437"/>
      <c r="M8" s="437"/>
      <c r="N8" s="437"/>
      <c r="O8" s="437" t="s">
        <v>1487</v>
      </c>
      <c r="P8" s="437" t="s">
        <v>1487</v>
      </c>
      <c r="Q8" s="437" t="s">
        <v>1487</v>
      </c>
      <c r="R8" s="437"/>
      <c r="S8" s="437"/>
      <c r="T8" s="437"/>
      <c r="U8" s="437"/>
      <c r="V8" s="437" t="s">
        <v>1487</v>
      </c>
      <c r="W8" s="437" t="s">
        <v>1487</v>
      </c>
      <c r="X8" s="437" t="s">
        <v>1487</v>
      </c>
      <c r="Y8" s="437"/>
      <c r="Z8" s="437"/>
      <c r="AA8" s="437"/>
      <c r="AB8" s="437"/>
      <c r="AC8" s="437" t="s">
        <v>1433</v>
      </c>
      <c r="AD8" s="437" t="s">
        <v>1433</v>
      </c>
      <c r="AE8" s="437" t="s">
        <v>1433</v>
      </c>
      <c r="AF8" s="437"/>
      <c r="AG8" s="437"/>
      <c r="AH8" s="437"/>
      <c r="AI8" s="437"/>
      <c r="AJ8" s="437" t="s">
        <v>1433</v>
      </c>
      <c r="AK8" s="437" t="s">
        <v>1433</v>
      </c>
      <c r="AL8" s="437" t="s">
        <v>1433</v>
      </c>
      <c r="AM8" s="437"/>
      <c r="AN8" s="437"/>
      <c r="AO8" s="437"/>
      <c r="AP8" s="437"/>
    </row>
    <row r="9" spans="1:42">
      <c r="A9" s="435"/>
      <c r="B9" s="435"/>
      <c r="C9" s="435"/>
      <c r="D9" s="435"/>
      <c r="E9" s="435"/>
      <c r="F9" s="435"/>
      <c r="G9" s="436"/>
      <c r="H9" s="437" t="s">
        <v>1279</v>
      </c>
      <c r="I9" s="437" t="s">
        <v>1279</v>
      </c>
      <c r="J9" s="437" t="s">
        <v>1433</v>
      </c>
      <c r="K9" s="437"/>
      <c r="L9" s="437"/>
      <c r="M9" s="437"/>
      <c r="N9" s="437"/>
      <c r="O9" s="437" t="s">
        <v>1487</v>
      </c>
      <c r="P9" s="437" t="s">
        <v>1487</v>
      </c>
      <c r="Q9" s="437" t="s">
        <v>1487</v>
      </c>
      <c r="R9" s="437"/>
      <c r="S9" s="437"/>
      <c r="T9" s="437"/>
      <c r="U9" s="437"/>
      <c r="V9" s="437" t="s">
        <v>1487</v>
      </c>
      <c r="W9" s="437" t="s">
        <v>1487</v>
      </c>
      <c r="X9" s="437" t="s">
        <v>1487</v>
      </c>
      <c r="Y9" s="437"/>
      <c r="Z9" s="437"/>
      <c r="AA9" s="437"/>
      <c r="AB9" s="437"/>
      <c r="AC9" s="437" t="s">
        <v>1433</v>
      </c>
      <c r="AD9" s="437" t="s">
        <v>1433</v>
      </c>
      <c r="AE9" s="437" t="s">
        <v>1433</v>
      </c>
      <c r="AF9" s="437"/>
      <c r="AG9" s="437"/>
      <c r="AH9" s="437"/>
      <c r="AI9" s="437"/>
      <c r="AJ9" s="437" t="s">
        <v>1433</v>
      </c>
      <c r="AK9" s="437" t="s">
        <v>1433</v>
      </c>
      <c r="AL9" s="437" t="s">
        <v>1433</v>
      </c>
      <c r="AM9" s="437"/>
      <c r="AN9" s="437"/>
      <c r="AO9" s="437"/>
      <c r="AP9" s="437"/>
    </row>
    <row r="10" spans="1:42">
      <c r="A10" s="435"/>
      <c r="B10" s="435"/>
      <c r="C10" s="435"/>
      <c r="D10" s="435"/>
      <c r="E10" s="435"/>
      <c r="F10" s="435"/>
      <c r="G10" s="436"/>
      <c r="H10" s="437" t="s">
        <v>1279</v>
      </c>
      <c r="I10" s="437" t="s">
        <v>1279</v>
      </c>
      <c r="J10" s="437" t="s">
        <v>1433</v>
      </c>
      <c r="K10" s="437"/>
      <c r="L10" s="437"/>
      <c r="M10" s="437"/>
      <c r="N10" s="437"/>
      <c r="O10" s="437" t="s">
        <v>1487</v>
      </c>
      <c r="P10" s="437" t="s">
        <v>1487</v>
      </c>
      <c r="Q10" s="437" t="s">
        <v>1487</v>
      </c>
      <c r="R10" s="437"/>
      <c r="S10" s="437"/>
      <c r="T10" s="437"/>
      <c r="U10" s="437"/>
      <c r="V10" s="437" t="s">
        <v>1487</v>
      </c>
      <c r="W10" s="437" t="s">
        <v>1487</v>
      </c>
      <c r="X10" s="437" t="s">
        <v>1487</v>
      </c>
      <c r="Y10" s="437"/>
      <c r="Z10" s="437"/>
      <c r="AA10" s="437"/>
      <c r="AB10" s="437"/>
      <c r="AC10" s="437" t="s">
        <v>1433</v>
      </c>
      <c r="AD10" s="437" t="s">
        <v>1433</v>
      </c>
      <c r="AE10" s="437" t="s">
        <v>1433</v>
      </c>
      <c r="AF10" s="437"/>
      <c r="AG10" s="437"/>
      <c r="AH10" s="437"/>
      <c r="AI10" s="437"/>
      <c r="AJ10" s="437" t="s">
        <v>1433</v>
      </c>
      <c r="AK10" s="437" t="s">
        <v>1433</v>
      </c>
      <c r="AL10" s="437" t="s">
        <v>1433</v>
      </c>
      <c r="AM10" s="437"/>
      <c r="AN10" s="437"/>
      <c r="AO10" s="437"/>
      <c r="AP10" s="437"/>
    </row>
    <row r="11" spans="1:42">
      <c r="A11" s="435"/>
      <c r="B11" s="435"/>
      <c r="C11" s="435"/>
      <c r="D11" s="435"/>
      <c r="E11" s="435"/>
      <c r="F11" s="435"/>
      <c r="G11" s="436"/>
      <c r="H11" s="437" t="s">
        <v>1279</v>
      </c>
      <c r="I11" s="437" t="s">
        <v>1279</v>
      </c>
      <c r="J11" s="437" t="s">
        <v>1433</v>
      </c>
      <c r="K11" s="437"/>
      <c r="L11" s="437"/>
      <c r="M11" s="437"/>
      <c r="N11" s="437"/>
      <c r="O11" s="437" t="s">
        <v>1487</v>
      </c>
      <c r="P11" s="437" t="s">
        <v>1487</v>
      </c>
      <c r="Q11" s="437" t="s">
        <v>1487</v>
      </c>
      <c r="R11" s="437"/>
      <c r="S11" s="437"/>
      <c r="T11" s="437"/>
      <c r="U11" s="437"/>
      <c r="V11" s="437" t="s">
        <v>1487</v>
      </c>
      <c r="W11" s="437" t="s">
        <v>1487</v>
      </c>
      <c r="X11" s="437" t="s">
        <v>1487</v>
      </c>
      <c r="Y11" s="437"/>
      <c r="Z11" s="437"/>
      <c r="AA11" s="437"/>
      <c r="AB11" s="437"/>
      <c r="AC11" s="437" t="s">
        <v>1433</v>
      </c>
      <c r="AD11" s="437" t="s">
        <v>1433</v>
      </c>
      <c r="AE11" s="437" t="s">
        <v>1433</v>
      </c>
      <c r="AF11" s="437"/>
      <c r="AG11" s="437"/>
      <c r="AH11" s="437"/>
      <c r="AI11" s="437"/>
      <c r="AJ11" s="437" t="s">
        <v>1433</v>
      </c>
      <c r="AK11" s="437" t="s">
        <v>1433</v>
      </c>
      <c r="AL11" s="437" t="s">
        <v>1433</v>
      </c>
      <c r="AM11" s="437"/>
      <c r="AN11" s="437"/>
      <c r="AO11" s="437"/>
      <c r="AP11" s="437"/>
    </row>
    <row r="12" spans="1:42">
      <c r="A12" s="435"/>
      <c r="B12" s="435"/>
      <c r="C12" s="435"/>
      <c r="D12" s="435"/>
      <c r="E12" s="435"/>
      <c r="F12" s="435"/>
      <c r="G12" s="436"/>
      <c r="H12" s="437" t="s">
        <v>1279</v>
      </c>
      <c r="I12" s="437" t="s">
        <v>1279</v>
      </c>
      <c r="J12" s="437" t="s">
        <v>1433</v>
      </c>
      <c r="K12" s="437"/>
      <c r="L12" s="437"/>
      <c r="M12" s="437"/>
      <c r="N12" s="437"/>
      <c r="O12" s="437" t="s">
        <v>1487</v>
      </c>
      <c r="P12" s="437" t="s">
        <v>1487</v>
      </c>
      <c r="Q12" s="437" t="s">
        <v>1487</v>
      </c>
      <c r="R12" s="437"/>
      <c r="S12" s="437"/>
      <c r="T12" s="437"/>
      <c r="U12" s="437"/>
      <c r="V12" s="437" t="s">
        <v>1487</v>
      </c>
      <c r="W12" s="437" t="s">
        <v>1487</v>
      </c>
      <c r="X12" s="437" t="s">
        <v>1487</v>
      </c>
      <c r="Y12" s="437"/>
      <c r="Z12" s="437"/>
      <c r="AA12" s="437"/>
      <c r="AB12" s="437"/>
      <c r="AC12" s="437" t="s">
        <v>1433</v>
      </c>
      <c r="AD12" s="437" t="s">
        <v>1433</v>
      </c>
      <c r="AE12" s="437" t="s">
        <v>1433</v>
      </c>
      <c r="AF12" s="437"/>
      <c r="AG12" s="437"/>
      <c r="AH12" s="437"/>
      <c r="AI12" s="437"/>
      <c r="AJ12" s="437" t="s">
        <v>1433</v>
      </c>
      <c r="AK12" s="437" t="s">
        <v>1433</v>
      </c>
      <c r="AL12" s="437" t="s">
        <v>1433</v>
      </c>
      <c r="AM12" s="437"/>
      <c r="AN12" s="437"/>
      <c r="AO12" s="437"/>
      <c r="AP12" s="437"/>
    </row>
    <row r="13" spans="1:42">
      <c r="A13" s="435"/>
      <c r="B13" s="435"/>
      <c r="C13" s="435"/>
      <c r="D13" s="435"/>
      <c r="E13" s="435"/>
      <c r="F13" s="435"/>
      <c r="G13" s="436"/>
      <c r="H13" s="437" t="s">
        <v>1279</v>
      </c>
      <c r="I13" s="437" t="s">
        <v>1279</v>
      </c>
      <c r="J13" s="437" t="s">
        <v>1433</v>
      </c>
      <c r="K13" s="437"/>
      <c r="L13" s="437"/>
      <c r="M13" s="437"/>
      <c r="N13" s="437"/>
      <c r="O13" s="437" t="s">
        <v>1487</v>
      </c>
      <c r="P13" s="437" t="s">
        <v>1487</v>
      </c>
      <c r="Q13" s="437" t="s">
        <v>1487</v>
      </c>
      <c r="R13" s="437"/>
      <c r="S13" s="437"/>
      <c r="T13" s="437"/>
      <c r="U13" s="437"/>
      <c r="V13" s="437" t="s">
        <v>1487</v>
      </c>
      <c r="W13" s="437" t="s">
        <v>1487</v>
      </c>
      <c r="X13" s="437" t="s">
        <v>1487</v>
      </c>
      <c r="Y13" s="437"/>
      <c r="Z13" s="437"/>
      <c r="AA13" s="437"/>
      <c r="AB13" s="437"/>
      <c r="AC13" s="437" t="s">
        <v>1433</v>
      </c>
      <c r="AD13" s="437" t="s">
        <v>1433</v>
      </c>
      <c r="AE13" s="437" t="s">
        <v>1433</v>
      </c>
      <c r="AF13" s="437"/>
      <c r="AG13" s="437"/>
      <c r="AH13" s="437"/>
      <c r="AI13" s="437"/>
      <c r="AJ13" s="437" t="s">
        <v>1433</v>
      </c>
      <c r="AK13" s="437" t="s">
        <v>1433</v>
      </c>
      <c r="AL13" s="437" t="s">
        <v>1433</v>
      </c>
      <c r="AM13" s="437"/>
      <c r="AN13" s="437"/>
      <c r="AO13" s="437"/>
      <c r="AP13" s="437"/>
    </row>
    <row r="14" spans="1:42">
      <c r="A14" s="435"/>
      <c r="B14" s="435"/>
      <c r="C14" s="435"/>
      <c r="D14" s="435"/>
      <c r="E14" s="435"/>
      <c r="F14" s="435"/>
      <c r="G14" s="436"/>
      <c r="H14" s="437" t="s">
        <v>1279</v>
      </c>
      <c r="I14" s="437" t="s">
        <v>1279</v>
      </c>
      <c r="J14" s="437" t="s">
        <v>1433</v>
      </c>
      <c r="K14" s="437"/>
      <c r="L14" s="437"/>
      <c r="M14" s="437"/>
      <c r="N14" s="437"/>
      <c r="O14" s="437" t="s">
        <v>1487</v>
      </c>
      <c r="P14" s="437" t="s">
        <v>1487</v>
      </c>
      <c r="Q14" s="437" t="s">
        <v>1487</v>
      </c>
      <c r="R14" s="437"/>
      <c r="S14" s="437"/>
      <c r="T14" s="437"/>
      <c r="U14" s="437"/>
      <c r="V14" s="437" t="s">
        <v>1487</v>
      </c>
      <c r="W14" s="437" t="s">
        <v>1487</v>
      </c>
      <c r="X14" s="437" t="s">
        <v>1487</v>
      </c>
      <c r="Y14" s="437"/>
      <c r="Z14" s="437"/>
      <c r="AA14" s="437"/>
      <c r="AB14" s="437"/>
      <c r="AC14" s="437" t="s">
        <v>1433</v>
      </c>
      <c r="AD14" s="437" t="s">
        <v>1433</v>
      </c>
      <c r="AE14" s="437" t="s">
        <v>1433</v>
      </c>
      <c r="AF14" s="437"/>
      <c r="AG14" s="437"/>
      <c r="AH14" s="437"/>
      <c r="AI14" s="437"/>
      <c r="AJ14" s="437" t="s">
        <v>1433</v>
      </c>
      <c r="AK14" s="437" t="s">
        <v>1433</v>
      </c>
      <c r="AL14" s="437" t="s">
        <v>1433</v>
      </c>
      <c r="AM14" s="437"/>
      <c r="AN14" s="437"/>
      <c r="AO14" s="437"/>
      <c r="AP14" s="437"/>
    </row>
    <row r="15" spans="1:42">
      <c r="A15" s="435"/>
      <c r="B15" s="435"/>
      <c r="C15" s="435"/>
      <c r="D15" s="435"/>
      <c r="E15" s="435"/>
      <c r="F15" s="435"/>
      <c r="G15" s="436"/>
      <c r="H15" s="437" t="s">
        <v>1279</v>
      </c>
      <c r="I15" s="437" t="s">
        <v>1279</v>
      </c>
      <c r="J15" s="437" t="s">
        <v>1433</v>
      </c>
      <c r="K15" s="437"/>
      <c r="L15" s="437"/>
      <c r="M15" s="437"/>
      <c r="N15" s="437"/>
      <c r="O15" s="437" t="s">
        <v>1487</v>
      </c>
      <c r="P15" s="437" t="s">
        <v>1487</v>
      </c>
      <c r="Q15" s="437" t="s">
        <v>1487</v>
      </c>
      <c r="R15" s="437"/>
      <c r="S15" s="437"/>
      <c r="T15" s="437"/>
      <c r="U15" s="437"/>
      <c r="V15" s="437" t="s">
        <v>1487</v>
      </c>
      <c r="W15" s="437" t="s">
        <v>1487</v>
      </c>
      <c r="X15" s="437" t="s">
        <v>1487</v>
      </c>
      <c r="Y15" s="437"/>
      <c r="Z15" s="437"/>
      <c r="AA15" s="437"/>
      <c r="AB15" s="437"/>
      <c r="AC15" s="437" t="s">
        <v>1433</v>
      </c>
      <c r="AD15" s="437" t="s">
        <v>1433</v>
      </c>
      <c r="AE15" s="437" t="s">
        <v>1433</v>
      </c>
      <c r="AF15" s="437"/>
      <c r="AG15" s="437"/>
      <c r="AH15" s="437"/>
      <c r="AI15" s="437"/>
      <c r="AJ15" s="437" t="s">
        <v>1433</v>
      </c>
      <c r="AK15" s="437" t="s">
        <v>1433</v>
      </c>
      <c r="AL15" s="437" t="s">
        <v>1433</v>
      </c>
      <c r="AM15" s="437"/>
      <c r="AN15" s="437"/>
      <c r="AO15" s="437"/>
      <c r="AP15" s="437"/>
    </row>
    <row r="16" spans="1:42">
      <c r="A16" s="435"/>
      <c r="B16" s="435"/>
      <c r="C16" s="435"/>
      <c r="D16" s="435"/>
      <c r="E16" s="435"/>
      <c r="F16" s="435"/>
      <c r="G16" s="436"/>
      <c r="H16" s="437" t="s">
        <v>1279</v>
      </c>
      <c r="I16" s="437" t="s">
        <v>1279</v>
      </c>
      <c r="J16" s="437" t="s">
        <v>1433</v>
      </c>
      <c r="K16" s="437"/>
      <c r="L16" s="437"/>
      <c r="M16" s="437"/>
      <c r="N16" s="437"/>
      <c r="O16" s="437" t="s">
        <v>1487</v>
      </c>
      <c r="P16" s="437" t="s">
        <v>1487</v>
      </c>
      <c r="Q16" s="437" t="s">
        <v>1487</v>
      </c>
      <c r="R16" s="437"/>
      <c r="S16" s="437"/>
      <c r="T16" s="437"/>
      <c r="U16" s="437"/>
      <c r="V16" s="437" t="s">
        <v>1487</v>
      </c>
      <c r="W16" s="437" t="s">
        <v>1487</v>
      </c>
      <c r="X16" s="437" t="s">
        <v>1487</v>
      </c>
      <c r="Y16" s="437"/>
      <c r="Z16" s="437"/>
      <c r="AA16" s="437"/>
      <c r="AB16" s="437"/>
      <c r="AC16" s="437" t="s">
        <v>1433</v>
      </c>
      <c r="AD16" s="437" t="s">
        <v>1433</v>
      </c>
      <c r="AE16" s="437" t="s">
        <v>1433</v>
      </c>
      <c r="AF16" s="437"/>
      <c r="AG16" s="437"/>
      <c r="AH16" s="437"/>
      <c r="AI16" s="437"/>
      <c r="AJ16" s="437" t="s">
        <v>1433</v>
      </c>
      <c r="AK16" s="437" t="s">
        <v>1433</v>
      </c>
      <c r="AL16" s="437" t="s">
        <v>1433</v>
      </c>
      <c r="AM16" s="437"/>
      <c r="AN16" s="437"/>
      <c r="AO16" s="437"/>
      <c r="AP16" s="437"/>
    </row>
    <row r="17" spans="1:42">
      <c r="A17" s="435"/>
      <c r="B17" s="435"/>
      <c r="C17" s="435"/>
      <c r="D17" s="435"/>
      <c r="E17" s="435"/>
      <c r="F17" s="435"/>
      <c r="G17" s="436"/>
      <c r="H17" s="437" t="s">
        <v>1279</v>
      </c>
      <c r="I17" s="437" t="s">
        <v>1279</v>
      </c>
      <c r="J17" s="437" t="s">
        <v>1433</v>
      </c>
      <c r="K17" s="437"/>
      <c r="L17" s="437"/>
      <c r="M17" s="437"/>
      <c r="N17" s="437"/>
      <c r="O17" s="437" t="s">
        <v>1487</v>
      </c>
      <c r="P17" s="437" t="s">
        <v>1487</v>
      </c>
      <c r="Q17" s="437" t="s">
        <v>1487</v>
      </c>
      <c r="R17" s="437"/>
      <c r="S17" s="437"/>
      <c r="T17" s="437"/>
      <c r="U17" s="437"/>
      <c r="V17" s="437" t="s">
        <v>1487</v>
      </c>
      <c r="W17" s="437" t="s">
        <v>1487</v>
      </c>
      <c r="X17" s="437" t="s">
        <v>1487</v>
      </c>
      <c r="Y17" s="437"/>
      <c r="Z17" s="437"/>
      <c r="AA17" s="437"/>
      <c r="AB17" s="437"/>
      <c r="AC17" s="437" t="s">
        <v>1433</v>
      </c>
      <c r="AD17" s="437" t="s">
        <v>1433</v>
      </c>
      <c r="AE17" s="437" t="s">
        <v>1433</v>
      </c>
      <c r="AF17" s="437"/>
      <c r="AG17" s="437"/>
      <c r="AH17" s="437"/>
      <c r="AI17" s="437"/>
      <c r="AJ17" s="437" t="s">
        <v>1433</v>
      </c>
      <c r="AK17" s="437" t="s">
        <v>1433</v>
      </c>
      <c r="AL17" s="437" t="s">
        <v>1433</v>
      </c>
      <c r="AM17" s="437"/>
      <c r="AN17" s="437"/>
      <c r="AO17" s="437"/>
      <c r="AP17" s="437"/>
    </row>
    <row r="18" spans="1:42">
      <c r="A18" s="435"/>
      <c r="B18" s="435"/>
      <c r="C18" s="435"/>
      <c r="D18" s="435"/>
      <c r="E18" s="435"/>
      <c r="F18" s="435"/>
      <c r="G18" s="436"/>
      <c r="H18" s="437" t="s">
        <v>1279</v>
      </c>
      <c r="I18" s="437" t="s">
        <v>1279</v>
      </c>
      <c r="J18" s="437" t="s">
        <v>1433</v>
      </c>
      <c r="K18" s="437"/>
      <c r="L18" s="437"/>
      <c r="M18" s="437"/>
      <c r="N18" s="437"/>
      <c r="O18" s="437" t="s">
        <v>1487</v>
      </c>
      <c r="P18" s="437" t="s">
        <v>1487</v>
      </c>
      <c r="Q18" s="437" t="s">
        <v>1487</v>
      </c>
      <c r="R18" s="437"/>
      <c r="S18" s="437"/>
      <c r="T18" s="437"/>
      <c r="U18" s="437"/>
      <c r="V18" s="437" t="s">
        <v>1487</v>
      </c>
      <c r="W18" s="437" t="s">
        <v>1487</v>
      </c>
      <c r="X18" s="437" t="s">
        <v>1487</v>
      </c>
      <c r="Y18" s="437"/>
      <c r="Z18" s="437"/>
      <c r="AA18" s="437"/>
      <c r="AB18" s="437"/>
      <c r="AC18" s="437" t="s">
        <v>1433</v>
      </c>
      <c r="AD18" s="437" t="s">
        <v>1433</v>
      </c>
      <c r="AE18" s="437" t="s">
        <v>1433</v>
      </c>
      <c r="AF18" s="437"/>
      <c r="AG18" s="437"/>
      <c r="AH18" s="437"/>
      <c r="AI18" s="437"/>
      <c r="AJ18" s="437" t="s">
        <v>1433</v>
      </c>
      <c r="AK18" s="437" t="s">
        <v>1433</v>
      </c>
      <c r="AL18" s="437" t="s">
        <v>1433</v>
      </c>
      <c r="AM18" s="437"/>
      <c r="AN18" s="437"/>
      <c r="AO18" s="437"/>
      <c r="AP18" s="437"/>
    </row>
    <row r="19" spans="1:42">
      <c r="A19" s="435"/>
      <c r="B19" s="435"/>
      <c r="C19" s="435"/>
      <c r="D19" s="435"/>
      <c r="E19" s="435"/>
      <c r="F19" s="435"/>
      <c r="G19" s="436"/>
      <c r="H19" s="437" t="s">
        <v>1279</v>
      </c>
      <c r="I19" s="437" t="s">
        <v>1279</v>
      </c>
      <c r="J19" s="437" t="s">
        <v>1433</v>
      </c>
      <c r="K19" s="437"/>
      <c r="L19" s="437"/>
      <c r="M19" s="437"/>
      <c r="N19" s="437"/>
      <c r="O19" s="437" t="s">
        <v>1487</v>
      </c>
      <c r="P19" s="437" t="s">
        <v>1487</v>
      </c>
      <c r="Q19" s="437" t="s">
        <v>1487</v>
      </c>
      <c r="R19" s="437"/>
      <c r="S19" s="437"/>
      <c r="T19" s="437"/>
      <c r="U19" s="437"/>
      <c r="V19" s="437" t="s">
        <v>1487</v>
      </c>
      <c r="W19" s="437" t="s">
        <v>1487</v>
      </c>
      <c r="X19" s="437" t="s">
        <v>1487</v>
      </c>
      <c r="Y19" s="437"/>
      <c r="Z19" s="437"/>
      <c r="AA19" s="437"/>
      <c r="AB19" s="437"/>
      <c r="AC19" s="437" t="s">
        <v>1433</v>
      </c>
      <c r="AD19" s="437" t="s">
        <v>1433</v>
      </c>
      <c r="AE19" s="437" t="s">
        <v>1433</v>
      </c>
      <c r="AF19" s="437"/>
      <c r="AG19" s="437"/>
      <c r="AH19" s="437"/>
      <c r="AI19" s="437"/>
      <c r="AJ19" s="437" t="s">
        <v>1433</v>
      </c>
      <c r="AK19" s="437" t="s">
        <v>1433</v>
      </c>
      <c r="AL19" s="437" t="s">
        <v>1433</v>
      </c>
      <c r="AM19" s="437"/>
      <c r="AN19" s="437"/>
      <c r="AO19" s="437"/>
      <c r="AP19" s="437"/>
    </row>
    <row r="20" spans="1:42">
      <c r="A20" s="435"/>
      <c r="B20" s="435"/>
      <c r="C20" s="435"/>
      <c r="D20" s="435"/>
      <c r="E20" s="435"/>
      <c r="F20" s="435"/>
      <c r="G20" s="436"/>
      <c r="H20" s="437" t="s">
        <v>1279</v>
      </c>
      <c r="I20" s="437" t="s">
        <v>1279</v>
      </c>
      <c r="J20" s="437" t="s">
        <v>1433</v>
      </c>
      <c r="K20" s="437"/>
      <c r="L20" s="437"/>
      <c r="M20" s="437"/>
      <c r="N20" s="437"/>
      <c r="O20" s="437" t="s">
        <v>1487</v>
      </c>
      <c r="P20" s="437" t="s">
        <v>1487</v>
      </c>
      <c r="Q20" s="437" t="s">
        <v>1487</v>
      </c>
      <c r="R20" s="437"/>
      <c r="S20" s="437"/>
      <c r="T20" s="437"/>
      <c r="U20" s="437"/>
      <c r="V20" s="437" t="s">
        <v>1487</v>
      </c>
      <c r="W20" s="437" t="s">
        <v>1487</v>
      </c>
      <c r="X20" s="437" t="s">
        <v>1487</v>
      </c>
      <c r="Y20" s="437"/>
      <c r="Z20" s="437"/>
      <c r="AA20" s="437"/>
      <c r="AB20" s="437"/>
      <c r="AC20" s="437" t="s">
        <v>1433</v>
      </c>
      <c r="AD20" s="437" t="s">
        <v>1433</v>
      </c>
      <c r="AE20" s="437" t="s">
        <v>1433</v>
      </c>
      <c r="AF20" s="437"/>
      <c r="AG20" s="437"/>
      <c r="AH20" s="437"/>
      <c r="AI20" s="437"/>
      <c r="AJ20" s="437" t="s">
        <v>1433</v>
      </c>
      <c r="AK20" s="437" t="s">
        <v>1433</v>
      </c>
      <c r="AL20" s="437" t="s">
        <v>1433</v>
      </c>
      <c r="AM20" s="437"/>
      <c r="AN20" s="437"/>
      <c r="AO20" s="437"/>
      <c r="AP20" s="437"/>
    </row>
    <row r="21" spans="1:42">
      <c r="A21" s="435"/>
      <c r="B21" s="435"/>
      <c r="C21" s="435"/>
      <c r="D21" s="435"/>
      <c r="E21" s="435"/>
      <c r="F21" s="435"/>
      <c r="G21" s="436"/>
      <c r="H21" s="437" t="s">
        <v>1279</v>
      </c>
      <c r="I21" s="437" t="s">
        <v>1279</v>
      </c>
      <c r="J21" s="437" t="s">
        <v>1433</v>
      </c>
      <c r="K21" s="437"/>
      <c r="L21" s="437"/>
      <c r="M21" s="437"/>
      <c r="N21" s="437"/>
      <c r="O21" s="437" t="s">
        <v>1487</v>
      </c>
      <c r="P21" s="437" t="s">
        <v>1487</v>
      </c>
      <c r="Q21" s="437" t="s">
        <v>1487</v>
      </c>
      <c r="R21" s="437"/>
      <c r="S21" s="437"/>
      <c r="T21" s="437"/>
      <c r="U21" s="437"/>
      <c r="V21" s="437" t="s">
        <v>1487</v>
      </c>
      <c r="W21" s="437" t="s">
        <v>1487</v>
      </c>
      <c r="X21" s="437" t="s">
        <v>1487</v>
      </c>
      <c r="Y21" s="437"/>
      <c r="Z21" s="437"/>
      <c r="AA21" s="437"/>
      <c r="AB21" s="437"/>
      <c r="AC21" s="437" t="s">
        <v>1433</v>
      </c>
      <c r="AD21" s="437" t="s">
        <v>1433</v>
      </c>
      <c r="AE21" s="437" t="s">
        <v>1433</v>
      </c>
      <c r="AF21" s="437"/>
      <c r="AG21" s="437"/>
      <c r="AH21" s="437"/>
      <c r="AI21" s="437"/>
      <c r="AJ21" s="437" t="s">
        <v>1433</v>
      </c>
      <c r="AK21" s="437" t="s">
        <v>1433</v>
      </c>
      <c r="AL21" s="437" t="s">
        <v>1433</v>
      </c>
      <c r="AM21" s="437"/>
      <c r="AN21" s="437"/>
      <c r="AO21" s="437"/>
      <c r="AP21" s="437"/>
    </row>
    <row r="22" spans="1:42">
      <c r="A22" s="435"/>
      <c r="B22" s="435"/>
      <c r="C22" s="435"/>
      <c r="D22" s="435"/>
      <c r="E22" s="435"/>
      <c r="F22" s="435"/>
      <c r="G22" s="436"/>
      <c r="H22" s="437" t="s">
        <v>1279</v>
      </c>
      <c r="I22" s="437" t="s">
        <v>1279</v>
      </c>
      <c r="J22" s="437" t="s">
        <v>1433</v>
      </c>
      <c r="K22" s="437"/>
      <c r="L22" s="437"/>
      <c r="M22" s="437"/>
      <c r="N22" s="437"/>
      <c r="O22" s="437" t="s">
        <v>1487</v>
      </c>
      <c r="P22" s="437" t="s">
        <v>1487</v>
      </c>
      <c r="Q22" s="437" t="s">
        <v>1487</v>
      </c>
      <c r="R22" s="437"/>
      <c r="S22" s="437"/>
      <c r="T22" s="437"/>
      <c r="U22" s="437"/>
      <c r="V22" s="437" t="s">
        <v>1487</v>
      </c>
      <c r="W22" s="437" t="s">
        <v>1487</v>
      </c>
      <c r="X22" s="437" t="s">
        <v>1487</v>
      </c>
      <c r="Y22" s="437"/>
      <c r="Z22" s="437"/>
      <c r="AA22" s="437"/>
      <c r="AB22" s="437"/>
      <c r="AC22" s="437" t="s">
        <v>1433</v>
      </c>
      <c r="AD22" s="437" t="s">
        <v>1433</v>
      </c>
      <c r="AE22" s="437" t="s">
        <v>1433</v>
      </c>
      <c r="AF22" s="437"/>
      <c r="AG22" s="437"/>
      <c r="AH22" s="437"/>
      <c r="AI22" s="437"/>
      <c r="AJ22" s="437" t="s">
        <v>1433</v>
      </c>
      <c r="AK22" s="437" t="s">
        <v>1433</v>
      </c>
      <c r="AL22" s="437" t="s">
        <v>1433</v>
      </c>
      <c r="AM22" s="437"/>
      <c r="AN22" s="437"/>
      <c r="AO22" s="437"/>
      <c r="AP22" s="437"/>
    </row>
    <row r="23" spans="1:42">
      <c r="A23" s="435"/>
      <c r="B23" s="435"/>
      <c r="C23" s="435"/>
      <c r="D23" s="435"/>
      <c r="E23" s="435"/>
      <c r="F23" s="435"/>
      <c r="G23" s="436"/>
      <c r="H23" s="437" t="s">
        <v>1279</v>
      </c>
      <c r="I23" s="437" t="s">
        <v>1279</v>
      </c>
      <c r="J23" s="437" t="s">
        <v>1433</v>
      </c>
      <c r="K23" s="437"/>
      <c r="L23" s="437"/>
      <c r="M23" s="437"/>
      <c r="N23" s="437"/>
      <c r="O23" s="437" t="s">
        <v>1487</v>
      </c>
      <c r="P23" s="437" t="s">
        <v>1487</v>
      </c>
      <c r="Q23" s="437" t="s">
        <v>1487</v>
      </c>
      <c r="R23" s="437"/>
      <c r="S23" s="437"/>
      <c r="T23" s="437"/>
      <c r="U23" s="437"/>
      <c r="V23" s="437" t="s">
        <v>1487</v>
      </c>
      <c r="W23" s="437" t="s">
        <v>1487</v>
      </c>
      <c r="X23" s="437" t="s">
        <v>1487</v>
      </c>
      <c r="Y23" s="437"/>
      <c r="Z23" s="437"/>
      <c r="AA23" s="437"/>
      <c r="AB23" s="437"/>
      <c r="AC23" s="437" t="s">
        <v>1433</v>
      </c>
      <c r="AD23" s="437" t="s">
        <v>1433</v>
      </c>
      <c r="AE23" s="437" t="s">
        <v>1433</v>
      </c>
      <c r="AF23" s="437"/>
      <c r="AG23" s="437"/>
      <c r="AH23" s="437"/>
      <c r="AI23" s="437"/>
      <c r="AJ23" s="437" t="s">
        <v>1433</v>
      </c>
      <c r="AK23" s="437" t="s">
        <v>1433</v>
      </c>
      <c r="AL23" s="437" t="s">
        <v>1433</v>
      </c>
      <c r="AM23" s="437"/>
      <c r="AN23" s="437"/>
      <c r="AO23" s="437"/>
      <c r="AP23" s="437"/>
    </row>
  </sheetData>
  <mergeCells count="12">
    <mergeCell ref="H1:N1"/>
    <mergeCell ref="O1:U1"/>
    <mergeCell ref="V1:AB1"/>
    <mergeCell ref="AC1:AI1"/>
    <mergeCell ref="AJ1:AP1"/>
    <mergeCell ref="A1:A2"/>
    <mergeCell ref="B1:B2"/>
    <mergeCell ref="C1:C2"/>
    <mergeCell ref="D1:D2"/>
    <mergeCell ref="E1:E2"/>
    <mergeCell ref="F1:F2"/>
    <mergeCell ref="G1:G2"/>
  </mergeCells>
  <conditionalFormatting sqref="F1">
    <cfRule type="cellIs" dxfId="0" priority="7" operator="lessThan">
      <formula>0</formula>
    </cfRule>
  </conditionalFormatting>
  <conditionalFormatting sqref="G1">
    <cfRule type="cellIs" dxfId="0" priority="6" operator="lessThan">
      <formula>0</formula>
    </cfRule>
  </conditionalFormatting>
  <conditionalFormatting sqref="V1">
    <cfRule type="cellIs" dxfId="0" priority="5" operator="lessThan">
      <formula>0</formula>
    </cfRule>
  </conditionalFormatting>
  <conditionalFormatting sqref="AC1">
    <cfRule type="cellIs" dxfId="0" priority="3" operator="lessThan">
      <formula>0</formula>
    </cfRule>
  </conditionalFormatting>
  <conditionalFormatting sqref="A1:E1 H1 O1 AJ1">
    <cfRule type="cellIs" dxfId="0" priority="10" operator="lessThan">
      <formula>0</formula>
    </cfRule>
  </conditionalFormatting>
  <conditionalFormatting sqref="A2 C2">
    <cfRule type="cellIs" dxfId="0" priority="11" operator="lessThan">
      <formula>0</formula>
    </cfRule>
  </conditionalFormatting>
  <conditionalFormatting sqref="H2:U2 AJ2:AP2 A3:U23 AJ3:AP23">
    <cfRule type="cellIs" dxfId="0" priority="9" operator="lessThan">
      <formula>0</formula>
    </cfRule>
  </conditionalFormatting>
  <conditionalFormatting sqref="V2:AB2 Y3:AB23">
    <cfRule type="cellIs" dxfId="0" priority="4" operator="lessThan">
      <formula>0</formula>
    </cfRule>
  </conditionalFormatting>
  <conditionalFormatting sqref="AC2:AI23">
    <cfRule type="cellIs" dxfId="0" priority="2" operator="lessThan">
      <formula>0</formula>
    </cfRule>
  </conditionalFormatting>
  <conditionalFormatting sqref="V3:X23">
    <cfRule type="cellIs" dxfId="0" priority="1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>
    <tabColor theme="8" tint="0.799981688894314"/>
  </sheetPr>
  <dimension ref="A1:K81"/>
  <sheetViews>
    <sheetView zoomScale="115" zoomScaleNormal="115" workbookViewId="0">
      <pane ySplit="10" topLeftCell="A11" activePane="bottomLeft" state="frozen"/>
      <selection/>
      <selection pane="bottomLeft" activeCell="I25" sqref="I25"/>
    </sheetView>
  </sheetViews>
  <sheetFormatPr defaultColWidth="8.72222222222222" defaultRowHeight="14.4"/>
  <cols>
    <col min="2" max="2" width="10.9074074074074" customWidth="1"/>
    <col min="3" max="4" width="11.6296296296296" customWidth="1"/>
    <col min="5" max="7" width="11.5462962962963" customWidth="1"/>
    <col min="8" max="11" width="9.4537037037037" customWidth="1"/>
    <col min="12" max="12" width="22.4537037037037" customWidth="1"/>
  </cols>
  <sheetData>
    <row r="1" spans="1:11">
      <c r="A1" s="61" t="s">
        <v>100</v>
      </c>
      <c r="B1" s="234"/>
      <c r="C1" s="234"/>
      <c r="D1" s="234"/>
      <c r="E1" s="418" t="s">
        <v>1499</v>
      </c>
      <c r="F1" s="419"/>
      <c r="G1" s="419"/>
      <c r="H1" s="419"/>
      <c r="I1" s="419"/>
      <c r="J1" s="419"/>
    </row>
    <row r="2" spans="1:11">
      <c r="A2" s="234"/>
      <c r="B2" s="234"/>
      <c r="C2" s="234"/>
      <c r="D2" s="234"/>
      <c r="E2" s="419"/>
      <c r="F2" s="419"/>
      <c r="G2" s="419"/>
      <c r="H2" s="419"/>
      <c r="I2" s="419"/>
      <c r="J2" s="419"/>
    </row>
    <row r="3" spans="1:11">
      <c r="A3" s="234"/>
      <c r="B3" s="234"/>
      <c r="C3" s="234"/>
      <c r="D3" s="234"/>
      <c r="E3" s="419"/>
      <c r="F3" s="419"/>
      <c r="G3" s="419"/>
      <c r="H3" s="419"/>
      <c r="I3" s="419"/>
      <c r="J3" s="419"/>
    </row>
    <row r="4" ht="14" customHeight="1" spans="1:11">
      <c r="A4" s="234"/>
      <c r="B4" s="234"/>
      <c r="C4" s="234"/>
      <c r="D4" s="234"/>
      <c r="E4" s="419"/>
      <c r="F4" s="419"/>
      <c r="G4" s="419"/>
      <c r="H4" s="419"/>
      <c r="I4" s="419"/>
      <c r="J4" s="419"/>
    </row>
    <row r="5" spans="1:11">
      <c r="A5" s="13" t="s">
        <v>1500</v>
      </c>
      <c r="B5" s="13"/>
      <c r="C5" s="13"/>
      <c r="D5" s="13"/>
      <c r="E5" s="419"/>
      <c r="F5" s="419"/>
      <c r="G5" s="419"/>
      <c r="H5" s="419"/>
      <c r="I5" s="419"/>
      <c r="J5" s="419"/>
    </row>
    <row r="6" spans="1:11">
      <c r="A6" s="17"/>
      <c r="B6" s="17"/>
      <c r="C6" s="17"/>
      <c r="D6" s="17"/>
      <c r="G6" s="18"/>
      <c r="H6" s="17"/>
      <c r="I6" s="17"/>
    </row>
    <row r="7" spans="1:11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420" t="s">
        <v>1505</v>
      </c>
      <c r="I7" s="421"/>
      <c r="J7" s="421"/>
    </row>
    <row r="8" spans="1:11">
      <c r="A8" s="422" t="s">
        <v>1506</v>
      </c>
      <c r="B8" s="423"/>
      <c r="C8" s="423"/>
      <c r="D8" s="423"/>
      <c r="E8" s="423"/>
      <c r="F8" s="423"/>
      <c r="G8" s="423"/>
      <c r="H8" s="423"/>
      <c r="I8" s="17"/>
      <c r="J8" s="17"/>
      <c r="K8" s="17"/>
    </row>
    <row r="9" s="318" customFormat="1" ht="26" customHeight="1" spans="1:11">
      <c r="A9" s="329" t="s">
        <v>291</v>
      </c>
      <c r="B9" s="329" t="s">
        <v>292</v>
      </c>
      <c r="C9" s="414" t="s">
        <v>1462</v>
      </c>
      <c r="D9" s="414" t="s">
        <v>295</v>
      </c>
      <c r="E9" s="424" t="s">
        <v>1507</v>
      </c>
      <c r="F9" s="424" t="s">
        <v>1508</v>
      </c>
      <c r="G9" s="424" t="s">
        <v>1509</v>
      </c>
      <c r="H9" s="382" t="s">
        <v>1237</v>
      </c>
      <c r="I9" s="382" t="s">
        <v>1238</v>
      </c>
      <c r="J9" s="382" t="s">
        <v>1510</v>
      </c>
    </row>
    <row r="10" s="319" customFormat="1" ht="21.5" customHeight="1" spans="1:11">
      <c r="A10" s="334" t="s">
        <v>1487</v>
      </c>
      <c r="B10" s="334" t="s">
        <v>1487</v>
      </c>
      <c r="C10" s="334" t="s">
        <v>1487</v>
      </c>
      <c r="D10" s="334" t="s">
        <v>1487</v>
      </c>
      <c r="E10" s="425" t="s">
        <v>1487</v>
      </c>
      <c r="F10" s="416" t="s">
        <v>1487</v>
      </c>
      <c r="G10" s="416" t="s">
        <v>1487</v>
      </c>
      <c r="H10" s="425" t="s">
        <v>1279</v>
      </c>
      <c r="I10" s="425" t="s">
        <v>1279</v>
      </c>
      <c r="J10" s="426"/>
    </row>
    <row r="11" customFormat="1" spans="1:11">
      <c r="A11" s="335"/>
      <c r="B11" s="335"/>
      <c r="C11" s="417"/>
      <c r="D11" s="417"/>
      <c r="E11" s="425" t="s">
        <v>1487</v>
      </c>
      <c r="F11" s="416" t="s">
        <v>1487</v>
      </c>
      <c r="G11" s="416" t="s">
        <v>1487</v>
      </c>
      <c r="H11" s="425" t="s">
        <v>1279</v>
      </c>
      <c r="I11" s="425" t="s">
        <v>1279</v>
      </c>
      <c r="J11" s="158"/>
    </row>
    <row r="12" customFormat="1" spans="1:11">
      <c r="A12" s="335"/>
      <c r="B12" s="335"/>
      <c r="C12" s="417"/>
      <c r="D12" s="417"/>
      <c r="E12" s="425" t="s">
        <v>1487</v>
      </c>
      <c r="F12" s="416" t="s">
        <v>1487</v>
      </c>
      <c r="G12" s="416" t="s">
        <v>1487</v>
      </c>
      <c r="H12" s="425" t="s">
        <v>1279</v>
      </c>
      <c r="I12" s="425" t="s">
        <v>1279</v>
      </c>
      <c r="J12" s="158"/>
    </row>
    <row r="13" customFormat="1" spans="1:11">
      <c r="A13" s="335"/>
      <c r="B13" s="335"/>
      <c r="C13" s="417"/>
      <c r="D13" s="417"/>
      <c r="E13" s="425" t="s">
        <v>1487</v>
      </c>
      <c r="F13" s="416" t="s">
        <v>1487</v>
      </c>
      <c r="G13" s="416" t="s">
        <v>1487</v>
      </c>
      <c r="H13" s="425" t="s">
        <v>1279</v>
      </c>
      <c r="I13" s="425" t="s">
        <v>1279</v>
      </c>
      <c r="J13" s="158"/>
    </row>
    <row r="14" customFormat="1" spans="1:11">
      <c r="A14" s="335"/>
      <c r="B14" s="335"/>
      <c r="C14" s="417"/>
      <c r="D14" s="417"/>
      <c r="E14" s="425" t="s">
        <v>1487</v>
      </c>
      <c r="F14" s="416" t="s">
        <v>1487</v>
      </c>
      <c r="G14" s="416" t="s">
        <v>1487</v>
      </c>
      <c r="H14" s="425" t="s">
        <v>1279</v>
      </c>
      <c r="I14" s="425" t="s">
        <v>1279</v>
      </c>
      <c r="J14" s="158"/>
    </row>
    <row r="15" customFormat="1" spans="1:11">
      <c r="A15" s="335"/>
      <c r="B15" s="335"/>
      <c r="C15" s="417"/>
      <c r="D15" s="417"/>
      <c r="E15" s="425" t="s">
        <v>1487</v>
      </c>
      <c r="F15" s="416" t="s">
        <v>1487</v>
      </c>
      <c r="G15" s="416" t="s">
        <v>1487</v>
      </c>
      <c r="H15" s="425" t="s">
        <v>1279</v>
      </c>
      <c r="I15" s="425" t="s">
        <v>1279</v>
      </c>
      <c r="J15" s="158"/>
    </row>
    <row r="16" customFormat="1" spans="1:11">
      <c r="A16" s="335"/>
      <c r="B16" s="335"/>
      <c r="C16" s="417"/>
      <c r="D16" s="417"/>
      <c r="E16" s="425" t="s">
        <v>1487</v>
      </c>
      <c r="F16" s="416" t="s">
        <v>1487</v>
      </c>
      <c r="G16" s="416" t="s">
        <v>1487</v>
      </c>
      <c r="H16" s="425" t="s">
        <v>1279</v>
      </c>
      <c r="I16" s="425" t="s">
        <v>1279</v>
      </c>
      <c r="J16" s="158"/>
    </row>
    <row r="17" customFormat="1" spans="1:10">
      <c r="A17" s="335"/>
      <c r="B17" s="335"/>
      <c r="C17" s="417"/>
      <c r="D17" s="417"/>
      <c r="E17" s="425" t="s">
        <v>1487</v>
      </c>
      <c r="F17" s="416" t="s">
        <v>1487</v>
      </c>
      <c r="G17" s="416" t="s">
        <v>1487</v>
      </c>
      <c r="H17" s="425" t="s">
        <v>1279</v>
      </c>
      <c r="I17" s="425" t="s">
        <v>1279</v>
      </c>
      <c r="J17" s="158"/>
    </row>
    <row r="18" customFormat="1" spans="1:10">
      <c r="A18" s="335"/>
      <c r="B18" s="335"/>
      <c r="C18" s="417"/>
      <c r="D18" s="417"/>
      <c r="E18" s="425" t="s">
        <v>1487</v>
      </c>
      <c r="F18" s="416" t="s">
        <v>1487</v>
      </c>
      <c r="G18" s="416" t="s">
        <v>1487</v>
      </c>
      <c r="H18" s="425" t="s">
        <v>1279</v>
      </c>
      <c r="I18" s="425" t="s">
        <v>1279</v>
      </c>
      <c r="J18" s="158"/>
    </row>
    <row r="19" customFormat="1" spans="1:10">
      <c r="A19" s="335"/>
      <c r="B19" s="335"/>
      <c r="C19" s="417"/>
      <c r="D19" s="417"/>
      <c r="E19" s="425" t="s">
        <v>1487</v>
      </c>
      <c r="F19" s="416" t="s">
        <v>1487</v>
      </c>
      <c r="G19" s="416" t="s">
        <v>1487</v>
      </c>
      <c r="H19" s="425" t="s">
        <v>1279</v>
      </c>
      <c r="I19" s="425" t="s">
        <v>1279</v>
      </c>
      <c r="J19" s="158"/>
    </row>
    <row r="20" customFormat="1" spans="1:10">
      <c r="A20" s="335"/>
      <c r="B20" s="335"/>
      <c r="C20" s="417"/>
      <c r="D20" s="417"/>
      <c r="E20" s="158"/>
      <c r="F20" s="158"/>
      <c r="G20" s="158"/>
      <c r="H20" s="158"/>
      <c r="I20" s="158"/>
      <c r="J20" s="158"/>
    </row>
    <row r="21" customFormat="1" spans="1:10">
      <c r="A21" s="335"/>
      <c r="B21" s="335"/>
      <c r="C21" s="417"/>
      <c r="D21" s="417"/>
      <c r="E21" s="158"/>
      <c r="F21" s="158"/>
      <c r="G21" s="158"/>
      <c r="H21" s="158"/>
      <c r="I21" s="158"/>
      <c r="J21" s="158"/>
    </row>
    <row r="22" customFormat="1" spans="1:10">
      <c r="A22" s="335"/>
      <c r="B22" s="335"/>
      <c r="C22" s="417"/>
      <c r="D22" s="417"/>
      <c r="E22" s="158"/>
      <c r="F22" s="158"/>
      <c r="G22" s="158"/>
      <c r="H22" s="158"/>
      <c r="I22" s="158"/>
      <c r="J22" s="158"/>
    </row>
    <row r="23" customFormat="1" spans="1:10">
      <c r="A23" s="335"/>
      <c r="B23" s="335"/>
      <c r="C23" s="417"/>
      <c r="D23" s="417"/>
      <c r="E23" s="158"/>
      <c r="F23" s="158"/>
      <c r="G23" s="158"/>
      <c r="H23" s="158"/>
      <c r="I23" s="158"/>
      <c r="J23" s="158"/>
    </row>
    <row r="24" customFormat="1" spans="1:10">
      <c r="A24" s="335"/>
      <c r="B24" s="335"/>
      <c r="C24" s="417"/>
      <c r="D24" s="417"/>
      <c r="E24" s="158"/>
      <c r="F24" s="158"/>
      <c r="G24" s="158"/>
      <c r="H24" s="158"/>
      <c r="I24" s="158"/>
      <c r="J24" s="158"/>
    </row>
    <row r="25" customFormat="1" spans="1:10">
      <c r="A25" s="335"/>
      <c r="B25" s="335"/>
      <c r="C25" s="417"/>
      <c r="D25" s="417"/>
      <c r="E25" s="158"/>
      <c r="F25" s="158"/>
      <c r="G25" s="158"/>
      <c r="H25" s="158"/>
      <c r="I25" s="158"/>
      <c r="J25" s="158"/>
    </row>
    <row r="26" customFormat="1" spans="1:10">
      <c r="A26" s="335"/>
      <c r="B26" s="335"/>
      <c r="C26" s="417"/>
      <c r="D26" s="417"/>
      <c r="E26" s="158"/>
      <c r="F26" s="158"/>
      <c r="G26" s="158"/>
      <c r="H26" s="158"/>
      <c r="I26" s="158"/>
      <c r="J26" s="158"/>
    </row>
    <row r="27" customFormat="1" spans="1:10">
      <c r="A27" s="335"/>
      <c r="B27" s="335"/>
      <c r="C27" s="417"/>
      <c r="D27" s="417"/>
      <c r="E27" s="158"/>
      <c r="F27" s="158"/>
      <c r="G27" s="158"/>
      <c r="H27" s="158"/>
      <c r="I27" s="158"/>
      <c r="J27" s="158"/>
    </row>
    <row r="28" customFormat="1" spans="1:10">
      <c r="A28" s="335"/>
      <c r="B28" s="335"/>
      <c r="C28" s="417"/>
      <c r="D28" s="417"/>
      <c r="E28" s="158"/>
      <c r="F28" s="158"/>
      <c r="G28" s="158"/>
      <c r="H28" s="158"/>
      <c r="I28" s="158"/>
      <c r="J28" s="158"/>
    </row>
    <row r="29" customFormat="1" spans="1:10">
      <c r="A29" s="335"/>
      <c r="B29" s="335"/>
      <c r="C29" s="417"/>
      <c r="D29" s="417"/>
      <c r="E29" s="158"/>
      <c r="F29" s="158"/>
      <c r="G29" s="158"/>
      <c r="H29" s="158"/>
      <c r="I29" s="158"/>
      <c r="J29" s="158"/>
    </row>
    <row r="30" customFormat="1" spans="1:10">
      <c r="A30" s="335"/>
      <c r="B30" s="335"/>
      <c r="C30" s="417"/>
      <c r="D30" s="417"/>
      <c r="E30" s="158"/>
      <c r="F30" s="158"/>
      <c r="G30" s="158"/>
      <c r="H30" s="158"/>
      <c r="I30" s="158"/>
      <c r="J30" s="158"/>
    </row>
    <row r="31" customFormat="1" spans="1:10">
      <c r="A31" s="335"/>
      <c r="B31" s="335"/>
      <c r="C31" s="417"/>
      <c r="D31" s="417"/>
      <c r="E31" s="158"/>
      <c r="F31" s="158"/>
      <c r="G31" s="158"/>
      <c r="H31" s="158"/>
      <c r="I31" s="158"/>
      <c r="J31" s="158"/>
    </row>
    <row r="32" customFormat="1" spans="1:10">
      <c r="A32" s="335"/>
      <c r="B32" s="335"/>
      <c r="C32" s="417"/>
      <c r="D32" s="417"/>
      <c r="E32" s="158"/>
      <c r="F32" s="158"/>
      <c r="G32" s="158"/>
      <c r="H32" s="158"/>
      <c r="I32" s="158"/>
      <c r="J32" s="158"/>
    </row>
    <row r="33" customFormat="1" spans="1:10">
      <c r="A33" s="335"/>
      <c r="B33" s="335"/>
      <c r="C33" s="417"/>
      <c r="D33" s="417"/>
      <c r="E33" s="158"/>
      <c r="F33" s="158"/>
      <c r="G33" s="158"/>
      <c r="H33" s="158"/>
      <c r="I33" s="158"/>
      <c r="J33" s="158"/>
    </row>
    <row r="34" customFormat="1" spans="1:10">
      <c r="A34" s="335"/>
      <c r="B34" s="335"/>
      <c r="C34" s="417"/>
      <c r="D34" s="417"/>
      <c r="E34" s="158"/>
      <c r="F34" s="158"/>
      <c r="G34" s="158"/>
      <c r="H34" s="158"/>
      <c r="I34" s="158"/>
      <c r="J34" s="158"/>
    </row>
    <row r="35" customFormat="1" spans="1:10">
      <c r="A35" s="335"/>
      <c r="B35" s="335"/>
      <c r="C35" s="417"/>
      <c r="D35" s="417"/>
      <c r="E35" s="158"/>
      <c r="F35" s="158"/>
      <c r="G35" s="158"/>
      <c r="H35" s="158"/>
      <c r="I35" s="158"/>
      <c r="J35" s="158"/>
    </row>
    <row r="36" customFormat="1" spans="1:10">
      <c r="A36" s="335"/>
      <c r="B36" s="335"/>
      <c r="C36" s="417"/>
      <c r="D36" s="417"/>
      <c r="E36" s="158"/>
      <c r="F36" s="158"/>
      <c r="G36" s="158"/>
      <c r="H36" s="158"/>
      <c r="I36" s="158"/>
      <c r="J36" s="158"/>
    </row>
    <row r="37" customFormat="1" spans="1:10">
      <c r="A37" s="335"/>
      <c r="B37" s="335"/>
      <c r="C37" s="417"/>
      <c r="D37" s="417"/>
      <c r="E37" s="158"/>
      <c r="F37" s="158"/>
      <c r="G37" s="158"/>
      <c r="H37" s="158"/>
      <c r="I37" s="158"/>
      <c r="J37" s="158"/>
    </row>
    <row r="38" customFormat="1" spans="1:10">
      <c r="A38" s="335"/>
      <c r="B38" s="335"/>
      <c r="C38" s="417"/>
      <c r="D38" s="417"/>
      <c r="E38" s="158"/>
      <c r="F38" s="158"/>
      <c r="G38" s="158"/>
      <c r="H38" s="158"/>
      <c r="I38" s="158"/>
      <c r="J38" s="158"/>
    </row>
    <row r="39" customFormat="1" spans="1:10">
      <c r="A39" s="335"/>
      <c r="B39" s="335"/>
      <c r="C39" s="417"/>
      <c r="D39" s="417"/>
      <c r="E39" s="158"/>
      <c r="F39" s="158"/>
      <c r="G39" s="158"/>
      <c r="H39" s="158"/>
      <c r="I39" s="158"/>
      <c r="J39" s="158"/>
    </row>
    <row r="40" customFormat="1" spans="1:10">
      <c r="A40" s="335"/>
      <c r="B40" s="335"/>
      <c r="C40" s="417"/>
      <c r="D40" s="417"/>
      <c r="E40" s="158"/>
      <c r="F40" s="158"/>
      <c r="G40" s="158"/>
      <c r="H40" s="158"/>
      <c r="I40" s="158"/>
      <c r="J40" s="158"/>
    </row>
    <row r="41" customFormat="1" spans="1:10">
      <c r="A41" s="335"/>
      <c r="B41" s="335"/>
      <c r="C41" s="417"/>
      <c r="D41" s="417"/>
      <c r="E41" s="158"/>
      <c r="F41" s="158"/>
      <c r="G41" s="158"/>
      <c r="H41" s="158"/>
      <c r="I41" s="158"/>
      <c r="J41" s="158"/>
    </row>
    <row r="42" customFormat="1" spans="1:10">
      <c r="A42" s="335"/>
      <c r="B42" s="335"/>
      <c r="C42" s="417"/>
      <c r="D42" s="417"/>
      <c r="E42" s="158"/>
      <c r="F42" s="158"/>
      <c r="G42" s="158"/>
      <c r="H42" s="158"/>
      <c r="I42" s="158"/>
      <c r="J42" s="158"/>
    </row>
    <row r="43" customFormat="1" spans="1:10">
      <c r="A43" s="335"/>
      <c r="B43" s="335"/>
      <c r="C43" s="417"/>
      <c r="D43" s="417"/>
      <c r="E43" s="158"/>
      <c r="F43" s="158"/>
      <c r="G43" s="158"/>
      <c r="H43" s="158"/>
      <c r="I43" s="158"/>
      <c r="J43" s="158"/>
    </row>
    <row r="44" customFormat="1" spans="1:10">
      <c r="A44" s="335"/>
      <c r="B44" s="335"/>
      <c r="C44" s="417"/>
      <c r="D44" s="417"/>
      <c r="E44" s="158"/>
      <c r="F44" s="158"/>
      <c r="G44" s="158"/>
      <c r="H44" s="158"/>
      <c r="I44" s="158"/>
      <c r="J44" s="158"/>
    </row>
    <row r="45" customFormat="1" spans="1:10">
      <c r="A45" s="335"/>
      <c r="B45" s="335"/>
      <c r="C45" s="417"/>
      <c r="D45" s="417"/>
      <c r="E45" s="158"/>
      <c r="F45" s="158"/>
      <c r="G45" s="158"/>
      <c r="H45" s="158"/>
      <c r="I45" s="158"/>
      <c r="J45" s="158"/>
    </row>
    <row r="46" customFormat="1" spans="1:10">
      <c r="A46" s="335"/>
      <c r="B46" s="335"/>
      <c r="C46" s="417"/>
      <c r="D46" s="417"/>
      <c r="E46" s="158"/>
      <c r="F46" s="158"/>
      <c r="G46" s="158"/>
      <c r="H46" s="158"/>
      <c r="I46" s="158"/>
      <c r="J46" s="158"/>
    </row>
    <row r="47" customFormat="1" spans="1:10">
      <c r="A47" s="335"/>
      <c r="B47" s="335"/>
      <c r="C47" s="417"/>
      <c r="D47" s="417"/>
      <c r="E47" s="158"/>
      <c r="F47" s="158"/>
      <c r="G47" s="158"/>
      <c r="H47" s="158"/>
      <c r="I47" s="158"/>
      <c r="J47" s="158"/>
    </row>
    <row r="48" customFormat="1" spans="1:10">
      <c r="A48" s="335"/>
      <c r="B48" s="335"/>
      <c r="C48" s="417"/>
      <c r="D48" s="417"/>
      <c r="E48" s="158"/>
      <c r="F48" s="158"/>
      <c r="G48" s="158"/>
      <c r="H48" s="158"/>
      <c r="I48" s="158"/>
      <c r="J48" s="158"/>
    </row>
    <row r="49" customFormat="1" spans="1:10">
      <c r="A49" s="335"/>
      <c r="B49" s="335"/>
      <c r="C49" s="417"/>
      <c r="D49" s="417"/>
      <c r="E49" s="158"/>
      <c r="F49" s="158"/>
      <c r="G49" s="158"/>
      <c r="H49" s="158"/>
      <c r="I49" s="158"/>
      <c r="J49" s="158"/>
    </row>
    <row r="50" customFormat="1" spans="1:10">
      <c r="A50" s="335"/>
      <c r="B50" s="335"/>
      <c r="C50" s="417"/>
      <c r="D50" s="417"/>
      <c r="E50" s="158"/>
      <c r="F50" s="158"/>
      <c r="G50" s="158"/>
      <c r="H50" s="158"/>
      <c r="I50" s="158"/>
      <c r="J50" s="158"/>
    </row>
    <row r="51" customFormat="1" spans="1:10">
      <c r="A51" s="335"/>
      <c r="B51" s="335"/>
      <c r="C51" s="417"/>
      <c r="D51" s="417"/>
      <c r="E51" s="158"/>
      <c r="F51" s="158"/>
      <c r="G51" s="158"/>
      <c r="H51" s="158"/>
      <c r="I51" s="158"/>
      <c r="J51" s="158"/>
    </row>
    <row r="52" customFormat="1" spans="1:10">
      <c r="A52" s="335"/>
      <c r="B52" s="335"/>
      <c r="C52" s="417"/>
      <c r="D52" s="417"/>
      <c r="E52" s="158"/>
      <c r="F52" s="158"/>
      <c r="G52" s="158"/>
      <c r="H52" s="158"/>
      <c r="I52" s="158"/>
      <c r="J52" s="158"/>
    </row>
    <row r="53" customFormat="1" spans="1:10">
      <c r="A53" s="335"/>
      <c r="B53" s="335"/>
      <c r="C53" s="417"/>
      <c r="D53" s="417"/>
      <c r="E53" s="158"/>
      <c r="F53" s="158"/>
      <c r="G53" s="158"/>
      <c r="H53" s="158"/>
      <c r="I53" s="158"/>
      <c r="J53" s="158"/>
    </row>
    <row r="54" customFormat="1" spans="1:10">
      <c r="A54" s="335"/>
      <c r="B54" s="335"/>
      <c r="C54" s="417"/>
      <c r="D54" s="417"/>
      <c r="E54" s="158"/>
      <c r="F54" s="158"/>
      <c r="G54" s="158"/>
      <c r="H54" s="158"/>
      <c r="I54" s="158"/>
      <c r="J54" s="158"/>
    </row>
    <row r="55" customFormat="1" spans="1:10">
      <c r="A55" s="335"/>
      <c r="B55" s="335"/>
      <c r="C55" s="417"/>
      <c r="D55" s="417"/>
      <c r="E55" s="158"/>
      <c r="F55" s="158"/>
      <c r="G55" s="158"/>
      <c r="H55" s="158"/>
      <c r="I55" s="158"/>
      <c r="J55" s="158"/>
    </row>
    <row r="56" customFormat="1" spans="1:10">
      <c r="A56" s="335"/>
      <c r="B56" s="335"/>
      <c r="C56" s="417"/>
      <c r="D56" s="417"/>
      <c r="E56" s="158"/>
      <c r="F56" s="158"/>
      <c r="G56" s="158"/>
      <c r="H56" s="158"/>
      <c r="I56" s="158"/>
      <c r="J56" s="158"/>
    </row>
    <row r="57" customFormat="1" spans="1:10">
      <c r="A57" s="335"/>
      <c r="B57" s="335"/>
      <c r="C57" s="417"/>
      <c r="D57" s="417"/>
      <c r="E57" s="158"/>
      <c r="F57" s="158"/>
      <c r="G57" s="158"/>
      <c r="H57" s="158"/>
      <c r="I57" s="158"/>
      <c r="J57" s="158"/>
    </row>
    <row r="58" customFormat="1" spans="1:10">
      <c r="A58" s="335"/>
      <c r="B58" s="335"/>
      <c r="C58" s="417"/>
      <c r="D58" s="417"/>
      <c r="E58" s="158"/>
      <c r="F58" s="158"/>
      <c r="G58" s="158"/>
      <c r="H58" s="158"/>
      <c r="I58" s="158"/>
      <c r="J58" s="158"/>
    </row>
    <row r="59" customFormat="1" spans="1:10">
      <c r="A59" s="335"/>
      <c r="B59" s="335"/>
      <c r="C59" s="417"/>
      <c r="D59" s="417"/>
      <c r="E59" s="158"/>
      <c r="F59" s="158"/>
      <c r="G59" s="158"/>
      <c r="H59" s="158"/>
      <c r="I59" s="158"/>
      <c r="J59" s="158"/>
    </row>
    <row r="60" customFormat="1" spans="1:10">
      <c r="A60" s="335"/>
      <c r="B60" s="335"/>
      <c r="C60" s="417"/>
      <c r="D60" s="417"/>
      <c r="E60" s="158"/>
      <c r="F60" s="158"/>
      <c r="G60" s="158"/>
      <c r="H60" s="158"/>
      <c r="I60" s="158"/>
      <c r="J60" s="158"/>
    </row>
    <row r="61" customFormat="1" spans="1:10">
      <c r="A61" s="335"/>
      <c r="B61" s="335"/>
      <c r="C61" s="417"/>
      <c r="D61" s="417"/>
      <c r="E61" s="158"/>
      <c r="F61" s="158"/>
      <c r="G61" s="158"/>
      <c r="H61" s="158"/>
      <c r="I61" s="158"/>
      <c r="J61" s="158"/>
    </row>
    <row r="62" customFormat="1" spans="1:10">
      <c r="A62" s="335"/>
      <c r="B62" s="335"/>
      <c r="C62" s="417"/>
      <c r="D62" s="417"/>
      <c r="E62" s="158"/>
      <c r="F62" s="158"/>
      <c r="G62" s="158"/>
      <c r="H62" s="158"/>
      <c r="I62" s="158"/>
      <c r="J62" s="158"/>
    </row>
    <row r="63" customFormat="1" spans="1:10">
      <c r="A63" s="335"/>
      <c r="B63" s="335"/>
      <c r="C63" s="417"/>
      <c r="D63" s="417"/>
      <c r="E63" s="158"/>
      <c r="F63" s="158"/>
      <c r="G63" s="158"/>
      <c r="H63" s="158"/>
      <c r="I63" s="158"/>
      <c r="J63" s="158"/>
    </row>
    <row r="64" customFormat="1" spans="1:10">
      <c r="A64" s="335"/>
      <c r="B64" s="335"/>
      <c r="C64" s="417"/>
      <c r="D64" s="417"/>
      <c r="E64" s="158"/>
      <c r="F64" s="158"/>
      <c r="G64" s="158"/>
      <c r="H64" s="158"/>
      <c r="I64" s="158"/>
      <c r="J64" s="158"/>
    </row>
    <row r="65" customFormat="1" spans="1:10">
      <c r="A65" s="335"/>
      <c r="B65" s="335"/>
      <c r="C65" s="417"/>
      <c r="D65" s="417"/>
      <c r="E65" s="158"/>
      <c r="F65" s="158"/>
      <c r="G65" s="158"/>
      <c r="H65" s="158"/>
      <c r="I65" s="158"/>
      <c r="J65" s="158"/>
    </row>
    <row r="66" customFormat="1" spans="1:10">
      <c r="A66" s="335"/>
      <c r="B66" s="335"/>
      <c r="C66" s="417"/>
      <c r="D66" s="417"/>
      <c r="E66" s="158"/>
      <c r="F66" s="158"/>
      <c r="G66" s="158"/>
      <c r="H66" s="158"/>
      <c r="I66" s="158"/>
      <c r="J66" s="158"/>
    </row>
    <row r="67" customFormat="1" spans="1:10">
      <c r="A67" s="335"/>
      <c r="B67" s="335"/>
      <c r="C67" s="417"/>
      <c r="D67" s="417"/>
      <c r="E67" s="158"/>
      <c r="F67" s="158"/>
      <c r="G67" s="158"/>
      <c r="H67" s="158"/>
      <c r="I67" s="158"/>
      <c r="J67" s="158"/>
    </row>
    <row r="68" customFormat="1" spans="1:10">
      <c r="A68" s="335"/>
      <c r="B68" s="335"/>
      <c r="C68" s="417"/>
      <c r="D68" s="417"/>
      <c r="E68" s="158"/>
      <c r="F68" s="158"/>
      <c r="G68" s="158"/>
      <c r="H68" s="158"/>
      <c r="I68" s="158"/>
      <c r="J68" s="158"/>
    </row>
    <row r="69" customFormat="1" spans="1:10">
      <c r="A69" s="335"/>
      <c r="B69" s="335"/>
      <c r="C69" s="417"/>
      <c r="D69" s="417"/>
      <c r="E69" s="158"/>
      <c r="F69" s="158"/>
      <c r="G69" s="158"/>
      <c r="H69" s="158"/>
      <c r="I69" s="158"/>
      <c r="J69" s="158"/>
    </row>
    <row r="70" customFormat="1" spans="1:10">
      <c r="A70" s="335"/>
      <c r="B70" s="335"/>
      <c r="C70" s="417"/>
      <c r="D70" s="417"/>
      <c r="E70" s="158"/>
      <c r="F70" s="158"/>
      <c r="G70" s="158"/>
      <c r="H70" s="158"/>
      <c r="I70" s="158"/>
      <c r="J70" s="158"/>
    </row>
    <row r="71" customFormat="1" spans="1:10">
      <c r="A71" s="335"/>
      <c r="B71" s="335"/>
      <c r="C71" s="417"/>
      <c r="D71" s="417"/>
      <c r="E71" s="158"/>
      <c r="F71" s="158"/>
      <c r="G71" s="158"/>
      <c r="H71" s="158"/>
      <c r="I71" s="158"/>
      <c r="J71" s="158"/>
    </row>
    <row r="72" customFormat="1" spans="1:10">
      <c r="A72" s="335"/>
      <c r="B72" s="335"/>
      <c r="C72" s="417"/>
      <c r="D72" s="417"/>
      <c r="E72" s="158"/>
      <c r="F72" s="158"/>
      <c r="G72" s="158"/>
      <c r="H72" s="158"/>
      <c r="I72" s="158"/>
      <c r="J72" s="158"/>
    </row>
    <row r="73" customFormat="1" spans="1:10">
      <c r="A73" s="335"/>
      <c r="B73" s="335"/>
      <c r="C73" s="417"/>
      <c r="D73" s="417"/>
      <c r="E73" s="158"/>
      <c r="F73" s="158"/>
      <c r="G73" s="158"/>
      <c r="H73" s="158"/>
      <c r="I73" s="158"/>
      <c r="J73" s="158"/>
    </row>
    <row r="74" customFormat="1" spans="1:10">
      <c r="A74" s="335"/>
      <c r="B74" s="335"/>
      <c r="C74" s="417"/>
      <c r="D74" s="417"/>
      <c r="E74" s="158"/>
      <c r="F74" s="158"/>
      <c r="G74" s="158"/>
      <c r="H74" s="158"/>
      <c r="I74" s="158"/>
      <c r="J74" s="158"/>
    </row>
    <row r="75" customFormat="1" spans="1:10">
      <c r="A75" s="335"/>
      <c r="B75" s="335"/>
      <c r="C75" s="417"/>
      <c r="D75" s="417"/>
      <c r="E75" s="158"/>
      <c r="F75" s="158"/>
      <c r="G75" s="158"/>
      <c r="H75" s="158"/>
      <c r="I75" s="158"/>
      <c r="J75" s="158"/>
    </row>
    <row r="76" customFormat="1" spans="1:10">
      <c r="A76" s="335"/>
      <c r="B76" s="335"/>
      <c r="C76" s="417"/>
      <c r="D76" s="417"/>
      <c r="E76" s="158"/>
      <c r="F76" s="158"/>
      <c r="G76" s="158"/>
      <c r="H76" s="158"/>
      <c r="I76" s="158"/>
      <c r="J76" s="158"/>
    </row>
    <row r="77" customFormat="1" spans="1:10">
      <c r="A77" s="335"/>
      <c r="B77" s="335"/>
      <c r="C77" s="417"/>
      <c r="D77" s="417"/>
      <c r="E77" s="158"/>
      <c r="F77" s="158"/>
      <c r="G77" s="158"/>
      <c r="H77" s="158"/>
      <c r="I77" s="158"/>
      <c r="J77" s="158"/>
    </row>
    <row r="78" customFormat="1" spans="1:10">
      <c r="A78" s="335"/>
      <c r="B78" s="335"/>
      <c r="C78" s="417"/>
      <c r="D78" s="417"/>
      <c r="E78" s="158"/>
      <c r="F78" s="158"/>
      <c r="G78" s="158"/>
      <c r="H78" s="158"/>
      <c r="I78" s="158"/>
      <c r="J78" s="158"/>
    </row>
    <row r="79" customFormat="1" spans="1:10">
      <c r="A79" s="335"/>
      <c r="B79" s="335"/>
      <c r="C79" s="417"/>
      <c r="D79" s="417"/>
      <c r="E79" s="158"/>
      <c r="F79" s="158"/>
      <c r="G79" s="158"/>
      <c r="H79" s="158"/>
      <c r="I79" s="158"/>
      <c r="J79" s="158"/>
    </row>
    <row r="80" customFormat="1" spans="1:10">
      <c r="A80" s="335"/>
      <c r="B80" s="335"/>
      <c r="C80" s="417"/>
      <c r="D80" s="417"/>
      <c r="E80" s="158"/>
      <c r="F80" s="158"/>
      <c r="G80" s="158"/>
      <c r="H80" s="158"/>
      <c r="I80" s="158"/>
      <c r="J80" s="158"/>
    </row>
    <row r="81" customFormat="1" spans="1:10">
      <c r="A81" s="335"/>
      <c r="B81" s="335"/>
      <c r="C81" s="417"/>
      <c r="D81" s="417"/>
      <c r="E81" s="158"/>
      <c r="F81" s="158"/>
      <c r="G81" s="158"/>
      <c r="H81" s="158"/>
      <c r="I81" s="158"/>
      <c r="J81" s="158"/>
    </row>
  </sheetData>
  <mergeCells count="5">
    <mergeCell ref="A5:D5"/>
    <mergeCell ref="H7:J7"/>
    <mergeCell ref="A8:H8"/>
    <mergeCell ref="A1:D4"/>
    <mergeCell ref="E1:J5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>
    <tabColor rgb="FFFF0000"/>
  </sheetPr>
  <dimension ref="A1:J27"/>
  <sheetViews>
    <sheetView zoomScale="115" zoomScaleNormal="115" workbookViewId="0">
      <pane ySplit="10" topLeftCell="A11" activePane="bottomLeft" state="frozen"/>
      <selection/>
      <selection pane="bottomLeft" activeCell="D8" sqref="D8"/>
    </sheetView>
  </sheetViews>
  <sheetFormatPr defaultColWidth="8.72222222222222" defaultRowHeight="14.4"/>
  <cols>
    <col min="2" max="2" width="10.9074074074074" customWidth="1"/>
    <col min="3" max="4" width="11.6296296296296" customWidth="1"/>
    <col min="5" max="7" width="11.5462962962963" customWidth="1"/>
    <col min="8" max="8" width="9.09259259259259" customWidth="1"/>
  </cols>
  <sheetData>
    <row r="1" spans="1:10">
      <c r="A1" s="61" t="s">
        <v>100</v>
      </c>
      <c r="B1" s="234"/>
      <c r="C1" s="234"/>
      <c r="D1" s="234"/>
      <c r="E1" s="413" t="s">
        <v>1511</v>
      </c>
      <c r="F1" s="413"/>
      <c r="G1" s="413"/>
      <c r="H1" s="413"/>
      <c r="I1" s="413"/>
      <c r="J1" s="413"/>
    </row>
    <row r="2" spans="1:10">
      <c r="A2" s="234"/>
      <c r="B2" s="234"/>
      <c r="C2" s="234"/>
      <c r="D2" s="234"/>
      <c r="E2" s="413"/>
      <c r="F2" s="413"/>
      <c r="G2" s="413"/>
      <c r="H2" s="413"/>
      <c r="I2" s="413"/>
      <c r="J2" s="413"/>
    </row>
    <row r="3" ht="36" customHeight="1" spans="1:10">
      <c r="A3" s="234"/>
      <c r="B3" s="234"/>
      <c r="C3" s="234"/>
      <c r="D3" s="234"/>
      <c r="E3" s="413"/>
      <c r="F3" s="413"/>
      <c r="G3" s="413"/>
      <c r="H3" s="413"/>
      <c r="I3" s="413"/>
      <c r="J3" s="413"/>
    </row>
    <row r="4" ht="17" customHeight="1" spans="1:10">
      <c r="A4" s="234"/>
      <c r="B4" s="234"/>
      <c r="C4" s="234"/>
      <c r="D4" s="234"/>
      <c r="E4" s="413"/>
      <c r="F4" s="413"/>
      <c r="G4" s="413"/>
      <c r="H4" s="413"/>
      <c r="I4" s="413"/>
      <c r="J4" s="413"/>
    </row>
    <row r="5" spans="1:10">
      <c r="A5" s="13" t="s">
        <v>1512</v>
      </c>
      <c r="B5" s="13"/>
      <c r="C5" s="13"/>
      <c r="D5" s="13"/>
      <c r="E5" s="413"/>
      <c r="F5" s="413"/>
      <c r="G5" s="413"/>
      <c r="H5" s="413"/>
      <c r="I5" s="413"/>
      <c r="J5" s="413"/>
    </row>
    <row r="6" spans="1:10">
      <c r="A6" s="17"/>
      <c r="B6" s="17"/>
      <c r="C6" s="17"/>
      <c r="D6" s="17"/>
      <c r="G6" s="18"/>
      <c r="H6" s="17"/>
    </row>
    <row r="7" spans="1:10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392" t="s">
        <v>1505</v>
      </c>
      <c r="I7" s="392"/>
      <c r="J7" s="392"/>
    </row>
    <row r="8" spans="1:10">
      <c r="A8" s="17"/>
      <c r="B8" s="17"/>
      <c r="C8" s="17"/>
      <c r="D8" s="17"/>
      <c r="E8" s="17"/>
      <c r="F8" s="17"/>
      <c r="G8" s="17"/>
      <c r="H8" s="17"/>
    </row>
    <row r="9" ht="19" customHeight="1" spans="1:10">
      <c r="A9" s="329" t="s">
        <v>291</v>
      </c>
      <c r="B9" s="329" t="s">
        <v>292</v>
      </c>
      <c r="C9" s="414" t="s">
        <v>1462</v>
      </c>
      <c r="D9" s="414" t="s">
        <v>295</v>
      </c>
      <c r="E9" s="329" t="s">
        <v>1513</v>
      </c>
      <c r="F9" s="415" t="s">
        <v>1514</v>
      </c>
      <c r="G9" s="365" t="s">
        <v>1515</v>
      </c>
      <c r="H9" s="365" t="s">
        <v>1516</v>
      </c>
      <c r="I9" s="365" t="s">
        <v>1237</v>
      </c>
      <c r="J9" s="333" t="s">
        <v>1238</v>
      </c>
    </row>
    <row r="10" s="318" customFormat="1" ht="19" customHeight="1" spans="1:10">
      <c r="A10" s="416" t="s">
        <v>1487</v>
      </c>
      <c r="B10" s="416" t="s">
        <v>1487</v>
      </c>
      <c r="C10" s="416" t="s">
        <v>1487</v>
      </c>
      <c r="D10" s="416" t="s">
        <v>1487</v>
      </c>
      <c r="E10" s="416" t="s">
        <v>1487</v>
      </c>
      <c r="F10" s="416" t="s">
        <v>1487</v>
      </c>
      <c r="G10" s="416" t="s">
        <v>1487</v>
      </c>
      <c r="H10" s="416" t="s">
        <v>1487</v>
      </c>
      <c r="I10" s="416" t="s">
        <v>1279</v>
      </c>
      <c r="J10" s="416" t="s">
        <v>1279</v>
      </c>
    </row>
    <row r="11" spans="1:10">
      <c r="A11" s="158"/>
      <c r="B11" s="158"/>
      <c r="C11" s="417"/>
      <c r="D11" s="417"/>
      <c r="E11" s="158"/>
      <c r="F11" s="416" t="s">
        <v>1487</v>
      </c>
      <c r="G11" s="416" t="s">
        <v>1487</v>
      </c>
      <c r="H11" s="416" t="s">
        <v>1487</v>
      </c>
      <c r="I11" s="416" t="s">
        <v>1279</v>
      </c>
      <c r="J11" s="416" t="s">
        <v>1279</v>
      </c>
    </row>
    <row r="12" spans="1:10">
      <c r="A12" s="158"/>
      <c r="B12" s="158"/>
      <c r="C12" s="417"/>
      <c r="D12" s="417"/>
      <c r="E12" s="158"/>
      <c r="F12" s="416" t="s">
        <v>1487</v>
      </c>
      <c r="G12" s="416" t="s">
        <v>1487</v>
      </c>
      <c r="H12" s="416" t="s">
        <v>1487</v>
      </c>
      <c r="I12" s="416" t="s">
        <v>1279</v>
      </c>
      <c r="J12" s="416" t="s">
        <v>1279</v>
      </c>
    </row>
    <row r="13" spans="1:10">
      <c r="A13" s="158"/>
      <c r="B13" s="158"/>
      <c r="C13" s="417"/>
      <c r="D13" s="417"/>
      <c r="E13" s="158"/>
      <c r="F13" s="416" t="s">
        <v>1487</v>
      </c>
      <c r="G13" s="416" t="s">
        <v>1487</v>
      </c>
      <c r="H13" s="416" t="s">
        <v>1487</v>
      </c>
      <c r="I13" s="416" t="s">
        <v>1279</v>
      </c>
      <c r="J13" s="416" t="s">
        <v>1279</v>
      </c>
    </row>
    <row r="14" spans="1:10">
      <c r="A14" s="158"/>
      <c r="B14" s="158"/>
      <c r="C14" s="417"/>
      <c r="D14" s="417"/>
      <c r="E14" s="158"/>
      <c r="F14" s="416" t="s">
        <v>1487</v>
      </c>
      <c r="G14" s="416" t="s">
        <v>1487</v>
      </c>
      <c r="H14" s="416" t="s">
        <v>1487</v>
      </c>
      <c r="I14" s="416" t="s">
        <v>1279</v>
      </c>
      <c r="J14" s="416" t="s">
        <v>1279</v>
      </c>
    </row>
    <row r="15" spans="1:10">
      <c r="A15" s="158"/>
      <c r="B15" s="158"/>
      <c r="C15" s="417"/>
      <c r="D15" s="417"/>
      <c r="E15" s="158"/>
      <c r="F15" s="416" t="s">
        <v>1487</v>
      </c>
      <c r="G15" s="416" t="s">
        <v>1487</v>
      </c>
      <c r="H15" s="416" t="s">
        <v>1487</v>
      </c>
      <c r="I15" s="416" t="s">
        <v>1279</v>
      </c>
      <c r="J15" s="416" t="s">
        <v>1279</v>
      </c>
    </row>
    <row r="16" spans="1:10">
      <c r="A16" s="158"/>
      <c r="B16" s="158"/>
      <c r="C16" s="417"/>
      <c r="D16" s="417"/>
      <c r="E16" s="158"/>
      <c r="F16" s="416" t="s">
        <v>1487</v>
      </c>
      <c r="G16" s="416" t="s">
        <v>1487</v>
      </c>
      <c r="H16" s="416" t="s">
        <v>1487</v>
      </c>
      <c r="I16" s="416" t="s">
        <v>1279</v>
      </c>
      <c r="J16" s="416" t="s">
        <v>1279</v>
      </c>
    </row>
    <row r="17" spans="1:10">
      <c r="A17" s="158"/>
      <c r="B17" s="158"/>
      <c r="C17" s="417"/>
      <c r="D17" s="417"/>
      <c r="E17" s="158"/>
      <c r="F17" s="416" t="s">
        <v>1487</v>
      </c>
      <c r="G17" s="416" t="s">
        <v>1487</v>
      </c>
      <c r="H17" s="416" t="s">
        <v>1487</v>
      </c>
      <c r="I17" s="416" t="s">
        <v>1279</v>
      </c>
      <c r="J17" s="416" t="s">
        <v>1279</v>
      </c>
    </row>
    <row r="18" spans="1:10">
      <c r="A18" s="158"/>
      <c r="B18" s="158"/>
      <c r="C18" s="417"/>
      <c r="D18" s="417"/>
      <c r="E18" s="158"/>
      <c r="F18" s="416" t="s">
        <v>1487</v>
      </c>
      <c r="G18" s="416" t="s">
        <v>1487</v>
      </c>
      <c r="H18" s="416" t="s">
        <v>1487</v>
      </c>
      <c r="I18" s="416" t="s">
        <v>1279</v>
      </c>
      <c r="J18" s="416" t="s">
        <v>1279</v>
      </c>
    </row>
    <row r="19" spans="1:10">
      <c r="A19" s="158"/>
      <c r="B19" s="158"/>
      <c r="C19" s="417"/>
      <c r="D19" s="417"/>
      <c r="E19" s="158"/>
      <c r="F19" s="416" t="s">
        <v>1487</v>
      </c>
      <c r="G19" s="416" t="s">
        <v>1487</v>
      </c>
      <c r="H19" s="416" t="s">
        <v>1487</v>
      </c>
      <c r="I19" s="416" t="s">
        <v>1279</v>
      </c>
      <c r="J19" s="416" t="s">
        <v>1279</v>
      </c>
    </row>
    <row r="20" spans="1:10">
      <c r="A20" s="158"/>
      <c r="B20" s="158"/>
      <c r="C20" s="417"/>
      <c r="D20" s="417"/>
      <c r="E20" s="158"/>
      <c r="F20" s="158"/>
      <c r="G20" s="158"/>
      <c r="H20" s="158"/>
      <c r="I20" s="158"/>
      <c r="J20" s="158"/>
    </row>
    <row r="21" spans="1:10">
      <c r="A21" s="158"/>
      <c r="B21" s="158"/>
      <c r="C21" s="417"/>
      <c r="D21" s="417"/>
      <c r="E21" s="158"/>
      <c r="F21" s="158"/>
      <c r="G21" s="158"/>
      <c r="H21" s="158"/>
      <c r="I21" s="158"/>
      <c r="J21" s="158"/>
    </row>
    <row r="22" spans="1:10">
      <c r="A22" s="158"/>
      <c r="B22" s="158"/>
      <c r="C22" s="417"/>
      <c r="D22" s="417"/>
      <c r="E22" s="158"/>
      <c r="F22" s="158"/>
      <c r="G22" s="158"/>
      <c r="H22" s="158"/>
      <c r="I22" s="158"/>
      <c r="J22" s="158"/>
    </row>
    <row r="23" spans="1:10">
      <c r="A23" s="158"/>
      <c r="B23" s="158"/>
      <c r="C23" s="417"/>
      <c r="D23" s="417"/>
      <c r="E23" s="158"/>
      <c r="F23" s="158"/>
      <c r="G23" s="158"/>
      <c r="H23" s="158"/>
      <c r="I23" s="158"/>
      <c r="J23" s="158"/>
    </row>
    <row r="24" spans="1:10">
      <c r="A24" s="158"/>
      <c r="B24" s="158"/>
      <c r="C24" s="417"/>
      <c r="D24" s="417"/>
      <c r="E24" s="158"/>
      <c r="F24" s="158"/>
      <c r="G24" s="158"/>
      <c r="H24" s="158"/>
      <c r="I24" s="158"/>
      <c r="J24" s="158"/>
    </row>
    <row r="25" spans="1:10">
      <c r="A25" s="158"/>
      <c r="B25" s="158"/>
      <c r="C25" s="417"/>
      <c r="D25" s="417"/>
      <c r="E25" s="158"/>
      <c r="F25" s="158"/>
      <c r="G25" s="158"/>
      <c r="H25" s="158"/>
      <c r="I25" s="158"/>
      <c r="J25" s="158"/>
    </row>
    <row r="26" spans="1:10">
      <c r="A26" s="158"/>
      <c r="B26" s="158"/>
      <c r="C26" s="417"/>
      <c r="D26" s="417"/>
      <c r="E26" s="158"/>
      <c r="F26" s="158"/>
      <c r="G26" s="158"/>
      <c r="H26" s="158"/>
      <c r="I26" s="158"/>
      <c r="J26" s="158"/>
    </row>
    <row r="27" spans="1:10">
      <c r="A27" s="158"/>
      <c r="B27" s="158"/>
      <c r="C27" s="417"/>
      <c r="D27" s="417"/>
      <c r="E27" s="158"/>
      <c r="F27" s="158"/>
      <c r="G27" s="158"/>
      <c r="H27" s="158"/>
      <c r="I27" s="158"/>
      <c r="J27" s="158"/>
    </row>
  </sheetData>
  <mergeCells count="4">
    <mergeCell ref="A5:D5"/>
    <mergeCell ref="H7:J7"/>
    <mergeCell ref="A1:D4"/>
    <mergeCell ref="E1:J5"/>
  </mergeCells>
  <conditionalFormatting sqref="F9:I9">
    <cfRule type="cellIs" dxfId="0" priority="1" operator="lessThan">
      <formula>0</formula>
    </cfRule>
    <cfRule type="cellIs" priority="2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8">
    <tabColor rgb="FFFF0000"/>
  </sheetPr>
  <dimension ref="A1:J58"/>
  <sheetViews>
    <sheetView showGridLines="0" zoomScale="90" zoomScaleNormal="90" workbookViewId="0">
      <selection activeCell="J50" sqref="J50"/>
    </sheetView>
  </sheetViews>
  <sheetFormatPr defaultColWidth="9" defaultRowHeight="15.6"/>
  <cols>
    <col min="1" max="1" width="10.3703703703704" style="271" customWidth="1" outlineLevel="1"/>
    <col min="2" max="2" width="19" style="271" customWidth="1" outlineLevel="1"/>
    <col min="3" max="3" width="20.9074074074074" style="271" customWidth="1"/>
    <col min="4" max="4" width="9.62962962962963" style="271" customWidth="1"/>
    <col min="5" max="5" width="12.2222222222222" style="271" customWidth="1"/>
    <col min="6" max="6" width="11.2314814814815" style="271" customWidth="1"/>
    <col min="7" max="7" width="10.9814814814815" style="271" customWidth="1"/>
    <col min="8" max="8" width="7.53703703703704" style="271" customWidth="1"/>
    <col min="9" max="9" width="8.75925925925926" style="271" customWidth="1"/>
    <col min="10" max="10" width="7.27777777777778" style="272" customWidth="1"/>
    <col min="11" max="11" width="11" style="271" customWidth="1"/>
    <col min="12" max="12" width="12.0925925925926" style="271" customWidth="1"/>
    <col min="13" max="13" width="11" style="271" customWidth="1"/>
    <col min="14" max="14" width="12.0925925925926" style="271" customWidth="1"/>
    <col min="15" max="15" width="15.4537037037037" style="271" customWidth="1"/>
    <col min="16" max="16" width="15.6296296296296" style="271"/>
    <col min="17" max="16384" width="9" style="271"/>
  </cols>
  <sheetData>
    <row r="1" s="55" customFormat="1" ht="19" customHeight="1" spans="1:10">
      <c r="A1" s="273" t="s">
        <v>100</v>
      </c>
      <c r="B1" s="274"/>
      <c r="C1" s="274"/>
      <c r="D1" s="274"/>
      <c r="E1" s="275"/>
      <c r="F1" s="276" t="s">
        <v>1517</v>
      </c>
      <c r="G1" s="277"/>
      <c r="H1" s="277"/>
      <c r="I1" s="277"/>
      <c r="J1" s="278"/>
    </row>
    <row r="2" s="55" customFormat="1" ht="19" customHeight="1" spans="1:10">
      <c r="A2" s="274"/>
      <c r="B2" s="274"/>
      <c r="C2" s="274"/>
      <c r="D2" s="274"/>
      <c r="E2" s="275"/>
      <c r="F2" s="279"/>
      <c r="G2" s="280"/>
      <c r="H2" s="280"/>
      <c r="I2" s="280"/>
      <c r="J2" s="281"/>
    </row>
    <row r="3" s="55" customFormat="1" ht="19" customHeight="1" spans="1:10">
      <c r="A3" s="274"/>
      <c r="B3" s="274"/>
      <c r="C3" s="274"/>
      <c r="D3" s="274"/>
      <c r="E3" s="275"/>
      <c r="F3" s="279"/>
      <c r="G3" s="280"/>
      <c r="H3" s="280"/>
      <c r="I3" s="280"/>
      <c r="J3" s="281"/>
    </row>
    <row r="4" s="55" customFormat="1" ht="19" customHeight="1" spans="1:10">
      <c r="A4" s="282"/>
      <c r="B4" s="282"/>
      <c r="C4" s="282"/>
      <c r="D4" s="282"/>
      <c r="E4" s="283"/>
      <c r="F4" s="279"/>
      <c r="G4" s="280"/>
      <c r="H4" s="280"/>
      <c r="I4" s="280"/>
      <c r="J4" s="281"/>
    </row>
    <row r="5" s="55" customFormat="1" ht="19" customHeight="1" spans="1:10">
      <c r="A5" s="284" t="s">
        <v>1518</v>
      </c>
      <c r="B5" s="285"/>
      <c r="C5" s="285"/>
      <c r="D5" s="285"/>
      <c r="E5" s="286"/>
      <c r="F5" s="287"/>
      <c r="G5" s="288"/>
      <c r="H5" s="288"/>
      <c r="I5" s="288"/>
      <c r="J5" s="289"/>
    </row>
    <row r="6" s="55" customFormat="1" ht="5" customHeight="1" spans="1:10">
      <c r="A6" s="66"/>
      <c r="B6" s="66"/>
      <c r="C6" s="67"/>
      <c r="D6" s="67"/>
      <c r="E6" s="67"/>
      <c r="F6" s="67"/>
      <c r="G6" s="68"/>
      <c r="H6" s="68"/>
      <c r="I6" s="69"/>
      <c r="J6" s="67"/>
    </row>
    <row r="7" s="1" customFormat="1" ht="14" customHeight="1" spans="1:10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21" t="s">
        <v>1505</v>
      </c>
      <c r="I7" s="174"/>
      <c r="J7" s="22"/>
    </row>
    <row r="8" ht="22.75" customHeight="1" spans="1:10">
      <c r="D8" s="398" t="s">
        <v>1519</v>
      </c>
      <c r="E8" s="398"/>
      <c r="F8" s="398"/>
      <c r="G8" s="398"/>
      <c r="H8" s="398"/>
      <c r="I8" s="398"/>
      <c r="J8" s="399"/>
    </row>
    <row r="9" ht="22.75" customHeight="1" spans="1:10">
      <c r="A9" s="400" t="s">
        <v>1520</v>
      </c>
      <c r="B9" s="401" t="s">
        <v>1521</v>
      </c>
      <c r="C9" s="401" t="s">
        <v>1121</v>
      </c>
      <c r="D9" s="151" t="s">
        <v>1234</v>
      </c>
      <c r="E9" s="151" t="s">
        <v>1235</v>
      </c>
      <c r="F9" s="151" t="s">
        <v>1236</v>
      </c>
      <c r="G9" s="152" t="s">
        <v>1237</v>
      </c>
      <c r="H9" s="152" t="s">
        <v>1238</v>
      </c>
      <c r="I9" s="152" t="s">
        <v>1522</v>
      </c>
    </row>
    <row r="10" spans="1:10">
      <c r="A10" s="400"/>
      <c r="B10" s="401"/>
      <c r="C10" s="401"/>
      <c r="D10" s="151"/>
      <c r="E10" s="151"/>
      <c r="F10" s="151"/>
      <c r="G10" s="152"/>
      <c r="H10" s="152"/>
      <c r="I10" s="152"/>
    </row>
    <row r="11" spans="1:10">
      <c r="A11" s="315" t="s">
        <v>1523</v>
      </c>
      <c r="B11" s="402" t="s">
        <v>1524</v>
      </c>
      <c r="C11" s="403"/>
      <c r="D11" s="404" t="s">
        <v>1487</v>
      </c>
      <c r="E11" s="404" t="s">
        <v>1487</v>
      </c>
      <c r="F11" s="404" t="s">
        <v>1487</v>
      </c>
      <c r="G11" s="404" t="s">
        <v>1279</v>
      </c>
      <c r="H11" s="404" t="s">
        <v>1279</v>
      </c>
      <c r="I11" s="152"/>
    </row>
    <row r="12" spans="1:10">
      <c r="A12" s="315" t="s">
        <v>1523</v>
      </c>
      <c r="B12" s="405" t="s">
        <v>191</v>
      </c>
      <c r="C12" s="209" t="s">
        <v>1525</v>
      </c>
      <c r="D12" s="157" t="s">
        <v>1487</v>
      </c>
      <c r="E12" s="157" t="s">
        <v>1487</v>
      </c>
      <c r="F12" s="157" t="s">
        <v>1487</v>
      </c>
      <c r="G12" s="157" t="s">
        <v>1279</v>
      </c>
      <c r="H12" s="157" t="s">
        <v>1279</v>
      </c>
      <c r="I12" s="245"/>
    </row>
    <row r="13" spans="1:10">
      <c r="A13" s="315" t="s">
        <v>1523</v>
      </c>
      <c r="B13" s="405" t="s">
        <v>191</v>
      </c>
      <c r="C13" s="209" t="s">
        <v>1526</v>
      </c>
      <c r="D13" s="157" t="s">
        <v>1487</v>
      </c>
      <c r="E13" s="157" t="s">
        <v>1487</v>
      </c>
      <c r="F13" s="157" t="s">
        <v>1487</v>
      </c>
      <c r="G13" s="157" t="s">
        <v>1279</v>
      </c>
      <c r="H13" s="157" t="s">
        <v>1279</v>
      </c>
      <c r="I13" s="317"/>
    </row>
    <row r="14" spans="1:10">
      <c r="A14" s="315" t="s">
        <v>1523</v>
      </c>
      <c r="B14" s="405" t="s">
        <v>191</v>
      </c>
      <c r="C14" s="209" t="s">
        <v>1527</v>
      </c>
      <c r="D14" s="157" t="s">
        <v>1487</v>
      </c>
      <c r="E14" s="157" t="s">
        <v>1487</v>
      </c>
      <c r="F14" s="157" t="s">
        <v>1487</v>
      </c>
      <c r="G14" s="157" t="s">
        <v>1279</v>
      </c>
      <c r="H14" s="157" t="s">
        <v>1279</v>
      </c>
      <c r="I14" s="317"/>
    </row>
    <row r="15" spans="1:10">
      <c r="A15" s="315" t="s">
        <v>1523</v>
      </c>
      <c r="B15" s="405" t="s">
        <v>191</v>
      </c>
      <c r="C15" s="209" t="s">
        <v>1528</v>
      </c>
      <c r="D15" s="157" t="s">
        <v>1487</v>
      </c>
      <c r="E15" s="157" t="s">
        <v>1487</v>
      </c>
      <c r="F15" s="157" t="s">
        <v>1487</v>
      </c>
      <c r="G15" s="157" t="s">
        <v>1279</v>
      </c>
      <c r="H15" s="157" t="s">
        <v>1279</v>
      </c>
      <c r="I15" s="317"/>
    </row>
    <row r="16" spans="1:10">
      <c r="A16" s="315" t="s">
        <v>1523</v>
      </c>
      <c r="B16" s="405" t="s">
        <v>191</v>
      </c>
      <c r="C16" s="209" t="s">
        <v>1529</v>
      </c>
      <c r="D16" s="157" t="s">
        <v>1487</v>
      </c>
      <c r="E16" s="157" t="s">
        <v>1487</v>
      </c>
      <c r="F16" s="157" t="s">
        <v>1487</v>
      </c>
      <c r="G16" s="157" t="s">
        <v>1279</v>
      </c>
      <c r="H16" s="157" t="s">
        <v>1279</v>
      </c>
      <c r="I16" s="317"/>
    </row>
    <row r="17" spans="1:9">
      <c r="A17" s="315" t="s">
        <v>1523</v>
      </c>
      <c r="B17" s="405" t="s">
        <v>182</v>
      </c>
      <c r="C17" s="405" t="s">
        <v>272</v>
      </c>
      <c r="D17" s="157" t="s">
        <v>1487</v>
      </c>
      <c r="E17" s="157" t="s">
        <v>1487</v>
      </c>
      <c r="F17" s="157" t="s">
        <v>1487</v>
      </c>
      <c r="G17" s="157" t="s">
        <v>1279</v>
      </c>
      <c r="H17" s="157" t="s">
        <v>1279</v>
      </c>
      <c r="I17" s="317"/>
    </row>
    <row r="18" ht="16.2" spans="1:9">
      <c r="A18" s="406"/>
      <c r="B18" s="407" t="s">
        <v>1530</v>
      </c>
      <c r="C18" s="408"/>
      <c r="D18" s="405" t="s">
        <v>1279</v>
      </c>
      <c r="E18" s="405" t="s">
        <v>1279</v>
      </c>
      <c r="F18" s="405" t="s">
        <v>1279</v>
      </c>
      <c r="G18" s="405" t="s">
        <v>1279</v>
      </c>
      <c r="H18" s="405" t="s">
        <v>1279</v>
      </c>
      <c r="I18" s="317"/>
    </row>
    <row r="19" spans="1:9">
      <c r="A19" s="181" t="s">
        <v>164</v>
      </c>
      <c r="B19" s="402" t="s">
        <v>1524</v>
      </c>
      <c r="C19" s="403"/>
      <c r="D19" s="404" t="s">
        <v>1487</v>
      </c>
      <c r="E19" s="404" t="s">
        <v>1487</v>
      </c>
      <c r="F19" s="404" t="s">
        <v>1487</v>
      </c>
      <c r="G19" s="404" t="s">
        <v>1279</v>
      </c>
      <c r="H19" s="404" t="s">
        <v>1279</v>
      </c>
      <c r="I19" s="317"/>
    </row>
    <row r="20" spans="1:9">
      <c r="A20" s="181" t="s">
        <v>164</v>
      </c>
      <c r="B20" s="405" t="s">
        <v>1531</v>
      </c>
      <c r="C20" s="209" t="s">
        <v>1532</v>
      </c>
      <c r="D20" s="157" t="s">
        <v>1487</v>
      </c>
      <c r="E20" s="157" t="s">
        <v>1487</v>
      </c>
      <c r="F20" s="157" t="s">
        <v>1487</v>
      </c>
      <c r="G20" s="157" t="s">
        <v>1279</v>
      </c>
      <c r="H20" s="157" t="s">
        <v>1279</v>
      </c>
      <c r="I20" s="317"/>
    </row>
    <row r="21" spans="1:9">
      <c r="A21" s="181" t="s">
        <v>164</v>
      </c>
      <c r="B21" s="405"/>
      <c r="C21" s="209" t="s">
        <v>1533</v>
      </c>
      <c r="D21" s="157" t="s">
        <v>1487</v>
      </c>
      <c r="E21" s="157" t="s">
        <v>1487</v>
      </c>
      <c r="F21" s="157" t="s">
        <v>1487</v>
      </c>
      <c r="G21" s="157" t="s">
        <v>1279</v>
      </c>
      <c r="H21" s="157" t="s">
        <v>1279</v>
      </c>
      <c r="I21" s="317"/>
    </row>
    <row r="22" spans="1:9">
      <c r="A22" s="181" t="s">
        <v>164</v>
      </c>
      <c r="B22" s="405"/>
      <c r="C22" s="209" t="s">
        <v>1534</v>
      </c>
      <c r="D22" s="157" t="s">
        <v>1487</v>
      </c>
      <c r="E22" s="157" t="s">
        <v>1487</v>
      </c>
      <c r="F22" s="157" t="s">
        <v>1487</v>
      </c>
      <c r="G22" s="157" t="s">
        <v>1279</v>
      </c>
      <c r="H22" s="157" t="s">
        <v>1279</v>
      </c>
      <c r="I22" s="317"/>
    </row>
    <row r="23" spans="1:9">
      <c r="A23" s="181" t="s">
        <v>164</v>
      </c>
      <c r="B23" s="405"/>
      <c r="C23" s="209" t="s">
        <v>1535</v>
      </c>
      <c r="D23" s="157" t="s">
        <v>1487</v>
      </c>
      <c r="E23" s="157" t="s">
        <v>1487</v>
      </c>
      <c r="F23" s="157" t="s">
        <v>1487</v>
      </c>
      <c r="G23" s="157" t="s">
        <v>1279</v>
      </c>
      <c r="H23" s="157" t="s">
        <v>1279</v>
      </c>
      <c r="I23" s="317"/>
    </row>
    <row r="24" spans="1:9">
      <c r="A24" s="181" t="s">
        <v>164</v>
      </c>
      <c r="B24" s="405"/>
      <c r="C24" s="209" t="s">
        <v>1536</v>
      </c>
      <c r="D24" s="157" t="s">
        <v>1487</v>
      </c>
      <c r="E24" s="157" t="s">
        <v>1487</v>
      </c>
      <c r="F24" s="157" t="s">
        <v>1487</v>
      </c>
      <c r="G24" s="157" t="s">
        <v>1279</v>
      </c>
      <c r="H24" s="157" t="s">
        <v>1279</v>
      </c>
      <c r="I24" s="317"/>
    </row>
    <row r="25" spans="1:9">
      <c r="A25" s="181" t="s">
        <v>164</v>
      </c>
      <c r="B25" s="405" t="s">
        <v>1537</v>
      </c>
      <c r="C25" s="405" t="s">
        <v>1537</v>
      </c>
      <c r="D25" s="157" t="s">
        <v>1487</v>
      </c>
      <c r="E25" s="157" t="s">
        <v>1487</v>
      </c>
      <c r="F25" s="157" t="s">
        <v>1487</v>
      </c>
      <c r="G25" s="157" t="s">
        <v>1279</v>
      </c>
      <c r="H25" s="157" t="s">
        <v>1279</v>
      </c>
      <c r="I25" s="317"/>
    </row>
    <row r="26" ht="16.2" spans="1:9">
      <c r="A26" s="315" t="s">
        <v>164</v>
      </c>
      <c r="B26" s="409" t="s">
        <v>1538</v>
      </c>
      <c r="C26" s="410"/>
      <c r="D26" s="405" t="s">
        <v>1279</v>
      </c>
      <c r="E26" s="405" t="s">
        <v>1279</v>
      </c>
      <c r="F26" s="405" t="s">
        <v>1279</v>
      </c>
      <c r="G26" s="405" t="s">
        <v>1279</v>
      </c>
      <c r="H26" s="405" t="s">
        <v>1279</v>
      </c>
      <c r="I26" s="317"/>
    </row>
    <row r="27" spans="1:9">
      <c r="A27" s="181" t="s">
        <v>1539</v>
      </c>
      <c r="B27" s="402" t="s">
        <v>1524</v>
      </c>
      <c r="C27" s="403"/>
      <c r="D27" s="404" t="s">
        <v>1487</v>
      </c>
      <c r="E27" s="404" t="s">
        <v>1487</v>
      </c>
      <c r="F27" s="404" t="s">
        <v>1487</v>
      </c>
      <c r="G27" s="404" t="s">
        <v>1279</v>
      </c>
      <c r="H27" s="404" t="s">
        <v>1279</v>
      </c>
      <c r="I27" s="317"/>
    </row>
    <row r="28" spans="1:9">
      <c r="A28" s="181" t="s">
        <v>1539</v>
      </c>
      <c r="B28" s="405" t="s">
        <v>1531</v>
      </c>
      <c r="C28" s="209" t="s">
        <v>1532</v>
      </c>
      <c r="D28" s="157" t="s">
        <v>1487</v>
      </c>
      <c r="E28" s="157" t="s">
        <v>1487</v>
      </c>
      <c r="F28" s="157" t="s">
        <v>1487</v>
      </c>
      <c r="G28" s="157" t="s">
        <v>1279</v>
      </c>
      <c r="H28" s="157" t="s">
        <v>1279</v>
      </c>
      <c r="I28" s="317"/>
    </row>
    <row r="29" spans="1:9">
      <c r="A29" s="181" t="s">
        <v>1539</v>
      </c>
      <c r="B29" s="405"/>
      <c r="C29" s="209" t="s">
        <v>1533</v>
      </c>
      <c r="D29" s="157" t="s">
        <v>1487</v>
      </c>
      <c r="E29" s="157" t="s">
        <v>1487</v>
      </c>
      <c r="F29" s="157" t="s">
        <v>1487</v>
      </c>
      <c r="G29" s="157" t="s">
        <v>1279</v>
      </c>
      <c r="H29" s="157" t="s">
        <v>1279</v>
      </c>
      <c r="I29" s="317"/>
    </row>
    <row r="30" spans="1:9">
      <c r="A30" s="181" t="s">
        <v>1539</v>
      </c>
      <c r="B30" s="405"/>
      <c r="C30" s="209" t="s">
        <v>1534</v>
      </c>
      <c r="D30" s="157" t="s">
        <v>1487</v>
      </c>
      <c r="E30" s="157" t="s">
        <v>1487</v>
      </c>
      <c r="F30" s="157" t="s">
        <v>1487</v>
      </c>
      <c r="G30" s="157" t="s">
        <v>1279</v>
      </c>
      <c r="H30" s="157" t="s">
        <v>1279</v>
      </c>
      <c r="I30" s="317"/>
    </row>
    <row r="31" spans="1:9">
      <c r="A31" s="181" t="s">
        <v>1539</v>
      </c>
      <c r="B31" s="405"/>
      <c r="C31" s="209" t="s">
        <v>1535</v>
      </c>
      <c r="D31" s="157" t="s">
        <v>1487</v>
      </c>
      <c r="E31" s="157" t="s">
        <v>1487</v>
      </c>
      <c r="F31" s="157" t="s">
        <v>1487</v>
      </c>
      <c r="G31" s="157" t="s">
        <v>1279</v>
      </c>
      <c r="H31" s="157" t="s">
        <v>1279</v>
      </c>
      <c r="I31" s="317"/>
    </row>
    <row r="32" spans="1:9">
      <c r="A32" s="181" t="s">
        <v>1539</v>
      </c>
      <c r="B32" s="405"/>
      <c r="C32" s="209" t="s">
        <v>1536</v>
      </c>
      <c r="D32" s="157" t="s">
        <v>1487</v>
      </c>
      <c r="E32" s="157" t="s">
        <v>1487</v>
      </c>
      <c r="F32" s="157" t="s">
        <v>1487</v>
      </c>
      <c r="G32" s="157" t="s">
        <v>1279</v>
      </c>
      <c r="H32" s="157" t="s">
        <v>1279</v>
      </c>
      <c r="I32" s="317"/>
    </row>
    <row r="33" spans="1:9">
      <c r="A33" s="181" t="s">
        <v>1539</v>
      </c>
      <c r="B33" s="405" t="s">
        <v>1537</v>
      </c>
      <c r="C33" s="405" t="s">
        <v>1537</v>
      </c>
      <c r="D33" s="157" t="s">
        <v>1487</v>
      </c>
      <c r="E33" s="157" t="s">
        <v>1487</v>
      </c>
      <c r="F33" s="157" t="s">
        <v>1487</v>
      </c>
      <c r="G33" s="157" t="s">
        <v>1279</v>
      </c>
      <c r="H33" s="157" t="s">
        <v>1279</v>
      </c>
      <c r="I33" s="317"/>
    </row>
    <row r="34" ht="16.2" spans="1:9">
      <c r="A34" s="411" t="s">
        <v>1539</v>
      </c>
      <c r="B34" s="409" t="s">
        <v>1538</v>
      </c>
      <c r="C34" s="410"/>
      <c r="D34" s="405" t="s">
        <v>1279</v>
      </c>
      <c r="E34" s="405" t="s">
        <v>1279</v>
      </c>
      <c r="F34" s="405" t="s">
        <v>1279</v>
      </c>
      <c r="G34" s="405" t="s">
        <v>1279</v>
      </c>
      <c r="H34" s="405" t="s">
        <v>1279</v>
      </c>
      <c r="I34" s="317"/>
    </row>
    <row r="35" spans="1:9">
      <c r="A35" s="181" t="s">
        <v>126</v>
      </c>
      <c r="B35" s="402" t="s">
        <v>1524</v>
      </c>
      <c r="C35" s="403"/>
      <c r="D35" s="404" t="s">
        <v>1487</v>
      </c>
      <c r="E35" s="404" t="s">
        <v>1487</v>
      </c>
      <c r="F35" s="404" t="s">
        <v>1487</v>
      </c>
      <c r="G35" s="404" t="s">
        <v>1279</v>
      </c>
      <c r="H35" s="404" t="s">
        <v>1279</v>
      </c>
      <c r="I35" s="317"/>
    </row>
    <row r="36" spans="1:9">
      <c r="A36" s="181" t="s">
        <v>126</v>
      </c>
      <c r="B36" s="405" t="s">
        <v>1531</v>
      </c>
      <c r="C36" s="209" t="s">
        <v>1532</v>
      </c>
      <c r="D36" s="157" t="s">
        <v>1487</v>
      </c>
      <c r="E36" s="157" t="s">
        <v>1487</v>
      </c>
      <c r="F36" s="157" t="s">
        <v>1487</v>
      </c>
      <c r="G36" s="157" t="s">
        <v>1279</v>
      </c>
      <c r="H36" s="157" t="s">
        <v>1279</v>
      </c>
      <c r="I36" s="317"/>
    </row>
    <row r="37" spans="1:9">
      <c r="A37" s="181" t="s">
        <v>126</v>
      </c>
      <c r="B37" s="405"/>
      <c r="C37" s="209" t="s">
        <v>1533</v>
      </c>
      <c r="D37" s="157" t="s">
        <v>1487</v>
      </c>
      <c r="E37" s="157" t="s">
        <v>1487</v>
      </c>
      <c r="F37" s="157" t="s">
        <v>1487</v>
      </c>
      <c r="G37" s="157" t="s">
        <v>1279</v>
      </c>
      <c r="H37" s="157" t="s">
        <v>1279</v>
      </c>
      <c r="I37" s="317"/>
    </row>
    <row r="38" spans="1:9">
      <c r="A38" s="181" t="s">
        <v>126</v>
      </c>
      <c r="B38" s="405"/>
      <c r="C38" s="209" t="s">
        <v>1534</v>
      </c>
      <c r="D38" s="157" t="s">
        <v>1487</v>
      </c>
      <c r="E38" s="157" t="s">
        <v>1487</v>
      </c>
      <c r="F38" s="157" t="s">
        <v>1487</v>
      </c>
      <c r="G38" s="157" t="s">
        <v>1279</v>
      </c>
      <c r="H38" s="157" t="s">
        <v>1279</v>
      </c>
      <c r="I38" s="317"/>
    </row>
    <row r="39" spans="1:9">
      <c r="A39" s="181" t="s">
        <v>126</v>
      </c>
      <c r="B39" s="405"/>
      <c r="C39" s="209" t="s">
        <v>1535</v>
      </c>
      <c r="D39" s="157" t="s">
        <v>1487</v>
      </c>
      <c r="E39" s="157" t="s">
        <v>1487</v>
      </c>
      <c r="F39" s="157" t="s">
        <v>1487</v>
      </c>
      <c r="G39" s="157" t="s">
        <v>1279</v>
      </c>
      <c r="H39" s="157" t="s">
        <v>1279</v>
      </c>
      <c r="I39" s="317"/>
    </row>
    <row r="40" spans="1:9">
      <c r="A40" s="181" t="s">
        <v>126</v>
      </c>
      <c r="B40" s="405"/>
      <c r="C40" s="209" t="s">
        <v>1536</v>
      </c>
      <c r="D40" s="157" t="s">
        <v>1487</v>
      </c>
      <c r="E40" s="157" t="s">
        <v>1487</v>
      </c>
      <c r="F40" s="157" t="s">
        <v>1487</v>
      </c>
      <c r="G40" s="157" t="s">
        <v>1279</v>
      </c>
      <c r="H40" s="157" t="s">
        <v>1279</v>
      </c>
      <c r="I40" s="317"/>
    </row>
    <row r="41" spans="1:9">
      <c r="A41" s="181" t="s">
        <v>126</v>
      </c>
      <c r="B41" s="405" t="s">
        <v>1537</v>
      </c>
      <c r="C41" s="405" t="s">
        <v>1537</v>
      </c>
      <c r="D41" s="157" t="s">
        <v>1487</v>
      </c>
      <c r="E41" s="157" t="s">
        <v>1487</v>
      </c>
      <c r="F41" s="157" t="s">
        <v>1487</v>
      </c>
      <c r="G41" s="157" t="s">
        <v>1279</v>
      </c>
      <c r="H41" s="157" t="s">
        <v>1279</v>
      </c>
      <c r="I41" s="317"/>
    </row>
    <row r="42" ht="16.2" spans="1:9">
      <c r="A42" s="411" t="s">
        <v>126</v>
      </c>
      <c r="B42" s="409" t="s">
        <v>1538</v>
      </c>
      <c r="C42" s="410"/>
      <c r="D42" s="405" t="s">
        <v>1279</v>
      </c>
      <c r="E42" s="405" t="s">
        <v>1279</v>
      </c>
      <c r="F42" s="405" t="s">
        <v>1279</v>
      </c>
      <c r="G42" s="405" t="s">
        <v>1279</v>
      </c>
      <c r="H42" s="405" t="s">
        <v>1279</v>
      </c>
      <c r="I42" s="317"/>
    </row>
    <row r="43" spans="1:9">
      <c r="A43" s="181" t="s">
        <v>1540</v>
      </c>
      <c r="B43" s="402" t="s">
        <v>1524</v>
      </c>
      <c r="C43" s="403"/>
      <c r="D43" s="404" t="s">
        <v>1487</v>
      </c>
      <c r="E43" s="404" t="s">
        <v>1487</v>
      </c>
      <c r="F43" s="404" t="s">
        <v>1487</v>
      </c>
      <c r="G43" s="404" t="s">
        <v>1279</v>
      </c>
      <c r="H43" s="404" t="s">
        <v>1279</v>
      </c>
      <c r="I43" s="317"/>
    </row>
    <row r="44" spans="1:9">
      <c r="A44" s="181" t="s">
        <v>1540</v>
      </c>
      <c r="B44" s="405" t="s">
        <v>1531</v>
      </c>
      <c r="C44" s="209" t="s">
        <v>1532</v>
      </c>
      <c r="D44" s="157" t="s">
        <v>1487</v>
      </c>
      <c r="E44" s="157" t="s">
        <v>1487</v>
      </c>
      <c r="F44" s="157" t="s">
        <v>1487</v>
      </c>
      <c r="G44" s="157" t="s">
        <v>1279</v>
      </c>
      <c r="H44" s="157" t="s">
        <v>1279</v>
      </c>
      <c r="I44" s="317"/>
    </row>
    <row r="45" spans="1:9">
      <c r="A45" s="181" t="s">
        <v>1540</v>
      </c>
      <c r="B45" s="405"/>
      <c r="C45" s="209" t="s">
        <v>1533</v>
      </c>
      <c r="D45" s="157" t="s">
        <v>1487</v>
      </c>
      <c r="E45" s="157" t="s">
        <v>1487</v>
      </c>
      <c r="F45" s="157" t="s">
        <v>1487</v>
      </c>
      <c r="G45" s="157" t="s">
        <v>1279</v>
      </c>
      <c r="H45" s="157" t="s">
        <v>1279</v>
      </c>
      <c r="I45" s="317"/>
    </row>
    <row r="46" spans="1:9">
      <c r="A46" s="181" t="s">
        <v>1540</v>
      </c>
      <c r="B46" s="405"/>
      <c r="C46" s="209" t="s">
        <v>1534</v>
      </c>
      <c r="D46" s="157" t="s">
        <v>1487</v>
      </c>
      <c r="E46" s="157" t="s">
        <v>1487</v>
      </c>
      <c r="F46" s="157" t="s">
        <v>1487</v>
      </c>
      <c r="G46" s="157" t="s">
        <v>1279</v>
      </c>
      <c r="H46" s="157" t="s">
        <v>1279</v>
      </c>
      <c r="I46" s="317"/>
    </row>
    <row r="47" spans="1:9">
      <c r="A47" s="181" t="s">
        <v>1540</v>
      </c>
      <c r="B47" s="405"/>
      <c r="C47" s="209" t="s">
        <v>1535</v>
      </c>
      <c r="D47" s="157" t="s">
        <v>1487</v>
      </c>
      <c r="E47" s="157" t="s">
        <v>1487</v>
      </c>
      <c r="F47" s="157" t="s">
        <v>1487</v>
      </c>
      <c r="G47" s="157" t="s">
        <v>1279</v>
      </c>
      <c r="H47" s="157" t="s">
        <v>1279</v>
      </c>
      <c r="I47" s="317"/>
    </row>
    <row r="48" spans="1:9">
      <c r="A48" s="181" t="s">
        <v>1540</v>
      </c>
      <c r="B48" s="405"/>
      <c r="C48" s="209" t="s">
        <v>1536</v>
      </c>
      <c r="D48" s="157" t="s">
        <v>1487</v>
      </c>
      <c r="E48" s="157" t="s">
        <v>1487</v>
      </c>
      <c r="F48" s="157" t="s">
        <v>1487</v>
      </c>
      <c r="G48" s="157" t="s">
        <v>1279</v>
      </c>
      <c r="H48" s="157" t="s">
        <v>1279</v>
      </c>
      <c r="I48" s="317"/>
    </row>
    <row r="49" spans="1:9">
      <c r="A49" s="181" t="s">
        <v>1540</v>
      </c>
      <c r="B49" s="405" t="s">
        <v>1537</v>
      </c>
      <c r="C49" s="405" t="s">
        <v>1537</v>
      </c>
      <c r="D49" s="157" t="s">
        <v>1487</v>
      </c>
      <c r="E49" s="157" t="s">
        <v>1487</v>
      </c>
      <c r="F49" s="157" t="s">
        <v>1487</v>
      </c>
      <c r="G49" s="157" t="s">
        <v>1279</v>
      </c>
      <c r="H49" s="157" t="s">
        <v>1279</v>
      </c>
      <c r="I49" s="317"/>
    </row>
    <row r="50" ht="16.2" spans="1:9">
      <c r="A50" s="411" t="s">
        <v>1540</v>
      </c>
      <c r="B50" s="409" t="s">
        <v>1538</v>
      </c>
      <c r="C50" s="410"/>
      <c r="D50" s="405" t="s">
        <v>1279</v>
      </c>
      <c r="E50" s="405" t="s">
        <v>1279</v>
      </c>
      <c r="F50" s="405" t="s">
        <v>1279</v>
      </c>
      <c r="G50" s="405" t="s">
        <v>1279</v>
      </c>
      <c r="H50" s="405" t="s">
        <v>1279</v>
      </c>
      <c r="I50" s="317"/>
    </row>
    <row r="52" spans="1:9">
      <c r="B52" s="315" t="s">
        <v>1513</v>
      </c>
      <c r="C52" s="315" t="s">
        <v>1541</v>
      </c>
    </row>
    <row r="53" spans="1:9">
      <c r="B53" s="157" t="s">
        <v>1487</v>
      </c>
      <c r="C53" s="412" t="s">
        <v>1542</v>
      </c>
    </row>
    <row r="54" spans="1:9">
      <c r="B54" s="157" t="s">
        <v>1487</v>
      </c>
      <c r="C54" s="412" t="s">
        <v>1542</v>
      </c>
    </row>
    <row r="55" spans="1:9">
      <c r="B55" s="157" t="s">
        <v>1487</v>
      </c>
      <c r="C55" s="412" t="s">
        <v>1542</v>
      </c>
    </row>
    <row r="56" spans="1:9">
      <c r="B56" s="157" t="s">
        <v>1487</v>
      </c>
      <c r="C56" s="412" t="s">
        <v>1542</v>
      </c>
    </row>
    <row r="57" spans="1:9">
      <c r="B57" s="317"/>
      <c r="C57" s="317"/>
    </row>
    <row r="58" spans="1:9">
      <c r="B58" s="317"/>
      <c r="C58" s="317"/>
    </row>
  </sheetData>
  <mergeCells count="28">
    <mergeCell ref="A5:E5"/>
    <mergeCell ref="H7:J7"/>
    <mergeCell ref="D8:I8"/>
    <mergeCell ref="B11:C11"/>
    <mergeCell ref="B18:C18"/>
    <mergeCell ref="B19:C19"/>
    <mergeCell ref="B26:C26"/>
    <mergeCell ref="B27:C27"/>
    <mergeCell ref="B34:C34"/>
    <mergeCell ref="B35:C35"/>
    <mergeCell ref="B42:C42"/>
    <mergeCell ref="B43:C43"/>
    <mergeCell ref="B50:C50"/>
    <mergeCell ref="A9:A10"/>
    <mergeCell ref="B9:B10"/>
    <mergeCell ref="B20:B24"/>
    <mergeCell ref="B28:B32"/>
    <mergeCell ref="B36:B40"/>
    <mergeCell ref="B44:B48"/>
    <mergeCell ref="C9:C10"/>
    <mergeCell ref="D9:D10"/>
    <mergeCell ref="E9:E10"/>
    <mergeCell ref="F9:F10"/>
    <mergeCell ref="G9:G10"/>
    <mergeCell ref="H9:H10"/>
    <mergeCell ref="I9:I10"/>
    <mergeCell ref="A1:E4"/>
    <mergeCell ref="F1:J5"/>
  </mergeCells>
  <conditionalFormatting sqref="A11">
    <cfRule type="cellIs" dxfId="0" priority="3" operator="lessThan">
      <formula>0</formula>
    </cfRule>
  </conditionalFormatting>
  <conditionalFormatting sqref="I12">
    <cfRule type="cellIs" dxfId="0" priority="10" operator="lessThan">
      <formula>0</formula>
    </cfRule>
  </conditionalFormatting>
  <conditionalFormatting sqref="M8:IL8 A9:C9 L9:IL11 A12:C17 L12:IL17 A18:B18 L18:IL18 A19 L19:IL19 A20:C26 L20:IL26 A27 L27:IL27 A28:C34 L28:IL34 A35 L35:IL35 A36:C42 L36:IL42 A43 L43:IL43 A44:C50 L44:IL50">
    <cfRule type="cellIs" dxfId="0" priority="14" operator="lessThan">
      <formula>0</formula>
    </cfRule>
  </conditionalFormatting>
  <conditionalFormatting sqref="A8:D8 A51:IL51 A52:A58 D52:IL58 A59:IL65541">
    <cfRule type="cellIs" dxfId="0" priority="12" operator="lessThan">
      <formula>0</formula>
    </cfRule>
  </conditionalFormatting>
  <conditionalFormatting sqref="B52:C52 C53:C56">
    <cfRule type="cellIs" dxfId="0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8" tint="0.799981688894314"/>
  </sheetPr>
  <dimension ref="A1:P119"/>
  <sheetViews>
    <sheetView showGridLines="0" showZeros="0" zoomScale="85" zoomScaleNormal="85" workbookViewId="0">
      <selection activeCell="G36" sqref="G36"/>
    </sheetView>
  </sheetViews>
  <sheetFormatPr defaultColWidth="8.72222222222222" defaultRowHeight="10.8"/>
  <cols>
    <col min="1" max="1" width="14.5" style="17" customWidth="1"/>
    <col min="2" max="2" width="10.9722222222222" style="17" customWidth="1"/>
    <col min="3" max="3" width="12.6296296296296" style="17" customWidth="1"/>
    <col min="4" max="4" width="12.7222222222222" style="17" customWidth="1"/>
    <col min="5" max="5" width="15.6296296296296" style="17" customWidth="1"/>
    <col min="6" max="6" width="11.6296296296296" style="17" customWidth="1"/>
    <col min="7" max="7" width="10.0925925925926" style="17" customWidth="1"/>
    <col min="8" max="11" width="10.1759259259259" style="17" customWidth="1"/>
    <col min="12" max="12" width="13.5462962962963" style="17" customWidth="1"/>
    <col min="13" max="13" width="14.7222222222222" style="17" customWidth="1"/>
    <col min="14" max="15" width="12.6296296296296" style="17" customWidth="1"/>
    <col min="16" max="36" width="8.72222222222222" style="17" customWidth="1"/>
    <col min="37" max="16384" width="8.72222222222222" style="17"/>
  </cols>
  <sheetData>
    <row r="1" ht="16.5" customHeight="1" spans="1:16">
      <c r="A1" s="61" t="s">
        <v>100</v>
      </c>
      <c r="B1" s="17" t="s">
        <v>1543</v>
      </c>
      <c r="C1" s="17" t="s">
        <v>1544</v>
      </c>
    </row>
    <row r="2" ht="16.5" customHeight="1" spans="1:16">
      <c r="B2" s="371" t="s">
        <v>1545</v>
      </c>
      <c r="C2" s="17" t="s">
        <v>1546</v>
      </c>
    </row>
    <row r="3" ht="16.5" customHeight="1" spans="1:16">
      <c r="B3" s="371" t="s">
        <v>1547</v>
      </c>
      <c r="C3" s="17" t="s">
        <v>125</v>
      </c>
    </row>
    <row r="4" ht="16.5" customHeight="1" spans="1:16">
      <c r="B4" s="371" t="s">
        <v>1548</v>
      </c>
      <c r="C4" s="17" t="s">
        <v>1549</v>
      </c>
    </row>
    <row r="5" ht="16.5" customHeight="1" spans="1:16">
      <c r="B5" s="371" t="s">
        <v>1550</v>
      </c>
      <c r="C5" s="17" t="s">
        <v>1551</v>
      </c>
    </row>
    <row r="6" ht="16.5" customHeight="1" spans="1:16">
      <c r="B6" s="371" t="s">
        <v>118</v>
      </c>
      <c r="C6" s="17" t="s">
        <v>1552</v>
      </c>
    </row>
    <row r="7" ht="16.5" customHeight="1" spans="1:16">
      <c r="B7" s="371" t="s">
        <v>1553</v>
      </c>
      <c r="C7" s="17" t="s">
        <v>1554</v>
      </c>
    </row>
    <row r="8" ht="9" customHeight="1" spans="1:16">
      <c r="B8" s="371"/>
    </row>
    <row r="9" ht="9" customHeight="1"/>
    <row r="10" ht="3.65" customHeight="1" spans="1:16">
      <c r="B10" s="372"/>
      <c r="E10" s="373"/>
      <c r="F10" s="373"/>
    </row>
    <row r="11" ht="13" customHeight="1" spans="1:16">
      <c r="B11" s="234" t="s">
        <v>1555</v>
      </c>
      <c r="C11" s="234"/>
      <c r="D11" s="234"/>
      <c r="E11" s="234"/>
      <c r="F11" s="7" t="s">
        <v>1556</v>
      </c>
      <c r="G11" s="8"/>
      <c r="H11" s="8"/>
      <c r="I11" s="8"/>
      <c r="J11" s="8"/>
      <c r="K11" s="8"/>
      <c r="L11" s="8"/>
      <c r="M11" s="8"/>
      <c r="N11" s="8"/>
      <c r="O11" s="8"/>
      <c r="P11" s="9"/>
    </row>
    <row r="12" ht="13" customHeight="1" spans="1:16">
      <c r="B12" s="234"/>
      <c r="C12" s="234"/>
      <c r="D12" s="234"/>
      <c r="E12" s="234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ht="13" customHeight="1" spans="1:16">
      <c r="B13" s="234"/>
      <c r="C13" s="234"/>
      <c r="D13" s="234"/>
      <c r="E13" s="234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ht="11.25" customHeight="1" spans="1:16">
      <c r="B14" s="234"/>
      <c r="C14" s="234"/>
      <c r="D14" s="234"/>
      <c r="E14" s="234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ht="11.25" customHeight="1" spans="1:16">
      <c r="B15" s="13" t="s">
        <v>1557</v>
      </c>
      <c r="C15" s="13"/>
      <c r="D15" s="13"/>
      <c r="E15" s="13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ht="11.25" customHeight="1" spans="1:16">
      <c r="B16" s="13"/>
      <c r="C16" s="13"/>
      <c r="D16" s="13"/>
      <c r="E16" s="13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6"/>
    </row>
    <row r="17" ht="4.5" customHeight="1" spans="2:16">
      <c r="F17" s="374"/>
      <c r="G17" s="18">
        <v>0</v>
      </c>
      <c r="H17" s="18"/>
      <c r="I17" s="18"/>
      <c r="J17" s="18"/>
      <c r="K17" s="18"/>
      <c r="O17" s="391"/>
    </row>
    <row r="18" ht="10.5" customHeight="1" spans="2:16">
      <c r="F18" s="375"/>
      <c r="G18" s="18"/>
      <c r="H18" s="18"/>
      <c r="I18" s="18"/>
      <c r="J18" s="18"/>
      <c r="K18" s="18"/>
    </row>
    <row r="19" ht="15" customHeight="1" spans="2:16">
      <c r="B19" s="19" t="s">
        <v>1501</v>
      </c>
      <c r="C19" s="20" t="s">
        <v>1502</v>
      </c>
      <c r="D19" s="19" t="s">
        <v>1120</v>
      </c>
      <c r="E19" s="20" t="s">
        <v>1503</v>
      </c>
      <c r="F19" s="19" t="s">
        <v>5</v>
      </c>
      <c r="G19" s="392" t="s">
        <v>1558</v>
      </c>
      <c r="H19" s="392"/>
      <c r="I19" s="19" t="s">
        <v>1457</v>
      </c>
      <c r="J19" s="359" t="s">
        <v>1483</v>
      </c>
      <c r="K19" s="393"/>
      <c r="L19" s="361"/>
      <c r="M19" s="19" t="s">
        <v>1504</v>
      </c>
      <c r="N19" s="394" t="s">
        <v>1505</v>
      </c>
      <c r="O19" s="395"/>
      <c r="P19" s="396"/>
    </row>
    <row r="20" ht="14.5" customHeight="1"/>
    <row r="21" s="370" customFormat="1" ht="20.5" customHeight="1" spans="2:16">
      <c r="B21" s="376" t="s">
        <v>1559</v>
      </c>
      <c r="C21" s="376" t="s">
        <v>1560</v>
      </c>
      <c r="D21" s="376" t="s">
        <v>1459</v>
      </c>
      <c r="E21" s="377" t="s">
        <v>1460</v>
      </c>
      <c r="F21" s="377" t="s">
        <v>1461</v>
      </c>
      <c r="G21" s="376" t="s">
        <v>291</v>
      </c>
      <c r="H21" s="376" t="s">
        <v>292</v>
      </c>
      <c r="I21" s="362" t="s">
        <v>1462</v>
      </c>
      <c r="J21" s="362" t="s">
        <v>295</v>
      </c>
      <c r="K21" s="362" t="s">
        <v>1561</v>
      </c>
      <c r="L21" s="378" t="s">
        <v>1234</v>
      </c>
      <c r="M21" s="376" t="s">
        <v>1235</v>
      </c>
      <c r="N21" s="376" t="s">
        <v>1236</v>
      </c>
      <c r="O21" s="376" t="s">
        <v>1237</v>
      </c>
      <c r="P21" s="376" t="s">
        <v>1238</v>
      </c>
    </row>
    <row r="22" s="370" customFormat="1" ht="20.5" customHeight="1" spans="2:16">
      <c r="B22" s="379"/>
      <c r="C22" s="379"/>
      <c r="D22" s="379"/>
      <c r="E22" s="380"/>
      <c r="F22" s="380"/>
      <c r="G22" s="379"/>
      <c r="H22" s="379"/>
      <c r="I22" s="364"/>
      <c r="J22" s="364"/>
      <c r="K22" s="364"/>
      <c r="L22" s="381"/>
      <c r="M22" s="379"/>
      <c r="N22" s="379"/>
      <c r="O22" s="379"/>
      <c r="P22" s="379"/>
    </row>
    <row r="23" s="370" customFormat="1" ht="20.5" customHeight="1" spans="2:16">
      <c r="B23" s="382"/>
      <c r="C23" s="382" t="s">
        <v>1487</v>
      </c>
      <c r="D23" s="382" t="s">
        <v>1487</v>
      </c>
      <c r="E23" s="383" t="s">
        <v>1562</v>
      </c>
      <c r="F23" s="383" t="s">
        <v>1562</v>
      </c>
      <c r="G23" s="382" t="s">
        <v>1487</v>
      </c>
      <c r="H23" s="382" t="s">
        <v>1487</v>
      </c>
      <c r="I23" s="382" t="s">
        <v>1487</v>
      </c>
      <c r="J23" s="383" t="s">
        <v>1562</v>
      </c>
      <c r="K23" s="382" t="s">
        <v>1487</v>
      </c>
      <c r="L23" s="382" t="s">
        <v>11</v>
      </c>
      <c r="M23" s="382" t="s">
        <v>1487</v>
      </c>
      <c r="N23" s="382" t="s">
        <v>1487</v>
      </c>
      <c r="O23" s="382" t="s">
        <v>1279</v>
      </c>
      <c r="P23" s="382" t="s">
        <v>1279</v>
      </c>
    </row>
    <row r="24" ht="20.5" customHeight="1" spans="2:16">
      <c r="B24" s="384" t="s">
        <v>1530</v>
      </c>
      <c r="C24" s="385" t="s">
        <v>1523</v>
      </c>
      <c r="D24" s="385" t="s">
        <v>1523</v>
      </c>
      <c r="E24" s="385" t="s">
        <v>1523</v>
      </c>
      <c r="F24" s="385" t="s">
        <v>1523</v>
      </c>
      <c r="G24" s="385" t="s">
        <v>1523</v>
      </c>
      <c r="H24" s="385" t="s">
        <v>1523</v>
      </c>
      <c r="I24" s="385"/>
      <c r="J24" s="385"/>
      <c r="K24" s="385"/>
      <c r="L24" s="386" t="s">
        <v>1279</v>
      </c>
      <c r="M24" s="386" t="s">
        <v>1279</v>
      </c>
      <c r="N24" s="386" t="s">
        <v>1279</v>
      </c>
      <c r="O24" s="397" t="s">
        <v>1279</v>
      </c>
      <c r="P24" s="382" t="s">
        <v>1279</v>
      </c>
    </row>
    <row r="25" ht="15" customHeight="1" spans="2:16">
      <c r="B25" s="384" t="s">
        <v>1563</v>
      </c>
      <c r="C25" s="387"/>
      <c r="D25" s="387"/>
      <c r="E25" s="387"/>
      <c r="F25" s="387" t="s">
        <v>1564</v>
      </c>
      <c r="G25" s="387" t="s">
        <v>126</v>
      </c>
      <c r="H25" s="387" t="s">
        <v>796</v>
      </c>
      <c r="I25" s="387"/>
      <c r="J25" s="387"/>
      <c r="K25" s="387"/>
      <c r="L25" s="382" t="s">
        <v>11</v>
      </c>
      <c r="M25" s="382" t="s">
        <v>1487</v>
      </c>
      <c r="N25" s="382" t="s">
        <v>1487</v>
      </c>
      <c r="O25" s="397" t="s">
        <v>1279</v>
      </c>
      <c r="P25" s="382" t="s">
        <v>1279</v>
      </c>
    </row>
    <row r="26" ht="15" customHeight="1" spans="2:16">
      <c r="B26" s="384" t="s">
        <v>1565</v>
      </c>
      <c r="C26" s="387"/>
      <c r="D26" s="387"/>
      <c r="E26" s="387"/>
      <c r="F26" s="387" t="s">
        <v>1566</v>
      </c>
      <c r="G26" s="387"/>
      <c r="H26" s="387"/>
      <c r="I26" s="387"/>
      <c r="J26" s="387"/>
      <c r="K26" s="387"/>
      <c r="L26" s="382" t="s">
        <v>11</v>
      </c>
      <c r="M26" s="382" t="s">
        <v>1487</v>
      </c>
      <c r="N26" s="382" t="s">
        <v>1487</v>
      </c>
      <c r="O26" s="397" t="s">
        <v>1279</v>
      </c>
      <c r="P26" s="382" t="s">
        <v>1279</v>
      </c>
    </row>
    <row r="27" ht="15" customHeight="1" spans="2:16">
      <c r="B27" s="384" t="s">
        <v>1567</v>
      </c>
      <c r="C27" s="387"/>
      <c r="D27" s="387"/>
      <c r="E27" s="387"/>
      <c r="F27" s="387"/>
      <c r="G27" s="387"/>
      <c r="H27" s="387"/>
      <c r="I27" s="387"/>
      <c r="J27" s="387"/>
      <c r="K27" s="387"/>
      <c r="L27" s="382" t="s">
        <v>11</v>
      </c>
      <c r="M27" s="382" t="s">
        <v>1487</v>
      </c>
      <c r="N27" s="382" t="s">
        <v>1487</v>
      </c>
      <c r="O27" s="397" t="s">
        <v>1279</v>
      </c>
      <c r="P27" s="382" t="s">
        <v>1279</v>
      </c>
    </row>
    <row r="28" ht="15" customHeight="1" spans="2:16">
      <c r="B28" s="384" t="s">
        <v>1568</v>
      </c>
      <c r="C28" s="387"/>
      <c r="D28" s="387"/>
      <c r="E28" s="387"/>
      <c r="F28" s="387"/>
      <c r="G28" s="387"/>
      <c r="H28" s="387"/>
      <c r="I28" s="387"/>
      <c r="J28" s="387"/>
      <c r="K28" s="387"/>
      <c r="L28" s="382" t="s">
        <v>11</v>
      </c>
      <c r="M28" s="382" t="s">
        <v>1487</v>
      </c>
      <c r="N28" s="382" t="s">
        <v>1487</v>
      </c>
      <c r="O28" s="397" t="s">
        <v>1279</v>
      </c>
      <c r="P28" s="382" t="s">
        <v>1279</v>
      </c>
    </row>
    <row r="29" ht="15" customHeight="1" spans="2:16">
      <c r="B29" s="384" t="s">
        <v>1569</v>
      </c>
      <c r="C29" s="387"/>
      <c r="D29" s="387"/>
      <c r="E29" s="387"/>
      <c r="F29" s="387"/>
      <c r="G29" s="387"/>
      <c r="H29" s="387"/>
      <c r="I29" s="387"/>
      <c r="J29" s="387"/>
      <c r="K29" s="387"/>
      <c r="L29" s="382" t="s">
        <v>11</v>
      </c>
      <c r="M29" s="382" t="s">
        <v>1487</v>
      </c>
      <c r="N29" s="382" t="s">
        <v>1487</v>
      </c>
      <c r="O29" s="397" t="s">
        <v>1279</v>
      </c>
      <c r="P29" s="382" t="s">
        <v>1279</v>
      </c>
    </row>
    <row r="30" ht="15" customHeight="1" spans="2:16">
      <c r="B30" s="384" t="s">
        <v>1570</v>
      </c>
      <c r="C30" s="387"/>
      <c r="D30" s="387"/>
      <c r="E30" s="387"/>
      <c r="F30" s="387"/>
      <c r="G30" s="387"/>
      <c r="H30" s="387"/>
      <c r="I30" s="387"/>
      <c r="J30" s="387"/>
      <c r="K30" s="387"/>
      <c r="L30" s="382" t="s">
        <v>11</v>
      </c>
      <c r="M30" s="382" t="s">
        <v>1487</v>
      </c>
      <c r="N30" s="382" t="s">
        <v>1487</v>
      </c>
      <c r="O30" s="397" t="s">
        <v>1279</v>
      </c>
      <c r="P30" s="382" t="s">
        <v>1279</v>
      </c>
    </row>
    <row r="31" ht="15" customHeight="1" spans="2:16">
      <c r="B31" s="384" t="s">
        <v>1571</v>
      </c>
      <c r="C31" s="387"/>
      <c r="D31" s="387"/>
      <c r="E31" s="387"/>
      <c r="F31" s="387"/>
      <c r="G31" s="387"/>
      <c r="H31" s="387"/>
      <c r="I31" s="387"/>
      <c r="J31" s="387"/>
      <c r="K31" s="387"/>
      <c r="L31" s="382" t="s">
        <v>11</v>
      </c>
      <c r="M31" s="382" t="s">
        <v>1487</v>
      </c>
      <c r="N31" s="382" t="s">
        <v>1487</v>
      </c>
      <c r="O31" s="397" t="s">
        <v>1279</v>
      </c>
      <c r="P31" s="382" t="s">
        <v>1279</v>
      </c>
    </row>
    <row r="32" ht="15" customHeight="1" spans="2:16">
      <c r="B32" s="384" t="s">
        <v>1572</v>
      </c>
      <c r="C32" s="387"/>
      <c r="D32" s="387"/>
      <c r="E32" s="387"/>
      <c r="F32" s="387"/>
      <c r="G32" s="387"/>
      <c r="H32" s="387"/>
      <c r="I32" s="387"/>
      <c r="J32" s="387"/>
      <c r="K32" s="387"/>
      <c r="L32" s="382" t="s">
        <v>11</v>
      </c>
      <c r="M32" s="382" t="s">
        <v>1487</v>
      </c>
      <c r="N32" s="382" t="s">
        <v>1487</v>
      </c>
      <c r="O32" s="397" t="s">
        <v>1279</v>
      </c>
      <c r="P32" s="382" t="s">
        <v>1279</v>
      </c>
    </row>
    <row r="33" ht="15" customHeight="1" spans="2:16">
      <c r="B33" s="384" t="s">
        <v>1573</v>
      </c>
      <c r="C33" s="388"/>
      <c r="D33" s="388"/>
      <c r="E33" s="389"/>
      <c r="F33" s="389"/>
      <c r="G33" s="389"/>
      <c r="H33" s="389"/>
      <c r="I33" s="389"/>
      <c r="J33" s="389"/>
      <c r="K33" s="389"/>
      <c r="L33" s="382" t="s">
        <v>11</v>
      </c>
      <c r="M33" s="382" t="s">
        <v>1487</v>
      </c>
      <c r="N33" s="382" t="s">
        <v>1487</v>
      </c>
      <c r="O33" s="397" t="s">
        <v>1279</v>
      </c>
      <c r="P33" s="382" t="s">
        <v>1279</v>
      </c>
    </row>
    <row r="34" ht="15" customHeight="1" spans="2:16">
      <c r="B34" s="384" t="s">
        <v>1574</v>
      </c>
      <c r="C34" s="388"/>
      <c r="D34" s="388"/>
      <c r="E34" s="389"/>
      <c r="F34" s="389"/>
      <c r="G34" s="389"/>
      <c r="H34" s="389"/>
      <c r="I34" s="389"/>
      <c r="J34" s="389"/>
      <c r="K34" s="389"/>
      <c r="L34" s="382" t="s">
        <v>11</v>
      </c>
      <c r="M34" s="382" t="s">
        <v>1487</v>
      </c>
      <c r="N34" s="382" t="s">
        <v>1487</v>
      </c>
      <c r="O34" s="397" t="s">
        <v>1279</v>
      </c>
      <c r="P34" s="382" t="s">
        <v>1279</v>
      </c>
    </row>
    <row r="35" ht="15" customHeight="1" spans="2:16">
      <c r="B35" s="384" t="s">
        <v>1575</v>
      </c>
      <c r="C35" s="388"/>
      <c r="D35" s="388"/>
      <c r="E35" s="389"/>
      <c r="F35" s="389"/>
      <c r="G35" s="389"/>
      <c r="H35" s="389"/>
      <c r="I35" s="389"/>
      <c r="J35" s="389"/>
      <c r="K35" s="389"/>
      <c r="L35" s="382" t="s">
        <v>11</v>
      </c>
      <c r="M35" s="382" t="s">
        <v>1487</v>
      </c>
      <c r="N35" s="382" t="s">
        <v>1487</v>
      </c>
      <c r="O35" s="397" t="s">
        <v>1279</v>
      </c>
      <c r="P35" s="382" t="s">
        <v>1279</v>
      </c>
    </row>
    <row r="36" ht="15" customHeight="1" spans="2:16">
      <c r="B36" s="384" t="s">
        <v>1576</v>
      </c>
      <c r="C36" s="388"/>
      <c r="D36" s="388"/>
      <c r="E36" s="389"/>
      <c r="F36" s="389"/>
      <c r="G36" s="389"/>
      <c r="H36" s="389"/>
      <c r="I36" s="389"/>
      <c r="J36" s="389"/>
      <c r="K36" s="389"/>
      <c r="L36" s="382" t="s">
        <v>11</v>
      </c>
      <c r="M36" s="382" t="s">
        <v>1487</v>
      </c>
      <c r="N36" s="382" t="s">
        <v>1487</v>
      </c>
      <c r="O36" s="397" t="s">
        <v>1279</v>
      </c>
      <c r="P36" s="382" t="s">
        <v>1279</v>
      </c>
    </row>
    <row r="37" ht="15" customHeight="1" spans="2:16">
      <c r="B37" s="384" t="s">
        <v>1577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2" t="s">
        <v>11</v>
      </c>
      <c r="M37" s="382" t="s">
        <v>1487</v>
      </c>
      <c r="N37" s="382" t="s">
        <v>1487</v>
      </c>
      <c r="O37" s="397" t="s">
        <v>1279</v>
      </c>
      <c r="P37" s="382" t="s">
        <v>1279</v>
      </c>
    </row>
    <row r="38" ht="15" customHeight="1" spans="2:16">
      <c r="B38" s="384" t="s">
        <v>1578</v>
      </c>
      <c r="C38" s="388"/>
      <c r="D38" s="388"/>
      <c r="E38" s="388"/>
      <c r="F38" s="388"/>
      <c r="G38" s="388"/>
      <c r="H38" s="388"/>
      <c r="I38" s="388"/>
      <c r="J38" s="388"/>
      <c r="K38" s="388"/>
      <c r="L38" s="382" t="s">
        <v>11</v>
      </c>
      <c r="M38" s="382" t="s">
        <v>1487</v>
      </c>
      <c r="N38" s="382" t="s">
        <v>1487</v>
      </c>
      <c r="O38" s="397" t="s">
        <v>1279</v>
      </c>
      <c r="P38" s="382" t="s">
        <v>1279</v>
      </c>
    </row>
    <row r="39" ht="15" customHeight="1" spans="2:16">
      <c r="B39" s="384" t="s">
        <v>1579</v>
      </c>
      <c r="C39" s="388"/>
      <c r="D39" s="388"/>
      <c r="E39" s="388"/>
      <c r="F39" s="388"/>
      <c r="G39" s="388"/>
      <c r="H39" s="388"/>
      <c r="I39" s="388"/>
      <c r="J39" s="388"/>
      <c r="K39" s="388"/>
      <c r="L39" s="382" t="s">
        <v>11</v>
      </c>
      <c r="M39" s="382" t="s">
        <v>1487</v>
      </c>
      <c r="N39" s="382" t="s">
        <v>1487</v>
      </c>
      <c r="O39" s="397" t="s">
        <v>1279</v>
      </c>
      <c r="P39" s="382" t="s">
        <v>1279</v>
      </c>
    </row>
    <row r="40" ht="15" customHeight="1" spans="2:16">
      <c r="B40" s="384" t="s">
        <v>1580</v>
      </c>
      <c r="C40" s="388"/>
      <c r="D40" s="388"/>
      <c r="E40" s="388"/>
      <c r="F40" s="388"/>
      <c r="G40" s="388"/>
      <c r="H40" s="388"/>
      <c r="I40" s="388"/>
      <c r="J40" s="388"/>
      <c r="K40" s="388"/>
      <c r="L40" s="382" t="s">
        <v>11</v>
      </c>
      <c r="M40" s="382" t="s">
        <v>1487</v>
      </c>
      <c r="N40" s="382" t="s">
        <v>1487</v>
      </c>
      <c r="O40" s="397" t="s">
        <v>1279</v>
      </c>
      <c r="P40" s="382" t="s">
        <v>1279</v>
      </c>
    </row>
    <row r="41" ht="15" customHeight="1" spans="2:16">
      <c r="B41" s="384" t="s">
        <v>1581</v>
      </c>
      <c r="C41" s="388"/>
      <c r="D41" s="388"/>
      <c r="E41" s="388"/>
      <c r="F41" s="388"/>
      <c r="G41" s="388"/>
      <c r="H41" s="388"/>
      <c r="I41" s="388"/>
      <c r="J41" s="388"/>
      <c r="K41" s="388"/>
      <c r="L41" s="382" t="s">
        <v>11</v>
      </c>
      <c r="M41" s="382" t="s">
        <v>1487</v>
      </c>
      <c r="N41" s="382" t="s">
        <v>1487</v>
      </c>
      <c r="O41" s="397" t="s">
        <v>1279</v>
      </c>
      <c r="P41" s="382" t="s">
        <v>1279</v>
      </c>
    </row>
    <row r="42" ht="15" customHeight="1" spans="2:16">
      <c r="B42" s="384" t="s">
        <v>1582</v>
      </c>
      <c r="C42" s="388"/>
      <c r="D42" s="388"/>
      <c r="E42" s="388"/>
      <c r="F42" s="388"/>
      <c r="G42" s="388"/>
      <c r="H42" s="388"/>
      <c r="I42" s="388"/>
      <c r="J42" s="388"/>
      <c r="K42" s="388"/>
      <c r="L42" s="382" t="s">
        <v>11</v>
      </c>
      <c r="M42" s="382" t="s">
        <v>1487</v>
      </c>
      <c r="N42" s="382" t="s">
        <v>1487</v>
      </c>
      <c r="O42" s="397" t="s">
        <v>1279</v>
      </c>
      <c r="P42" s="382" t="s">
        <v>1279</v>
      </c>
    </row>
    <row r="43" ht="15" customHeight="1" spans="2:16">
      <c r="B43" s="384" t="s">
        <v>1583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2" t="s">
        <v>11</v>
      </c>
      <c r="M43" s="382" t="s">
        <v>1487</v>
      </c>
      <c r="N43" s="382" t="s">
        <v>1487</v>
      </c>
      <c r="O43" s="397" t="s">
        <v>1279</v>
      </c>
      <c r="P43" s="382" t="s">
        <v>1279</v>
      </c>
    </row>
    <row r="44" ht="15" customHeight="1" spans="2:16">
      <c r="B44" s="384" t="s">
        <v>1584</v>
      </c>
      <c r="C44" s="388"/>
      <c r="D44" s="388"/>
      <c r="E44" s="388"/>
      <c r="F44" s="388"/>
      <c r="G44" s="388"/>
      <c r="H44" s="388"/>
      <c r="I44" s="388"/>
      <c r="J44" s="388"/>
      <c r="K44" s="388"/>
      <c r="L44" s="382" t="s">
        <v>11</v>
      </c>
      <c r="M44" s="382" t="s">
        <v>1487</v>
      </c>
      <c r="N44" s="382" t="s">
        <v>1487</v>
      </c>
      <c r="O44" s="397" t="s">
        <v>1279</v>
      </c>
      <c r="P44" s="382" t="s">
        <v>1279</v>
      </c>
    </row>
    <row r="45" ht="15" customHeight="1" spans="2:16">
      <c r="B45" s="384" t="s">
        <v>1585</v>
      </c>
      <c r="C45" s="388"/>
      <c r="D45" s="388"/>
      <c r="E45" s="388"/>
      <c r="F45" s="388"/>
      <c r="G45" s="388"/>
      <c r="H45" s="388"/>
      <c r="I45" s="388"/>
      <c r="J45" s="388"/>
      <c r="K45" s="388"/>
      <c r="L45" s="382" t="s">
        <v>11</v>
      </c>
      <c r="M45" s="382" t="s">
        <v>1487</v>
      </c>
      <c r="N45" s="382" t="s">
        <v>1487</v>
      </c>
      <c r="O45" s="397" t="s">
        <v>1279</v>
      </c>
      <c r="P45" s="382" t="s">
        <v>1279</v>
      </c>
    </row>
    <row r="46" ht="15" customHeight="1" spans="2:16">
      <c r="B46" s="384" t="s">
        <v>1586</v>
      </c>
      <c r="C46" s="390"/>
      <c r="D46" s="390"/>
      <c r="E46" s="390"/>
      <c r="F46" s="390"/>
      <c r="G46" s="390"/>
      <c r="H46" s="390"/>
      <c r="I46" s="390"/>
      <c r="J46" s="390"/>
      <c r="K46" s="390"/>
      <c r="L46" s="382" t="s">
        <v>11</v>
      </c>
      <c r="M46" s="382" t="s">
        <v>1487</v>
      </c>
      <c r="N46" s="382" t="s">
        <v>1487</v>
      </c>
      <c r="O46" s="397" t="s">
        <v>1279</v>
      </c>
      <c r="P46" s="382" t="s">
        <v>1279</v>
      </c>
    </row>
    <row r="47" ht="15" customHeight="1" spans="2:16">
      <c r="B47" s="384" t="s">
        <v>1587</v>
      </c>
      <c r="C47" s="390"/>
      <c r="D47" s="390"/>
      <c r="E47" s="390"/>
      <c r="F47" s="390"/>
      <c r="G47" s="390"/>
      <c r="H47" s="390"/>
      <c r="I47" s="390"/>
      <c r="J47" s="390"/>
      <c r="K47" s="390"/>
      <c r="L47" s="382" t="s">
        <v>11</v>
      </c>
      <c r="M47" s="382" t="s">
        <v>1487</v>
      </c>
      <c r="N47" s="382" t="s">
        <v>1487</v>
      </c>
      <c r="O47" s="397" t="s">
        <v>1279</v>
      </c>
      <c r="P47" s="382" t="s">
        <v>1279</v>
      </c>
    </row>
    <row r="48" ht="15" customHeight="1" spans="2:16">
      <c r="B48" s="384" t="s">
        <v>1588</v>
      </c>
      <c r="C48" s="390"/>
      <c r="D48" s="390"/>
      <c r="E48" s="390"/>
      <c r="F48" s="390"/>
      <c r="G48" s="390"/>
      <c r="H48" s="390"/>
      <c r="I48" s="390"/>
      <c r="J48" s="390"/>
      <c r="K48" s="390"/>
      <c r="L48" s="382" t="s">
        <v>11</v>
      </c>
      <c r="M48" s="382" t="s">
        <v>1487</v>
      </c>
      <c r="N48" s="382" t="s">
        <v>1487</v>
      </c>
      <c r="O48" s="397" t="s">
        <v>1279</v>
      </c>
      <c r="P48" s="382" t="s">
        <v>1279</v>
      </c>
    </row>
    <row r="49" ht="15" customHeight="1" spans="2:16">
      <c r="B49" s="384" t="s">
        <v>1589</v>
      </c>
      <c r="C49" s="390"/>
      <c r="D49" s="390"/>
      <c r="E49" s="390"/>
      <c r="F49" s="390"/>
      <c r="G49" s="390"/>
      <c r="H49" s="390"/>
      <c r="I49" s="390"/>
      <c r="J49" s="390"/>
      <c r="K49" s="390"/>
      <c r="L49" s="382" t="s">
        <v>11</v>
      </c>
      <c r="M49" s="382" t="s">
        <v>1487</v>
      </c>
      <c r="N49" s="382" t="s">
        <v>1487</v>
      </c>
      <c r="O49" s="397" t="s">
        <v>1279</v>
      </c>
      <c r="P49" s="382" t="s">
        <v>1279</v>
      </c>
    </row>
    <row r="50" ht="15" customHeight="1" spans="2:16">
      <c r="B50" s="384" t="s">
        <v>1590</v>
      </c>
      <c r="C50" s="388"/>
      <c r="D50" s="388"/>
      <c r="E50" s="388"/>
      <c r="F50" s="388"/>
      <c r="G50" s="388"/>
      <c r="H50" s="388"/>
      <c r="I50" s="388"/>
      <c r="J50" s="388"/>
      <c r="K50" s="388"/>
      <c r="L50" s="382" t="s">
        <v>11</v>
      </c>
      <c r="M50" s="382" t="s">
        <v>1487</v>
      </c>
      <c r="N50" s="382" t="s">
        <v>1487</v>
      </c>
      <c r="O50" s="397" t="s">
        <v>1279</v>
      </c>
      <c r="P50" s="382" t="s">
        <v>1279</v>
      </c>
    </row>
    <row r="51" ht="15" customHeight="1" spans="2:16">
      <c r="B51" s="384" t="s">
        <v>1591</v>
      </c>
      <c r="C51" s="388"/>
      <c r="D51" s="388"/>
      <c r="E51" s="388"/>
      <c r="F51" s="388"/>
      <c r="G51" s="388"/>
      <c r="H51" s="388"/>
      <c r="I51" s="388"/>
      <c r="J51" s="388"/>
      <c r="K51" s="388"/>
      <c r="L51" s="382" t="s">
        <v>11</v>
      </c>
      <c r="M51" s="382" t="s">
        <v>1487</v>
      </c>
      <c r="N51" s="382" t="s">
        <v>1487</v>
      </c>
      <c r="O51" s="397" t="s">
        <v>1279</v>
      </c>
      <c r="P51" s="382" t="s">
        <v>1279</v>
      </c>
    </row>
    <row r="52" ht="15" customHeight="1" spans="2:16">
      <c r="B52" s="384" t="s">
        <v>1592</v>
      </c>
      <c r="C52" s="388"/>
      <c r="D52" s="388"/>
      <c r="E52" s="388"/>
      <c r="F52" s="388"/>
      <c r="G52" s="388"/>
      <c r="H52" s="388"/>
      <c r="I52" s="388"/>
      <c r="J52" s="388"/>
      <c r="K52" s="388"/>
      <c r="L52" s="382" t="s">
        <v>11</v>
      </c>
      <c r="M52" s="382" t="s">
        <v>1487</v>
      </c>
      <c r="N52" s="382" t="s">
        <v>1487</v>
      </c>
      <c r="O52" s="397" t="s">
        <v>1279</v>
      </c>
      <c r="P52" s="382" t="s">
        <v>1279</v>
      </c>
    </row>
    <row r="53" ht="15" customHeight="1" spans="2:16">
      <c r="B53" s="384" t="s">
        <v>1593</v>
      </c>
      <c r="C53" s="388"/>
      <c r="D53" s="388"/>
      <c r="E53" s="388"/>
      <c r="F53" s="388"/>
      <c r="G53" s="388"/>
      <c r="H53" s="388"/>
      <c r="I53" s="388"/>
      <c r="J53" s="388"/>
      <c r="K53" s="388"/>
      <c r="L53" s="382" t="s">
        <v>11</v>
      </c>
      <c r="M53" s="382" t="s">
        <v>1487</v>
      </c>
      <c r="N53" s="382" t="s">
        <v>1487</v>
      </c>
      <c r="O53" s="397" t="s">
        <v>1279</v>
      </c>
      <c r="P53" s="382" t="s">
        <v>1279</v>
      </c>
    </row>
    <row r="54" ht="15" customHeight="1" spans="2:16">
      <c r="B54" s="384" t="s">
        <v>1594</v>
      </c>
      <c r="C54" s="388"/>
      <c r="D54" s="388"/>
      <c r="E54" s="388"/>
      <c r="F54" s="388"/>
      <c r="G54" s="388"/>
      <c r="H54" s="388"/>
      <c r="I54" s="388"/>
      <c r="J54" s="388"/>
      <c r="K54" s="388"/>
      <c r="L54" s="382" t="s">
        <v>11</v>
      </c>
      <c r="M54" s="382" t="s">
        <v>1487</v>
      </c>
      <c r="N54" s="382" t="s">
        <v>1487</v>
      </c>
      <c r="O54" s="397" t="s">
        <v>1279</v>
      </c>
      <c r="P54" s="382" t="s">
        <v>1279</v>
      </c>
    </row>
    <row r="55" ht="15" customHeight="1" spans="2:16">
      <c r="B55" s="384" t="s">
        <v>1595</v>
      </c>
      <c r="C55" s="388"/>
      <c r="D55" s="388"/>
      <c r="E55" s="388"/>
      <c r="F55" s="388"/>
      <c r="G55" s="388"/>
      <c r="H55" s="388"/>
      <c r="I55" s="388"/>
      <c r="J55" s="388"/>
      <c r="K55" s="388"/>
      <c r="L55" s="382" t="s">
        <v>11</v>
      </c>
      <c r="M55" s="382" t="s">
        <v>1487</v>
      </c>
      <c r="N55" s="382" t="s">
        <v>1487</v>
      </c>
      <c r="O55" s="397" t="s">
        <v>1279</v>
      </c>
      <c r="P55" s="382" t="s">
        <v>1279</v>
      </c>
    </row>
    <row r="56" ht="15" customHeight="1" spans="2:16">
      <c r="B56" s="384" t="s">
        <v>1596</v>
      </c>
      <c r="C56" s="388"/>
      <c r="D56" s="388"/>
      <c r="E56" s="388"/>
      <c r="F56" s="388"/>
      <c r="G56" s="388"/>
      <c r="H56" s="388"/>
      <c r="I56" s="388"/>
      <c r="J56" s="388"/>
      <c r="K56" s="388"/>
      <c r="L56" s="382" t="s">
        <v>11</v>
      </c>
      <c r="M56" s="382" t="s">
        <v>1487</v>
      </c>
      <c r="N56" s="382" t="s">
        <v>1487</v>
      </c>
      <c r="O56" s="397" t="s">
        <v>1279</v>
      </c>
      <c r="P56" s="382" t="s">
        <v>1279</v>
      </c>
    </row>
    <row r="57" ht="15" customHeight="1" spans="2:16">
      <c r="B57" s="384" t="s">
        <v>1597</v>
      </c>
      <c r="C57" s="388"/>
      <c r="D57" s="388"/>
      <c r="E57" s="388"/>
      <c r="F57" s="388"/>
      <c r="G57" s="388"/>
      <c r="H57" s="388"/>
      <c r="I57" s="388"/>
      <c r="J57" s="388"/>
      <c r="K57" s="388"/>
      <c r="L57" s="382" t="s">
        <v>11</v>
      </c>
      <c r="M57" s="382" t="s">
        <v>1487</v>
      </c>
      <c r="N57" s="382" t="s">
        <v>1487</v>
      </c>
      <c r="O57" s="397" t="s">
        <v>1279</v>
      </c>
      <c r="P57" s="382" t="s">
        <v>1279</v>
      </c>
    </row>
    <row r="58" ht="15" customHeight="1" spans="2:16">
      <c r="B58" s="384" t="s">
        <v>1598</v>
      </c>
      <c r="C58" s="388"/>
      <c r="D58" s="388"/>
      <c r="E58" s="388"/>
      <c r="F58" s="388"/>
      <c r="G58" s="388"/>
      <c r="H58" s="388"/>
      <c r="I58" s="388"/>
      <c r="J58" s="388"/>
      <c r="K58" s="388"/>
      <c r="L58" s="382" t="s">
        <v>11</v>
      </c>
      <c r="M58" s="382" t="s">
        <v>1487</v>
      </c>
      <c r="N58" s="382" t="s">
        <v>1487</v>
      </c>
      <c r="O58" s="397" t="s">
        <v>1279</v>
      </c>
      <c r="P58" s="382" t="s">
        <v>1279</v>
      </c>
    </row>
    <row r="59" ht="15" customHeight="1" spans="2:16">
      <c r="B59" s="384" t="s">
        <v>1599</v>
      </c>
      <c r="C59" s="388"/>
      <c r="D59" s="388"/>
      <c r="E59" s="388"/>
      <c r="F59" s="388"/>
      <c r="G59" s="388"/>
      <c r="H59" s="388"/>
      <c r="I59" s="388"/>
      <c r="J59" s="388"/>
      <c r="K59" s="388"/>
      <c r="L59" s="382" t="s">
        <v>11</v>
      </c>
      <c r="M59" s="382" t="s">
        <v>1487</v>
      </c>
      <c r="N59" s="382" t="s">
        <v>1487</v>
      </c>
      <c r="O59" s="397" t="s">
        <v>1279</v>
      </c>
      <c r="P59" s="382" t="s">
        <v>1279</v>
      </c>
    </row>
    <row r="60" ht="15" customHeight="1" spans="2:16">
      <c r="B60" s="384" t="s">
        <v>1600</v>
      </c>
      <c r="C60" s="388"/>
      <c r="D60" s="388"/>
      <c r="E60" s="388"/>
      <c r="F60" s="388"/>
      <c r="G60" s="388"/>
      <c r="H60" s="388"/>
      <c r="I60" s="388"/>
      <c r="J60" s="388"/>
      <c r="K60" s="388"/>
      <c r="L60" s="382" t="s">
        <v>11</v>
      </c>
      <c r="M60" s="382" t="s">
        <v>1487</v>
      </c>
      <c r="N60" s="382" t="s">
        <v>1487</v>
      </c>
      <c r="O60" s="397" t="s">
        <v>1279</v>
      </c>
      <c r="P60" s="382" t="s">
        <v>1279</v>
      </c>
    </row>
    <row r="61" ht="15" customHeight="1" spans="2:16">
      <c r="B61" s="384" t="s">
        <v>1601</v>
      </c>
      <c r="C61" s="388"/>
      <c r="D61" s="388"/>
      <c r="E61" s="388"/>
      <c r="F61" s="388"/>
      <c r="G61" s="388"/>
      <c r="H61" s="388"/>
      <c r="I61" s="388"/>
      <c r="J61" s="388"/>
      <c r="K61" s="388"/>
      <c r="L61" s="382" t="s">
        <v>11</v>
      </c>
      <c r="M61" s="382" t="s">
        <v>1487</v>
      </c>
      <c r="N61" s="382" t="s">
        <v>1487</v>
      </c>
      <c r="O61" s="397" t="s">
        <v>1279</v>
      </c>
      <c r="P61" s="382" t="s">
        <v>1279</v>
      </c>
    </row>
    <row r="62" ht="15" customHeight="1" spans="2:16">
      <c r="B62" s="384" t="s">
        <v>1602</v>
      </c>
      <c r="C62" s="388"/>
      <c r="D62" s="388"/>
      <c r="E62" s="388"/>
      <c r="F62" s="388"/>
      <c r="G62" s="388"/>
      <c r="H62" s="388"/>
      <c r="I62" s="388"/>
      <c r="J62" s="388"/>
      <c r="K62" s="388"/>
      <c r="L62" s="382" t="s">
        <v>11</v>
      </c>
      <c r="M62" s="382" t="s">
        <v>1487</v>
      </c>
      <c r="N62" s="382" t="s">
        <v>1487</v>
      </c>
      <c r="O62" s="397" t="s">
        <v>1279</v>
      </c>
      <c r="P62" s="382" t="s">
        <v>1279</v>
      </c>
    </row>
    <row r="63" ht="15" customHeight="1" spans="2:16">
      <c r="B63" s="384" t="s">
        <v>1603</v>
      </c>
      <c r="C63" s="388"/>
      <c r="D63" s="388"/>
      <c r="E63" s="388"/>
      <c r="F63" s="388"/>
      <c r="G63" s="388"/>
      <c r="H63" s="388"/>
      <c r="I63" s="388"/>
      <c r="J63" s="388"/>
      <c r="K63" s="388"/>
      <c r="L63" s="382" t="s">
        <v>11</v>
      </c>
      <c r="M63" s="382" t="s">
        <v>1487</v>
      </c>
      <c r="N63" s="382" t="s">
        <v>1487</v>
      </c>
      <c r="O63" s="397" t="s">
        <v>1279</v>
      </c>
      <c r="P63" s="382" t="s">
        <v>1279</v>
      </c>
    </row>
    <row r="64" ht="15" customHeight="1" spans="2:16">
      <c r="B64" s="384" t="s">
        <v>1604</v>
      </c>
      <c r="C64" s="388"/>
      <c r="D64" s="388"/>
      <c r="E64" s="388"/>
      <c r="F64" s="388"/>
      <c r="G64" s="388"/>
      <c r="H64" s="388"/>
      <c r="I64" s="388"/>
      <c r="J64" s="388"/>
      <c r="K64" s="388"/>
      <c r="L64" s="382" t="s">
        <v>11</v>
      </c>
      <c r="M64" s="382" t="s">
        <v>1487</v>
      </c>
      <c r="N64" s="382" t="s">
        <v>1487</v>
      </c>
      <c r="O64" s="397" t="s">
        <v>1279</v>
      </c>
      <c r="P64" s="382" t="s">
        <v>1279</v>
      </c>
    </row>
    <row r="65" ht="15" customHeight="1" spans="2:16">
      <c r="B65" s="384" t="s">
        <v>1605</v>
      </c>
      <c r="C65" s="388"/>
      <c r="D65" s="388"/>
      <c r="E65" s="388"/>
      <c r="F65" s="388"/>
      <c r="G65" s="388"/>
      <c r="H65" s="388"/>
      <c r="I65" s="388"/>
      <c r="J65" s="388"/>
      <c r="K65" s="388"/>
      <c r="L65" s="382" t="s">
        <v>11</v>
      </c>
      <c r="M65" s="382" t="s">
        <v>1487</v>
      </c>
      <c r="N65" s="382" t="s">
        <v>1487</v>
      </c>
      <c r="O65" s="397" t="s">
        <v>1279</v>
      </c>
      <c r="P65" s="382" t="s">
        <v>1279</v>
      </c>
    </row>
    <row r="66" ht="15" customHeight="1" spans="2:16">
      <c r="B66" s="384" t="s">
        <v>1606</v>
      </c>
      <c r="C66" s="388"/>
      <c r="D66" s="388"/>
      <c r="E66" s="390"/>
      <c r="F66" s="390"/>
      <c r="G66" s="390"/>
      <c r="H66" s="390"/>
      <c r="I66" s="390"/>
      <c r="J66" s="390"/>
      <c r="K66" s="390"/>
      <c r="L66" s="382" t="s">
        <v>11</v>
      </c>
      <c r="M66" s="382" t="s">
        <v>1487</v>
      </c>
      <c r="N66" s="382" t="s">
        <v>1487</v>
      </c>
      <c r="O66" s="397" t="s">
        <v>1279</v>
      </c>
      <c r="P66" s="382" t="s">
        <v>1279</v>
      </c>
    </row>
    <row r="67" ht="15" customHeight="1" spans="2:16">
      <c r="B67" s="384" t="s">
        <v>1607</v>
      </c>
      <c r="C67" s="388"/>
      <c r="D67" s="388"/>
      <c r="E67" s="388"/>
      <c r="F67" s="388"/>
      <c r="G67" s="388"/>
      <c r="H67" s="388"/>
      <c r="I67" s="388"/>
      <c r="J67" s="388"/>
      <c r="K67" s="388"/>
      <c r="L67" s="382" t="s">
        <v>11</v>
      </c>
      <c r="M67" s="382" t="s">
        <v>1487</v>
      </c>
      <c r="N67" s="382" t="s">
        <v>1487</v>
      </c>
      <c r="O67" s="397" t="s">
        <v>1279</v>
      </c>
      <c r="P67" s="382" t="s">
        <v>1279</v>
      </c>
    </row>
    <row r="68" ht="15" customHeight="1" spans="2:16">
      <c r="B68" s="384" t="s">
        <v>1608</v>
      </c>
      <c r="C68" s="388"/>
      <c r="D68" s="388"/>
      <c r="E68" s="388"/>
      <c r="F68" s="388"/>
      <c r="G68" s="388"/>
      <c r="H68" s="388"/>
      <c r="I68" s="388"/>
      <c r="J68" s="388"/>
      <c r="K68" s="388"/>
      <c r="L68" s="382" t="s">
        <v>11</v>
      </c>
      <c r="M68" s="382" t="s">
        <v>1487</v>
      </c>
      <c r="N68" s="382" t="s">
        <v>1487</v>
      </c>
      <c r="O68" s="397" t="s">
        <v>1279</v>
      </c>
      <c r="P68" s="382" t="s">
        <v>1279</v>
      </c>
    </row>
    <row r="69" ht="15" customHeight="1" spans="2:16">
      <c r="B69" s="384" t="s">
        <v>1609</v>
      </c>
      <c r="C69" s="388"/>
      <c r="D69" s="388"/>
      <c r="E69" s="388"/>
      <c r="F69" s="388"/>
      <c r="G69" s="388"/>
      <c r="H69" s="388"/>
      <c r="I69" s="388"/>
      <c r="J69" s="388"/>
      <c r="K69" s="388"/>
      <c r="L69" s="382" t="s">
        <v>11</v>
      </c>
      <c r="M69" s="382" t="s">
        <v>1487</v>
      </c>
      <c r="N69" s="382" t="s">
        <v>1487</v>
      </c>
      <c r="O69" s="397" t="s">
        <v>1279</v>
      </c>
      <c r="P69" s="382" t="s">
        <v>1279</v>
      </c>
    </row>
    <row r="70" ht="15" customHeight="1" spans="2:16">
      <c r="B70" s="384" t="s">
        <v>1610</v>
      </c>
      <c r="C70" s="388"/>
      <c r="D70" s="388"/>
      <c r="E70" s="388"/>
      <c r="F70" s="388"/>
      <c r="G70" s="388"/>
      <c r="H70" s="388"/>
      <c r="I70" s="388"/>
      <c r="J70" s="388"/>
      <c r="K70" s="388"/>
      <c r="L70" s="382" t="s">
        <v>11</v>
      </c>
      <c r="M70" s="382" t="s">
        <v>1487</v>
      </c>
      <c r="N70" s="382" t="s">
        <v>1487</v>
      </c>
      <c r="O70" s="397" t="s">
        <v>1279</v>
      </c>
      <c r="P70" s="382" t="s">
        <v>1279</v>
      </c>
    </row>
    <row r="71" ht="15" customHeight="1" spans="2:16">
      <c r="B71" s="384" t="s">
        <v>1611</v>
      </c>
      <c r="C71" s="389"/>
      <c r="D71" s="389"/>
      <c r="E71" s="389"/>
      <c r="F71" s="389"/>
      <c r="G71" s="389"/>
      <c r="H71" s="389"/>
      <c r="I71" s="389"/>
      <c r="J71" s="389"/>
      <c r="K71" s="389"/>
      <c r="L71" s="382" t="s">
        <v>11</v>
      </c>
      <c r="M71" s="382" t="s">
        <v>1487</v>
      </c>
      <c r="N71" s="382" t="s">
        <v>1487</v>
      </c>
      <c r="O71" s="397" t="s">
        <v>1279</v>
      </c>
      <c r="P71" s="382" t="s">
        <v>1279</v>
      </c>
    </row>
    <row r="72" ht="15" customHeight="1" spans="2:16">
      <c r="B72" s="384" t="s">
        <v>1612</v>
      </c>
      <c r="C72" s="389"/>
      <c r="D72" s="389"/>
      <c r="E72" s="389"/>
      <c r="F72" s="389"/>
      <c r="G72" s="389"/>
      <c r="H72" s="389"/>
      <c r="I72" s="389"/>
      <c r="J72" s="389"/>
      <c r="K72" s="389"/>
      <c r="L72" s="382" t="s">
        <v>11</v>
      </c>
      <c r="M72" s="382" t="s">
        <v>1487</v>
      </c>
      <c r="N72" s="382" t="s">
        <v>1487</v>
      </c>
      <c r="O72" s="397" t="s">
        <v>1279</v>
      </c>
      <c r="P72" s="382" t="s">
        <v>1279</v>
      </c>
    </row>
    <row r="73" ht="15" customHeight="1" spans="2:16">
      <c r="B73" s="384" t="s">
        <v>1613</v>
      </c>
      <c r="C73" s="389"/>
      <c r="D73" s="389"/>
      <c r="E73" s="389"/>
      <c r="F73" s="389"/>
      <c r="G73" s="389"/>
      <c r="H73" s="389"/>
      <c r="I73" s="389"/>
      <c r="J73" s="389"/>
      <c r="K73" s="389"/>
      <c r="L73" s="382" t="s">
        <v>11</v>
      </c>
      <c r="M73" s="382" t="s">
        <v>1487</v>
      </c>
      <c r="N73" s="382" t="s">
        <v>1487</v>
      </c>
      <c r="O73" s="397" t="s">
        <v>1279</v>
      </c>
      <c r="P73" s="382" t="s">
        <v>1279</v>
      </c>
    </row>
    <row r="74" ht="15" customHeight="1" spans="2:16">
      <c r="B74" s="384" t="s">
        <v>1614</v>
      </c>
      <c r="C74" s="389"/>
      <c r="D74" s="389"/>
      <c r="E74" s="389"/>
      <c r="F74" s="389"/>
      <c r="G74" s="389"/>
      <c r="H74" s="389"/>
      <c r="I74" s="389"/>
      <c r="J74" s="389"/>
      <c r="K74" s="389"/>
      <c r="L74" s="382" t="s">
        <v>11</v>
      </c>
      <c r="M74" s="382" t="s">
        <v>1487</v>
      </c>
      <c r="N74" s="382" t="s">
        <v>1487</v>
      </c>
      <c r="O74" s="397" t="s">
        <v>1279</v>
      </c>
      <c r="P74" s="382" t="s">
        <v>1279</v>
      </c>
    </row>
    <row r="75" ht="15" customHeight="1" spans="2:16">
      <c r="B75" s="384" t="s">
        <v>1615</v>
      </c>
      <c r="C75" s="389"/>
      <c r="D75" s="389"/>
      <c r="E75" s="389"/>
      <c r="F75" s="389"/>
      <c r="G75" s="389"/>
      <c r="H75" s="389"/>
      <c r="I75" s="389"/>
      <c r="J75" s="389"/>
      <c r="K75" s="389"/>
      <c r="L75" s="382" t="s">
        <v>11</v>
      </c>
      <c r="M75" s="382" t="s">
        <v>1487</v>
      </c>
      <c r="N75" s="382" t="s">
        <v>1487</v>
      </c>
      <c r="O75" s="397" t="s">
        <v>1279</v>
      </c>
      <c r="P75" s="382" t="s">
        <v>1279</v>
      </c>
    </row>
    <row r="76" ht="15" customHeight="1" spans="2:16">
      <c r="B76" s="384" t="s">
        <v>1616</v>
      </c>
      <c r="C76" s="389"/>
      <c r="D76" s="389"/>
      <c r="E76" s="389"/>
      <c r="F76" s="389"/>
      <c r="G76" s="389"/>
      <c r="H76" s="389"/>
      <c r="I76" s="389"/>
      <c r="J76" s="389"/>
      <c r="K76" s="389"/>
      <c r="L76" s="382" t="s">
        <v>11</v>
      </c>
      <c r="M76" s="382" t="s">
        <v>1487</v>
      </c>
      <c r="N76" s="382" t="s">
        <v>1487</v>
      </c>
      <c r="O76" s="397" t="s">
        <v>1279</v>
      </c>
      <c r="P76" s="382" t="s">
        <v>1279</v>
      </c>
    </row>
    <row r="77" ht="15" customHeight="1" spans="2:16">
      <c r="B77" s="384" t="s">
        <v>1617</v>
      </c>
      <c r="C77" s="389"/>
      <c r="D77" s="389"/>
      <c r="E77" s="389"/>
      <c r="F77" s="389"/>
      <c r="G77" s="389"/>
      <c r="H77" s="389"/>
      <c r="I77" s="389"/>
      <c r="J77" s="389"/>
      <c r="K77" s="389"/>
      <c r="L77" s="382" t="s">
        <v>11</v>
      </c>
      <c r="M77" s="382" t="s">
        <v>1487</v>
      </c>
      <c r="N77" s="382" t="s">
        <v>1487</v>
      </c>
      <c r="O77" s="397" t="s">
        <v>1279</v>
      </c>
      <c r="P77" s="382" t="s">
        <v>1279</v>
      </c>
    </row>
    <row r="78" ht="15" customHeight="1" spans="2:16">
      <c r="B78" s="384" t="s">
        <v>1618</v>
      </c>
      <c r="C78" s="389"/>
      <c r="D78" s="389"/>
      <c r="E78" s="389"/>
      <c r="F78" s="389"/>
      <c r="G78" s="389"/>
      <c r="H78" s="389"/>
      <c r="I78" s="389"/>
      <c r="J78" s="389"/>
      <c r="K78" s="389"/>
      <c r="L78" s="382" t="s">
        <v>11</v>
      </c>
      <c r="M78" s="382" t="s">
        <v>1487</v>
      </c>
      <c r="N78" s="382" t="s">
        <v>1487</v>
      </c>
      <c r="O78" s="397" t="s">
        <v>1279</v>
      </c>
      <c r="P78" s="382" t="s">
        <v>1279</v>
      </c>
    </row>
    <row r="79" ht="15" customHeight="1" spans="2:16">
      <c r="B79" s="384" t="s">
        <v>1619</v>
      </c>
      <c r="C79" s="389"/>
      <c r="D79" s="389"/>
      <c r="E79" s="389"/>
      <c r="F79" s="389"/>
      <c r="G79" s="389"/>
      <c r="H79" s="389"/>
      <c r="I79" s="389"/>
      <c r="J79" s="389"/>
      <c r="K79" s="389"/>
      <c r="L79" s="382" t="s">
        <v>11</v>
      </c>
      <c r="M79" s="382" t="s">
        <v>1487</v>
      </c>
      <c r="N79" s="382" t="s">
        <v>1487</v>
      </c>
      <c r="O79" s="397" t="s">
        <v>1279</v>
      </c>
      <c r="P79" s="382" t="s">
        <v>1279</v>
      </c>
    </row>
    <row r="80" ht="15" customHeight="1" spans="2:16">
      <c r="B80" s="384" t="s">
        <v>1620</v>
      </c>
      <c r="C80" s="389"/>
      <c r="D80" s="389"/>
      <c r="E80" s="389"/>
      <c r="F80" s="389"/>
      <c r="G80" s="389"/>
      <c r="H80" s="389"/>
      <c r="I80" s="389"/>
      <c r="J80" s="389"/>
      <c r="K80" s="389"/>
      <c r="L80" s="382" t="s">
        <v>11</v>
      </c>
      <c r="M80" s="382" t="s">
        <v>1487</v>
      </c>
      <c r="N80" s="382" t="s">
        <v>1487</v>
      </c>
      <c r="O80" s="397" t="s">
        <v>1279</v>
      </c>
      <c r="P80" s="382" t="s">
        <v>1279</v>
      </c>
    </row>
    <row r="81" ht="15" customHeight="1" spans="2:16">
      <c r="B81" s="384" t="s">
        <v>1621</v>
      </c>
      <c r="C81" s="389"/>
      <c r="D81" s="389"/>
      <c r="E81" s="389"/>
      <c r="F81" s="389"/>
      <c r="G81" s="389"/>
      <c r="H81" s="389"/>
      <c r="I81" s="389"/>
      <c r="J81" s="389"/>
      <c r="K81" s="389"/>
      <c r="L81" s="382" t="s">
        <v>11</v>
      </c>
      <c r="M81" s="382" t="s">
        <v>1487</v>
      </c>
      <c r="N81" s="382" t="s">
        <v>1487</v>
      </c>
      <c r="O81" s="397" t="s">
        <v>1279</v>
      </c>
      <c r="P81" s="382" t="s">
        <v>1279</v>
      </c>
    </row>
    <row r="82" ht="15" customHeight="1" spans="2:16">
      <c r="B82" s="384" t="s">
        <v>1622</v>
      </c>
      <c r="C82" s="389"/>
      <c r="D82" s="389"/>
      <c r="E82" s="389"/>
      <c r="F82" s="389"/>
      <c r="G82" s="389"/>
      <c r="H82" s="389"/>
      <c r="I82" s="389"/>
      <c r="J82" s="389"/>
      <c r="K82" s="389"/>
      <c r="L82" s="382" t="s">
        <v>11</v>
      </c>
      <c r="M82" s="382" t="s">
        <v>1487</v>
      </c>
      <c r="N82" s="382" t="s">
        <v>1487</v>
      </c>
      <c r="O82" s="397" t="s">
        <v>1279</v>
      </c>
      <c r="P82" s="382" t="s">
        <v>1279</v>
      </c>
    </row>
    <row r="83" ht="15" customHeight="1" spans="2:16">
      <c r="B83" s="384" t="s">
        <v>1623</v>
      </c>
      <c r="C83" s="389"/>
      <c r="D83" s="389"/>
      <c r="E83" s="389"/>
      <c r="F83" s="389"/>
      <c r="G83" s="389"/>
      <c r="H83" s="389"/>
      <c r="I83" s="389"/>
      <c r="J83" s="389"/>
      <c r="K83" s="389"/>
      <c r="L83" s="382" t="s">
        <v>11</v>
      </c>
      <c r="M83" s="382" t="s">
        <v>1487</v>
      </c>
      <c r="N83" s="382" t="s">
        <v>1487</v>
      </c>
      <c r="O83" s="397" t="s">
        <v>1279</v>
      </c>
      <c r="P83" s="382" t="s">
        <v>1279</v>
      </c>
    </row>
    <row r="84" ht="15" customHeight="1" spans="2:16">
      <c r="B84" s="384" t="s">
        <v>1624</v>
      </c>
      <c r="C84" s="389"/>
      <c r="D84" s="389"/>
      <c r="E84" s="389"/>
      <c r="F84" s="389"/>
      <c r="G84" s="389"/>
      <c r="H84" s="389"/>
      <c r="I84" s="389"/>
      <c r="J84" s="389"/>
      <c r="K84" s="389"/>
      <c r="L84" s="382" t="s">
        <v>11</v>
      </c>
      <c r="M84" s="382" t="s">
        <v>1487</v>
      </c>
      <c r="N84" s="382" t="s">
        <v>1487</v>
      </c>
      <c r="O84" s="397" t="s">
        <v>1279</v>
      </c>
      <c r="P84" s="382" t="s">
        <v>1279</v>
      </c>
    </row>
    <row r="85" ht="15" customHeight="1" spans="2:16">
      <c r="B85" s="384" t="s">
        <v>1625</v>
      </c>
      <c r="C85" s="388"/>
      <c r="D85" s="388"/>
      <c r="E85" s="388"/>
      <c r="F85" s="388"/>
      <c r="G85" s="388"/>
      <c r="H85" s="388"/>
      <c r="I85" s="388"/>
      <c r="J85" s="388"/>
      <c r="K85" s="388"/>
      <c r="L85" s="382" t="s">
        <v>11</v>
      </c>
      <c r="M85" s="382" t="s">
        <v>1487</v>
      </c>
      <c r="N85" s="382" t="s">
        <v>1487</v>
      </c>
      <c r="O85" s="397" t="s">
        <v>1279</v>
      </c>
      <c r="P85" s="382" t="s">
        <v>1279</v>
      </c>
    </row>
    <row r="86" ht="15" customHeight="1" spans="2:16">
      <c r="B86" s="384" t="s">
        <v>1626</v>
      </c>
      <c r="C86" s="388"/>
      <c r="D86" s="388"/>
      <c r="E86" s="388"/>
      <c r="F86" s="388"/>
      <c r="G86" s="388"/>
      <c r="H86" s="388"/>
      <c r="I86" s="388"/>
      <c r="J86" s="388"/>
      <c r="K86" s="388"/>
      <c r="L86" s="382" t="s">
        <v>11</v>
      </c>
      <c r="M86" s="382" t="s">
        <v>1487</v>
      </c>
      <c r="N86" s="382" t="s">
        <v>1487</v>
      </c>
      <c r="O86" s="397" t="s">
        <v>1279</v>
      </c>
      <c r="P86" s="382" t="s">
        <v>1279</v>
      </c>
    </row>
    <row r="87" ht="15" customHeight="1" spans="2:16">
      <c r="B87" s="384" t="s">
        <v>1627</v>
      </c>
      <c r="C87" s="388"/>
      <c r="D87" s="388"/>
      <c r="E87" s="388"/>
      <c r="F87" s="388"/>
      <c r="G87" s="388"/>
      <c r="H87" s="388"/>
      <c r="I87" s="388"/>
      <c r="J87" s="388"/>
      <c r="K87" s="388"/>
      <c r="L87" s="382" t="s">
        <v>11</v>
      </c>
      <c r="M87" s="382" t="s">
        <v>1487</v>
      </c>
      <c r="N87" s="382" t="s">
        <v>1487</v>
      </c>
      <c r="O87" s="397" t="s">
        <v>1279</v>
      </c>
      <c r="P87" s="382" t="s">
        <v>1279</v>
      </c>
    </row>
    <row r="88" ht="15" customHeight="1" spans="2:16">
      <c r="B88" s="384" t="s">
        <v>1628</v>
      </c>
      <c r="C88" s="388"/>
      <c r="D88" s="388"/>
      <c r="E88" s="388"/>
      <c r="F88" s="388"/>
      <c r="G88" s="388"/>
      <c r="H88" s="388"/>
      <c r="I88" s="388"/>
      <c r="J88" s="388"/>
      <c r="K88" s="388"/>
      <c r="L88" s="382" t="s">
        <v>11</v>
      </c>
      <c r="M88" s="382" t="s">
        <v>1487</v>
      </c>
      <c r="N88" s="382" t="s">
        <v>1487</v>
      </c>
      <c r="O88" s="397" t="s">
        <v>1279</v>
      </c>
      <c r="P88" s="382" t="s">
        <v>1279</v>
      </c>
    </row>
    <row r="89" ht="15" customHeight="1" spans="2:16">
      <c r="B89" s="384" t="s">
        <v>1629</v>
      </c>
      <c r="C89" s="388"/>
      <c r="D89" s="388"/>
      <c r="E89" s="388"/>
      <c r="F89" s="388"/>
      <c r="G89" s="388"/>
      <c r="H89" s="388"/>
      <c r="I89" s="388"/>
      <c r="J89" s="388"/>
      <c r="K89" s="388"/>
      <c r="L89" s="382" t="s">
        <v>11</v>
      </c>
      <c r="M89" s="382" t="s">
        <v>1487</v>
      </c>
      <c r="N89" s="382" t="s">
        <v>1487</v>
      </c>
      <c r="O89" s="397" t="s">
        <v>1279</v>
      </c>
      <c r="P89" s="382" t="s">
        <v>1279</v>
      </c>
    </row>
    <row r="90" ht="15" customHeight="1" spans="2:16">
      <c r="B90" s="384" t="s">
        <v>1630</v>
      </c>
      <c r="C90" s="388" t="s">
        <v>1631</v>
      </c>
      <c r="D90" s="388"/>
      <c r="E90" s="388" t="s">
        <v>1631</v>
      </c>
      <c r="F90" s="388"/>
      <c r="G90" s="388"/>
      <c r="H90" s="388"/>
      <c r="I90" s="388"/>
      <c r="J90" s="388"/>
      <c r="K90" s="388"/>
      <c r="L90" s="382" t="s">
        <v>11</v>
      </c>
      <c r="M90" s="382" t="s">
        <v>1487</v>
      </c>
      <c r="N90" s="382" t="s">
        <v>1487</v>
      </c>
      <c r="O90" s="397" t="s">
        <v>1279</v>
      </c>
      <c r="P90" s="382" t="s">
        <v>1279</v>
      </c>
    </row>
    <row r="91" ht="15" customHeight="1" spans="2:16">
      <c r="B91" s="384" t="s">
        <v>1632</v>
      </c>
      <c r="C91" s="388" t="s">
        <v>1631</v>
      </c>
      <c r="D91" s="388"/>
      <c r="E91" s="388" t="s">
        <v>1631</v>
      </c>
      <c r="F91" s="388"/>
      <c r="G91" s="388"/>
      <c r="H91" s="388"/>
      <c r="I91" s="388"/>
      <c r="J91" s="388"/>
      <c r="K91" s="388"/>
      <c r="L91" s="382" t="s">
        <v>11</v>
      </c>
      <c r="M91" s="382" t="s">
        <v>1487</v>
      </c>
      <c r="N91" s="382" t="s">
        <v>1487</v>
      </c>
      <c r="O91" s="397" t="s">
        <v>1279</v>
      </c>
      <c r="P91" s="382" t="s">
        <v>1279</v>
      </c>
    </row>
    <row r="92" ht="15" customHeight="1" spans="2:16">
      <c r="B92" s="384" t="s">
        <v>1633</v>
      </c>
      <c r="C92" s="388" t="s">
        <v>1631</v>
      </c>
      <c r="D92" s="388"/>
      <c r="E92" s="388" t="s">
        <v>1631</v>
      </c>
      <c r="F92" s="388"/>
      <c r="G92" s="388"/>
      <c r="H92" s="388"/>
      <c r="I92" s="388"/>
      <c r="J92" s="388"/>
      <c r="K92" s="388"/>
      <c r="L92" s="382" t="s">
        <v>11</v>
      </c>
      <c r="M92" s="382" t="s">
        <v>1487</v>
      </c>
      <c r="N92" s="382" t="s">
        <v>1487</v>
      </c>
      <c r="O92" s="397" t="s">
        <v>1279</v>
      </c>
      <c r="P92" s="382" t="s">
        <v>1279</v>
      </c>
    </row>
    <row r="93" ht="15" customHeight="1" spans="2:16">
      <c r="B93" s="384" t="s">
        <v>1634</v>
      </c>
      <c r="C93" s="388" t="s">
        <v>1631</v>
      </c>
      <c r="D93" s="388"/>
      <c r="E93" s="388" t="s">
        <v>1631</v>
      </c>
      <c r="F93" s="388"/>
      <c r="G93" s="388"/>
      <c r="H93" s="388"/>
      <c r="I93" s="388"/>
      <c r="J93" s="388"/>
      <c r="K93" s="388"/>
      <c r="L93" s="382" t="s">
        <v>11</v>
      </c>
      <c r="M93" s="382" t="s">
        <v>1487</v>
      </c>
      <c r="N93" s="382" t="s">
        <v>1487</v>
      </c>
      <c r="O93" s="397" t="s">
        <v>1279</v>
      </c>
      <c r="P93" s="382" t="s">
        <v>1279</v>
      </c>
    </row>
    <row r="94" ht="15" customHeight="1" spans="2:16">
      <c r="B94" s="384" t="s">
        <v>1635</v>
      </c>
      <c r="C94" s="388" t="s">
        <v>1631</v>
      </c>
      <c r="D94" s="388"/>
      <c r="E94" s="388" t="s">
        <v>1631</v>
      </c>
      <c r="F94" s="388"/>
      <c r="G94" s="388"/>
      <c r="H94" s="388"/>
      <c r="I94" s="388"/>
      <c r="J94" s="388"/>
      <c r="K94" s="388"/>
      <c r="L94" s="382" t="s">
        <v>11</v>
      </c>
      <c r="M94" s="382" t="s">
        <v>1487</v>
      </c>
      <c r="N94" s="382" t="s">
        <v>1487</v>
      </c>
      <c r="O94" s="397" t="s">
        <v>1279</v>
      </c>
      <c r="P94" s="382" t="s">
        <v>1279</v>
      </c>
    </row>
    <row r="95" ht="15" customHeight="1" spans="2:16">
      <c r="B95" s="384" t="s">
        <v>1636</v>
      </c>
      <c r="C95" s="388" t="s">
        <v>1631</v>
      </c>
      <c r="D95" s="388"/>
      <c r="E95" s="388" t="s">
        <v>1631</v>
      </c>
      <c r="F95" s="388"/>
      <c r="G95" s="388"/>
      <c r="H95" s="388"/>
      <c r="I95" s="388"/>
      <c r="J95" s="388"/>
      <c r="K95" s="388"/>
      <c r="L95" s="382" t="s">
        <v>11</v>
      </c>
      <c r="M95" s="382" t="s">
        <v>1487</v>
      </c>
      <c r="N95" s="382" t="s">
        <v>1487</v>
      </c>
      <c r="O95" s="397" t="s">
        <v>1279</v>
      </c>
      <c r="P95" s="382" t="s">
        <v>1279</v>
      </c>
    </row>
    <row r="96" ht="15" customHeight="1" spans="2:16">
      <c r="B96" s="384" t="s">
        <v>1637</v>
      </c>
      <c r="C96" s="388" t="s">
        <v>1631</v>
      </c>
      <c r="D96" s="388"/>
      <c r="E96" s="388" t="s">
        <v>1631</v>
      </c>
      <c r="F96" s="388"/>
      <c r="G96" s="388"/>
      <c r="H96" s="388"/>
      <c r="I96" s="388"/>
      <c r="J96" s="388"/>
      <c r="K96" s="388"/>
      <c r="L96" s="382" t="s">
        <v>11</v>
      </c>
      <c r="M96" s="382" t="s">
        <v>1487</v>
      </c>
      <c r="N96" s="382" t="s">
        <v>1487</v>
      </c>
      <c r="O96" s="397" t="s">
        <v>1279</v>
      </c>
      <c r="P96" s="382" t="s">
        <v>1279</v>
      </c>
    </row>
    <row r="97" ht="15" customHeight="1" spans="2:16">
      <c r="B97" s="384" t="s">
        <v>1638</v>
      </c>
      <c r="C97" s="388" t="s">
        <v>1631</v>
      </c>
      <c r="D97" s="388"/>
      <c r="E97" s="388" t="s">
        <v>1631</v>
      </c>
      <c r="F97" s="388"/>
      <c r="G97" s="388"/>
      <c r="H97" s="388"/>
      <c r="I97" s="388"/>
      <c r="J97" s="388"/>
      <c r="K97" s="388"/>
      <c r="L97" s="382" t="s">
        <v>11</v>
      </c>
      <c r="M97" s="382" t="s">
        <v>1487</v>
      </c>
      <c r="N97" s="382" t="s">
        <v>1487</v>
      </c>
      <c r="O97" s="397" t="s">
        <v>1279</v>
      </c>
      <c r="P97" s="382" t="s">
        <v>1279</v>
      </c>
    </row>
    <row r="98" ht="15" customHeight="1" spans="2:16">
      <c r="B98" s="384" t="s">
        <v>1639</v>
      </c>
      <c r="C98" s="388" t="s">
        <v>1631</v>
      </c>
      <c r="D98" s="388"/>
      <c r="E98" s="388" t="s">
        <v>1631</v>
      </c>
      <c r="F98" s="388"/>
      <c r="G98" s="388"/>
      <c r="H98" s="388"/>
      <c r="I98" s="388"/>
      <c r="J98" s="388"/>
      <c r="K98" s="388"/>
      <c r="L98" s="382" t="s">
        <v>11</v>
      </c>
      <c r="M98" s="382" t="s">
        <v>1487</v>
      </c>
      <c r="N98" s="382" t="s">
        <v>1487</v>
      </c>
      <c r="O98" s="397" t="s">
        <v>1279</v>
      </c>
      <c r="P98" s="382" t="s">
        <v>1279</v>
      </c>
    </row>
    <row r="99" ht="15" customHeight="1" spans="2:16">
      <c r="B99" s="384" t="s">
        <v>1640</v>
      </c>
      <c r="C99" s="388" t="s">
        <v>1631</v>
      </c>
      <c r="D99" s="388"/>
      <c r="E99" s="388" t="s">
        <v>1631</v>
      </c>
      <c r="F99" s="388"/>
      <c r="G99" s="388"/>
      <c r="H99" s="388"/>
      <c r="I99" s="388"/>
      <c r="J99" s="388"/>
      <c r="K99" s="388"/>
      <c r="L99" s="382" t="s">
        <v>11</v>
      </c>
      <c r="M99" s="382" t="s">
        <v>1487</v>
      </c>
      <c r="N99" s="382" t="s">
        <v>1487</v>
      </c>
      <c r="O99" s="397" t="s">
        <v>1279</v>
      </c>
      <c r="P99" s="382" t="s">
        <v>1279</v>
      </c>
    </row>
    <row r="100" ht="15" customHeight="1" spans="2:16">
      <c r="B100" s="384" t="s">
        <v>1641</v>
      </c>
      <c r="C100" s="388" t="s">
        <v>1631</v>
      </c>
      <c r="D100" s="388"/>
      <c r="E100" s="388" t="s">
        <v>1631</v>
      </c>
      <c r="F100" s="388"/>
      <c r="G100" s="388"/>
      <c r="H100" s="388"/>
      <c r="I100" s="388"/>
      <c r="J100" s="388"/>
      <c r="K100" s="388"/>
      <c r="L100" s="382" t="s">
        <v>11</v>
      </c>
      <c r="M100" s="382" t="s">
        <v>1487</v>
      </c>
      <c r="N100" s="382" t="s">
        <v>1487</v>
      </c>
      <c r="O100" s="397" t="s">
        <v>1279</v>
      </c>
      <c r="P100" s="382" t="s">
        <v>1279</v>
      </c>
    </row>
    <row r="101" ht="15" customHeight="1" spans="2:16">
      <c r="B101" s="384" t="s">
        <v>1642</v>
      </c>
      <c r="C101" s="388" t="s">
        <v>1631</v>
      </c>
      <c r="D101" s="388"/>
      <c r="E101" s="388" t="s">
        <v>1631</v>
      </c>
      <c r="F101" s="388"/>
      <c r="G101" s="388"/>
      <c r="H101" s="388"/>
      <c r="I101" s="388"/>
      <c r="J101" s="388"/>
      <c r="K101" s="388"/>
      <c r="L101" s="382" t="s">
        <v>11</v>
      </c>
      <c r="M101" s="382" t="s">
        <v>1487</v>
      </c>
      <c r="N101" s="382" t="s">
        <v>1487</v>
      </c>
      <c r="O101" s="397" t="s">
        <v>1279</v>
      </c>
      <c r="P101" s="382" t="s">
        <v>1279</v>
      </c>
    </row>
    <row r="102" ht="15" customHeight="1" spans="2:16">
      <c r="B102" s="384" t="s">
        <v>1643</v>
      </c>
      <c r="C102" s="388" t="s">
        <v>1631</v>
      </c>
      <c r="D102" s="388"/>
      <c r="E102" s="388" t="s">
        <v>1631</v>
      </c>
      <c r="F102" s="388"/>
      <c r="G102" s="388"/>
      <c r="H102" s="388"/>
      <c r="I102" s="388"/>
      <c r="J102" s="388"/>
      <c r="K102" s="388"/>
      <c r="L102" s="382" t="s">
        <v>11</v>
      </c>
      <c r="M102" s="382" t="s">
        <v>1487</v>
      </c>
      <c r="N102" s="382" t="s">
        <v>1487</v>
      </c>
      <c r="O102" s="397" t="s">
        <v>1279</v>
      </c>
      <c r="P102" s="382" t="s">
        <v>1279</v>
      </c>
    </row>
    <row r="103" ht="15" customHeight="1" spans="2:16">
      <c r="B103" s="384" t="s">
        <v>1644</v>
      </c>
      <c r="C103" s="388" t="s">
        <v>1631</v>
      </c>
      <c r="D103" s="388"/>
      <c r="E103" s="388" t="s">
        <v>1631</v>
      </c>
      <c r="F103" s="388"/>
      <c r="G103" s="388"/>
      <c r="H103" s="388"/>
      <c r="I103" s="388"/>
      <c r="J103" s="388"/>
      <c r="K103" s="388"/>
      <c r="L103" s="382" t="s">
        <v>11</v>
      </c>
      <c r="M103" s="382" t="s">
        <v>1487</v>
      </c>
      <c r="N103" s="382" t="s">
        <v>1487</v>
      </c>
      <c r="O103" s="397" t="s">
        <v>1279</v>
      </c>
      <c r="P103" s="382" t="s">
        <v>1279</v>
      </c>
    </row>
    <row r="104" ht="15" customHeight="1" spans="2:16">
      <c r="B104" s="384" t="s">
        <v>1645</v>
      </c>
      <c r="C104" s="388" t="s">
        <v>1631</v>
      </c>
      <c r="D104" s="388"/>
      <c r="E104" s="388" t="s">
        <v>1631</v>
      </c>
      <c r="F104" s="388"/>
      <c r="G104" s="388"/>
      <c r="H104" s="388"/>
      <c r="I104" s="388"/>
      <c r="J104" s="388"/>
      <c r="K104" s="388"/>
      <c r="L104" s="382" t="s">
        <v>11</v>
      </c>
      <c r="M104" s="382" t="s">
        <v>1487</v>
      </c>
      <c r="N104" s="382" t="s">
        <v>1487</v>
      </c>
      <c r="O104" s="397" t="s">
        <v>1279</v>
      </c>
      <c r="P104" s="382" t="s">
        <v>1279</v>
      </c>
    </row>
    <row r="105" ht="15" customHeight="1" spans="2:16">
      <c r="B105" s="384" t="s">
        <v>1646</v>
      </c>
      <c r="C105" s="388" t="s">
        <v>1631</v>
      </c>
      <c r="D105" s="388"/>
      <c r="E105" s="388" t="s">
        <v>1631</v>
      </c>
      <c r="F105" s="388"/>
      <c r="G105" s="388"/>
      <c r="H105" s="388"/>
      <c r="I105" s="388"/>
      <c r="J105" s="388"/>
      <c r="K105" s="388"/>
      <c r="L105" s="382" t="s">
        <v>11</v>
      </c>
      <c r="M105" s="382" t="s">
        <v>1487</v>
      </c>
      <c r="N105" s="382" t="s">
        <v>1487</v>
      </c>
      <c r="O105" s="397" t="s">
        <v>1279</v>
      </c>
      <c r="P105" s="382" t="s">
        <v>1279</v>
      </c>
    </row>
    <row r="106" ht="15" customHeight="1" spans="2:16">
      <c r="B106" s="384" t="s">
        <v>1647</v>
      </c>
      <c r="C106" s="388" t="s">
        <v>1631</v>
      </c>
      <c r="D106" s="388"/>
      <c r="E106" s="388" t="s">
        <v>1631</v>
      </c>
      <c r="F106" s="388"/>
      <c r="G106" s="388"/>
      <c r="H106" s="388"/>
      <c r="I106" s="388"/>
      <c r="J106" s="388"/>
      <c r="K106" s="388"/>
      <c r="L106" s="382" t="s">
        <v>11</v>
      </c>
      <c r="M106" s="382" t="s">
        <v>1487</v>
      </c>
      <c r="N106" s="382" t="s">
        <v>1487</v>
      </c>
      <c r="O106" s="397" t="s">
        <v>1279</v>
      </c>
      <c r="P106" s="382" t="s">
        <v>1279</v>
      </c>
    </row>
    <row r="107" ht="15" customHeight="1" spans="2:16">
      <c r="B107" s="384" t="s">
        <v>1648</v>
      </c>
      <c r="C107" s="388" t="s">
        <v>1631</v>
      </c>
      <c r="D107" s="388"/>
      <c r="E107" s="388" t="s">
        <v>1631</v>
      </c>
      <c r="F107" s="388"/>
      <c r="G107" s="388"/>
      <c r="H107" s="388"/>
      <c r="I107" s="388"/>
      <c r="J107" s="388"/>
      <c r="K107" s="388"/>
      <c r="L107" s="382" t="s">
        <v>11</v>
      </c>
      <c r="M107" s="382" t="s">
        <v>1487</v>
      </c>
      <c r="N107" s="382" t="s">
        <v>1487</v>
      </c>
      <c r="O107" s="397" t="s">
        <v>1279</v>
      </c>
      <c r="P107" s="382" t="s">
        <v>1279</v>
      </c>
    </row>
    <row r="108" ht="15" customHeight="1" spans="2:16">
      <c r="B108" s="384" t="s">
        <v>1649</v>
      </c>
      <c r="C108" s="388" t="s">
        <v>1631</v>
      </c>
      <c r="D108" s="388"/>
      <c r="E108" s="388" t="s">
        <v>1631</v>
      </c>
      <c r="F108" s="388"/>
      <c r="G108" s="388"/>
      <c r="H108" s="388"/>
      <c r="I108" s="388"/>
      <c r="J108" s="388"/>
      <c r="K108" s="388"/>
      <c r="L108" s="382" t="s">
        <v>11</v>
      </c>
      <c r="M108" s="382" t="s">
        <v>1487</v>
      </c>
      <c r="N108" s="382" t="s">
        <v>1487</v>
      </c>
      <c r="O108" s="397" t="s">
        <v>1279</v>
      </c>
      <c r="P108" s="382" t="s">
        <v>1279</v>
      </c>
    </row>
    <row r="109" ht="15" customHeight="1" spans="2:16">
      <c r="B109" s="384" t="s">
        <v>1650</v>
      </c>
      <c r="C109" s="388" t="s">
        <v>1631</v>
      </c>
      <c r="D109" s="388"/>
      <c r="E109" s="388" t="s">
        <v>1631</v>
      </c>
      <c r="F109" s="388"/>
      <c r="G109" s="388"/>
      <c r="H109" s="388"/>
      <c r="I109" s="388"/>
      <c r="J109" s="388"/>
      <c r="K109" s="388"/>
      <c r="L109" s="382" t="s">
        <v>11</v>
      </c>
      <c r="M109" s="382" t="s">
        <v>1487</v>
      </c>
      <c r="N109" s="382" t="s">
        <v>1487</v>
      </c>
      <c r="O109" s="397" t="s">
        <v>1279</v>
      </c>
      <c r="P109" s="382" t="s">
        <v>1279</v>
      </c>
    </row>
    <row r="110" ht="15" customHeight="1" spans="2:16">
      <c r="B110" s="384" t="s">
        <v>1651</v>
      </c>
      <c r="C110" s="388" t="s">
        <v>1631</v>
      </c>
      <c r="D110" s="388"/>
      <c r="E110" s="388" t="s">
        <v>1631</v>
      </c>
      <c r="F110" s="388"/>
      <c r="G110" s="388"/>
      <c r="H110" s="388"/>
      <c r="I110" s="388"/>
      <c r="J110" s="388"/>
      <c r="K110" s="388"/>
      <c r="L110" s="382" t="s">
        <v>11</v>
      </c>
      <c r="M110" s="382" t="s">
        <v>1487</v>
      </c>
      <c r="N110" s="382" t="s">
        <v>1487</v>
      </c>
      <c r="O110" s="397" t="s">
        <v>1279</v>
      </c>
      <c r="P110" s="382" t="s">
        <v>1279</v>
      </c>
    </row>
    <row r="111" ht="15" customHeight="1" spans="2:16">
      <c r="B111" s="384" t="s">
        <v>1652</v>
      </c>
      <c r="C111" s="388" t="s">
        <v>1631</v>
      </c>
      <c r="D111" s="388"/>
      <c r="E111" s="388" t="s">
        <v>1631</v>
      </c>
      <c r="F111" s="388"/>
      <c r="G111" s="388"/>
      <c r="H111" s="388"/>
      <c r="I111" s="388"/>
      <c r="J111" s="388"/>
      <c r="K111" s="388"/>
      <c r="L111" s="382" t="s">
        <v>11</v>
      </c>
      <c r="M111" s="382" t="s">
        <v>1487</v>
      </c>
      <c r="N111" s="382" t="s">
        <v>1487</v>
      </c>
      <c r="O111" s="397" t="s">
        <v>1279</v>
      </c>
      <c r="P111" s="382" t="s">
        <v>1279</v>
      </c>
    </row>
    <row r="112" ht="15" customHeight="1" spans="2:16">
      <c r="B112" s="384" t="s">
        <v>1653</v>
      </c>
      <c r="C112" s="388" t="s">
        <v>1631</v>
      </c>
      <c r="D112" s="388"/>
      <c r="E112" s="388" t="s">
        <v>1631</v>
      </c>
      <c r="F112" s="388"/>
      <c r="G112" s="388"/>
      <c r="H112" s="388"/>
      <c r="I112" s="388"/>
      <c r="J112" s="388"/>
      <c r="K112" s="388"/>
      <c r="L112" s="382" t="s">
        <v>11</v>
      </c>
      <c r="M112" s="382" t="s">
        <v>1487</v>
      </c>
      <c r="N112" s="382" t="s">
        <v>1487</v>
      </c>
      <c r="O112" s="397" t="s">
        <v>1279</v>
      </c>
      <c r="P112" s="382" t="s">
        <v>1279</v>
      </c>
    </row>
    <row r="113" ht="15" customHeight="1" spans="2:16">
      <c r="B113" s="384" t="s">
        <v>1654</v>
      </c>
      <c r="C113" s="388" t="s">
        <v>1631</v>
      </c>
      <c r="D113" s="388"/>
      <c r="E113" s="388" t="s">
        <v>1631</v>
      </c>
      <c r="F113" s="388"/>
      <c r="G113" s="388"/>
      <c r="H113" s="388"/>
      <c r="I113" s="388"/>
      <c r="J113" s="388"/>
      <c r="K113" s="388"/>
      <c r="L113" s="382" t="s">
        <v>11</v>
      </c>
      <c r="M113" s="382" t="s">
        <v>1487</v>
      </c>
      <c r="N113" s="382" t="s">
        <v>1487</v>
      </c>
      <c r="O113" s="397" t="s">
        <v>1279</v>
      </c>
      <c r="P113" s="382" t="s">
        <v>1279</v>
      </c>
    </row>
    <row r="114" ht="15" customHeight="1" spans="2:16">
      <c r="B114" s="384" t="s">
        <v>1655</v>
      </c>
      <c r="C114" s="388" t="s">
        <v>1631</v>
      </c>
      <c r="D114" s="388"/>
      <c r="E114" s="388" t="s">
        <v>1631</v>
      </c>
      <c r="F114" s="388"/>
      <c r="G114" s="388"/>
      <c r="H114" s="388"/>
      <c r="I114" s="388"/>
      <c r="J114" s="388"/>
      <c r="K114" s="388"/>
      <c r="L114" s="382" t="s">
        <v>11</v>
      </c>
      <c r="M114" s="382" t="s">
        <v>1487</v>
      </c>
      <c r="N114" s="382" t="s">
        <v>1487</v>
      </c>
      <c r="O114" s="397" t="s">
        <v>1279</v>
      </c>
      <c r="P114" s="382" t="s">
        <v>1279</v>
      </c>
    </row>
    <row r="115" ht="15" customHeight="1" spans="2:16">
      <c r="B115" s="384" t="s">
        <v>1656</v>
      </c>
      <c r="C115" s="388" t="s">
        <v>1631</v>
      </c>
      <c r="D115" s="388"/>
      <c r="E115" s="388" t="s">
        <v>1631</v>
      </c>
      <c r="F115" s="388"/>
      <c r="G115" s="388"/>
      <c r="H115" s="388"/>
      <c r="I115" s="388"/>
      <c r="J115" s="388"/>
      <c r="K115" s="388"/>
      <c r="L115" s="382" t="s">
        <v>11</v>
      </c>
      <c r="M115" s="382" t="s">
        <v>1487</v>
      </c>
      <c r="N115" s="382" t="s">
        <v>1487</v>
      </c>
      <c r="O115" s="397" t="s">
        <v>1279</v>
      </c>
      <c r="P115" s="382" t="s">
        <v>1279</v>
      </c>
    </row>
    <row r="116" ht="15" customHeight="1" spans="2:16">
      <c r="B116" s="384" t="s">
        <v>1657</v>
      </c>
      <c r="C116" s="388" t="s">
        <v>1631</v>
      </c>
      <c r="D116" s="388"/>
      <c r="E116" s="388" t="s">
        <v>1631</v>
      </c>
      <c r="F116" s="388"/>
      <c r="G116" s="388"/>
      <c r="H116" s="388"/>
      <c r="I116" s="388"/>
      <c r="J116" s="388"/>
      <c r="K116" s="388"/>
      <c r="L116" s="382" t="s">
        <v>11</v>
      </c>
      <c r="M116" s="382" t="s">
        <v>1487</v>
      </c>
      <c r="N116" s="382" t="s">
        <v>1487</v>
      </c>
      <c r="O116" s="397" t="s">
        <v>1279</v>
      </c>
      <c r="P116" s="382" t="s">
        <v>1279</v>
      </c>
    </row>
    <row r="117" ht="15" customHeight="1" spans="2:16">
      <c r="B117" s="384" t="s">
        <v>1658</v>
      </c>
      <c r="C117" s="388" t="s">
        <v>1631</v>
      </c>
      <c r="D117" s="388"/>
      <c r="E117" s="388" t="s">
        <v>1631</v>
      </c>
      <c r="F117" s="388"/>
      <c r="G117" s="388"/>
      <c r="H117" s="388"/>
      <c r="I117" s="388"/>
      <c r="J117" s="388"/>
      <c r="K117" s="388"/>
      <c r="L117" s="382" t="s">
        <v>11</v>
      </c>
      <c r="M117" s="382" t="s">
        <v>1487</v>
      </c>
      <c r="N117" s="382" t="s">
        <v>1487</v>
      </c>
      <c r="O117" s="397" t="s">
        <v>1279</v>
      </c>
      <c r="P117" s="382" t="s">
        <v>1279</v>
      </c>
    </row>
    <row r="118" ht="15" customHeight="1" spans="2:16">
      <c r="B118" s="384" t="s">
        <v>1659</v>
      </c>
      <c r="C118" s="388" t="s">
        <v>1631</v>
      </c>
      <c r="D118" s="388"/>
      <c r="E118" s="388" t="s">
        <v>1631</v>
      </c>
      <c r="F118" s="388"/>
      <c r="G118" s="388"/>
      <c r="H118" s="388"/>
      <c r="I118" s="388"/>
      <c r="J118" s="388"/>
      <c r="K118" s="388"/>
      <c r="L118" s="382" t="s">
        <v>11</v>
      </c>
      <c r="M118" s="382" t="s">
        <v>1487</v>
      </c>
      <c r="N118" s="382" t="s">
        <v>1487</v>
      </c>
      <c r="O118" s="397" t="s">
        <v>1279</v>
      </c>
      <c r="P118" s="382" t="s">
        <v>1279</v>
      </c>
    </row>
    <row r="119" ht="15" customHeight="1" spans="2:16">
      <c r="B119" s="384" t="s">
        <v>1660</v>
      </c>
      <c r="C119" s="388" t="s">
        <v>1631</v>
      </c>
      <c r="D119" s="388"/>
      <c r="E119" s="388" t="s">
        <v>1631</v>
      </c>
      <c r="F119" s="388"/>
      <c r="G119" s="388"/>
      <c r="H119" s="388"/>
      <c r="I119" s="388"/>
      <c r="J119" s="388"/>
      <c r="K119" s="388"/>
      <c r="L119" s="382" t="s">
        <v>11</v>
      </c>
      <c r="M119" s="382" t="s">
        <v>1487</v>
      </c>
      <c r="N119" s="382" t="s">
        <v>1487</v>
      </c>
      <c r="O119" s="397" t="s">
        <v>1279</v>
      </c>
      <c r="P119" s="382" t="s">
        <v>1279</v>
      </c>
    </row>
  </sheetData>
  <mergeCells count="23">
    <mergeCell ref="G19:H19"/>
    <mergeCell ref="J19:L19"/>
    <mergeCell ref="N19:P19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B11:E14"/>
    <mergeCell ref="B15:E16"/>
    <mergeCell ref="F11:P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8" tint="0.799981688894314"/>
  </sheetPr>
  <dimension ref="A1:L119"/>
  <sheetViews>
    <sheetView showGridLines="0" showZeros="0" zoomScale="85" zoomScaleNormal="85" workbookViewId="0">
      <pane xSplit="1" ySplit="24" topLeftCell="B84" activePane="bottomRight" state="frozen"/>
      <selection/>
      <selection pane="topRight"/>
      <selection pane="bottomLeft"/>
      <selection pane="bottomRight" activeCell="L96" sqref="L96"/>
    </sheetView>
  </sheetViews>
  <sheetFormatPr defaultColWidth="8.72222222222222" defaultRowHeight="10.8"/>
  <cols>
    <col min="1" max="1" width="14.5092592592593" style="17" customWidth="1"/>
    <col min="2" max="2" width="6.62962962962963" style="17" customWidth="1"/>
    <col min="3" max="3" width="12.6296296296296" style="17" customWidth="1"/>
    <col min="4" max="4" width="12.7222222222222" style="17" customWidth="1"/>
    <col min="5" max="5" width="15.6296296296296" style="17" customWidth="1"/>
    <col min="6" max="6" width="11.6296296296296" style="17" customWidth="1"/>
    <col min="7" max="7" width="10.0925925925926" style="17" customWidth="1"/>
    <col min="8" max="8" width="11" style="17" customWidth="1"/>
    <col min="9" max="9" width="13.5462962962963" style="17" customWidth="1"/>
    <col min="10" max="11" width="12.6296296296296" style="17" customWidth="1"/>
    <col min="12" max="32" width="8.72222222222222" style="17" customWidth="1"/>
    <col min="33" max="16384" width="8.72222222222222" style="17"/>
  </cols>
  <sheetData>
    <row r="1" ht="16.5" customHeight="1" spans="1:12">
      <c r="A1" s="61" t="s">
        <v>100</v>
      </c>
      <c r="B1" s="17" t="s">
        <v>1543</v>
      </c>
      <c r="C1" s="17" t="s">
        <v>1544</v>
      </c>
    </row>
    <row r="2" ht="16.5" customHeight="1" spans="1:12">
      <c r="B2" s="371" t="s">
        <v>1545</v>
      </c>
      <c r="C2" s="17" t="s">
        <v>1546</v>
      </c>
    </row>
    <row r="3" ht="16.5" customHeight="1" spans="1:12">
      <c r="B3" s="371" t="s">
        <v>1547</v>
      </c>
      <c r="C3" s="17" t="s">
        <v>125</v>
      </c>
    </row>
    <row r="4" ht="16.5" customHeight="1" spans="1:12">
      <c r="B4" s="371" t="s">
        <v>1548</v>
      </c>
      <c r="C4" s="17" t="s">
        <v>1549</v>
      </c>
    </row>
    <row r="5" ht="16.5" customHeight="1" spans="1:12">
      <c r="B5" s="371" t="s">
        <v>1550</v>
      </c>
      <c r="C5" s="17" t="s">
        <v>1551</v>
      </c>
    </row>
    <row r="6" ht="16.5" customHeight="1" spans="1:12">
      <c r="B6" s="371" t="s">
        <v>118</v>
      </c>
      <c r="C6" s="17" t="s">
        <v>1552</v>
      </c>
    </row>
    <row r="7" ht="16.5" customHeight="1" spans="1:12">
      <c r="B7" s="371" t="s">
        <v>1553</v>
      </c>
      <c r="C7" s="17" t="s">
        <v>1554</v>
      </c>
    </row>
    <row r="8" ht="9" customHeight="1" spans="1:12">
      <c r="B8" s="371"/>
    </row>
    <row r="9" ht="9" customHeight="1"/>
    <row r="10" ht="3.5" customHeight="1" spans="1:12">
      <c r="B10" s="372"/>
      <c r="E10" s="373"/>
      <c r="F10" s="373"/>
    </row>
    <row r="11" ht="13" customHeight="1" spans="1:12">
      <c r="B11" s="234" t="s">
        <v>1661</v>
      </c>
      <c r="C11" s="234"/>
      <c r="D11" s="234"/>
      <c r="E11" s="234"/>
      <c r="F11" s="7" t="s">
        <v>1662</v>
      </c>
      <c r="G11" s="8"/>
      <c r="H11" s="8"/>
      <c r="I11" s="8"/>
      <c r="J11" s="8"/>
      <c r="K11" s="8"/>
      <c r="L11" s="9"/>
    </row>
    <row r="12" ht="13" customHeight="1" spans="1:12">
      <c r="B12" s="234"/>
      <c r="C12" s="234"/>
      <c r="D12" s="234"/>
      <c r="E12" s="234"/>
      <c r="F12" s="10"/>
      <c r="G12" s="11"/>
      <c r="H12" s="11"/>
      <c r="I12" s="11"/>
      <c r="J12" s="11"/>
      <c r="K12" s="11"/>
      <c r="L12" s="12"/>
    </row>
    <row r="13" ht="11.25" customHeight="1" spans="1:12">
      <c r="B13" s="234"/>
      <c r="C13" s="234"/>
      <c r="D13" s="234"/>
      <c r="E13" s="234"/>
      <c r="F13" s="10"/>
      <c r="G13" s="11"/>
      <c r="H13" s="11"/>
      <c r="I13" s="11"/>
      <c r="J13" s="11"/>
      <c r="K13" s="11"/>
      <c r="L13" s="12"/>
    </row>
    <row r="14" ht="11.25" customHeight="1" spans="1:12">
      <c r="B14" s="234"/>
      <c r="C14" s="234"/>
      <c r="D14" s="234"/>
      <c r="E14" s="234"/>
      <c r="F14" s="10"/>
      <c r="G14" s="11"/>
      <c r="H14" s="11"/>
      <c r="I14" s="11"/>
      <c r="J14" s="11"/>
      <c r="K14" s="11"/>
      <c r="L14" s="12"/>
    </row>
    <row r="15" ht="11.25" customHeight="1" spans="1:12">
      <c r="B15" s="13" t="s">
        <v>1557</v>
      </c>
      <c r="C15" s="13"/>
      <c r="D15" s="13"/>
      <c r="E15" s="13"/>
      <c r="F15" s="10"/>
      <c r="G15" s="11"/>
      <c r="H15" s="11"/>
      <c r="I15" s="11"/>
      <c r="J15" s="11"/>
      <c r="K15" s="11"/>
      <c r="L15" s="12"/>
    </row>
    <row r="16" ht="11.25" customHeight="1" spans="1:12">
      <c r="B16" s="13"/>
      <c r="C16" s="13"/>
      <c r="D16" s="13"/>
      <c r="E16" s="13"/>
      <c r="F16" s="14"/>
      <c r="G16" s="15"/>
      <c r="H16" s="15"/>
      <c r="I16" s="15"/>
      <c r="J16" s="15"/>
      <c r="K16" s="15"/>
      <c r="L16" s="16"/>
    </row>
    <row r="17" ht="4.5" customHeight="1" spans="2:12">
      <c r="F17" s="374"/>
      <c r="G17" s="18">
        <v>0</v>
      </c>
      <c r="H17" s="18"/>
    </row>
    <row r="18" ht="10.5" customHeight="1" spans="2:12">
      <c r="F18" s="375"/>
      <c r="G18" s="18"/>
      <c r="H18" s="18"/>
    </row>
    <row r="19" ht="15" customHeight="1" spans="2:12">
      <c r="B19" s="19" t="s">
        <v>1501</v>
      </c>
      <c r="C19" s="20" t="s">
        <v>1502</v>
      </c>
      <c r="D19" s="19" t="s">
        <v>1120</v>
      </c>
      <c r="E19" s="20" t="s">
        <v>1503</v>
      </c>
      <c r="F19" s="19" t="s">
        <v>5</v>
      </c>
      <c r="G19" s="20" t="s">
        <v>1558</v>
      </c>
      <c r="H19" s="19" t="s">
        <v>1457</v>
      </c>
      <c r="I19" s="20" t="s">
        <v>1483</v>
      </c>
      <c r="J19" s="19" t="s">
        <v>1504</v>
      </c>
      <c r="K19" s="21" t="s">
        <v>1505</v>
      </c>
      <c r="L19" s="22"/>
    </row>
    <row r="20" ht="15.5" customHeight="1"/>
    <row r="21" s="370" customFormat="1" ht="22.5" customHeight="1" spans="2:12">
      <c r="B21" s="376" t="s">
        <v>1559</v>
      </c>
      <c r="C21" s="376" t="s">
        <v>1560</v>
      </c>
      <c r="D21" s="376" t="s">
        <v>1459</v>
      </c>
      <c r="E21" s="377" t="s">
        <v>1460</v>
      </c>
      <c r="F21" s="377" t="s">
        <v>1461</v>
      </c>
      <c r="G21" s="376" t="s">
        <v>291</v>
      </c>
      <c r="H21" s="378" t="s">
        <v>1234</v>
      </c>
      <c r="I21" s="376" t="s">
        <v>1235</v>
      </c>
      <c r="J21" s="376" t="s">
        <v>1236</v>
      </c>
      <c r="K21" s="376" t="s">
        <v>1237</v>
      </c>
      <c r="L21" s="376" t="s">
        <v>1238</v>
      </c>
    </row>
    <row r="22" s="370" customFormat="1" ht="22.5" customHeight="1" spans="2:12">
      <c r="B22" s="379"/>
      <c r="C22" s="379"/>
      <c r="D22" s="379"/>
      <c r="E22" s="380"/>
      <c r="F22" s="380"/>
      <c r="G22" s="379"/>
      <c r="H22" s="381"/>
      <c r="I22" s="379"/>
      <c r="J22" s="379"/>
      <c r="K22" s="379"/>
      <c r="L22" s="379"/>
    </row>
    <row r="23" s="370" customFormat="1" ht="22.5" customHeight="1" spans="2:12">
      <c r="B23" s="382"/>
      <c r="C23" s="382" t="s">
        <v>1487</v>
      </c>
      <c r="D23" s="382" t="s">
        <v>1487</v>
      </c>
      <c r="E23" s="383" t="s">
        <v>1562</v>
      </c>
      <c r="F23" s="383" t="s">
        <v>1562</v>
      </c>
      <c r="G23" s="382" t="s">
        <v>1487</v>
      </c>
      <c r="H23" s="382" t="s">
        <v>11</v>
      </c>
      <c r="I23" s="382" t="s">
        <v>1487</v>
      </c>
      <c r="J23" s="382" t="s">
        <v>1487</v>
      </c>
      <c r="K23" s="382" t="s">
        <v>1279</v>
      </c>
      <c r="L23" s="382" t="s">
        <v>1279</v>
      </c>
    </row>
    <row r="24" ht="20.5" customHeight="1" spans="2:12">
      <c r="B24" s="384" t="s">
        <v>1530</v>
      </c>
      <c r="C24" s="385" t="s">
        <v>1523</v>
      </c>
      <c r="D24" s="385" t="s">
        <v>1523</v>
      </c>
      <c r="E24" s="385" t="s">
        <v>1523</v>
      </c>
      <c r="F24" s="385" t="s">
        <v>1523</v>
      </c>
      <c r="G24" s="385" t="s">
        <v>1523</v>
      </c>
      <c r="H24" s="385" t="s">
        <v>1279</v>
      </c>
      <c r="I24" s="385" t="s">
        <v>1279</v>
      </c>
      <c r="J24" s="385" t="s">
        <v>1279</v>
      </c>
      <c r="K24" s="385" t="s">
        <v>1279</v>
      </c>
      <c r="L24" s="385" t="s">
        <v>1279</v>
      </c>
    </row>
    <row r="25" ht="15" customHeight="1" spans="2:12">
      <c r="B25" s="384" t="s">
        <v>1563</v>
      </c>
      <c r="C25" s="387"/>
      <c r="D25" s="387"/>
      <c r="E25" s="387"/>
      <c r="F25" s="387" t="s">
        <v>1564</v>
      </c>
      <c r="G25" s="387" t="s">
        <v>1490</v>
      </c>
      <c r="H25" s="382" t="s">
        <v>11</v>
      </c>
      <c r="I25" s="382" t="s">
        <v>1487</v>
      </c>
      <c r="J25" s="382" t="s">
        <v>1487</v>
      </c>
      <c r="K25" s="382" t="s">
        <v>1279</v>
      </c>
      <c r="L25" s="382" t="s">
        <v>1279</v>
      </c>
    </row>
    <row r="26" ht="15" customHeight="1" spans="2:12">
      <c r="B26" s="384" t="s">
        <v>1565</v>
      </c>
      <c r="C26" s="387"/>
      <c r="D26" s="387"/>
      <c r="E26" s="387"/>
      <c r="F26" s="387" t="s">
        <v>1566</v>
      </c>
      <c r="G26" s="387"/>
      <c r="H26" s="382" t="s">
        <v>11</v>
      </c>
      <c r="I26" s="382" t="s">
        <v>1487</v>
      </c>
      <c r="J26" s="382" t="s">
        <v>1487</v>
      </c>
      <c r="K26" s="382" t="s">
        <v>1279</v>
      </c>
      <c r="L26" s="382" t="s">
        <v>1279</v>
      </c>
    </row>
    <row r="27" ht="15" customHeight="1" spans="2:12">
      <c r="B27" s="384" t="s">
        <v>1567</v>
      </c>
      <c r="C27" s="387"/>
      <c r="D27" s="387"/>
      <c r="E27" s="387"/>
      <c r="F27" s="387"/>
      <c r="G27" s="387" t="s">
        <v>1663</v>
      </c>
      <c r="H27" s="382" t="s">
        <v>11</v>
      </c>
      <c r="I27" s="382" t="s">
        <v>1487</v>
      </c>
      <c r="J27" s="382" t="s">
        <v>1487</v>
      </c>
      <c r="K27" s="382" t="s">
        <v>1279</v>
      </c>
      <c r="L27" s="382" t="s">
        <v>1279</v>
      </c>
    </row>
    <row r="28" ht="15" customHeight="1" spans="2:12">
      <c r="B28" s="384" t="s">
        <v>1568</v>
      </c>
      <c r="C28" s="387"/>
      <c r="D28" s="387"/>
      <c r="E28" s="387"/>
      <c r="F28" s="387"/>
      <c r="G28" s="387"/>
      <c r="H28" s="382" t="s">
        <v>11</v>
      </c>
      <c r="I28" s="382" t="s">
        <v>1487</v>
      </c>
      <c r="J28" s="382" t="s">
        <v>1487</v>
      </c>
      <c r="K28" s="382" t="s">
        <v>1279</v>
      </c>
      <c r="L28" s="382" t="s">
        <v>1279</v>
      </c>
    </row>
    <row r="29" ht="15" customHeight="1" spans="2:12">
      <c r="B29" s="384" t="s">
        <v>1569</v>
      </c>
      <c r="C29" s="387"/>
      <c r="D29" s="387"/>
      <c r="E29" s="387"/>
      <c r="F29" s="387"/>
      <c r="G29" s="387"/>
      <c r="H29" s="382" t="s">
        <v>11</v>
      </c>
      <c r="I29" s="382" t="s">
        <v>1487</v>
      </c>
      <c r="J29" s="382" t="s">
        <v>1487</v>
      </c>
      <c r="K29" s="382" t="s">
        <v>1279</v>
      </c>
      <c r="L29" s="382" t="s">
        <v>1279</v>
      </c>
    </row>
    <row r="30" ht="15" customHeight="1" spans="2:12">
      <c r="B30" s="384" t="s">
        <v>1570</v>
      </c>
      <c r="C30" s="387"/>
      <c r="D30" s="387"/>
      <c r="E30" s="387"/>
      <c r="F30" s="387"/>
      <c r="G30" s="387"/>
      <c r="H30" s="382" t="s">
        <v>11</v>
      </c>
      <c r="I30" s="382" t="s">
        <v>1487</v>
      </c>
      <c r="J30" s="382" t="s">
        <v>1487</v>
      </c>
      <c r="K30" s="382" t="s">
        <v>1279</v>
      </c>
      <c r="L30" s="382" t="s">
        <v>1279</v>
      </c>
    </row>
    <row r="31" ht="15" customHeight="1" spans="2:12">
      <c r="B31" s="384" t="s">
        <v>1571</v>
      </c>
      <c r="C31" s="387"/>
      <c r="D31" s="387"/>
      <c r="E31" s="387"/>
      <c r="F31" s="387"/>
      <c r="G31" s="387"/>
      <c r="H31" s="382" t="s">
        <v>11</v>
      </c>
      <c r="I31" s="382" t="s">
        <v>1487</v>
      </c>
      <c r="J31" s="382" t="s">
        <v>1487</v>
      </c>
      <c r="K31" s="382" t="s">
        <v>1279</v>
      </c>
      <c r="L31" s="382" t="s">
        <v>1279</v>
      </c>
    </row>
    <row r="32" ht="15" customHeight="1" spans="2:12">
      <c r="B32" s="384" t="s">
        <v>1572</v>
      </c>
      <c r="C32" s="387"/>
      <c r="D32" s="387"/>
      <c r="E32" s="387"/>
      <c r="F32" s="387"/>
      <c r="G32" s="387"/>
      <c r="H32" s="382" t="s">
        <v>11</v>
      </c>
      <c r="I32" s="382" t="s">
        <v>1487</v>
      </c>
      <c r="J32" s="382" t="s">
        <v>1487</v>
      </c>
      <c r="K32" s="382" t="s">
        <v>1279</v>
      </c>
      <c r="L32" s="382" t="s">
        <v>1279</v>
      </c>
    </row>
    <row r="33" ht="15" customHeight="1" spans="2:12">
      <c r="B33" s="384" t="s">
        <v>1573</v>
      </c>
      <c r="C33" s="388"/>
      <c r="D33" s="388"/>
      <c r="E33" s="389"/>
      <c r="F33" s="389"/>
      <c r="G33" s="389"/>
      <c r="H33" s="382" t="s">
        <v>11</v>
      </c>
      <c r="I33" s="382" t="s">
        <v>1487</v>
      </c>
      <c r="J33" s="382" t="s">
        <v>1487</v>
      </c>
      <c r="K33" s="382" t="s">
        <v>1279</v>
      </c>
      <c r="L33" s="382" t="s">
        <v>1279</v>
      </c>
    </row>
    <row r="34" ht="15" customHeight="1" spans="2:12">
      <c r="B34" s="384" t="s">
        <v>1574</v>
      </c>
      <c r="C34" s="388"/>
      <c r="D34" s="388"/>
      <c r="E34" s="389"/>
      <c r="F34" s="389"/>
      <c r="G34" s="389"/>
      <c r="H34" s="382" t="s">
        <v>11</v>
      </c>
      <c r="I34" s="382" t="s">
        <v>1487</v>
      </c>
      <c r="J34" s="382" t="s">
        <v>1487</v>
      </c>
      <c r="K34" s="382" t="s">
        <v>1279</v>
      </c>
      <c r="L34" s="382" t="s">
        <v>1279</v>
      </c>
    </row>
    <row r="35" ht="15" customHeight="1" spans="2:12">
      <c r="B35" s="384" t="s">
        <v>1575</v>
      </c>
      <c r="C35" s="388"/>
      <c r="D35" s="388"/>
      <c r="E35" s="389"/>
      <c r="F35" s="389"/>
      <c r="G35" s="389"/>
      <c r="H35" s="382" t="s">
        <v>11</v>
      </c>
      <c r="I35" s="382" t="s">
        <v>1487</v>
      </c>
      <c r="J35" s="382" t="s">
        <v>1487</v>
      </c>
      <c r="K35" s="382" t="s">
        <v>1279</v>
      </c>
      <c r="L35" s="382" t="s">
        <v>1279</v>
      </c>
    </row>
    <row r="36" ht="15" customHeight="1" spans="2:12">
      <c r="B36" s="384" t="s">
        <v>1576</v>
      </c>
      <c r="C36" s="388"/>
      <c r="D36" s="388"/>
      <c r="E36" s="389"/>
      <c r="F36" s="389"/>
      <c r="G36" s="389"/>
      <c r="H36" s="382" t="s">
        <v>11</v>
      </c>
      <c r="I36" s="382" t="s">
        <v>1487</v>
      </c>
      <c r="J36" s="382" t="s">
        <v>1487</v>
      </c>
      <c r="K36" s="382" t="s">
        <v>1279</v>
      </c>
      <c r="L36" s="382" t="s">
        <v>1279</v>
      </c>
    </row>
    <row r="37" ht="15" customHeight="1" spans="2:12">
      <c r="B37" s="384" t="s">
        <v>1577</v>
      </c>
      <c r="C37" s="388"/>
      <c r="D37" s="388"/>
      <c r="E37" s="388"/>
      <c r="F37" s="388"/>
      <c r="G37" s="388"/>
      <c r="H37" s="382" t="s">
        <v>11</v>
      </c>
      <c r="I37" s="382" t="s">
        <v>1487</v>
      </c>
      <c r="J37" s="382" t="s">
        <v>1487</v>
      </c>
      <c r="K37" s="382" t="s">
        <v>1279</v>
      </c>
      <c r="L37" s="382" t="s">
        <v>1279</v>
      </c>
    </row>
    <row r="38" ht="15" customHeight="1" spans="2:12">
      <c r="B38" s="384" t="s">
        <v>1578</v>
      </c>
      <c r="C38" s="388"/>
      <c r="D38" s="388"/>
      <c r="E38" s="388"/>
      <c r="F38" s="388"/>
      <c r="G38" s="388"/>
      <c r="H38" s="382" t="s">
        <v>11</v>
      </c>
      <c r="I38" s="382" t="s">
        <v>1487</v>
      </c>
      <c r="J38" s="382" t="s">
        <v>1487</v>
      </c>
      <c r="K38" s="382" t="s">
        <v>1279</v>
      </c>
      <c r="L38" s="382" t="s">
        <v>1279</v>
      </c>
    </row>
    <row r="39" ht="15" customHeight="1" spans="2:12">
      <c r="B39" s="384" t="s">
        <v>1579</v>
      </c>
      <c r="C39" s="388"/>
      <c r="D39" s="388"/>
      <c r="E39" s="388"/>
      <c r="F39" s="388"/>
      <c r="G39" s="388"/>
      <c r="H39" s="382" t="s">
        <v>11</v>
      </c>
      <c r="I39" s="382" t="s">
        <v>1487</v>
      </c>
      <c r="J39" s="382" t="s">
        <v>1487</v>
      </c>
      <c r="K39" s="382" t="s">
        <v>1279</v>
      </c>
      <c r="L39" s="382" t="s">
        <v>1279</v>
      </c>
    </row>
    <row r="40" ht="15" customHeight="1" spans="2:12">
      <c r="B40" s="384" t="s">
        <v>1580</v>
      </c>
      <c r="C40" s="388"/>
      <c r="D40" s="388"/>
      <c r="E40" s="388"/>
      <c r="F40" s="388"/>
      <c r="G40" s="388"/>
      <c r="H40" s="382" t="s">
        <v>11</v>
      </c>
      <c r="I40" s="382" t="s">
        <v>1487</v>
      </c>
      <c r="J40" s="382" t="s">
        <v>1487</v>
      </c>
      <c r="K40" s="382" t="s">
        <v>1279</v>
      </c>
      <c r="L40" s="382" t="s">
        <v>1279</v>
      </c>
    </row>
    <row r="41" ht="15" customHeight="1" spans="2:12">
      <c r="B41" s="384" t="s">
        <v>1581</v>
      </c>
      <c r="C41" s="388"/>
      <c r="D41" s="388"/>
      <c r="E41" s="388"/>
      <c r="F41" s="388"/>
      <c r="G41" s="388"/>
      <c r="H41" s="382" t="s">
        <v>11</v>
      </c>
      <c r="I41" s="382" t="s">
        <v>1487</v>
      </c>
      <c r="J41" s="382" t="s">
        <v>1487</v>
      </c>
      <c r="K41" s="382" t="s">
        <v>1279</v>
      </c>
      <c r="L41" s="382" t="s">
        <v>1279</v>
      </c>
    </row>
    <row r="42" ht="15" customHeight="1" spans="2:12">
      <c r="B42" s="384" t="s">
        <v>1582</v>
      </c>
      <c r="C42" s="388"/>
      <c r="D42" s="388"/>
      <c r="E42" s="388"/>
      <c r="F42" s="388"/>
      <c r="G42" s="388"/>
      <c r="H42" s="382" t="s">
        <v>11</v>
      </c>
      <c r="I42" s="382" t="s">
        <v>1487</v>
      </c>
      <c r="J42" s="382" t="s">
        <v>1487</v>
      </c>
      <c r="K42" s="382" t="s">
        <v>1279</v>
      </c>
      <c r="L42" s="382" t="s">
        <v>1279</v>
      </c>
    </row>
    <row r="43" ht="15" customHeight="1" spans="2:12">
      <c r="B43" s="384" t="s">
        <v>1583</v>
      </c>
      <c r="C43" s="388"/>
      <c r="D43" s="388"/>
      <c r="E43" s="388"/>
      <c r="F43" s="388"/>
      <c r="G43" s="388"/>
      <c r="H43" s="382" t="s">
        <v>11</v>
      </c>
      <c r="I43" s="382" t="s">
        <v>1487</v>
      </c>
      <c r="J43" s="382" t="s">
        <v>1487</v>
      </c>
      <c r="K43" s="382" t="s">
        <v>1279</v>
      </c>
      <c r="L43" s="382" t="s">
        <v>1279</v>
      </c>
    </row>
    <row r="44" ht="15" customHeight="1" spans="2:12">
      <c r="B44" s="384" t="s">
        <v>1584</v>
      </c>
      <c r="C44" s="388"/>
      <c r="D44" s="388"/>
      <c r="E44" s="388"/>
      <c r="F44" s="388"/>
      <c r="G44" s="388"/>
      <c r="H44" s="382" t="s">
        <v>11</v>
      </c>
      <c r="I44" s="382" t="s">
        <v>1487</v>
      </c>
      <c r="J44" s="382" t="s">
        <v>1487</v>
      </c>
      <c r="K44" s="382" t="s">
        <v>1279</v>
      </c>
      <c r="L44" s="382" t="s">
        <v>1279</v>
      </c>
    </row>
    <row r="45" ht="15" customHeight="1" spans="2:12">
      <c r="B45" s="384" t="s">
        <v>1585</v>
      </c>
      <c r="C45" s="388"/>
      <c r="D45" s="388"/>
      <c r="E45" s="388"/>
      <c r="F45" s="388"/>
      <c r="G45" s="388"/>
      <c r="H45" s="382" t="s">
        <v>11</v>
      </c>
      <c r="I45" s="382" t="s">
        <v>1487</v>
      </c>
      <c r="J45" s="382" t="s">
        <v>1487</v>
      </c>
      <c r="K45" s="382" t="s">
        <v>1279</v>
      </c>
      <c r="L45" s="382" t="s">
        <v>1279</v>
      </c>
    </row>
    <row r="46" ht="15" customHeight="1" spans="2:12">
      <c r="B46" s="384" t="s">
        <v>1586</v>
      </c>
      <c r="C46" s="390"/>
      <c r="D46" s="390"/>
      <c r="E46" s="390"/>
      <c r="F46" s="390"/>
      <c r="G46" s="390"/>
      <c r="H46" s="382" t="s">
        <v>11</v>
      </c>
      <c r="I46" s="382" t="s">
        <v>1487</v>
      </c>
      <c r="J46" s="382" t="s">
        <v>1487</v>
      </c>
      <c r="K46" s="382" t="s">
        <v>1279</v>
      </c>
      <c r="L46" s="382" t="s">
        <v>1279</v>
      </c>
    </row>
    <row r="47" ht="15" customHeight="1" spans="2:12">
      <c r="B47" s="384" t="s">
        <v>1587</v>
      </c>
      <c r="C47" s="390"/>
      <c r="D47" s="390"/>
      <c r="E47" s="390"/>
      <c r="F47" s="390"/>
      <c r="G47" s="390"/>
      <c r="H47" s="382" t="s">
        <v>11</v>
      </c>
      <c r="I47" s="382" t="s">
        <v>1487</v>
      </c>
      <c r="J47" s="382" t="s">
        <v>1487</v>
      </c>
      <c r="K47" s="382" t="s">
        <v>1279</v>
      </c>
      <c r="L47" s="382" t="s">
        <v>1279</v>
      </c>
    </row>
    <row r="48" ht="15" customHeight="1" spans="2:12">
      <c r="B48" s="384" t="s">
        <v>1588</v>
      </c>
      <c r="C48" s="390"/>
      <c r="D48" s="390"/>
      <c r="E48" s="390"/>
      <c r="F48" s="390"/>
      <c r="G48" s="390"/>
      <c r="H48" s="382" t="s">
        <v>11</v>
      </c>
      <c r="I48" s="382" t="s">
        <v>1487</v>
      </c>
      <c r="J48" s="382" t="s">
        <v>1487</v>
      </c>
      <c r="K48" s="382" t="s">
        <v>1279</v>
      </c>
      <c r="L48" s="382" t="s">
        <v>1279</v>
      </c>
    </row>
    <row r="49" ht="15" customHeight="1" spans="2:12">
      <c r="B49" s="384" t="s">
        <v>1589</v>
      </c>
      <c r="C49" s="390"/>
      <c r="D49" s="390"/>
      <c r="E49" s="390"/>
      <c r="F49" s="390"/>
      <c r="G49" s="390"/>
      <c r="H49" s="382" t="s">
        <v>11</v>
      </c>
      <c r="I49" s="382" t="s">
        <v>1487</v>
      </c>
      <c r="J49" s="382" t="s">
        <v>1487</v>
      </c>
      <c r="K49" s="382" t="s">
        <v>1279</v>
      </c>
      <c r="L49" s="382" t="s">
        <v>1279</v>
      </c>
    </row>
    <row r="50" ht="15" customHeight="1" spans="2:12">
      <c r="B50" s="384" t="s">
        <v>1590</v>
      </c>
      <c r="C50" s="388"/>
      <c r="D50" s="388"/>
      <c r="E50" s="388"/>
      <c r="F50" s="388"/>
      <c r="G50" s="388"/>
      <c r="H50" s="382" t="s">
        <v>11</v>
      </c>
      <c r="I50" s="382" t="s">
        <v>1487</v>
      </c>
      <c r="J50" s="382" t="s">
        <v>1487</v>
      </c>
      <c r="K50" s="382" t="s">
        <v>1279</v>
      </c>
      <c r="L50" s="382" t="s">
        <v>1279</v>
      </c>
    </row>
    <row r="51" ht="15" customHeight="1" spans="2:12">
      <c r="B51" s="384" t="s">
        <v>1591</v>
      </c>
      <c r="C51" s="388"/>
      <c r="D51" s="388"/>
      <c r="E51" s="388"/>
      <c r="F51" s="388"/>
      <c r="G51" s="388"/>
      <c r="H51" s="382" t="s">
        <v>11</v>
      </c>
      <c r="I51" s="382" t="s">
        <v>1487</v>
      </c>
      <c r="J51" s="382" t="s">
        <v>1487</v>
      </c>
      <c r="K51" s="382" t="s">
        <v>1279</v>
      </c>
      <c r="L51" s="382" t="s">
        <v>1279</v>
      </c>
    </row>
    <row r="52" ht="15" customHeight="1" spans="2:12">
      <c r="B52" s="384" t="s">
        <v>1592</v>
      </c>
      <c r="C52" s="388"/>
      <c r="D52" s="388"/>
      <c r="E52" s="388"/>
      <c r="F52" s="388"/>
      <c r="G52" s="388"/>
      <c r="H52" s="382" t="s">
        <v>11</v>
      </c>
      <c r="I52" s="382" t="s">
        <v>1487</v>
      </c>
      <c r="J52" s="382" t="s">
        <v>1487</v>
      </c>
      <c r="K52" s="382" t="s">
        <v>1279</v>
      </c>
      <c r="L52" s="382" t="s">
        <v>1279</v>
      </c>
    </row>
    <row r="53" ht="15" customHeight="1" spans="2:12">
      <c r="B53" s="384" t="s">
        <v>1593</v>
      </c>
      <c r="C53" s="388"/>
      <c r="D53" s="388"/>
      <c r="E53" s="388"/>
      <c r="F53" s="388"/>
      <c r="G53" s="388"/>
      <c r="H53" s="382" t="s">
        <v>11</v>
      </c>
      <c r="I53" s="382" t="s">
        <v>1487</v>
      </c>
      <c r="J53" s="382" t="s">
        <v>1487</v>
      </c>
      <c r="K53" s="382" t="s">
        <v>1279</v>
      </c>
      <c r="L53" s="382" t="s">
        <v>1279</v>
      </c>
    </row>
    <row r="54" ht="15" customHeight="1" spans="2:12">
      <c r="B54" s="384" t="s">
        <v>1594</v>
      </c>
      <c r="C54" s="388"/>
      <c r="D54" s="388"/>
      <c r="E54" s="388"/>
      <c r="F54" s="388"/>
      <c r="G54" s="388"/>
      <c r="H54" s="382" t="s">
        <v>11</v>
      </c>
      <c r="I54" s="382" t="s">
        <v>1487</v>
      </c>
      <c r="J54" s="382" t="s">
        <v>1487</v>
      </c>
      <c r="K54" s="382" t="s">
        <v>1279</v>
      </c>
      <c r="L54" s="382" t="s">
        <v>1279</v>
      </c>
    </row>
    <row r="55" ht="15" customHeight="1" spans="2:12">
      <c r="B55" s="384" t="s">
        <v>1595</v>
      </c>
      <c r="C55" s="388"/>
      <c r="D55" s="388"/>
      <c r="E55" s="388"/>
      <c r="F55" s="388"/>
      <c r="G55" s="388"/>
      <c r="H55" s="382" t="s">
        <v>11</v>
      </c>
      <c r="I55" s="382" t="s">
        <v>1487</v>
      </c>
      <c r="J55" s="382" t="s">
        <v>1487</v>
      </c>
      <c r="K55" s="382" t="s">
        <v>1279</v>
      </c>
      <c r="L55" s="382" t="s">
        <v>1279</v>
      </c>
    </row>
    <row r="56" ht="15" customHeight="1" spans="2:12">
      <c r="B56" s="384" t="s">
        <v>1596</v>
      </c>
      <c r="C56" s="388"/>
      <c r="D56" s="388"/>
      <c r="E56" s="388"/>
      <c r="F56" s="388"/>
      <c r="G56" s="388"/>
      <c r="H56" s="382" t="s">
        <v>11</v>
      </c>
      <c r="I56" s="382" t="s">
        <v>1487</v>
      </c>
      <c r="J56" s="382" t="s">
        <v>1487</v>
      </c>
      <c r="K56" s="382" t="s">
        <v>1279</v>
      </c>
      <c r="L56" s="382" t="s">
        <v>1279</v>
      </c>
    </row>
    <row r="57" ht="15" customHeight="1" spans="2:12">
      <c r="B57" s="384" t="s">
        <v>1597</v>
      </c>
      <c r="C57" s="388"/>
      <c r="D57" s="388"/>
      <c r="E57" s="388"/>
      <c r="F57" s="388"/>
      <c r="G57" s="388"/>
      <c r="H57" s="382" t="s">
        <v>11</v>
      </c>
      <c r="I57" s="382" t="s">
        <v>1487</v>
      </c>
      <c r="J57" s="382" t="s">
        <v>1487</v>
      </c>
      <c r="K57" s="382" t="s">
        <v>1279</v>
      </c>
      <c r="L57" s="382" t="s">
        <v>1279</v>
      </c>
    </row>
    <row r="58" ht="15" customHeight="1" spans="2:12">
      <c r="B58" s="384" t="s">
        <v>1598</v>
      </c>
      <c r="C58" s="388"/>
      <c r="D58" s="388"/>
      <c r="E58" s="388"/>
      <c r="F58" s="388"/>
      <c r="G58" s="388"/>
      <c r="H58" s="382" t="s">
        <v>11</v>
      </c>
      <c r="I58" s="382" t="s">
        <v>1487</v>
      </c>
      <c r="J58" s="382" t="s">
        <v>1487</v>
      </c>
      <c r="K58" s="382" t="s">
        <v>1279</v>
      </c>
      <c r="L58" s="382" t="s">
        <v>1279</v>
      </c>
    </row>
    <row r="59" ht="15" customHeight="1" spans="2:12">
      <c r="B59" s="384" t="s">
        <v>1599</v>
      </c>
      <c r="C59" s="388"/>
      <c r="D59" s="388"/>
      <c r="E59" s="388"/>
      <c r="F59" s="388"/>
      <c r="G59" s="388"/>
      <c r="H59" s="382" t="s">
        <v>11</v>
      </c>
      <c r="I59" s="382" t="s">
        <v>1487</v>
      </c>
      <c r="J59" s="382" t="s">
        <v>1487</v>
      </c>
      <c r="K59" s="382" t="s">
        <v>1279</v>
      </c>
      <c r="L59" s="382" t="s">
        <v>1279</v>
      </c>
    </row>
    <row r="60" ht="15" customHeight="1" spans="2:12">
      <c r="B60" s="384" t="s">
        <v>1600</v>
      </c>
      <c r="C60" s="388"/>
      <c r="D60" s="388"/>
      <c r="E60" s="388"/>
      <c r="F60" s="388"/>
      <c r="G60" s="388"/>
      <c r="H60" s="382" t="s">
        <v>11</v>
      </c>
      <c r="I60" s="382" t="s">
        <v>1487</v>
      </c>
      <c r="J60" s="382" t="s">
        <v>1487</v>
      </c>
      <c r="K60" s="382" t="s">
        <v>1279</v>
      </c>
      <c r="L60" s="382" t="s">
        <v>1279</v>
      </c>
    </row>
    <row r="61" ht="15" customHeight="1" spans="2:12">
      <c r="B61" s="384" t="s">
        <v>1601</v>
      </c>
      <c r="C61" s="388"/>
      <c r="D61" s="388"/>
      <c r="E61" s="388"/>
      <c r="F61" s="388"/>
      <c r="G61" s="388"/>
      <c r="H61" s="382" t="s">
        <v>11</v>
      </c>
      <c r="I61" s="382" t="s">
        <v>1487</v>
      </c>
      <c r="J61" s="382" t="s">
        <v>1487</v>
      </c>
      <c r="K61" s="382" t="s">
        <v>1279</v>
      </c>
      <c r="L61" s="382" t="s">
        <v>1279</v>
      </c>
    </row>
    <row r="62" ht="15" customHeight="1" spans="2:12">
      <c r="B62" s="384" t="s">
        <v>1602</v>
      </c>
      <c r="C62" s="388"/>
      <c r="D62" s="388"/>
      <c r="E62" s="388"/>
      <c r="F62" s="388"/>
      <c r="G62" s="388"/>
      <c r="H62" s="382" t="s">
        <v>11</v>
      </c>
      <c r="I62" s="382" t="s">
        <v>1487</v>
      </c>
      <c r="J62" s="382" t="s">
        <v>1487</v>
      </c>
      <c r="K62" s="382" t="s">
        <v>1279</v>
      </c>
      <c r="L62" s="382" t="s">
        <v>1279</v>
      </c>
    </row>
    <row r="63" ht="15" customHeight="1" spans="2:12">
      <c r="B63" s="384" t="s">
        <v>1603</v>
      </c>
      <c r="C63" s="388"/>
      <c r="D63" s="388"/>
      <c r="E63" s="388"/>
      <c r="F63" s="388"/>
      <c r="G63" s="388"/>
      <c r="H63" s="382" t="s">
        <v>11</v>
      </c>
      <c r="I63" s="382" t="s">
        <v>1487</v>
      </c>
      <c r="J63" s="382" t="s">
        <v>1487</v>
      </c>
      <c r="K63" s="382" t="s">
        <v>1279</v>
      </c>
      <c r="L63" s="382" t="s">
        <v>1279</v>
      </c>
    </row>
    <row r="64" ht="15" customHeight="1" spans="2:12">
      <c r="B64" s="384" t="s">
        <v>1604</v>
      </c>
      <c r="C64" s="388"/>
      <c r="D64" s="388"/>
      <c r="E64" s="388"/>
      <c r="F64" s="388"/>
      <c r="G64" s="388"/>
      <c r="H64" s="382" t="s">
        <v>11</v>
      </c>
      <c r="I64" s="382" t="s">
        <v>1487</v>
      </c>
      <c r="J64" s="382" t="s">
        <v>1487</v>
      </c>
      <c r="K64" s="382" t="s">
        <v>1279</v>
      </c>
      <c r="L64" s="382" t="s">
        <v>1279</v>
      </c>
    </row>
    <row r="65" ht="15" customHeight="1" spans="2:12">
      <c r="B65" s="384" t="s">
        <v>1605</v>
      </c>
      <c r="C65" s="388"/>
      <c r="D65" s="388"/>
      <c r="E65" s="388"/>
      <c r="F65" s="388"/>
      <c r="G65" s="388"/>
      <c r="H65" s="382" t="s">
        <v>11</v>
      </c>
      <c r="I65" s="382" t="s">
        <v>1487</v>
      </c>
      <c r="J65" s="382" t="s">
        <v>1487</v>
      </c>
      <c r="K65" s="382" t="s">
        <v>1279</v>
      </c>
      <c r="L65" s="382" t="s">
        <v>1279</v>
      </c>
    </row>
    <row r="66" ht="15" customHeight="1" spans="2:12">
      <c r="B66" s="384" t="s">
        <v>1606</v>
      </c>
      <c r="C66" s="388"/>
      <c r="D66" s="388"/>
      <c r="E66" s="390"/>
      <c r="F66" s="390"/>
      <c r="G66" s="390"/>
      <c r="H66" s="382" t="s">
        <v>11</v>
      </c>
      <c r="I66" s="382" t="s">
        <v>1487</v>
      </c>
      <c r="J66" s="382" t="s">
        <v>1487</v>
      </c>
      <c r="K66" s="382" t="s">
        <v>1279</v>
      </c>
      <c r="L66" s="382" t="s">
        <v>1279</v>
      </c>
    </row>
    <row r="67" ht="15" customHeight="1" spans="2:12">
      <c r="B67" s="384" t="s">
        <v>1607</v>
      </c>
      <c r="C67" s="388"/>
      <c r="D67" s="388"/>
      <c r="E67" s="388"/>
      <c r="F67" s="388"/>
      <c r="G67" s="388"/>
      <c r="H67" s="382" t="s">
        <v>11</v>
      </c>
      <c r="I67" s="382" t="s">
        <v>1487</v>
      </c>
      <c r="J67" s="382" t="s">
        <v>1487</v>
      </c>
      <c r="K67" s="382" t="s">
        <v>1279</v>
      </c>
      <c r="L67" s="382" t="s">
        <v>1279</v>
      </c>
    </row>
    <row r="68" ht="15" customHeight="1" spans="2:12">
      <c r="B68" s="384" t="s">
        <v>1608</v>
      </c>
      <c r="C68" s="388"/>
      <c r="D68" s="388"/>
      <c r="E68" s="388"/>
      <c r="F68" s="388"/>
      <c r="G68" s="388"/>
      <c r="H68" s="382" t="s">
        <v>11</v>
      </c>
      <c r="I68" s="382" t="s">
        <v>1487</v>
      </c>
      <c r="J68" s="382" t="s">
        <v>1487</v>
      </c>
      <c r="K68" s="382" t="s">
        <v>1279</v>
      </c>
      <c r="L68" s="382" t="s">
        <v>1279</v>
      </c>
    </row>
    <row r="69" ht="15" customHeight="1" spans="2:12">
      <c r="B69" s="384" t="s">
        <v>1609</v>
      </c>
      <c r="C69" s="388"/>
      <c r="D69" s="388"/>
      <c r="E69" s="388"/>
      <c r="F69" s="388"/>
      <c r="G69" s="388"/>
      <c r="H69" s="382" t="s">
        <v>11</v>
      </c>
      <c r="I69" s="382" t="s">
        <v>1487</v>
      </c>
      <c r="J69" s="382" t="s">
        <v>1487</v>
      </c>
      <c r="K69" s="382" t="s">
        <v>1279</v>
      </c>
      <c r="L69" s="382" t="s">
        <v>1279</v>
      </c>
    </row>
    <row r="70" ht="15" customHeight="1" spans="2:12">
      <c r="B70" s="384" t="s">
        <v>1610</v>
      </c>
      <c r="C70" s="388"/>
      <c r="D70" s="388"/>
      <c r="E70" s="388"/>
      <c r="F70" s="388"/>
      <c r="G70" s="388"/>
      <c r="H70" s="382" t="s">
        <v>11</v>
      </c>
      <c r="I70" s="382" t="s">
        <v>1487</v>
      </c>
      <c r="J70" s="382" t="s">
        <v>1487</v>
      </c>
      <c r="K70" s="382" t="s">
        <v>1279</v>
      </c>
      <c r="L70" s="382" t="s">
        <v>1279</v>
      </c>
    </row>
    <row r="71" ht="15" customHeight="1" spans="2:12">
      <c r="B71" s="384" t="s">
        <v>1611</v>
      </c>
      <c r="C71" s="389"/>
      <c r="D71" s="389"/>
      <c r="E71" s="389"/>
      <c r="F71" s="389"/>
      <c r="G71" s="389"/>
      <c r="H71" s="382" t="s">
        <v>11</v>
      </c>
      <c r="I71" s="382" t="s">
        <v>1487</v>
      </c>
      <c r="J71" s="382" t="s">
        <v>1487</v>
      </c>
      <c r="K71" s="382" t="s">
        <v>1279</v>
      </c>
      <c r="L71" s="382" t="s">
        <v>1279</v>
      </c>
    </row>
    <row r="72" ht="15" customHeight="1" spans="2:12">
      <c r="B72" s="384" t="s">
        <v>1612</v>
      </c>
      <c r="C72" s="389"/>
      <c r="D72" s="389"/>
      <c r="E72" s="389"/>
      <c r="F72" s="389"/>
      <c r="G72" s="389"/>
      <c r="H72" s="382" t="s">
        <v>11</v>
      </c>
      <c r="I72" s="382" t="s">
        <v>1487</v>
      </c>
      <c r="J72" s="382" t="s">
        <v>1487</v>
      </c>
      <c r="K72" s="382" t="s">
        <v>1279</v>
      </c>
      <c r="L72" s="382" t="s">
        <v>1279</v>
      </c>
    </row>
    <row r="73" ht="15" customHeight="1" spans="2:12">
      <c r="B73" s="384" t="s">
        <v>1613</v>
      </c>
      <c r="C73" s="389"/>
      <c r="D73" s="389"/>
      <c r="E73" s="389"/>
      <c r="F73" s="389"/>
      <c r="G73" s="389"/>
      <c r="H73" s="382" t="s">
        <v>11</v>
      </c>
      <c r="I73" s="382" t="s">
        <v>1487</v>
      </c>
      <c r="J73" s="382" t="s">
        <v>1487</v>
      </c>
      <c r="K73" s="382" t="s">
        <v>1279</v>
      </c>
      <c r="L73" s="382" t="s">
        <v>1279</v>
      </c>
    </row>
    <row r="74" ht="15" customHeight="1" spans="2:12">
      <c r="B74" s="384" t="s">
        <v>1614</v>
      </c>
      <c r="C74" s="389"/>
      <c r="D74" s="389"/>
      <c r="E74" s="389"/>
      <c r="F74" s="389"/>
      <c r="G74" s="389"/>
      <c r="H74" s="382" t="s">
        <v>11</v>
      </c>
      <c r="I74" s="382" t="s">
        <v>1487</v>
      </c>
      <c r="J74" s="382" t="s">
        <v>1487</v>
      </c>
      <c r="K74" s="382" t="s">
        <v>1279</v>
      </c>
      <c r="L74" s="382" t="s">
        <v>1279</v>
      </c>
    </row>
    <row r="75" ht="15" customHeight="1" spans="2:12">
      <c r="B75" s="384" t="s">
        <v>1615</v>
      </c>
      <c r="C75" s="389"/>
      <c r="D75" s="389"/>
      <c r="E75" s="389"/>
      <c r="F75" s="389"/>
      <c r="G75" s="389"/>
      <c r="H75" s="382" t="s">
        <v>11</v>
      </c>
      <c r="I75" s="382" t="s">
        <v>1487</v>
      </c>
      <c r="J75" s="382" t="s">
        <v>1487</v>
      </c>
      <c r="K75" s="382" t="s">
        <v>1279</v>
      </c>
      <c r="L75" s="382" t="s">
        <v>1279</v>
      </c>
    </row>
    <row r="76" ht="15" customHeight="1" spans="2:12">
      <c r="B76" s="384" t="s">
        <v>1616</v>
      </c>
      <c r="C76" s="389"/>
      <c r="D76" s="389"/>
      <c r="E76" s="389"/>
      <c r="F76" s="389"/>
      <c r="G76" s="389"/>
      <c r="H76" s="382" t="s">
        <v>11</v>
      </c>
      <c r="I76" s="382" t="s">
        <v>1487</v>
      </c>
      <c r="J76" s="382" t="s">
        <v>1487</v>
      </c>
      <c r="K76" s="382" t="s">
        <v>1279</v>
      </c>
      <c r="L76" s="382" t="s">
        <v>1279</v>
      </c>
    </row>
    <row r="77" ht="15" customHeight="1" spans="2:12">
      <c r="B77" s="384" t="s">
        <v>1617</v>
      </c>
      <c r="C77" s="389"/>
      <c r="D77" s="389"/>
      <c r="E77" s="389"/>
      <c r="F77" s="389"/>
      <c r="G77" s="389"/>
      <c r="H77" s="382" t="s">
        <v>11</v>
      </c>
      <c r="I77" s="382" t="s">
        <v>1487</v>
      </c>
      <c r="J77" s="382" t="s">
        <v>1487</v>
      </c>
      <c r="K77" s="382" t="s">
        <v>1279</v>
      </c>
      <c r="L77" s="382" t="s">
        <v>1279</v>
      </c>
    </row>
    <row r="78" ht="15" customHeight="1" spans="2:12">
      <c r="B78" s="384" t="s">
        <v>1618</v>
      </c>
      <c r="C78" s="389"/>
      <c r="D78" s="389"/>
      <c r="E78" s="389"/>
      <c r="F78" s="389"/>
      <c r="G78" s="389"/>
      <c r="H78" s="382" t="s">
        <v>11</v>
      </c>
      <c r="I78" s="382" t="s">
        <v>1487</v>
      </c>
      <c r="J78" s="382" t="s">
        <v>1487</v>
      </c>
      <c r="K78" s="382" t="s">
        <v>1279</v>
      </c>
      <c r="L78" s="382" t="s">
        <v>1279</v>
      </c>
    </row>
    <row r="79" ht="15" customHeight="1" spans="2:12">
      <c r="B79" s="384" t="s">
        <v>1619</v>
      </c>
      <c r="C79" s="389"/>
      <c r="D79" s="389"/>
      <c r="E79" s="389"/>
      <c r="F79" s="389"/>
      <c r="G79" s="389"/>
      <c r="H79" s="382" t="s">
        <v>11</v>
      </c>
      <c r="I79" s="382" t="s">
        <v>1487</v>
      </c>
      <c r="J79" s="382" t="s">
        <v>1487</v>
      </c>
      <c r="K79" s="382" t="s">
        <v>1279</v>
      </c>
      <c r="L79" s="382" t="s">
        <v>1279</v>
      </c>
    </row>
    <row r="80" ht="15" customHeight="1" spans="2:12">
      <c r="B80" s="384" t="s">
        <v>1620</v>
      </c>
      <c r="C80" s="389"/>
      <c r="D80" s="389"/>
      <c r="E80" s="389"/>
      <c r="F80" s="389"/>
      <c r="G80" s="389"/>
      <c r="H80" s="382" t="s">
        <v>11</v>
      </c>
      <c r="I80" s="382" t="s">
        <v>1487</v>
      </c>
      <c r="J80" s="382" t="s">
        <v>1487</v>
      </c>
      <c r="K80" s="382" t="s">
        <v>1279</v>
      </c>
      <c r="L80" s="382" t="s">
        <v>1279</v>
      </c>
    </row>
    <row r="81" ht="15" customHeight="1" spans="2:12">
      <c r="B81" s="384" t="s">
        <v>1621</v>
      </c>
      <c r="C81" s="389"/>
      <c r="D81" s="389"/>
      <c r="E81" s="389"/>
      <c r="F81" s="389"/>
      <c r="G81" s="389"/>
      <c r="H81" s="382" t="s">
        <v>11</v>
      </c>
      <c r="I81" s="382" t="s">
        <v>1487</v>
      </c>
      <c r="J81" s="382" t="s">
        <v>1487</v>
      </c>
      <c r="K81" s="382" t="s">
        <v>1279</v>
      </c>
      <c r="L81" s="382" t="s">
        <v>1279</v>
      </c>
    </row>
    <row r="82" ht="15" customHeight="1" spans="2:12">
      <c r="B82" s="384" t="s">
        <v>1622</v>
      </c>
      <c r="C82" s="389"/>
      <c r="D82" s="389"/>
      <c r="E82" s="389"/>
      <c r="F82" s="389"/>
      <c r="G82" s="389"/>
      <c r="H82" s="382" t="s">
        <v>11</v>
      </c>
      <c r="I82" s="382" t="s">
        <v>1487</v>
      </c>
      <c r="J82" s="382" t="s">
        <v>1487</v>
      </c>
      <c r="K82" s="382" t="s">
        <v>1279</v>
      </c>
      <c r="L82" s="382" t="s">
        <v>1279</v>
      </c>
    </row>
    <row r="83" ht="15" customHeight="1" spans="2:12">
      <c r="B83" s="384" t="s">
        <v>1623</v>
      </c>
      <c r="C83" s="389"/>
      <c r="D83" s="389"/>
      <c r="E83" s="389"/>
      <c r="F83" s="389"/>
      <c r="G83" s="389"/>
      <c r="H83" s="382" t="s">
        <v>11</v>
      </c>
      <c r="I83" s="382" t="s">
        <v>1487</v>
      </c>
      <c r="J83" s="382" t="s">
        <v>1487</v>
      </c>
      <c r="K83" s="382" t="s">
        <v>1279</v>
      </c>
      <c r="L83" s="382" t="s">
        <v>1279</v>
      </c>
    </row>
    <row r="84" ht="15" customHeight="1" spans="2:12">
      <c r="B84" s="384" t="s">
        <v>1624</v>
      </c>
      <c r="C84" s="389"/>
      <c r="D84" s="389"/>
      <c r="E84" s="389"/>
      <c r="F84" s="389"/>
      <c r="G84" s="389"/>
      <c r="H84" s="382" t="s">
        <v>11</v>
      </c>
      <c r="I84" s="382" t="s">
        <v>1487</v>
      </c>
      <c r="J84" s="382" t="s">
        <v>1487</v>
      </c>
      <c r="K84" s="382" t="s">
        <v>1279</v>
      </c>
      <c r="L84" s="382" t="s">
        <v>1279</v>
      </c>
    </row>
    <row r="85" ht="15" customHeight="1" spans="2:12">
      <c r="B85" s="384" t="s">
        <v>1625</v>
      </c>
      <c r="C85" s="388"/>
      <c r="D85" s="388"/>
      <c r="E85" s="388"/>
      <c r="F85" s="388"/>
      <c r="G85" s="388"/>
      <c r="H85" s="382" t="s">
        <v>11</v>
      </c>
      <c r="I85" s="382" t="s">
        <v>1487</v>
      </c>
      <c r="J85" s="382" t="s">
        <v>1487</v>
      </c>
      <c r="K85" s="382" t="s">
        <v>1279</v>
      </c>
      <c r="L85" s="382" t="s">
        <v>1279</v>
      </c>
    </row>
    <row r="86" ht="15" customHeight="1" spans="2:12">
      <c r="B86" s="384" t="s">
        <v>1626</v>
      </c>
      <c r="C86" s="388"/>
      <c r="D86" s="388"/>
      <c r="E86" s="388"/>
      <c r="F86" s="388"/>
      <c r="G86" s="388"/>
      <c r="H86" s="382" t="s">
        <v>11</v>
      </c>
      <c r="I86" s="382" t="s">
        <v>1487</v>
      </c>
      <c r="J86" s="382" t="s">
        <v>1487</v>
      </c>
      <c r="K86" s="382" t="s">
        <v>1279</v>
      </c>
      <c r="L86" s="382" t="s">
        <v>1279</v>
      </c>
    </row>
    <row r="87" ht="15" customHeight="1" spans="2:12">
      <c r="B87" s="384" t="s">
        <v>1627</v>
      </c>
      <c r="C87" s="388"/>
      <c r="D87" s="388"/>
      <c r="E87" s="388"/>
      <c r="F87" s="388"/>
      <c r="G87" s="388"/>
      <c r="H87" s="382" t="s">
        <v>11</v>
      </c>
      <c r="I87" s="382" t="s">
        <v>1487</v>
      </c>
      <c r="J87" s="382" t="s">
        <v>1487</v>
      </c>
      <c r="K87" s="382" t="s">
        <v>1279</v>
      </c>
      <c r="L87" s="382" t="s">
        <v>1279</v>
      </c>
    </row>
    <row r="88" ht="15" customHeight="1" spans="2:12">
      <c r="B88" s="384" t="s">
        <v>1628</v>
      </c>
      <c r="C88" s="388"/>
      <c r="D88" s="388"/>
      <c r="E88" s="388"/>
      <c r="F88" s="388"/>
      <c r="G88" s="388"/>
      <c r="H88" s="382" t="s">
        <v>11</v>
      </c>
      <c r="I88" s="382" t="s">
        <v>1487</v>
      </c>
      <c r="J88" s="382" t="s">
        <v>1487</v>
      </c>
      <c r="K88" s="382" t="s">
        <v>1279</v>
      </c>
      <c r="L88" s="382" t="s">
        <v>1279</v>
      </c>
    </row>
    <row r="89" ht="15" customHeight="1" spans="2:12">
      <c r="B89" s="384" t="s">
        <v>1629</v>
      </c>
      <c r="C89" s="388"/>
      <c r="D89" s="388"/>
      <c r="E89" s="388"/>
      <c r="F89" s="388"/>
      <c r="G89" s="388"/>
      <c r="H89" s="382" t="s">
        <v>11</v>
      </c>
      <c r="I89" s="382" t="s">
        <v>1487</v>
      </c>
      <c r="J89" s="382" t="s">
        <v>1487</v>
      </c>
      <c r="K89" s="382" t="s">
        <v>1279</v>
      </c>
      <c r="L89" s="382" t="s">
        <v>1279</v>
      </c>
    </row>
    <row r="90" ht="15" customHeight="1" spans="2:12">
      <c r="B90" s="384" t="s">
        <v>1630</v>
      </c>
      <c r="C90" s="388" t="s">
        <v>1631</v>
      </c>
      <c r="D90" s="388"/>
      <c r="E90" s="388" t="s">
        <v>1631</v>
      </c>
      <c r="F90" s="388"/>
      <c r="G90" s="388"/>
      <c r="H90" s="382" t="s">
        <v>11</v>
      </c>
      <c r="I90" s="382" t="s">
        <v>1487</v>
      </c>
      <c r="J90" s="382" t="s">
        <v>1487</v>
      </c>
      <c r="K90" s="382" t="s">
        <v>1279</v>
      </c>
      <c r="L90" s="382" t="s">
        <v>1279</v>
      </c>
    </row>
    <row r="91" ht="15" customHeight="1" spans="2:12">
      <c r="B91" s="384" t="s">
        <v>1632</v>
      </c>
      <c r="C91" s="388" t="s">
        <v>1631</v>
      </c>
      <c r="D91" s="388"/>
      <c r="E91" s="388" t="s">
        <v>1631</v>
      </c>
      <c r="F91" s="388"/>
      <c r="G91" s="388"/>
      <c r="H91" s="382" t="s">
        <v>11</v>
      </c>
      <c r="I91" s="382" t="s">
        <v>1487</v>
      </c>
      <c r="J91" s="382" t="s">
        <v>1487</v>
      </c>
      <c r="K91" s="382" t="s">
        <v>1279</v>
      </c>
      <c r="L91" s="382" t="s">
        <v>1279</v>
      </c>
    </row>
    <row r="92" ht="15" customHeight="1" spans="2:12">
      <c r="B92" s="384" t="s">
        <v>1633</v>
      </c>
      <c r="C92" s="388" t="s">
        <v>1631</v>
      </c>
      <c r="D92" s="388"/>
      <c r="E92" s="388" t="s">
        <v>1631</v>
      </c>
      <c r="F92" s="388"/>
      <c r="G92" s="388"/>
      <c r="H92" s="382" t="s">
        <v>11</v>
      </c>
      <c r="I92" s="382" t="s">
        <v>1487</v>
      </c>
      <c r="J92" s="382" t="s">
        <v>1487</v>
      </c>
      <c r="K92" s="382" t="s">
        <v>1279</v>
      </c>
      <c r="L92" s="382" t="s">
        <v>1279</v>
      </c>
    </row>
    <row r="93" ht="15" customHeight="1" spans="2:12">
      <c r="B93" s="384" t="s">
        <v>1634</v>
      </c>
      <c r="C93" s="388" t="s">
        <v>1631</v>
      </c>
      <c r="D93" s="388"/>
      <c r="E93" s="388" t="s">
        <v>1631</v>
      </c>
      <c r="F93" s="388"/>
      <c r="G93" s="388"/>
      <c r="H93" s="382" t="s">
        <v>11</v>
      </c>
      <c r="I93" s="382" t="s">
        <v>1487</v>
      </c>
      <c r="J93" s="382" t="s">
        <v>1487</v>
      </c>
      <c r="K93" s="382" t="s">
        <v>1279</v>
      </c>
      <c r="L93" s="382" t="s">
        <v>1279</v>
      </c>
    </row>
    <row r="94" ht="15" customHeight="1" spans="2:12">
      <c r="B94" s="384" t="s">
        <v>1635</v>
      </c>
      <c r="C94" s="388" t="s">
        <v>1631</v>
      </c>
      <c r="D94" s="388"/>
      <c r="E94" s="388" t="s">
        <v>1631</v>
      </c>
      <c r="F94" s="388"/>
      <c r="G94" s="388"/>
      <c r="H94" s="382" t="s">
        <v>11</v>
      </c>
      <c r="I94" s="382" t="s">
        <v>1487</v>
      </c>
      <c r="J94" s="382" t="s">
        <v>1487</v>
      </c>
      <c r="K94" s="382" t="s">
        <v>1279</v>
      </c>
      <c r="L94" s="382" t="s">
        <v>1279</v>
      </c>
    </row>
    <row r="95" ht="15" customHeight="1" spans="2:12">
      <c r="B95" s="384" t="s">
        <v>1636</v>
      </c>
      <c r="C95" s="388" t="s">
        <v>1631</v>
      </c>
      <c r="D95" s="388"/>
      <c r="E95" s="388" t="s">
        <v>1631</v>
      </c>
      <c r="F95" s="388"/>
      <c r="G95" s="388"/>
      <c r="H95" s="382" t="s">
        <v>11</v>
      </c>
      <c r="I95" s="382" t="s">
        <v>1487</v>
      </c>
      <c r="J95" s="382" t="s">
        <v>1487</v>
      </c>
      <c r="K95" s="382" t="s">
        <v>1279</v>
      </c>
      <c r="L95" s="382" t="s">
        <v>1279</v>
      </c>
    </row>
    <row r="96" ht="15" customHeight="1" spans="2:12">
      <c r="B96" s="384" t="s">
        <v>1637</v>
      </c>
      <c r="C96" s="388" t="s">
        <v>1631</v>
      </c>
      <c r="D96" s="388"/>
      <c r="E96" s="388" t="s">
        <v>1631</v>
      </c>
      <c r="F96" s="388"/>
      <c r="G96" s="388"/>
      <c r="H96" s="382" t="s">
        <v>11</v>
      </c>
      <c r="I96" s="382" t="s">
        <v>1487</v>
      </c>
      <c r="J96" s="382" t="s">
        <v>1487</v>
      </c>
      <c r="K96" s="382" t="s">
        <v>1279</v>
      </c>
      <c r="L96" s="382" t="s">
        <v>1279</v>
      </c>
    </row>
    <row r="97" ht="15" customHeight="1" spans="2:12">
      <c r="B97" s="384" t="s">
        <v>1638</v>
      </c>
      <c r="C97" s="388" t="s">
        <v>1631</v>
      </c>
      <c r="D97" s="388"/>
      <c r="E97" s="388" t="s">
        <v>1631</v>
      </c>
      <c r="F97" s="388"/>
      <c r="G97" s="388"/>
      <c r="H97" s="382" t="s">
        <v>11</v>
      </c>
      <c r="I97" s="382" t="s">
        <v>1487</v>
      </c>
      <c r="J97" s="382" t="s">
        <v>1487</v>
      </c>
      <c r="K97" s="382" t="s">
        <v>1279</v>
      </c>
      <c r="L97" s="382" t="s">
        <v>1279</v>
      </c>
    </row>
    <row r="98" ht="15" customHeight="1" spans="2:12">
      <c r="B98" s="384" t="s">
        <v>1639</v>
      </c>
      <c r="C98" s="388" t="s">
        <v>1631</v>
      </c>
      <c r="D98" s="388"/>
      <c r="E98" s="388" t="s">
        <v>1631</v>
      </c>
      <c r="F98" s="388"/>
      <c r="G98" s="388"/>
      <c r="H98" s="382" t="s">
        <v>11</v>
      </c>
      <c r="I98" s="382" t="s">
        <v>1487</v>
      </c>
      <c r="J98" s="382" t="s">
        <v>1487</v>
      </c>
      <c r="K98" s="382" t="s">
        <v>1279</v>
      </c>
      <c r="L98" s="382" t="s">
        <v>1279</v>
      </c>
    </row>
    <row r="99" ht="15" customHeight="1" spans="2:12">
      <c r="B99" s="384" t="s">
        <v>1640</v>
      </c>
      <c r="C99" s="388" t="s">
        <v>1631</v>
      </c>
      <c r="D99" s="388"/>
      <c r="E99" s="388" t="s">
        <v>1631</v>
      </c>
      <c r="F99" s="388"/>
      <c r="G99" s="388"/>
      <c r="H99" s="382" t="s">
        <v>11</v>
      </c>
      <c r="I99" s="382" t="s">
        <v>1487</v>
      </c>
      <c r="J99" s="382" t="s">
        <v>1487</v>
      </c>
      <c r="K99" s="382" t="s">
        <v>1279</v>
      </c>
      <c r="L99" s="382" t="s">
        <v>1279</v>
      </c>
    </row>
    <row r="100" ht="15" customHeight="1" spans="2:12">
      <c r="B100" s="384" t="s">
        <v>1641</v>
      </c>
      <c r="C100" s="388" t="s">
        <v>1631</v>
      </c>
      <c r="D100" s="388"/>
      <c r="E100" s="388" t="s">
        <v>1631</v>
      </c>
      <c r="F100" s="388"/>
      <c r="G100" s="388"/>
      <c r="H100" s="382" t="s">
        <v>11</v>
      </c>
      <c r="I100" s="382" t="s">
        <v>1487</v>
      </c>
      <c r="J100" s="382" t="s">
        <v>1487</v>
      </c>
      <c r="K100" s="382" t="s">
        <v>1279</v>
      </c>
      <c r="L100" s="382" t="s">
        <v>1279</v>
      </c>
    </row>
    <row r="101" ht="15" customHeight="1" spans="2:12">
      <c r="B101" s="384" t="s">
        <v>1642</v>
      </c>
      <c r="C101" s="388" t="s">
        <v>1631</v>
      </c>
      <c r="D101" s="388"/>
      <c r="E101" s="388" t="s">
        <v>1631</v>
      </c>
      <c r="F101" s="388"/>
      <c r="G101" s="388"/>
      <c r="H101" s="382" t="s">
        <v>11</v>
      </c>
      <c r="I101" s="382" t="s">
        <v>1487</v>
      </c>
      <c r="J101" s="382" t="s">
        <v>1487</v>
      </c>
      <c r="K101" s="382" t="s">
        <v>1279</v>
      </c>
      <c r="L101" s="382" t="s">
        <v>1279</v>
      </c>
    </row>
    <row r="102" ht="15" customHeight="1" spans="2:12">
      <c r="B102" s="384" t="s">
        <v>1643</v>
      </c>
      <c r="C102" s="388" t="s">
        <v>1631</v>
      </c>
      <c r="D102" s="388"/>
      <c r="E102" s="388" t="s">
        <v>1631</v>
      </c>
      <c r="F102" s="388"/>
      <c r="G102" s="388"/>
      <c r="H102" s="382" t="s">
        <v>11</v>
      </c>
      <c r="I102" s="382" t="s">
        <v>1487</v>
      </c>
      <c r="J102" s="382" t="s">
        <v>1487</v>
      </c>
      <c r="K102" s="382" t="s">
        <v>1279</v>
      </c>
      <c r="L102" s="382" t="s">
        <v>1279</v>
      </c>
    </row>
    <row r="103" ht="15" customHeight="1" spans="2:12">
      <c r="B103" s="384" t="s">
        <v>1644</v>
      </c>
      <c r="C103" s="388" t="s">
        <v>1631</v>
      </c>
      <c r="D103" s="388"/>
      <c r="E103" s="388" t="s">
        <v>1631</v>
      </c>
      <c r="F103" s="388"/>
      <c r="G103" s="388"/>
      <c r="H103" s="382" t="s">
        <v>11</v>
      </c>
      <c r="I103" s="382" t="s">
        <v>1487</v>
      </c>
      <c r="J103" s="382" t="s">
        <v>1487</v>
      </c>
      <c r="K103" s="382" t="s">
        <v>1279</v>
      </c>
      <c r="L103" s="382" t="s">
        <v>1279</v>
      </c>
    </row>
    <row r="104" ht="15" customHeight="1" spans="2:12">
      <c r="B104" s="384" t="s">
        <v>1645</v>
      </c>
      <c r="C104" s="388" t="s">
        <v>1631</v>
      </c>
      <c r="D104" s="388"/>
      <c r="E104" s="388" t="s">
        <v>1631</v>
      </c>
      <c r="F104" s="388"/>
      <c r="G104" s="388"/>
      <c r="H104" s="382" t="s">
        <v>11</v>
      </c>
      <c r="I104" s="382" t="s">
        <v>1487</v>
      </c>
      <c r="J104" s="382" t="s">
        <v>1487</v>
      </c>
      <c r="K104" s="382" t="s">
        <v>1279</v>
      </c>
      <c r="L104" s="382" t="s">
        <v>1279</v>
      </c>
    </row>
    <row r="105" ht="15" customHeight="1" spans="2:12">
      <c r="B105" s="384" t="s">
        <v>1646</v>
      </c>
      <c r="C105" s="388" t="s">
        <v>1631</v>
      </c>
      <c r="D105" s="388"/>
      <c r="E105" s="388" t="s">
        <v>1631</v>
      </c>
      <c r="F105" s="388"/>
      <c r="G105" s="388"/>
      <c r="H105" s="382" t="s">
        <v>11</v>
      </c>
      <c r="I105" s="382" t="s">
        <v>1487</v>
      </c>
      <c r="J105" s="382" t="s">
        <v>1487</v>
      </c>
      <c r="K105" s="382" t="s">
        <v>1279</v>
      </c>
      <c r="L105" s="382" t="s">
        <v>1279</v>
      </c>
    </row>
    <row r="106" ht="15" customHeight="1" spans="2:12">
      <c r="B106" s="384" t="s">
        <v>1647</v>
      </c>
      <c r="C106" s="388" t="s">
        <v>1631</v>
      </c>
      <c r="D106" s="388"/>
      <c r="E106" s="388" t="s">
        <v>1631</v>
      </c>
      <c r="F106" s="388"/>
      <c r="G106" s="388"/>
      <c r="H106" s="382" t="s">
        <v>11</v>
      </c>
      <c r="I106" s="382" t="s">
        <v>1487</v>
      </c>
      <c r="J106" s="382" t="s">
        <v>1487</v>
      </c>
      <c r="K106" s="382" t="s">
        <v>1279</v>
      </c>
      <c r="L106" s="382" t="s">
        <v>1279</v>
      </c>
    </row>
    <row r="107" ht="15" customHeight="1" spans="2:12">
      <c r="B107" s="384" t="s">
        <v>1648</v>
      </c>
      <c r="C107" s="388" t="s">
        <v>1631</v>
      </c>
      <c r="D107" s="388"/>
      <c r="E107" s="388" t="s">
        <v>1631</v>
      </c>
      <c r="F107" s="388"/>
      <c r="G107" s="388"/>
      <c r="H107" s="382" t="s">
        <v>11</v>
      </c>
      <c r="I107" s="382" t="s">
        <v>1487</v>
      </c>
      <c r="J107" s="382" t="s">
        <v>1487</v>
      </c>
      <c r="K107" s="382" t="s">
        <v>1279</v>
      </c>
      <c r="L107" s="382" t="s">
        <v>1279</v>
      </c>
    </row>
    <row r="108" ht="15" customHeight="1" spans="2:12">
      <c r="B108" s="384" t="s">
        <v>1649</v>
      </c>
      <c r="C108" s="388" t="s">
        <v>1631</v>
      </c>
      <c r="D108" s="388"/>
      <c r="E108" s="388" t="s">
        <v>1631</v>
      </c>
      <c r="F108" s="388"/>
      <c r="G108" s="388"/>
      <c r="H108" s="382" t="s">
        <v>11</v>
      </c>
      <c r="I108" s="382" t="s">
        <v>1487</v>
      </c>
      <c r="J108" s="382" t="s">
        <v>1487</v>
      </c>
      <c r="K108" s="382" t="s">
        <v>1279</v>
      </c>
      <c r="L108" s="382" t="s">
        <v>1279</v>
      </c>
    </row>
    <row r="109" ht="15" customHeight="1" spans="2:12">
      <c r="B109" s="384" t="s">
        <v>1650</v>
      </c>
      <c r="C109" s="388" t="s">
        <v>1631</v>
      </c>
      <c r="D109" s="388"/>
      <c r="E109" s="388" t="s">
        <v>1631</v>
      </c>
      <c r="F109" s="388"/>
      <c r="G109" s="388"/>
      <c r="H109" s="382" t="s">
        <v>11</v>
      </c>
      <c r="I109" s="382" t="s">
        <v>1487</v>
      </c>
      <c r="J109" s="382" t="s">
        <v>1487</v>
      </c>
      <c r="K109" s="382" t="s">
        <v>1279</v>
      </c>
      <c r="L109" s="382" t="s">
        <v>1279</v>
      </c>
    </row>
    <row r="110" ht="15" customHeight="1" spans="2:12">
      <c r="B110" s="384" t="s">
        <v>1651</v>
      </c>
      <c r="C110" s="388" t="s">
        <v>1631</v>
      </c>
      <c r="D110" s="388"/>
      <c r="E110" s="388" t="s">
        <v>1631</v>
      </c>
      <c r="F110" s="388"/>
      <c r="G110" s="388"/>
      <c r="H110" s="382" t="s">
        <v>11</v>
      </c>
      <c r="I110" s="382" t="s">
        <v>1487</v>
      </c>
      <c r="J110" s="382" t="s">
        <v>1487</v>
      </c>
      <c r="K110" s="382" t="s">
        <v>1279</v>
      </c>
      <c r="L110" s="382" t="s">
        <v>1279</v>
      </c>
    </row>
    <row r="111" ht="15" customHeight="1" spans="2:12">
      <c r="B111" s="384" t="s">
        <v>1652</v>
      </c>
      <c r="C111" s="388" t="s">
        <v>1631</v>
      </c>
      <c r="D111" s="388"/>
      <c r="E111" s="388" t="s">
        <v>1631</v>
      </c>
      <c r="F111" s="388"/>
      <c r="G111" s="388"/>
      <c r="H111" s="382" t="s">
        <v>11</v>
      </c>
      <c r="I111" s="382" t="s">
        <v>1487</v>
      </c>
      <c r="J111" s="382" t="s">
        <v>1487</v>
      </c>
      <c r="K111" s="382" t="s">
        <v>1279</v>
      </c>
      <c r="L111" s="382" t="s">
        <v>1279</v>
      </c>
    </row>
    <row r="112" ht="15" customHeight="1" spans="2:12">
      <c r="B112" s="384" t="s">
        <v>1653</v>
      </c>
      <c r="C112" s="388" t="s">
        <v>1631</v>
      </c>
      <c r="D112" s="388"/>
      <c r="E112" s="388" t="s">
        <v>1631</v>
      </c>
      <c r="F112" s="388"/>
      <c r="G112" s="388"/>
      <c r="H112" s="382" t="s">
        <v>11</v>
      </c>
      <c r="I112" s="382" t="s">
        <v>1487</v>
      </c>
      <c r="J112" s="382" t="s">
        <v>1487</v>
      </c>
      <c r="K112" s="382" t="s">
        <v>1279</v>
      </c>
      <c r="L112" s="382" t="s">
        <v>1279</v>
      </c>
    </row>
    <row r="113" ht="15" customHeight="1" spans="2:12">
      <c r="B113" s="384" t="s">
        <v>1654</v>
      </c>
      <c r="C113" s="388" t="s">
        <v>1631</v>
      </c>
      <c r="D113" s="388"/>
      <c r="E113" s="388" t="s">
        <v>1631</v>
      </c>
      <c r="F113" s="388"/>
      <c r="G113" s="388"/>
      <c r="H113" s="382" t="s">
        <v>11</v>
      </c>
      <c r="I113" s="382" t="s">
        <v>1487</v>
      </c>
      <c r="J113" s="382" t="s">
        <v>1487</v>
      </c>
      <c r="K113" s="382" t="s">
        <v>1279</v>
      </c>
      <c r="L113" s="382" t="s">
        <v>1279</v>
      </c>
    </row>
    <row r="114" ht="15" customHeight="1" spans="2:12">
      <c r="B114" s="384" t="s">
        <v>1655</v>
      </c>
      <c r="C114" s="388" t="s">
        <v>1631</v>
      </c>
      <c r="D114" s="388"/>
      <c r="E114" s="388" t="s">
        <v>1631</v>
      </c>
      <c r="F114" s="388"/>
      <c r="G114" s="388"/>
      <c r="H114" s="382" t="s">
        <v>11</v>
      </c>
      <c r="I114" s="382" t="s">
        <v>1487</v>
      </c>
      <c r="J114" s="382" t="s">
        <v>1487</v>
      </c>
      <c r="K114" s="382" t="s">
        <v>1279</v>
      </c>
      <c r="L114" s="382" t="s">
        <v>1279</v>
      </c>
    </row>
    <row r="115" ht="15" customHeight="1" spans="2:12">
      <c r="B115" s="384" t="s">
        <v>1656</v>
      </c>
      <c r="C115" s="388" t="s">
        <v>1631</v>
      </c>
      <c r="D115" s="388"/>
      <c r="E115" s="388" t="s">
        <v>1631</v>
      </c>
      <c r="F115" s="388"/>
      <c r="G115" s="388"/>
      <c r="H115" s="382" t="s">
        <v>11</v>
      </c>
      <c r="I115" s="382" t="s">
        <v>1487</v>
      </c>
      <c r="J115" s="382" t="s">
        <v>1487</v>
      </c>
      <c r="K115" s="382" t="s">
        <v>1279</v>
      </c>
      <c r="L115" s="382" t="s">
        <v>1279</v>
      </c>
    </row>
    <row r="116" ht="15" customHeight="1" spans="2:12">
      <c r="B116" s="384" t="s">
        <v>1657</v>
      </c>
      <c r="C116" s="388" t="s">
        <v>1631</v>
      </c>
      <c r="D116" s="388"/>
      <c r="E116" s="388" t="s">
        <v>1631</v>
      </c>
      <c r="F116" s="388"/>
      <c r="G116" s="388"/>
      <c r="H116" s="382" t="s">
        <v>11</v>
      </c>
      <c r="I116" s="382" t="s">
        <v>1487</v>
      </c>
      <c r="J116" s="382" t="s">
        <v>1487</v>
      </c>
      <c r="K116" s="382" t="s">
        <v>1279</v>
      </c>
      <c r="L116" s="382" t="s">
        <v>1279</v>
      </c>
    </row>
    <row r="117" ht="15" customHeight="1" spans="2:12">
      <c r="B117" s="384" t="s">
        <v>1658</v>
      </c>
      <c r="C117" s="388" t="s">
        <v>1631</v>
      </c>
      <c r="D117" s="388"/>
      <c r="E117" s="388" t="s">
        <v>1631</v>
      </c>
      <c r="F117" s="388"/>
      <c r="G117" s="388"/>
      <c r="H117" s="382" t="s">
        <v>11</v>
      </c>
      <c r="I117" s="382" t="s">
        <v>1487</v>
      </c>
      <c r="J117" s="382" t="s">
        <v>1487</v>
      </c>
      <c r="K117" s="382" t="s">
        <v>1279</v>
      </c>
      <c r="L117" s="382" t="s">
        <v>1279</v>
      </c>
    </row>
    <row r="118" ht="15" customHeight="1" spans="2:12">
      <c r="B118" s="384" t="s">
        <v>1659</v>
      </c>
      <c r="C118" s="388" t="s">
        <v>1631</v>
      </c>
      <c r="D118" s="388"/>
      <c r="E118" s="388" t="s">
        <v>1631</v>
      </c>
      <c r="F118" s="388"/>
      <c r="G118" s="388"/>
      <c r="H118" s="382" t="s">
        <v>11</v>
      </c>
      <c r="I118" s="382" t="s">
        <v>1487</v>
      </c>
      <c r="J118" s="382" t="s">
        <v>1487</v>
      </c>
      <c r="K118" s="382" t="s">
        <v>1279</v>
      </c>
      <c r="L118" s="382" t="s">
        <v>1279</v>
      </c>
    </row>
    <row r="119" ht="15" customHeight="1" spans="2:12">
      <c r="B119" s="384" t="s">
        <v>1660</v>
      </c>
      <c r="C119" s="388" t="s">
        <v>1631</v>
      </c>
      <c r="D119" s="388"/>
      <c r="E119" s="388" t="s">
        <v>1631</v>
      </c>
      <c r="F119" s="388"/>
      <c r="G119" s="388"/>
      <c r="H119" s="382" t="s">
        <v>11</v>
      </c>
      <c r="I119" s="382" t="s">
        <v>1487</v>
      </c>
      <c r="J119" s="382" t="s">
        <v>1487</v>
      </c>
      <c r="K119" s="382" t="s">
        <v>1279</v>
      </c>
      <c r="L119" s="382" t="s">
        <v>1279</v>
      </c>
    </row>
  </sheetData>
  <mergeCells count="17">
    <mergeCell ref="K19:L19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B11:E14"/>
    <mergeCell ref="B15:E16"/>
    <mergeCell ref="F11:L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theme="8" tint="0.799981688894314"/>
  </sheetPr>
  <dimension ref="A1:L119"/>
  <sheetViews>
    <sheetView showGridLines="0" showZeros="0" zoomScale="85" zoomScaleNormal="85" workbookViewId="0">
      <pane xSplit="1" ySplit="24" topLeftCell="B25" activePane="bottomRight" state="frozen"/>
      <selection/>
      <selection pane="topRight"/>
      <selection pane="bottomLeft"/>
      <selection pane="bottomRight" activeCell="S38" sqref="S38"/>
    </sheetView>
  </sheetViews>
  <sheetFormatPr defaultColWidth="8.72222222222222" defaultRowHeight="10.8"/>
  <cols>
    <col min="1" max="1" width="1.62962962962963" style="17" customWidth="1"/>
    <col min="2" max="2" width="11.2314814814815" style="17" customWidth="1"/>
    <col min="3" max="3" width="12.6296296296296" style="17" customWidth="1"/>
    <col min="4" max="4" width="12.7222222222222" style="17" customWidth="1"/>
    <col min="5" max="5" width="15.6296296296296" style="17" customWidth="1"/>
    <col min="6" max="6" width="11.6296296296296" style="17" customWidth="1"/>
    <col min="7" max="7" width="10.0925925925926" style="17" customWidth="1"/>
    <col min="8" max="8" width="11" style="17" customWidth="1"/>
    <col min="9" max="9" width="13.5462962962963" style="17" customWidth="1"/>
    <col min="10" max="11" width="12.6296296296296" style="17" customWidth="1"/>
    <col min="12" max="32" width="8.72222222222222" style="17" customWidth="1"/>
    <col min="33" max="16384" width="8.72222222222222" style="17"/>
  </cols>
  <sheetData>
    <row r="1" ht="16.5" customHeight="1" spans="1:12">
      <c r="A1" s="61" t="s">
        <v>100</v>
      </c>
      <c r="B1" s="17" t="s">
        <v>1543</v>
      </c>
      <c r="C1" s="17" t="s">
        <v>1544</v>
      </c>
    </row>
    <row r="2" ht="16.5" customHeight="1" spans="1:12">
      <c r="B2" s="371" t="s">
        <v>1545</v>
      </c>
      <c r="C2" s="17" t="s">
        <v>1546</v>
      </c>
    </row>
    <row r="3" ht="16.5" customHeight="1" spans="1:12">
      <c r="B3" s="371" t="s">
        <v>1547</v>
      </c>
      <c r="C3" s="17" t="s">
        <v>125</v>
      </c>
    </row>
    <row r="4" ht="16.5" customHeight="1" spans="1:12">
      <c r="B4" s="371" t="s">
        <v>1548</v>
      </c>
      <c r="C4" s="17" t="s">
        <v>1549</v>
      </c>
    </row>
    <row r="5" ht="16.5" customHeight="1" spans="1:12">
      <c r="B5" s="371" t="s">
        <v>1550</v>
      </c>
      <c r="C5" s="17" t="s">
        <v>1551</v>
      </c>
    </row>
    <row r="6" ht="16.5" customHeight="1" spans="1:12">
      <c r="B6" s="371" t="s">
        <v>118</v>
      </c>
      <c r="C6" s="17" t="s">
        <v>1552</v>
      </c>
    </row>
    <row r="7" ht="16.5" customHeight="1" spans="1:12">
      <c r="B7" s="371" t="s">
        <v>1553</v>
      </c>
      <c r="C7" s="17" t="s">
        <v>1554</v>
      </c>
    </row>
    <row r="8" ht="9" customHeight="1" spans="1:12">
      <c r="B8" s="371"/>
    </row>
    <row r="9" ht="9" customHeight="1"/>
    <row r="10" ht="3.65" customHeight="1" spans="1:12">
      <c r="B10" s="372"/>
      <c r="E10" s="373"/>
      <c r="F10" s="373"/>
    </row>
    <row r="11" ht="13" customHeight="1" spans="1:12">
      <c r="B11" s="234" t="s">
        <v>1664</v>
      </c>
      <c r="C11" s="234"/>
      <c r="D11" s="234"/>
      <c r="E11" s="234"/>
      <c r="F11" s="7" t="s">
        <v>1665</v>
      </c>
      <c r="G11" s="8"/>
      <c r="H11" s="8"/>
      <c r="I11" s="8"/>
      <c r="J11" s="8"/>
      <c r="K11" s="8"/>
      <c r="L11" s="9"/>
    </row>
    <row r="12" ht="13" customHeight="1" spans="1:12">
      <c r="B12" s="234"/>
      <c r="C12" s="234"/>
      <c r="D12" s="234"/>
      <c r="E12" s="234"/>
      <c r="F12" s="10"/>
      <c r="G12" s="11"/>
      <c r="H12" s="11"/>
      <c r="I12" s="11"/>
      <c r="J12" s="11"/>
      <c r="K12" s="11"/>
      <c r="L12" s="12"/>
    </row>
    <row r="13" ht="11.25" customHeight="1" spans="1:12">
      <c r="B13" s="234"/>
      <c r="C13" s="234"/>
      <c r="D13" s="234"/>
      <c r="E13" s="234"/>
      <c r="F13" s="10"/>
      <c r="G13" s="11"/>
      <c r="H13" s="11"/>
      <c r="I13" s="11"/>
      <c r="J13" s="11"/>
      <c r="K13" s="11"/>
      <c r="L13" s="12"/>
    </row>
    <row r="14" ht="11.25" customHeight="1" spans="1:12">
      <c r="B14" s="234"/>
      <c r="C14" s="234"/>
      <c r="D14" s="234"/>
      <c r="E14" s="234"/>
      <c r="F14" s="10"/>
      <c r="G14" s="11"/>
      <c r="H14" s="11"/>
      <c r="I14" s="11"/>
      <c r="J14" s="11"/>
      <c r="K14" s="11"/>
      <c r="L14" s="12"/>
    </row>
    <row r="15" ht="11.25" customHeight="1" spans="1:12">
      <c r="B15" s="13" t="s">
        <v>1557</v>
      </c>
      <c r="C15" s="13"/>
      <c r="D15" s="13"/>
      <c r="E15" s="13"/>
      <c r="F15" s="10"/>
      <c r="G15" s="11"/>
      <c r="H15" s="11"/>
      <c r="I15" s="11"/>
      <c r="J15" s="11"/>
      <c r="K15" s="11"/>
      <c r="L15" s="12"/>
    </row>
    <row r="16" ht="11.25" customHeight="1" spans="1:12">
      <c r="B16" s="13"/>
      <c r="C16" s="13"/>
      <c r="D16" s="13"/>
      <c r="E16" s="13"/>
      <c r="F16" s="14"/>
      <c r="G16" s="15"/>
      <c r="H16" s="15"/>
      <c r="I16" s="15"/>
      <c r="J16" s="15"/>
      <c r="K16" s="15"/>
      <c r="L16" s="16"/>
    </row>
    <row r="17" ht="4.5" customHeight="1" spans="2:12">
      <c r="F17" s="374"/>
      <c r="G17" s="18">
        <v>0</v>
      </c>
      <c r="H17" s="18"/>
    </row>
    <row r="18" ht="10.5" customHeight="1" spans="2:12">
      <c r="F18" s="375"/>
      <c r="G18" s="18"/>
      <c r="H18" s="18"/>
    </row>
    <row r="19" ht="15" customHeight="1" spans="2:12">
      <c r="B19" s="19" t="s">
        <v>1501</v>
      </c>
      <c r="C19" s="20" t="s">
        <v>1502</v>
      </c>
      <c r="D19" s="19" t="s">
        <v>1120</v>
      </c>
      <c r="E19" s="20" t="s">
        <v>1503</v>
      </c>
      <c r="F19" s="19" t="s">
        <v>5</v>
      </c>
      <c r="G19" s="20" t="s">
        <v>1558</v>
      </c>
      <c r="H19" s="19" t="s">
        <v>1457</v>
      </c>
      <c r="I19" s="20" t="s">
        <v>1483</v>
      </c>
      <c r="J19" s="19" t="s">
        <v>1504</v>
      </c>
      <c r="K19" s="21" t="s">
        <v>1505</v>
      </c>
      <c r="L19" s="22"/>
    </row>
    <row r="20" ht="15.5" customHeight="1"/>
    <row r="21" s="370" customFormat="1" ht="22.5" customHeight="1" spans="2:12">
      <c r="B21" s="376" t="s">
        <v>1559</v>
      </c>
      <c r="C21" s="376" t="s">
        <v>1560</v>
      </c>
      <c r="D21" s="376" t="s">
        <v>1459</v>
      </c>
      <c r="E21" s="377" t="s">
        <v>1460</v>
      </c>
      <c r="F21" s="377" t="s">
        <v>1461</v>
      </c>
      <c r="G21" s="376" t="s">
        <v>291</v>
      </c>
      <c r="H21" s="378" t="s">
        <v>1234</v>
      </c>
      <c r="I21" s="376" t="s">
        <v>1235</v>
      </c>
      <c r="J21" s="376" t="s">
        <v>1236</v>
      </c>
      <c r="K21" s="376" t="s">
        <v>1237</v>
      </c>
      <c r="L21" s="376" t="s">
        <v>1238</v>
      </c>
    </row>
    <row r="22" s="370" customFormat="1" ht="22.5" customHeight="1" spans="2:12">
      <c r="B22" s="379"/>
      <c r="C22" s="379"/>
      <c r="D22" s="379"/>
      <c r="E22" s="380"/>
      <c r="F22" s="380"/>
      <c r="G22" s="379"/>
      <c r="H22" s="381"/>
      <c r="I22" s="379"/>
      <c r="J22" s="379"/>
      <c r="K22" s="379"/>
      <c r="L22" s="379"/>
    </row>
    <row r="23" s="370" customFormat="1" ht="22.5" customHeight="1" spans="2:12">
      <c r="B23" s="382"/>
      <c r="C23" s="382" t="s">
        <v>1487</v>
      </c>
      <c r="D23" s="382" t="s">
        <v>1487</v>
      </c>
      <c r="E23" s="383" t="s">
        <v>1562</v>
      </c>
      <c r="F23" s="383" t="s">
        <v>1562</v>
      </c>
      <c r="G23" s="382" t="s">
        <v>1487</v>
      </c>
      <c r="H23" s="382" t="s">
        <v>11</v>
      </c>
      <c r="I23" s="382" t="s">
        <v>1487</v>
      </c>
      <c r="J23" s="382" t="s">
        <v>1487</v>
      </c>
      <c r="K23" s="382" t="s">
        <v>1279</v>
      </c>
      <c r="L23" s="382" t="s">
        <v>1279</v>
      </c>
    </row>
    <row r="24" s="17" customFormat="1" ht="20.5" customHeight="1" spans="2:12">
      <c r="B24" s="384" t="s">
        <v>1530</v>
      </c>
      <c r="C24" s="385" t="s">
        <v>1523</v>
      </c>
      <c r="D24" s="385" t="s">
        <v>1523</v>
      </c>
      <c r="E24" s="385" t="s">
        <v>1523</v>
      </c>
      <c r="F24" s="385" t="s">
        <v>1523</v>
      </c>
      <c r="G24" s="385" t="s">
        <v>1523</v>
      </c>
      <c r="H24" s="386" t="s">
        <v>1279</v>
      </c>
      <c r="I24" s="386" t="s">
        <v>1279</v>
      </c>
      <c r="J24" s="386" t="s">
        <v>1279</v>
      </c>
      <c r="K24" s="382" t="s">
        <v>1279</v>
      </c>
      <c r="L24" s="382" t="s">
        <v>1279</v>
      </c>
    </row>
    <row r="25" s="17" customFormat="1" ht="15" customHeight="1" spans="2:12">
      <c r="B25" s="384" t="s">
        <v>1563</v>
      </c>
      <c r="C25" s="387"/>
      <c r="D25" s="387"/>
      <c r="E25" s="387"/>
      <c r="F25" s="387" t="s">
        <v>1564</v>
      </c>
      <c r="G25" s="387" t="s">
        <v>1490</v>
      </c>
      <c r="H25" s="382" t="s">
        <v>11</v>
      </c>
      <c r="I25" s="382" t="s">
        <v>1487</v>
      </c>
      <c r="J25" s="382" t="s">
        <v>1487</v>
      </c>
      <c r="K25" s="382" t="s">
        <v>1279</v>
      </c>
      <c r="L25" s="382" t="s">
        <v>1279</v>
      </c>
    </row>
    <row r="26" s="17" customFormat="1" ht="15" customHeight="1" spans="2:12">
      <c r="B26" s="384" t="s">
        <v>1565</v>
      </c>
      <c r="C26" s="387"/>
      <c r="D26" s="387"/>
      <c r="E26" s="387"/>
      <c r="F26" s="387" t="s">
        <v>1566</v>
      </c>
      <c r="G26" s="387"/>
      <c r="H26" s="382" t="s">
        <v>11</v>
      </c>
      <c r="I26" s="382" t="s">
        <v>1487</v>
      </c>
      <c r="J26" s="382" t="s">
        <v>1487</v>
      </c>
      <c r="K26" s="382" t="s">
        <v>1279</v>
      </c>
      <c r="L26" s="382" t="s">
        <v>1279</v>
      </c>
    </row>
    <row r="27" s="17" customFormat="1" ht="15" customHeight="1" spans="2:12">
      <c r="B27" s="384" t="s">
        <v>1567</v>
      </c>
      <c r="C27" s="387"/>
      <c r="D27" s="387"/>
      <c r="E27" s="387"/>
      <c r="F27" s="387"/>
      <c r="G27" s="387" t="s">
        <v>1663</v>
      </c>
      <c r="H27" s="382" t="s">
        <v>11</v>
      </c>
      <c r="I27" s="382" t="s">
        <v>1487</v>
      </c>
      <c r="J27" s="382" t="s">
        <v>1487</v>
      </c>
      <c r="K27" s="382" t="s">
        <v>1279</v>
      </c>
      <c r="L27" s="382" t="s">
        <v>1279</v>
      </c>
    </row>
    <row r="28" s="17" customFormat="1" ht="15" customHeight="1" spans="2:12">
      <c r="B28" s="384" t="s">
        <v>1568</v>
      </c>
      <c r="C28" s="387"/>
      <c r="D28" s="387"/>
      <c r="E28" s="387"/>
      <c r="F28" s="387"/>
      <c r="G28" s="387"/>
      <c r="H28" s="382" t="s">
        <v>11</v>
      </c>
      <c r="I28" s="382" t="s">
        <v>1487</v>
      </c>
      <c r="J28" s="382" t="s">
        <v>1487</v>
      </c>
      <c r="K28" s="382" t="s">
        <v>1279</v>
      </c>
      <c r="L28" s="382" t="s">
        <v>1279</v>
      </c>
    </row>
    <row r="29" s="17" customFormat="1" ht="15" customHeight="1" spans="2:12">
      <c r="B29" s="384" t="s">
        <v>1569</v>
      </c>
      <c r="C29" s="387"/>
      <c r="D29" s="387"/>
      <c r="E29" s="387"/>
      <c r="F29" s="387"/>
      <c r="G29" s="387"/>
      <c r="H29" s="382" t="s">
        <v>11</v>
      </c>
      <c r="I29" s="382" t="s">
        <v>1487</v>
      </c>
      <c r="J29" s="382" t="s">
        <v>1487</v>
      </c>
      <c r="K29" s="382" t="s">
        <v>1279</v>
      </c>
      <c r="L29" s="382" t="s">
        <v>1279</v>
      </c>
    </row>
    <row r="30" s="17" customFormat="1" ht="15" customHeight="1" spans="2:12">
      <c r="B30" s="384" t="s">
        <v>1570</v>
      </c>
      <c r="C30" s="387"/>
      <c r="D30" s="387"/>
      <c r="E30" s="387"/>
      <c r="F30" s="387"/>
      <c r="G30" s="387"/>
      <c r="H30" s="382" t="s">
        <v>11</v>
      </c>
      <c r="I30" s="382" t="s">
        <v>1487</v>
      </c>
      <c r="J30" s="382" t="s">
        <v>1487</v>
      </c>
      <c r="K30" s="382" t="s">
        <v>1279</v>
      </c>
      <c r="L30" s="382" t="s">
        <v>1279</v>
      </c>
    </row>
    <row r="31" s="17" customFormat="1" ht="15" customHeight="1" spans="2:12">
      <c r="B31" s="384" t="s">
        <v>1571</v>
      </c>
      <c r="C31" s="387"/>
      <c r="D31" s="387"/>
      <c r="E31" s="387"/>
      <c r="F31" s="387"/>
      <c r="G31" s="387"/>
      <c r="H31" s="382" t="s">
        <v>11</v>
      </c>
      <c r="I31" s="382" t="s">
        <v>1487</v>
      </c>
      <c r="J31" s="382" t="s">
        <v>1487</v>
      </c>
      <c r="K31" s="382" t="s">
        <v>1279</v>
      </c>
      <c r="L31" s="382" t="s">
        <v>1279</v>
      </c>
    </row>
    <row r="32" s="17" customFormat="1" ht="15" customHeight="1" spans="2:12">
      <c r="B32" s="384" t="s">
        <v>1572</v>
      </c>
      <c r="C32" s="387"/>
      <c r="D32" s="387"/>
      <c r="E32" s="387"/>
      <c r="F32" s="387"/>
      <c r="G32" s="387"/>
      <c r="H32" s="382" t="s">
        <v>11</v>
      </c>
      <c r="I32" s="382" t="s">
        <v>1487</v>
      </c>
      <c r="J32" s="382" t="s">
        <v>1487</v>
      </c>
      <c r="K32" s="382" t="s">
        <v>1279</v>
      </c>
      <c r="L32" s="382" t="s">
        <v>1279</v>
      </c>
    </row>
    <row r="33" s="17" customFormat="1" ht="15" customHeight="1" spans="2:12">
      <c r="B33" s="384" t="s">
        <v>1573</v>
      </c>
      <c r="C33" s="388"/>
      <c r="D33" s="388"/>
      <c r="E33" s="389"/>
      <c r="F33" s="389"/>
      <c r="G33" s="389"/>
      <c r="H33" s="382" t="s">
        <v>11</v>
      </c>
      <c r="I33" s="382" t="s">
        <v>1487</v>
      </c>
      <c r="J33" s="382" t="s">
        <v>1487</v>
      </c>
      <c r="K33" s="382" t="s">
        <v>1279</v>
      </c>
      <c r="L33" s="382" t="s">
        <v>1279</v>
      </c>
    </row>
    <row r="34" s="17" customFormat="1" ht="15" customHeight="1" spans="2:12">
      <c r="B34" s="384" t="s">
        <v>1574</v>
      </c>
      <c r="C34" s="388"/>
      <c r="D34" s="388"/>
      <c r="E34" s="389"/>
      <c r="F34" s="389"/>
      <c r="G34" s="389"/>
      <c r="H34" s="382" t="s">
        <v>11</v>
      </c>
      <c r="I34" s="382" t="s">
        <v>1487</v>
      </c>
      <c r="J34" s="382" t="s">
        <v>1487</v>
      </c>
      <c r="K34" s="382" t="s">
        <v>1279</v>
      </c>
      <c r="L34" s="382" t="s">
        <v>1279</v>
      </c>
    </row>
    <row r="35" s="17" customFormat="1" ht="15" customHeight="1" spans="2:12">
      <c r="B35" s="384" t="s">
        <v>1575</v>
      </c>
      <c r="C35" s="388"/>
      <c r="D35" s="388"/>
      <c r="E35" s="389"/>
      <c r="F35" s="389"/>
      <c r="G35" s="389"/>
      <c r="H35" s="382" t="s">
        <v>11</v>
      </c>
      <c r="I35" s="382" t="s">
        <v>1487</v>
      </c>
      <c r="J35" s="382" t="s">
        <v>1487</v>
      </c>
      <c r="K35" s="382" t="s">
        <v>1279</v>
      </c>
      <c r="L35" s="382" t="s">
        <v>1279</v>
      </c>
    </row>
    <row r="36" s="17" customFormat="1" ht="15" customHeight="1" spans="2:12">
      <c r="B36" s="384" t="s">
        <v>1576</v>
      </c>
      <c r="C36" s="388"/>
      <c r="D36" s="388"/>
      <c r="E36" s="389"/>
      <c r="F36" s="389"/>
      <c r="G36" s="389"/>
      <c r="H36" s="382" t="s">
        <v>11</v>
      </c>
      <c r="I36" s="382" t="s">
        <v>1487</v>
      </c>
      <c r="J36" s="382" t="s">
        <v>1487</v>
      </c>
      <c r="K36" s="382" t="s">
        <v>1279</v>
      </c>
      <c r="L36" s="382" t="s">
        <v>1279</v>
      </c>
    </row>
    <row r="37" s="17" customFormat="1" ht="15" customHeight="1" spans="2:12">
      <c r="B37" s="384" t="s">
        <v>1577</v>
      </c>
      <c r="C37" s="388"/>
      <c r="D37" s="388"/>
      <c r="E37" s="388"/>
      <c r="F37" s="388"/>
      <c r="G37" s="388"/>
      <c r="H37" s="382" t="s">
        <v>11</v>
      </c>
      <c r="I37" s="382" t="s">
        <v>1487</v>
      </c>
      <c r="J37" s="382" t="s">
        <v>1487</v>
      </c>
      <c r="K37" s="382" t="s">
        <v>1279</v>
      </c>
      <c r="L37" s="382" t="s">
        <v>1279</v>
      </c>
    </row>
    <row r="38" s="17" customFormat="1" ht="15" customHeight="1" spans="2:12">
      <c r="B38" s="384" t="s">
        <v>1578</v>
      </c>
      <c r="C38" s="388"/>
      <c r="D38" s="388"/>
      <c r="E38" s="388"/>
      <c r="F38" s="388"/>
      <c r="G38" s="388"/>
      <c r="H38" s="382" t="s">
        <v>11</v>
      </c>
      <c r="I38" s="382" t="s">
        <v>1487</v>
      </c>
      <c r="J38" s="382" t="s">
        <v>1487</v>
      </c>
      <c r="K38" s="382" t="s">
        <v>1279</v>
      </c>
      <c r="L38" s="382" t="s">
        <v>1279</v>
      </c>
    </row>
    <row r="39" s="17" customFormat="1" ht="15" customHeight="1" spans="2:12">
      <c r="B39" s="384" t="s">
        <v>1579</v>
      </c>
      <c r="C39" s="388"/>
      <c r="D39" s="388"/>
      <c r="E39" s="388"/>
      <c r="F39" s="388"/>
      <c r="G39" s="388"/>
      <c r="H39" s="382" t="s">
        <v>11</v>
      </c>
      <c r="I39" s="382" t="s">
        <v>1487</v>
      </c>
      <c r="J39" s="382" t="s">
        <v>1487</v>
      </c>
      <c r="K39" s="382" t="s">
        <v>1279</v>
      </c>
      <c r="L39" s="382" t="s">
        <v>1279</v>
      </c>
    </row>
    <row r="40" s="17" customFormat="1" ht="15" customHeight="1" spans="2:12">
      <c r="B40" s="384" t="s">
        <v>1580</v>
      </c>
      <c r="C40" s="388"/>
      <c r="D40" s="388"/>
      <c r="E40" s="388"/>
      <c r="F40" s="388"/>
      <c r="G40" s="388"/>
      <c r="H40" s="382" t="s">
        <v>11</v>
      </c>
      <c r="I40" s="382" t="s">
        <v>1487</v>
      </c>
      <c r="J40" s="382" t="s">
        <v>1487</v>
      </c>
      <c r="K40" s="382" t="s">
        <v>1279</v>
      </c>
      <c r="L40" s="382" t="s">
        <v>1279</v>
      </c>
    </row>
    <row r="41" s="17" customFormat="1" ht="15" customHeight="1" spans="2:12">
      <c r="B41" s="384" t="s">
        <v>1581</v>
      </c>
      <c r="C41" s="388"/>
      <c r="D41" s="388"/>
      <c r="E41" s="388"/>
      <c r="F41" s="388"/>
      <c r="G41" s="388"/>
      <c r="H41" s="382" t="s">
        <v>11</v>
      </c>
      <c r="I41" s="382" t="s">
        <v>1487</v>
      </c>
      <c r="J41" s="382" t="s">
        <v>1487</v>
      </c>
      <c r="K41" s="382" t="s">
        <v>1279</v>
      </c>
      <c r="L41" s="382" t="s">
        <v>1279</v>
      </c>
    </row>
    <row r="42" s="17" customFormat="1" ht="15" customHeight="1" spans="2:12">
      <c r="B42" s="384" t="s">
        <v>1582</v>
      </c>
      <c r="C42" s="388"/>
      <c r="D42" s="388"/>
      <c r="E42" s="388"/>
      <c r="F42" s="388"/>
      <c r="G42" s="388"/>
      <c r="H42" s="382" t="s">
        <v>11</v>
      </c>
      <c r="I42" s="382" t="s">
        <v>1487</v>
      </c>
      <c r="J42" s="382" t="s">
        <v>1487</v>
      </c>
      <c r="K42" s="382" t="s">
        <v>1279</v>
      </c>
      <c r="L42" s="382" t="s">
        <v>1279</v>
      </c>
    </row>
    <row r="43" s="17" customFormat="1" ht="15" customHeight="1" spans="2:12">
      <c r="B43" s="384" t="s">
        <v>1583</v>
      </c>
      <c r="C43" s="388"/>
      <c r="D43" s="388"/>
      <c r="E43" s="388"/>
      <c r="F43" s="388"/>
      <c r="G43" s="388"/>
      <c r="H43" s="382" t="s">
        <v>11</v>
      </c>
      <c r="I43" s="382" t="s">
        <v>1487</v>
      </c>
      <c r="J43" s="382" t="s">
        <v>1487</v>
      </c>
      <c r="K43" s="382" t="s">
        <v>1279</v>
      </c>
      <c r="L43" s="382" t="s">
        <v>1279</v>
      </c>
    </row>
    <row r="44" s="17" customFormat="1" ht="15" customHeight="1" spans="2:12">
      <c r="B44" s="384" t="s">
        <v>1584</v>
      </c>
      <c r="C44" s="388"/>
      <c r="D44" s="388"/>
      <c r="E44" s="388"/>
      <c r="F44" s="388"/>
      <c r="G44" s="388"/>
      <c r="H44" s="382" t="s">
        <v>11</v>
      </c>
      <c r="I44" s="382" t="s">
        <v>1487</v>
      </c>
      <c r="J44" s="382" t="s">
        <v>1487</v>
      </c>
      <c r="K44" s="382" t="s">
        <v>1279</v>
      </c>
      <c r="L44" s="382" t="s">
        <v>1279</v>
      </c>
    </row>
    <row r="45" s="17" customFormat="1" ht="15" customHeight="1" spans="2:12">
      <c r="B45" s="384" t="s">
        <v>1585</v>
      </c>
      <c r="C45" s="388"/>
      <c r="D45" s="388"/>
      <c r="E45" s="388"/>
      <c r="F45" s="388"/>
      <c r="G45" s="388"/>
      <c r="H45" s="382" t="s">
        <v>11</v>
      </c>
      <c r="I45" s="382" t="s">
        <v>1487</v>
      </c>
      <c r="J45" s="382" t="s">
        <v>1487</v>
      </c>
      <c r="K45" s="382" t="s">
        <v>1279</v>
      </c>
      <c r="L45" s="382" t="s">
        <v>1279</v>
      </c>
    </row>
    <row r="46" s="17" customFormat="1" ht="15" customHeight="1" spans="2:12">
      <c r="B46" s="384" t="s">
        <v>1586</v>
      </c>
      <c r="C46" s="390"/>
      <c r="D46" s="390"/>
      <c r="E46" s="390"/>
      <c r="F46" s="390"/>
      <c r="G46" s="390"/>
      <c r="H46" s="382" t="s">
        <v>11</v>
      </c>
      <c r="I46" s="382" t="s">
        <v>1487</v>
      </c>
      <c r="J46" s="382" t="s">
        <v>1487</v>
      </c>
      <c r="K46" s="382" t="s">
        <v>1279</v>
      </c>
      <c r="L46" s="382" t="s">
        <v>1279</v>
      </c>
    </row>
    <row r="47" s="17" customFormat="1" ht="15" customHeight="1" spans="2:12">
      <c r="B47" s="384" t="s">
        <v>1587</v>
      </c>
      <c r="C47" s="390"/>
      <c r="D47" s="390"/>
      <c r="E47" s="390"/>
      <c r="F47" s="390"/>
      <c r="G47" s="390"/>
      <c r="H47" s="382" t="s">
        <v>11</v>
      </c>
      <c r="I47" s="382" t="s">
        <v>1487</v>
      </c>
      <c r="J47" s="382" t="s">
        <v>1487</v>
      </c>
      <c r="K47" s="382" t="s">
        <v>1279</v>
      </c>
      <c r="L47" s="382" t="s">
        <v>1279</v>
      </c>
    </row>
    <row r="48" s="17" customFormat="1" ht="15" customHeight="1" spans="2:12">
      <c r="B48" s="384" t="s">
        <v>1588</v>
      </c>
      <c r="C48" s="390"/>
      <c r="D48" s="390"/>
      <c r="E48" s="390"/>
      <c r="F48" s="390"/>
      <c r="G48" s="390"/>
      <c r="H48" s="382" t="s">
        <v>11</v>
      </c>
      <c r="I48" s="382" t="s">
        <v>1487</v>
      </c>
      <c r="J48" s="382" t="s">
        <v>1487</v>
      </c>
      <c r="K48" s="382" t="s">
        <v>1279</v>
      </c>
      <c r="L48" s="382" t="s">
        <v>1279</v>
      </c>
    </row>
    <row r="49" s="17" customFormat="1" ht="15" customHeight="1" spans="2:12">
      <c r="B49" s="384" t="s">
        <v>1589</v>
      </c>
      <c r="C49" s="390"/>
      <c r="D49" s="390"/>
      <c r="E49" s="390"/>
      <c r="F49" s="390"/>
      <c r="G49" s="390"/>
      <c r="H49" s="382" t="s">
        <v>11</v>
      </c>
      <c r="I49" s="382" t="s">
        <v>1487</v>
      </c>
      <c r="J49" s="382" t="s">
        <v>1487</v>
      </c>
      <c r="K49" s="382" t="s">
        <v>1279</v>
      </c>
      <c r="L49" s="382" t="s">
        <v>1279</v>
      </c>
    </row>
    <row r="50" s="17" customFormat="1" ht="15" customHeight="1" spans="2:12">
      <c r="B50" s="384" t="s">
        <v>1590</v>
      </c>
      <c r="C50" s="388"/>
      <c r="D50" s="388"/>
      <c r="E50" s="388"/>
      <c r="F50" s="388"/>
      <c r="G50" s="388"/>
      <c r="H50" s="382" t="s">
        <v>11</v>
      </c>
      <c r="I50" s="382" t="s">
        <v>1487</v>
      </c>
      <c r="J50" s="382" t="s">
        <v>1487</v>
      </c>
      <c r="K50" s="382" t="s">
        <v>1279</v>
      </c>
      <c r="L50" s="382" t="s">
        <v>1279</v>
      </c>
    </row>
    <row r="51" s="17" customFormat="1" ht="15" customHeight="1" spans="2:12">
      <c r="B51" s="384" t="s">
        <v>1591</v>
      </c>
      <c r="C51" s="388"/>
      <c r="D51" s="388"/>
      <c r="E51" s="388"/>
      <c r="F51" s="388"/>
      <c r="G51" s="388"/>
      <c r="H51" s="382" t="s">
        <v>11</v>
      </c>
      <c r="I51" s="382" t="s">
        <v>1487</v>
      </c>
      <c r="J51" s="382" t="s">
        <v>1487</v>
      </c>
      <c r="K51" s="382" t="s">
        <v>1279</v>
      </c>
      <c r="L51" s="382" t="s">
        <v>1279</v>
      </c>
    </row>
    <row r="52" s="17" customFormat="1" ht="15" customHeight="1" spans="2:12">
      <c r="B52" s="384" t="s">
        <v>1592</v>
      </c>
      <c r="C52" s="388"/>
      <c r="D52" s="388"/>
      <c r="E52" s="388"/>
      <c r="F52" s="388"/>
      <c r="G52" s="388"/>
      <c r="H52" s="382" t="s">
        <v>11</v>
      </c>
      <c r="I52" s="382" t="s">
        <v>1487</v>
      </c>
      <c r="J52" s="382" t="s">
        <v>1487</v>
      </c>
      <c r="K52" s="382" t="s">
        <v>1279</v>
      </c>
      <c r="L52" s="382" t="s">
        <v>1279</v>
      </c>
    </row>
    <row r="53" s="17" customFormat="1" ht="15" customHeight="1" spans="2:12">
      <c r="B53" s="384" t="s">
        <v>1593</v>
      </c>
      <c r="C53" s="388"/>
      <c r="D53" s="388"/>
      <c r="E53" s="388"/>
      <c r="F53" s="388"/>
      <c r="G53" s="388"/>
      <c r="H53" s="382" t="s">
        <v>11</v>
      </c>
      <c r="I53" s="382" t="s">
        <v>1487</v>
      </c>
      <c r="J53" s="382" t="s">
        <v>1487</v>
      </c>
      <c r="K53" s="382" t="s">
        <v>1279</v>
      </c>
      <c r="L53" s="382" t="s">
        <v>1279</v>
      </c>
    </row>
    <row r="54" s="17" customFormat="1" ht="15" customHeight="1" spans="2:12">
      <c r="B54" s="384" t="s">
        <v>1594</v>
      </c>
      <c r="C54" s="388"/>
      <c r="D54" s="388"/>
      <c r="E54" s="388"/>
      <c r="F54" s="388"/>
      <c r="G54" s="388"/>
      <c r="H54" s="382" t="s">
        <v>11</v>
      </c>
      <c r="I54" s="382" t="s">
        <v>1487</v>
      </c>
      <c r="J54" s="382" t="s">
        <v>1487</v>
      </c>
      <c r="K54" s="382" t="s">
        <v>1279</v>
      </c>
      <c r="L54" s="382" t="s">
        <v>1279</v>
      </c>
    </row>
    <row r="55" s="17" customFormat="1" ht="15" customHeight="1" spans="2:12">
      <c r="B55" s="384" t="s">
        <v>1595</v>
      </c>
      <c r="C55" s="388"/>
      <c r="D55" s="388"/>
      <c r="E55" s="388"/>
      <c r="F55" s="388"/>
      <c r="G55" s="388"/>
      <c r="H55" s="382" t="s">
        <v>11</v>
      </c>
      <c r="I55" s="382" t="s">
        <v>1487</v>
      </c>
      <c r="J55" s="382" t="s">
        <v>1487</v>
      </c>
      <c r="K55" s="382" t="s">
        <v>1279</v>
      </c>
      <c r="L55" s="382" t="s">
        <v>1279</v>
      </c>
    </row>
    <row r="56" s="17" customFormat="1" ht="15" customHeight="1" spans="2:12">
      <c r="B56" s="384" t="s">
        <v>1596</v>
      </c>
      <c r="C56" s="388"/>
      <c r="D56" s="388"/>
      <c r="E56" s="388"/>
      <c r="F56" s="388"/>
      <c r="G56" s="388"/>
      <c r="H56" s="382" t="s">
        <v>11</v>
      </c>
      <c r="I56" s="382" t="s">
        <v>1487</v>
      </c>
      <c r="J56" s="382" t="s">
        <v>1487</v>
      </c>
      <c r="K56" s="382" t="s">
        <v>1279</v>
      </c>
      <c r="L56" s="382" t="s">
        <v>1279</v>
      </c>
    </row>
    <row r="57" s="17" customFormat="1" ht="15" customHeight="1" spans="2:12">
      <c r="B57" s="384" t="s">
        <v>1597</v>
      </c>
      <c r="C57" s="388"/>
      <c r="D57" s="388"/>
      <c r="E57" s="388"/>
      <c r="F57" s="388"/>
      <c r="G57" s="388"/>
      <c r="H57" s="382" t="s">
        <v>11</v>
      </c>
      <c r="I57" s="382" t="s">
        <v>1487</v>
      </c>
      <c r="J57" s="382" t="s">
        <v>1487</v>
      </c>
      <c r="K57" s="382" t="s">
        <v>1279</v>
      </c>
      <c r="L57" s="382" t="s">
        <v>1279</v>
      </c>
    </row>
    <row r="58" s="17" customFormat="1" ht="15" customHeight="1" spans="2:12">
      <c r="B58" s="384" t="s">
        <v>1598</v>
      </c>
      <c r="C58" s="388"/>
      <c r="D58" s="388"/>
      <c r="E58" s="388"/>
      <c r="F58" s="388"/>
      <c r="G58" s="388"/>
      <c r="H58" s="382" t="s">
        <v>11</v>
      </c>
      <c r="I58" s="382" t="s">
        <v>1487</v>
      </c>
      <c r="J58" s="382" t="s">
        <v>1487</v>
      </c>
      <c r="K58" s="382" t="s">
        <v>1279</v>
      </c>
      <c r="L58" s="382" t="s">
        <v>1279</v>
      </c>
    </row>
    <row r="59" s="17" customFormat="1" ht="15" customHeight="1" spans="2:12">
      <c r="B59" s="384" t="s">
        <v>1599</v>
      </c>
      <c r="C59" s="388"/>
      <c r="D59" s="388"/>
      <c r="E59" s="388"/>
      <c r="F59" s="388"/>
      <c r="G59" s="388"/>
      <c r="H59" s="382" t="s">
        <v>11</v>
      </c>
      <c r="I59" s="382" t="s">
        <v>1487</v>
      </c>
      <c r="J59" s="382" t="s">
        <v>1487</v>
      </c>
      <c r="K59" s="382" t="s">
        <v>1279</v>
      </c>
      <c r="L59" s="382" t="s">
        <v>1279</v>
      </c>
    </row>
    <row r="60" s="17" customFormat="1" ht="15" customHeight="1" spans="2:12">
      <c r="B60" s="384" t="s">
        <v>1600</v>
      </c>
      <c r="C60" s="388"/>
      <c r="D60" s="388"/>
      <c r="E60" s="388"/>
      <c r="F60" s="388"/>
      <c r="G60" s="388"/>
      <c r="H60" s="382" t="s">
        <v>11</v>
      </c>
      <c r="I60" s="382" t="s">
        <v>1487</v>
      </c>
      <c r="J60" s="382" t="s">
        <v>1487</v>
      </c>
      <c r="K60" s="382" t="s">
        <v>1279</v>
      </c>
      <c r="L60" s="382" t="s">
        <v>1279</v>
      </c>
    </row>
    <row r="61" s="17" customFormat="1" ht="15" customHeight="1" spans="2:12">
      <c r="B61" s="384" t="s">
        <v>1601</v>
      </c>
      <c r="C61" s="388"/>
      <c r="D61" s="388"/>
      <c r="E61" s="388"/>
      <c r="F61" s="388"/>
      <c r="G61" s="388"/>
      <c r="H61" s="382" t="s">
        <v>11</v>
      </c>
      <c r="I61" s="382" t="s">
        <v>1487</v>
      </c>
      <c r="J61" s="382" t="s">
        <v>1487</v>
      </c>
      <c r="K61" s="382" t="s">
        <v>1279</v>
      </c>
      <c r="L61" s="382" t="s">
        <v>1279</v>
      </c>
    </row>
    <row r="62" s="17" customFormat="1" ht="15" customHeight="1" spans="2:12">
      <c r="B62" s="384" t="s">
        <v>1602</v>
      </c>
      <c r="C62" s="388"/>
      <c r="D62" s="388"/>
      <c r="E62" s="388"/>
      <c r="F62" s="388"/>
      <c r="G62" s="388"/>
      <c r="H62" s="382" t="s">
        <v>11</v>
      </c>
      <c r="I62" s="382" t="s">
        <v>1487</v>
      </c>
      <c r="J62" s="382" t="s">
        <v>1487</v>
      </c>
      <c r="K62" s="382" t="s">
        <v>1279</v>
      </c>
      <c r="L62" s="382" t="s">
        <v>1279</v>
      </c>
    </row>
    <row r="63" s="17" customFormat="1" ht="15" customHeight="1" spans="2:12">
      <c r="B63" s="384" t="s">
        <v>1603</v>
      </c>
      <c r="C63" s="388"/>
      <c r="D63" s="388"/>
      <c r="E63" s="388"/>
      <c r="F63" s="388"/>
      <c r="G63" s="388"/>
      <c r="H63" s="382" t="s">
        <v>11</v>
      </c>
      <c r="I63" s="382" t="s">
        <v>1487</v>
      </c>
      <c r="J63" s="382" t="s">
        <v>1487</v>
      </c>
      <c r="K63" s="382" t="s">
        <v>1279</v>
      </c>
      <c r="L63" s="382" t="s">
        <v>1279</v>
      </c>
    </row>
    <row r="64" s="17" customFormat="1" ht="15" customHeight="1" spans="2:12">
      <c r="B64" s="384" t="s">
        <v>1604</v>
      </c>
      <c r="C64" s="388"/>
      <c r="D64" s="388"/>
      <c r="E64" s="388"/>
      <c r="F64" s="388"/>
      <c r="G64" s="388"/>
      <c r="H64" s="382" t="s">
        <v>11</v>
      </c>
      <c r="I64" s="382" t="s">
        <v>1487</v>
      </c>
      <c r="J64" s="382" t="s">
        <v>1487</v>
      </c>
      <c r="K64" s="382" t="s">
        <v>1279</v>
      </c>
      <c r="L64" s="382" t="s">
        <v>1279</v>
      </c>
    </row>
    <row r="65" s="17" customFormat="1" ht="15" customHeight="1" spans="2:12">
      <c r="B65" s="384" t="s">
        <v>1605</v>
      </c>
      <c r="C65" s="388"/>
      <c r="D65" s="388"/>
      <c r="E65" s="388"/>
      <c r="F65" s="388"/>
      <c r="G65" s="388"/>
      <c r="H65" s="382" t="s">
        <v>11</v>
      </c>
      <c r="I65" s="382" t="s">
        <v>1487</v>
      </c>
      <c r="J65" s="382" t="s">
        <v>1487</v>
      </c>
      <c r="K65" s="382" t="s">
        <v>1279</v>
      </c>
      <c r="L65" s="382" t="s">
        <v>1279</v>
      </c>
    </row>
    <row r="66" s="17" customFormat="1" ht="15" customHeight="1" spans="2:12">
      <c r="B66" s="384" t="s">
        <v>1606</v>
      </c>
      <c r="C66" s="388"/>
      <c r="D66" s="388"/>
      <c r="E66" s="390"/>
      <c r="F66" s="390"/>
      <c r="G66" s="390"/>
      <c r="H66" s="382" t="s">
        <v>11</v>
      </c>
      <c r="I66" s="382" t="s">
        <v>1487</v>
      </c>
      <c r="J66" s="382" t="s">
        <v>1487</v>
      </c>
      <c r="K66" s="382" t="s">
        <v>1279</v>
      </c>
      <c r="L66" s="382" t="s">
        <v>1279</v>
      </c>
    </row>
    <row r="67" s="17" customFormat="1" ht="15" customHeight="1" spans="2:12">
      <c r="B67" s="384" t="s">
        <v>1607</v>
      </c>
      <c r="C67" s="388"/>
      <c r="D67" s="388"/>
      <c r="E67" s="388"/>
      <c r="F67" s="388"/>
      <c r="G67" s="388"/>
      <c r="H67" s="382" t="s">
        <v>11</v>
      </c>
      <c r="I67" s="382" t="s">
        <v>1487</v>
      </c>
      <c r="J67" s="382" t="s">
        <v>1487</v>
      </c>
      <c r="K67" s="382" t="s">
        <v>1279</v>
      </c>
      <c r="L67" s="382" t="s">
        <v>1279</v>
      </c>
    </row>
    <row r="68" s="17" customFormat="1" ht="15" customHeight="1" spans="2:12">
      <c r="B68" s="384" t="s">
        <v>1608</v>
      </c>
      <c r="C68" s="388"/>
      <c r="D68" s="388"/>
      <c r="E68" s="388"/>
      <c r="F68" s="388"/>
      <c r="G68" s="388"/>
      <c r="H68" s="382" t="s">
        <v>11</v>
      </c>
      <c r="I68" s="382" t="s">
        <v>1487</v>
      </c>
      <c r="J68" s="382" t="s">
        <v>1487</v>
      </c>
      <c r="K68" s="382" t="s">
        <v>1279</v>
      </c>
      <c r="L68" s="382" t="s">
        <v>1279</v>
      </c>
    </row>
    <row r="69" s="17" customFormat="1" ht="15" customHeight="1" spans="2:12">
      <c r="B69" s="384" t="s">
        <v>1609</v>
      </c>
      <c r="C69" s="388"/>
      <c r="D69" s="388"/>
      <c r="E69" s="388"/>
      <c r="F69" s="388"/>
      <c r="G69" s="388"/>
      <c r="H69" s="382" t="s">
        <v>11</v>
      </c>
      <c r="I69" s="382" t="s">
        <v>1487</v>
      </c>
      <c r="J69" s="382" t="s">
        <v>1487</v>
      </c>
      <c r="K69" s="382" t="s">
        <v>1279</v>
      </c>
      <c r="L69" s="382" t="s">
        <v>1279</v>
      </c>
    </row>
    <row r="70" s="17" customFormat="1" ht="15" customHeight="1" spans="2:12">
      <c r="B70" s="384" t="s">
        <v>1610</v>
      </c>
      <c r="C70" s="388"/>
      <c r="D70" s="388"/>
      <c r="E70" s="388"/>
      <c r="F70" s="388"/>
      <c r="G70" s="388"/>
      <c r="H70" s="382" t="s">
        <v>11</v>
      </c>
      <c r="I70" s="382" t="s">
        <v>1487</v>
      </c>
      <c r="J70" s="382" t="s">
        <v>1487</v>
      </c>
      <c r="K70" s="382" t="s">
        <v>1279</v>
      </c>
      <c r="L70" s="382" t="s">
        <v>1279</v>
      </c>
    </row>
    <row r="71" s="17" customFormat="1" ht="15" customHeight="1" spans="2:12">
      <c r="B71" s="384" t="s">
        <v>1611</v>
      </c>
      <c r="C71" s="389"/>
      <c r="D71" s="389"/>
      <c r="E71" s="389"/>
      <c r="F71" s="389"/>
      <c r="G71" s="389"/>
      <c r="H71" s="382" t="s">
        <v>11</v>
      </c>
      <c r="I71" s="382" t="s">
        <v>1487</v>
      </c>
      <c r="J71" s="382" t="s">
        <v>1487</v>
      </c>
      <c r="K71" s="382" t="s">
        <v>1279</v>
      </c>
      <c r="L71" s="382" t="s">
        <v>1279</v>
      </c>
    </row>
    <row r="72" s="17" customFormat="1" ht="15" customHeight="1" spans="2:12">
      <c r="B72" s="384" t="s">
        <v>1612</v>
      </c>
      <c r="C72" s="389"/>
      <c r="D72" s="389"/>
      <c r="E72" s="389"/>
      <c r="F72" s="389"/>
      <c r="G72" s="389"/>
      <c r="H72" s="382" t="s">
        <v>11</v>
      </c>
      <c r="I72" s="382" t="s">
        <v>1487</v>
      </c>
      <c r="J72" s="382" t="s">
        <v>1487</v>
      </c>
      <c r="K72" s="382" t="s">
        <v>1279</v>
      </c>
      <c r="L72" s="382" t="s">
        <v>1279</v>
      </c>
    </row>
    <row r="73" s="17" customFormat="1" ht="15" customHeight="1" spans="2:12">
      <c r="B73" s="384" t="s">
        <v>1613</v>
      </c>
      <c r="C73" s="389"/>
      <c r="D73" s="389"/>
      <c r="E73" s="389"/>
      <c r="F73" s="389"/>
      <c r="G73" s="389"/>
      <c r="H73" s="382" t="s">
        <v>11</v>
      </c>
      <c r="I73" s="382" t="s">
        <v>1487</v>
      </c>
      <c r="J73" s="382" t="s">
        <v>1487</v>
      </c>
      <c r="K73" s="382" t="s">
        <v>1279</v>
      </c>
      <c r="L73" s="382" t="s">
        <v>1279</v>
      </c>
    </row>
    <row r="74" s="17" customFormat="1" ht="15" customHeight="1" spans="2:12">
      <c r="B74" s="384" t="s">
        <v>1614</v>
      </c>
      <c r="C74" s="389"/>
      <c r="D74" s="389"/>
      <c r="E74" s="389"/>
      <c r="F74" s="389"/>
      <c r="G74" s="389"/>
      <c r="H74" s="382" t="s">
        <v>11</v>
      </c>
      <c r="I74" s="382" t="s">
        <v>1487</v>
      </c>
      <c r="J74" s="382" t="s">
        <v>1487</v>
      </c>
      <c r="K74" s="382" t="s">
        <v>1279</v>
      </c>
      <c r="L74" s="382" t="s">
        <v>1279</v>
      </c>
    </row>
    <row r="75" s="17" customFormat="1" ht="15" customHeight="1" spans="2:12">
      <c r="B75" s="384" t="s">
        <v>1615</v>
      </c>
      <c r="C75" s="389"/>
      <c r="D75" s="389"/>
      <c r="E75" s="389"/>
      <c r="F75" s="389"/>
      <c r="G75" s="389"/>
      <c r="H75" s="382" t="s">
        <v>11</v>
      </c>
      <c r="I75" s="382" t="s">
        <v>1487</v>
      </c>
      <c r="J75" s="382" t="s">
        <v>1487</v>
      </c>
      <c r="K75" s="382" t="s">
        <v>1279</v>
      </c>
      <c r="L75" s="382" t="s">
        <v>1279</v>
      </c>
    </row>
    <row r="76" s="17" customFormat="1" ht="15" customHeight="1" spans="2:12">
      <c r="B76" s="384" t="s">
        <v>1616</v>
      </c>
      <c r="C76" s="389"/>
      <c r="D76" s="389"/>
      <c r="E76" s="389"/>
      <c r="F76" s="389"/>
      <c r="G76" s="389"/>
      <c r="H76" s="382" t="s">
        <v>11</v>
      </c>
      <c r="I76" s="382" t="s">
        <v>1487</v>
      </c>
      <c r="J76" s="382" t="s">
        <v>1487</v>
      </c>
      <c r="K76" s="382" t="s">
        <v>1279</v>
      </c>
      <c r="L76" s="382" t="s">
        <v>1279</v>
      </c>
    </row>
    <row r="77" s="17" customFormat="1" ht="15" customHeight="1" spans="2:12">
      <c r="B77" s="384" t="s">
        <v>1617</v>
      </c>
      <c r="C77" s="389"/>
      <c r="D77" s="389"/>
      <c r="E77" s="389"/>
      <c r="F77" s="389"/>
      <c r="G77" s="389"/>
      <c r="H77" s="382" t="s">
        <v>11</v>
      </c>
      <c r="I77" s="382" t="s">
        <v>1487</v>
      </c>
      <c r="J77" s="382" t="s">
        <v>1487</v>
      </c>
      <c r="K77" s="382" t="s">
        <v>1279</v>
      </c>
      <c r="L77" s="382" t="s">
        <v>1279</v>
      </c>
    </row>
    <row r="78" s="17" customFormat="1" ht="15" customHeight="1" spans="2:12">
      <c r="B78" s="384" t="s">
        <v>1618</v>
      </c>
      <c r="C78" s="389"/>
      <c r="D78" s="389"/>
      <c r="E78" s="389"/>
      <c r="F78" s="389"/>
      <c r="G78" s="389"/>
      <c r="H78" s="382" t="s">
        <v>11</v>
      </c>
      <c r="I78" s="382" t="s">
        <v>1487</v>
      </c>
      <c r="J78" s="382" t="s">
        <v>1487</v>
      </c>
      <c r="K78" s="382" t="s">
        <v>1279</v>
      </c>
      <c r="L78" s="382" t="s">
        <v>1279</v>
      </c>
    </row>
    <row r="79" s="17" customFormat="1" ht="15" customHeight="1" spans="2:12">
      <c r="B79" s="384" t="s">
        <v>1619</v>
      </c>
      <c r="C79" s="389"/>
      <c r="D79" s="389"/>
      <c r="E79" s="389"/>
      <c r="F79" s="389"/>
      <c r="G79" s="389"/>
      <c r="H79" s="382" t="s">
        <v>11</v>
      </c>
      <c r="I79" s="382" t="s">
        <v>1487</v>
      </c>
      <c r="J79" s="382" t="s">
        <v>1487</v>
      </c>
      <c r="K79" s="382" t="s">
        <v>1279</v>
      </c>
      <c r="L79" s="382" t="s">
        <v>1279</v>
      </c>
    </row>
    <row r="80" s="17" customFormat="1" ht="15" customHeight="1" spans="2:12">
      <c r="B80" s="384" t="s">
        <v>1620</v>
      </c>
      <c r="C80" s="389"/>
      <c r="D80" s="389"/>
      <c r="E80" s="389"/>
      <c r="F80" s="389"/>
      <c r="G80" s="389"/>
      <c r="H80" s="382" t="s">
        <v>11</v>
      </c>
      <c r="I80" s="382" t="s">
        <v>1487</v>
      </c>
      <c r="J80" s="382" t="s">
        <v>1487</v>
      </c>
      <c r="K80" s="382" t="s">
        <v>1279</v>
      </c>
      <c r="L80" s="382" t="s">
        <v>1279</v>
      </c>
    </row>
    <row r="81" s="17" customFormat="1" ht="15" customHeight="1" spans="2:12">
      <c r="B81" s="384" t="s">
        <v>1621</v>
      </c>
      <c r="C81" s="389"/>
      <c r="D81" s="389"/>
      <c r="E81" s="389"/>
      <c r="F81" s="389"/>
      <c r="G81" s="389"/>
      <c r="H81" s="382" t="s">
        <v>11</v>
      </c>
      <c r="I81" s="382" t="s">
        <v>1487</v>
      </c>
      <c r="J81" s="382" t="s">
        <v>1487</v>
      </c>
      <c r="K81" s="382" t="s">
        <v>1279</v>
      </c>
      <c r="L81" s="382" t="s">
        <v>1279</v>
      </c>
    </row>
    <row r="82" s="17" customFormat="1" ht="15" customHeight="1" spans="2:12">
      <c r="B82" s="384" t="s">
        <v>1622</v>
      </c>
      <c r="C82" s="389"/>
      <c r="D82" s="389"/>
      <c r="E82" s="389"/>
      <c r="F82" s="389"/>
      <c r="G82" s="389"/>
      <c r="H82" s="382" t="s">
        <v>11</v>
      </c>
      <c r="I82" s="382" t="s">
        <v>1487</v>
      </c>
      <c r="J82" s="382" t="s">
        <v>1487</v>
      </c>
      <c r="K82" s="382" t="s">
        <v>1279</v>
      </c>
      <c r="L82" s="382" t="s">
        <v>1279</v>
      </c>
    </row>
    <row r="83" s="17" customFormat="1" ht="15" customHeight="1" spans="2:12">
      <c r="B83" s="384" t="s">
        <v>1623</v>
      </c>
      <c r="C83" s="389"/>
      <c r="D83" s="389"/>
      <c r="E83" s="389"/>
      <c r="F83" s="389"/>
      <c r="G83" s="389"/>
      <c r="H83" s="382" t="s">
        <v>11</v>
      </c>
      <c r="I83" s="382" t="s">
        <v>1487</v>
      </c>
      <c r="J83" s="382" t="s">
        <v>1487</v>
      </c>
      <c r="K83" s="382" t="s">
        <v>1279</v>
      </c>
      <c r="L83" s="382" t="s">
        <v>1279</v>
      </c>
    </row>
    <row r="84" s="17" customFormat="1" ht="15" customHeight="1" spans="2:12">
      <c r="B84" s="384" t="s">
        <v>1624</v>
      </c>
      <c r="C84" s="389"/>
      <c r="D84" s="389"/>
      <c r="E84" s="389"/>
      <c r="F84" s="389"/>
      <c r="G84" s="389"/>
      <c r="H84" s="382" t="s">
        <v>11</v>
      </c>
      <c r="I84" s="382" t="s">
        <v>1487</v>
      </c>
      <c r="J84" s="382" t="s">
        <v>1487</v>
      </c>
      <c r="K84" s="382" t="s">
        <v>1279</v>
      </c>
      <c r="L84" s="382" t="s">
        <v>1279</v>
      </c>
    </row>
    <row r="85" s="17" customFormat="1" ht="15" customHeight="1" spans="2:12">
      <c r="B85" s="384" t="s">
        <v>1625</v>
      </c>
      <c r="C85" s="388"/>
      <c r="D85" s="388"/>
      <c r="E85" s="388"/>
      <c r="F85" s="388"/>
      <c r="G85" s="388"/>
      <c r="H85" s="382" t="s">
        <v>11</v>
      </c>
      <c r="I85" s="382" t="s">
        <v>1487</v>
      </c>
      <c r="J85" s="382" t="s">
        <v>1487</v>
      </c>
      <c r="K85" s="382" t="s">
        <v>1279</v>
      </c>
      <c r="L85" s="382" t="s">
        <v>1279</v>
      </c>
    </row>
    <row r="86" s="17" customFormat="1" ht="15" customHeight="1" spans="2:12">
      <c r="B86" s="384" t="s">
        <v>1626</v>
      </c>
      <c r="C86" s="388"/>
      <c r="D86" s="388"/>
      <c r="E86" s="388"/>
      <c r="F86" s="388"/>
      <c r="G86" s="388"/>
      <c r="H86" s="382" t="s">
        <v>11</v>
      </c>
      <c r="I86" s="382" t="s">
        <v>1487</v>
      </c>
      <c r="J86" s="382" t="s">
        <v>1487</v>
      </c>
      <c r="K86" s="382" t="s">
        <v>1279</v>
      </c>
      <c r="L86" s="382" t="s">
        <v>1279</v>
      </c>
    </row>
    <row r="87" s="17" customFormat="1" ht="15" customHeight="1" spans="2:12">
      <c r="B87" s="384" t="s">
        <v>1627</v>
      </c>
      <c r="C87" s="388"/>
      <c r="D87" s="388"/>
      <c r="E87" s="388"/>
      <c r="F87" s="388"/>
      <c r="G87" s="388"/>
      <c r="H87" s="382" t="s">
        <v>11</v>
      </c>
      <c r="I87" s="382" t="s">
        <v>1487</v>
      </c>
      <c r="J87" s="382" t="s">
        <v>1487</v>
      </c>
      <c r="K87" s="382" t="s">
        <v>1279</v>
      </c>
      <c r="L87" s="382" t="s">
        <v>1279</v>
      </c>
    </row>
    <row r="88" s="17" customFormat="1" ht="15" customHeight="1" spans="2:12">
      <c r="B88" s="384" t="s">
        <v>1628</v>
      </c>
      <c r="C88" s="388"/>
      <c r="D88" s="388"/>
      <c r="E88" s="388"/>
      <c r="F88" s="388"/>
      <c r="G88" s="388"/>
      <c r="H88" s="382" t="s">
        <v>11</v>
      </c>
      <c r="I88" s="382" t="s">
        <v>1487</v>
      </c>
      <c r="J88" s="382" t="s">
        <v>1487</v>
      </c>
      <c r="K88" s="382" t="s">
        <v>1279</v>
      </c>
      <c r="L88" s="382" t="s">
        <v>1279</v>
      </c>
    </row>
    <row r="89" s="17" customFormat="1" ht="15" customHeight="1" spans="2:12">
      <c r="B89" s="384" t="s">
        <v>1629</v>
      </c>
      <c r="C89" s="388"/>
      <c r="D89" s="388"/>
      <c r="E89" s="388"/>
      <c r="F89" s="388"/>
      <c r="G89" s="388"/>
      <c r="H89" s="382" t="s">
        <v>11</v>
      </c>
      <c r="I89" s="382" t="s">
        <v>1487</v>
      </c>
      <c r="J89" s="382" t="s">
        <v>1487</v>
      </c>
      <c r="K89" s="382" t="s">
        <v>1279</v>
      </c>
      <c r="L89" s="382" t="s">
        <v>1279</v>
      </c>
    </row>
    <row r="90" s="17" customFormat="1" ht="15" customHeight="1" spans="2:12">
      <c r="B90" s="384" t="s">
        <v>1630</v>
      </c>
      <c r="C90" s="388" t="s">
        <v>1631</v>
      </c>
      <c r="D90" s="388"/>
      <c r="E90" s="388" t="s">
        <v>1631</v>
      </c>
      <c r="F90" s="388"/>
      <c r="G90" s="388"/>
      <c r="H90" s="382" t="s">
        <v>11</v>
      </c>
      <c r="I90" s="382" t="s">
        <v>1487</v>
      </c>
      <c r="J90" s="382" t="s">
        <v>1487</v>
      </c>
      <c r="K90" s="382" t="s">
        <v>1279</v>
      </c>
      <c r="L90" s="382" t="s">
        <v>1279</v>
      </c>
    </row>
    <row r="91" s="17" customFormat="1" ht="15" customHeight="1" spans="2:12">
      <c r="B91" s="384" t="s">
        <v>1632</v>
      </c>
      <c r="C91" s="388" t="s">
        <v>1631</v>
      </c>
      <c r="D91" s="388"/>
      <c r="E91" s="388" t="s">
        <v>1631</v>
      </c>
      <c r="F91" s="388"/>
      <c r="G91" s="388"/>
      <c r="H91" s="382" t="s">
        <v>11</v>
      </c>
      <c r="I91" s="382" t="s">
        <v>1487</v>
      </c>
      <c r="J91" s="382" t="s">
        <v>1487</v>
      </c>
      <c r="K91" s="382" t="s">
        <v>1279</v>
      </c>
      <c r="L91" s="382" t="s">
        <v>1279</v>
      </c>
    </row>
    <row r="92" s="17" customFormat="1" ht="15" customHeight="1" spans="2:12">
      <c r="B92" s="384" t="s">
        <v>1633</v>
      </c>
      <c r="C92" s="388" t="s">
        <v>1631</v>
      </c>
      <c r="D92" s="388"/>
      <c r="E92" s="388" t="s">
        <v>1631</v>
      </c>
      <c r="F92" s="388"/>
      <c r="G92" s="388"/>
      <c r="H92" s="382" t="s">
        <v>11</v>
      </c>
      <c r="I92" s="382" t="s">
        <v>1487</v>
      </c>
      <c r="J92" s="382" t="s">
        <v>1487</v>
      </c>
      <c r="K92" s="382" t="s">
        <v>1279</v>
      </c>
      <c r="L92" s="382" t="s">
        <v>1279</v>
      </c>
    </row>
    <row r="93" s="17" customFormat="1" ht="15" customHeight="1" spans="2:12">
      <c r="B93" s="384" t="s">
        <v>1634</v>
      </c>
      <c r="C93" s="388" t="s">
        <v>1631</v>
      </c>
      <c r="D93" s="388"/>
      <c r="E93" s="388" t="s">
        <v>1631</v>
      </c>
      <c r="F93" s="388"/>
      <c r="G93" s="388"/>
      <c r="H93" s="382" t="s">
        <v>11</v>
      </c>
      <c r="I93" s="382" t="s">
        <v>1487</v>
      </c>
      <c r="J93" s="382" t="s">
        <v>1487</v>
      </c>
      <c r="K93" s="382" t="s">
        <v>1279</v>
      </c>
      <c r="L93" s="382" t="s">
        <v>1279</v>
      </c>
    </row>
    <row r="94" s="17" customFormat="1" ht="15" customHeight="1" spans="2:12">
      <c r="B94" s="384" t="s">
        <v>1635</v>
      </c>
      <c r="C94" s="388" t="s">
        <v>1631</v>
      </c>
      <c r="D94" s="388"/>
      <c r="E94" s="388" t="s">
        <v>1631</v>
      </c>
      <c r="F94" s="388"/>
      <c r="G94" s="388"/>
      <c r="H94" s="382" t="s">
        <v>11</v>
      </c>
      <c r="I94" s="382" t="s">
        <v>1487</v>
      </c>
      <c r="J94" s="382" t="s">
        <v>1487</v>
      </c>
      <c r="K94" s="382" t="s">
        <v>1279</v>
      </c>
      <c r="L94" s="382" t="s">
        <v>1279</v>
      </c>
    </row>
    <row r="95" s="17" customFormat="1" ht="15" customHeight="1" spans="2:12">
      <c r="B95" s="384" t="s">
        <v>1636</v>
      </c>
      <c r="C95" s="388" t="s">
        <v>1631</v>
      </c>
      <c r="D95" s="388"/>
      <c r="E95" s="388" t="s">
        <v>1631</v>
      </c>
      <c r="F95" s="388"/>
      <c r="G95" s="388"/>
      <c r="H95" s="382" t="s">
        <v>11</v>
      </c>
      <c r="I95" s="382" t="s">
        <v>1487</v>
      </c>
      <c r="J95" s="382" t="s">
        <v>1487</v>
      </c>
      <c r="K95" s="382" t="s">
        <v>1279</v>
      </c>
      <c r="L95" s="382" t="s">
        <v>1279</v>
      </c>
    </row>
    <row r="96" s="17" customFormat="1" ht="15" customHeight="1" spans="2:12">
      <c r="B96" s="384" t="s">
        <v>1637</v>
      </c>
      <c r="C96" s="388" t="s">
        <v>1631</v>
      </c>
      <c r="D96" s="388"/>
      <c r="E96" s="388" t="s">
        <v>1631</v>
      </c>
      <c r="F96" s="388"/>
      <c r="G96" s="388"/>
      <c r="H96" s="382" t="s">
        <v>11</v>
      </c>
      <c r="I96" s="382" t="s">
        <v>1487</v>
      </c>
      <c r="J96" s="382" t="s">
        <v>1487</v>
      </c>
      <c r="K96" s="382" t="s">
        <v>1279</v>
      </c>
      <c r="L96" s="382" t="s">
        <v>1279</v>
      </c>
    </row>
    <row r="97" s="17" customFormat="1" ht="15" customHeight="1" spans="2:12">
      <c r="B97" s="384" t="s">
        <v>1638</v>
      </c>
      <c r="C97" s="388" t="s">
        <v>1631</v>
      </c>
      <c r="D97" s="388"/>
      <c r="E97" s="388" t="s">
        <v>1631</v>
      </c>
      <c r="F97" s="388"/>
      <c r="G97" s="388"/>
      <c r="H97" s="382" t="s">
        <v>11</v>
      </c>
      <c r="I97" s="382" t="s">
        <v>1487</v>
      </c>
      <c r="J97" s="382" t="s">
        <v>1487</v>
      </c>
      <c r="K97" s="382" t="s">
        <v>1279</v>
      </c>
      <c r="L97" s="382" t="s">
        <v>1279</v>
      </c>
    </row>
    <row r="98" s="17" customFormat="1" ht="15" customHeight="1" spans="2:12">
      <c r="B98" s="384" t="s">
        <v>1639</v>
      </c>
      <c r="C98" s="388" t="s">
        <v>1631</v>
      </c>
      <c r="D98" s="388"/>
      <c r="E98" s="388" t="s">
        <v>1631</v>
      </c>
      <c r="F98" s="388"/>
      <c r="G98" s="388"/>
      <c r="H98" s="382" t="s">
        <v>11</v>
      </c>
      <c r="I98" s="382" t="s">
        <v>1487</v>
      </c>
      <c r="J98" s="382" t="s">
        <v>1487</v>
      </c>
      <c r="K98" s="382" t="s">
        <v>1279</v>
      </c>
      <c r="L98" s="382" t="s">
        <v>1279</v>
      </c>
    </row>
    <row r="99" s="17" customFormat="1" ht="15" customHeight="1" spans="2:12">
      <c r="B99" s="384" t="s">
        <v>1640</v>
      </c>
      <c r="C99" s="388" t="s">
        <v>1631</v>
      </c>
      <c r="D99" s="388"/>
      <c r="E99" s="388" t="s">
        <v>1631</v>
      </c>
      <c r="F99" s="388"/>
      <c r="G99" s="388"/>
      <c r="H99" s="382" t="s">
        <v>11</v>
      </c>
      <c r="I99" s="382" t="s">
        <v>1487</v>
      </c>
      <c r="J99" s="382" t="s">
        <v>1487</v>
      </c>
      <c r="K99" s="382" t="s">
        <v>1279</v>
      </c>
      <c r="L99" s="382" t="s">
        <v>1279</v>
      </c>
    </row>
    <row r="100" s="17" customFormat="1" ht="15" customHeight="1" spans="2:12">
      <c r="B100" s="384" t="s">
        <v>1641</v>
      </c>
      <c r="C100" s="388" t="s">
        <v>1631</v>
      </c>
      <c r="D100" s="388"/>
      <c r="E100" s="388" t="s">
        <v>1631</v>
      </c>
      <c r="F100" s="388"/>
      <c r="G100" s="388"/>
      <c r="H100" s="382" t="s">
        <v>11</v>
      </c>
      <c r="I100" s="382" t="s">
        <v>1487</v>
      </c>
      <c r="J100" s="382" t="s">
        <v>1487</v>
      </c>
      <c r="K100" s="382" t="s">
        <v>1279</v>
      </c>
      <c r="L100" s="382" t="s">
        <v>1279</v>
      </c>
    </row>
    <row r="101" s="17" customFormat="1" ht="15" customHeight="1" spans="2:12">
      <c r="B101" s="384" t="s">
        <v>1642</v>
      </c>
      <c r="C101" s="388" t="s">
        <v>1631</v>
      </c>
      <c r="D101" s="388"/>
      <c r="E101" s="388" t="s">
        <v>1631</v>
      </c>
      <c r="F101" s="388"/>
      <c r="G101" s="388"/>
      <c r="H101" s="382" t="s">
        <v>11</v>
      </c>
      <c r="I101" s="382" t="s">
        <v>1487</v>
      </c>
      <c r="J101" s="382" t="s">
        <v>1487</v>
      </c>
      <c r="K101" s="382" t="s">
        <v>1279</v>
      </c>
      <c r="L101" s="382" t="s">
        <v>1279</v>
      </c>
    </row>
    <row r="102" s="17" customFormat="1" ht="15" customHeight="1" spans="2:12">
      <c r="B102" s="384" t="s">
        <v>1643</v>
      </c>
      <c r="C102" s="388" t="s">
        <v>1631</v>
      </c>
      <c r="D102" s="388"/>
      <c r="E102" s="388" t="s">
        <v>1631</v>
      </c>
      <c r="F102" s="388"/>
      <c r="G102" s="388"/>
      <c r="H102" s="382" t="s">
        <v>11</v>
      </c>
      <c r="I102" s="382" t="s">
        <v>1487</v>
      </c>
      <c r="J102" s="382" t="s">
        <v>1487</v>
      </c>
      <c r="K102" s="382" t="s">
        <v>1279</v>
      </c>
      <c r="L102" s="382" t="s">
        <v>1279</v>
      </c>
    </row>
    <row r="103" s="17" customFormat="1" ht="15" customHeight="1" spans="2:12">
      <c r="B103" s="384" t="s">
        <v>1644</v>
      </c>
      <c r="C103" s="388" t="s">
        <v>1631</v>
      </c>
      <c r="D103" s="388"/>
      <c r="E103" s="388" t="s">
        <v>1631</v>
      </c>
      <c r="F103" s="388"/>
      <c r="G103" s="388"/>
      <c r="H103" s="382" t="s">
        <v>11</v>
      </c>
      <c r="I103" s="382" t="s">
        <v>1487</v>
      </c>
      <c r="J103" s="382" t="s">
        <v>1487</v>
      </c>
      <c r="K103" s="382" t="s">
        <v>1279</v>
      </c>
      <c r="L103" s="382" t="s">
        <v>1279</v>
      </c>
    </row>
    <row r="104" s="17" customFormat="1" ht="15" customHeight="1" spans="2:12">
      <c r="B104" s="384" t="s">
        <v>1645</v>
      </c>
      <c r="C104" s="388" t="s">
        <v>1631</v>
      </c>
      <c r="D104" s="388"/>
      <c r="E104" s="388" t="s">
        <v>1631</v>
      </c>
      <c r="F104" s="388"/>
      <c r="G104" s="388"/>
      <c r="H104" s="382" t="s">
        <v>11</v>
      </c>
      <c r="I104" s="382" t="s">
        <v>1487</v>
      </c>
      <c r="J104" s="382" t="s">
        <v>1487</v>
      </c>
      <c r="K104" s="382" t="s">
        <v>1279</v>
      </c>
      <c r="L104" s="382" t="s">
        <v>1279</v>
      </c>
    </row>
    <row r="105" s="17" customFormat="1" ht="15" customHeight="1" spans="2:12">
      <c r="B105" s="384" t="s">
        <v>1646</v>
      </c>
      <c r="C105" s="388" t="s">
        <v>1631</v>
      </c>
      <c r="D105" s="388"/>
      <c r="E105" s="388" t="s">
        <v>1631</v>
      </c>
      <c r="F105" s="388"/>
      <c r="G105" s="388"/>
      <c r="H105" s="382" t="s">
        <v>11</v>
      </c>
      <c r="I105" s="382" t="s">
        <v>1487</v>
      </c>
      <c r="J105" s="382" t="s">
        <v>1487</v>
      </c>
      <c r="K105" s="382" t="s">
        <v>1279</v>
      </c>
      <c r="L105" s="382" t="s">
        <v>1279</v>
      </c>
    </row>
    <row r="106" s="17" customFormat="1" ht="15" customHeight="1" spans="2:12">
      <c r="B106" s="384" t="s">
        <v>1647</v>
      </c>
      <c r="C106" s="388" t="s">
        <v>1631</v>
      </c>
      <c r="D106" s="388"/>
      <c r="E106" s="388" t="s">
        <v>1631</v>
      </c>
      <c r="F106" s="388"/>
      <c r="G106" s="388"/>
      <c r="H106" s="382" t="s">
        <v>11</v>
      </c>
      <c r="I106" s="382" t="s">
        <v>1487</v>
      </c>
      <c r="J106" s="382" t="s">
        <v>1487</v>
      </c>
      <c r="K106" s="382" t="s">
        <v>1279</v>
      </c>
      <c r="L106" s="382" t="s">
        <v>1279</v>
      </c>
    </row>
    <row r="107" s="17" customFormat="1" ht="15" customHeight="1" spans="2:12">
      <c r="B107" s="384" t="s">
        <v>1648</v>
      </c>
      <c r="C107" s="388" t="s">
        <v>1631</v>
      </c>
      <c r="D107" s="388"/>
      <c r="E107" s="388" t="s">
        <v>1631</v>
      </c>
      <c r="F107" s="388"/>
      <c r="G107" s="388"/>
      <c r="H107" s="382" t="s">
        <v>11</v>
      </c>
      <c r="I107" s="382" t="s">
        <v>1487</v>
      </c>
      <c r="J107" s="382" t="s">
        <v>1487</v>
      </c>
      <c r="K107" s="382" t="s">
        <v>1279</v>
      </c>
      <c r="L107" s="382" t="s">
        <v>1279</v>
      </c>
    </row>
    <row r="108" s="17" customFormat="1" ht="15" customHeight="1" spans="2:12">
      <c r="B108" s="384" t="s">
        <v>1649</v>
      </c>
      <c r="C108" s="388" t="s">
        <v>1631</v>
      </c>
      <c r="D108" s="388"/>
      <c r="E108" s="388" t="s">
        <v>1631</v>
      </c>
      <c r="F108" s="388"/>
      <c r="G108" s="388"/>
      <c r="H108" s="382" t="s">
        <v>11</v>
      </c>
      <c r="I108" s="382" t="s">
        <v>1487</v>
      </c>
      <c r="J108" s="382" t="s">
        <v>1487</v>
      </c>
      <c r="K108" s="382" t="s">
        <v>1279</v>
      </c>
      <c r="L108" s="382" t="s">
        <v>1279</v>
      </c>
    </row>
    <row r="109" s="17" customFormat="1" ht="15" customHeight="1" spans="2:12">
      <c r="B109" s="384" t="s">
        <v>1650</v>
      </c>
      <c r="C109" s="388" t="s">
        <v>1631</v>
      </c>
      <c r="D109" s="388"/>
      <c r="E109" s="388" t="s">
        <v>1631</v>
      </c>
      <c r="F109" s="388"/>
      <c r="G109" s="388"/>
      <c r="H109" s="382" t="s">
        <v>11</v>
      </c>
      <c r="I109" s="382" t="s">
        <v>1487</v>
      </c>
      <c r="J109" s="382" t="s">
        <v>1487</v>
      </c>
      <c r="K109" s="382" t="s">
        <v>1279</v>
      </c>
      <c r="L109" s="382" t="s">
        <v>1279</v>
      </c>
    </row>
    <row r="110" s="17" customFormat="1" ht="15" customHeight="1" spans="2:12">
      <c r="B110" s="384" t="s">
        <v>1651</v>
      </c>
      <c r="C110" s="388" t="s">
        <v>1631</v>
      </c>
      <c r="D110" s="388"/>
      <c r="E110" s="388" t="s">
        <v>1631</v>
      </c>
      <c r="F110" s="388"/>
      <c r="G110" s="388"/>
      <c r="H110" s="382" t="s">
        <v>11</v>
      </c>
      <c r="I110" s="382" t="s">
        <v>1487</v>
      </c>
      <c r="J110" s="382" t="s">
        <v>1487</v>
      </c>
      <c r="K110" s="382" t="s">
        <v>1279</v>
      </c>
      <c r="L110" s="382" t="s">
        <v>1279</v>
      </c>
    </row>
    <row r="111" s="17" customFormat="1" ht="15" customHeight="1" spans="2:12">
      <c r="B111" s="384" t="s">
        <v>1652</v>
      </c>
      <c r="C111" s="388" t="s">
        <v>1631</v>
      </c>
      <c r="D111" s="388"/>
      <c r="E111" s="388" t="s">
        <v>1631</v>
      </c>
      <c r="F111" s="388"/>
      <c r="G111" s="388"/>
      <c r="H111" s="382" t="s">
        <v>11</v>
      </c>
      <c r="I111" s="382" t="s">
        <v>1487</v>
      </c>
      <c r="J111" s="382" t="s">
        <v>1487</v>
      </c>
      <c r="K111" s="382" t="s">
        <v>1279</v>
      </c>
      <c r="L111" s="382" t="s">
        <v>1279</v>
      </c>
    </row>
    <row r="112" s="17" customFormat="1" ht="15" customHeight="1" spans="2:12">
      <c r="B112" s="384" t="s">
        <v>1653</v>
      </c>
      <c r="C112" s="388" t="s">
        <v>1631</v>
      </c>
      <c r="D112" s="388"/>
      <c r="E112" s="388" t="s">
        <v>1631</v>
      </c>
      <c r="F112" s="388"/>
      <c r="G112" s="388"/>
      <c r="H112" s="382" t="s">
        <v>11</v>
      </c>
      <c r="I112" s="382" t="s">
        <v>1487</v>
      </c>
      <c r="J112" s="382" t="s">
        <v>1487</v>
      </c>
      <c r="K112" s="382" t="s">
        <v>1279</v>
      </c>
      <c r="L112" s="382" t="s">
        <v>1279</v>
      </c>
    </row>
    <row r="113" s="17" customFormat="1" ht="15" customHeight="1" spans="2:12">
      <c r="B113" s="384" t="s">
        <v>1654</v>
      </c>
      <c r="C113" s="388" t="s">
        <v>1631</v>
      </c>
      <c r="D113" s="388"/>
      <c r="E113" s="388" t="s">
        <v>1631</v>
      </c>
      <c r="F113" s="388"/>
      <c r="G113" s="388"/>
      <c r="H113" s="382" t="s">
        <v>11</v>
      </c>
      <c r="I113" s="382" t="s">
        <v>1487</v>
      </c>
      <c r="J113" s="382" t="s">
        <v>1487</v>
      </c>
      <c r="K113" s="382" t="s">
        <v>1279</v>
      </c>
      <c r="L113" s="382" t="s">
        <v>1279</v>
      </c>
    </row>
    <row r="114" s="17" customFormat="1" ht="15" customHeight="1" spans="2:12">
      <c r="B114" s="384" t="s">
        <v>1655</v>
      </c>
      <c r="C114" s="388" t="s">
        <v>1631</v>
      </c>
      <c r="D114" s="388"/>
      <c r="E114" s="388" t="s">
        <v>1631</v>
      </c>
      <c r="F114" s="388"/>
      <c r="G114" s="388"/>
      <c r="H114" s="382" t="s">
        <v>11</v>
      </c>
      <c r="I114" s="382" t="s">
        <v>1487</v>
      </c>
      <c r="J114" s="382" t="s">
        <v>1487</v>
      </c>
      <c r="K114" s="382" t="s">
        <v>1279</v>
      </c>
      <c r="L114" s="382" t="s">
        <v>1279</v>
      </c>
    </row>
    <row r="115" s="17" customFormat="1" ht="15" customHeight="1" spans="2:12">
      <c r="B115" s="384" t="s">
        <v>1656</v>
      </c>
      <c r="C115" s="388" t="s">
        <v>1631</v>
      </c>
      <c r="D115" s="388"/>
      <c r="E115" s="388" t="s">
        <v>1631</v>
      </c>
      <c r="F115" s="388"/>
      <c r="G115" s="388"/>
      <c r="H115" s="382" t="s">
        <v>11</v>
      </c>
      <c r="I115" s="382" t="s">
        <v>1487</v>
      </c>
      <c r="J115" s="382" t="s">
        <v>1487</v>
      </c>
      <c r="K115" s="382" t="s">
        <v>1279</v>
      </c>
      <c r="L115" s="382" t="s">
        <v>1279</v>
      </c>
    </row>
    <row r="116" s="17" customFormat="1" ht="15" customHeight="1" spans="2:12">
      <c r="B116" s="384" t="s">
        <v>1657</v>
      </c>
      <c r="C116" s="388" t="s">
        <v>1631</v>
      </c>
      <c r="D116" s="388"/>
      <c r="E116" s="388" t="s">
        <v>1631</v>
      </c>
      <c r="F116" s="388"/>
      <c r="G116" s="388"/>
      <c r="H116" s="382" t="s">
        <v>11</v>
      </c>
      <c r="I116" s="382" t="s">
        <v>1487</v>
      </c>
      <c r="J116" s="382" t="s">
        <v>1487</v>
      </c>
      <c r="K116" s="382" t="s">
        <v>1279</v>
      </c>
      <c r="L116" s="382" t="s">
        <v>1279</v>
      </c>
    </row>
    <row r="117" s="17" customFormat="1" ht="15" customHeight="1" spans="2:12">
      <c r="B117" s="384" t="s">
        <v>1658</v>
      </c>
      <c r="C117" s="388" t="s">
        <v>1631</v>
      </c>
      <c r="D117" s="388"/>
      <c r="E117" s="388" t="s">
        <v>1631</v>
      </c>
      <c r="F117" s="388"/>
      <c r="G117" s="388"/>
      <c r="H117" s="382" t="s">
        <v>11</v>
      </c>
      <c r="I117" s="382" t="s">
        <v>1487</v>
      </c>
      <c r="J117" s="382" t="s">
        <v>1487</v>
      </c>
      <c r="K117" s="382" t="s">
        <v>1279</v>
      </c>
      <c r="L117" s="382" t="s">
        <v>1279</v>
      </c>
    </row>
    <row r="118" s="17" customFormat="1" ht="15" customHeight="1" spans="2:12">
      <c r="B118" s="384" t="s">
        <v>1659</v>
      </c>
      <c r="C118" s="388" t="s">
        <v>1631</v>
      </c>
      <c r="D118" s="388"/>
      <c r="E118" s="388" t="s">
        <v>1631</v>
      </c>
      <c r="F118" s="388"/>
      <c r="G118" s="388"/>
      <c r="H118" s="382" t="s">
        <v>11</v>
      </c>
      <c r="I118" s="382" t="s">
        <v>1487</v>
      </c>
      <c r="J118" s="382" t="s">
        <v>1487</v>
      </c>
      <c r="K118" s="382" t="s">
        <v>1279</v>
      </c>
      <c r="L118" s="382" t="s">
        <v>1279</v>
      </c>
    </row>
    <row r="119" s="17" customFormat="1" ht="15" customHeight="1" spans="2:12">
      <c r="B119" s="384" t="s">
        <v>1660</v>
      </c>
      <c r="C119" s="388" t="s">
        <v>1631</v>
      </c>
      <c r="D119" s="388"/>
      <c r="E119" s="388" t="s">
        <v>1631</v>
      </c>
      <c r="F119" s="388"/>
      <c r="G119" s="388"/>
      <c r="H119" s="382" t="s">
        <v>11</v>
      </c>
      <c r="I119" s="382" t="s">
        <v>1487</v>
      </c>
      <c r="J119" s="382" t="s">
        <v>1487</v>
      </c>
      <c r="K119" s="382" t="s">
        <v>1279</v>
      </c>
      <c r="L119" s="382" t="s">
        <v>1279</v>
      </c>
    </row>
  </sheetData>
  <mergeCells count="17">
    <mergeCell ref="K19:L19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B11:E14"/>
    <mergeCell ref="B15:E16"/>
    <mergeCell ref="F11:L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tabColor theme="8" tint="0.799981688894314"/>
  </sheetPr>
  <dimension ref="A1:W107"/>
  <sheetViews>
    <sheetView zoomScale="85" zoomScaleNormal="85" workbookViewId="0">
      <pane ySplit="11" topLeftCell="A31" activePane="bottomLeft" state="frozen"/>
      <selection/>
      <selection pane="bottomLeft" activeCell="H46" sqref="H46"/>
    </sheetView>
  </sheetViews>
  <sheetFormatPr defaultColWidth="8.72222222222222" defaultRowHeight="14.4"/>
  <cols>
    <col min="2" max="4" width="10.9074074074074" customWidth="1"/>
    <col min="5" max="6" width="11.6296296296296" customWidth="1"/>
    <col min="7" max="10" width="11.5462962962963" customWidth="1"/>
    <col min="11" max="22" width="9.09259259259259" customWidth="1"/>
    <col min="23" max="23" width="18" customWidth="1"/>
  </cols>
  <sheetData>
    <row r="1" spans="1:21">
      <c r="A1" s="61" t="s">
        <v>100</v>
      </c>
      <c r="B1" s="234"/>
      <c r="C1" s="234"/>
      <c r="D1" s="234"/>
      <c r="E1" s="234"/>
      <c r="F1" s="234"/>
      <c r="G1" s="320" t="s">
        <v>1666</v>
      </c>
      <c r="H1" s="321" t="s">
        <v>1667</v>
      </c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2"/>
    </row>
    <row r="2" spans="1:21">
      <c r="A2" s="234"/>
      <c r="B2" s="234"/>
      <c r="C2" s="234"/>
      <c r="D2" s="234"/>
      <c r="E2" s="234"/>
      <c r="F2" s="234"/>
      <c r="G2" s="10"/>
      <c r="H2" s="323" t="s">
        <v>1668</v>
      </c>
      <c r="I2" s="323"/>
      <c r="J2" s="323"/>
      <c r="K2" s="323"/>
      <c r="L2" s="323"/>
      <c r="M2" s="323"/>
      <c r="N2" s="323"/>
      <c r="O2" s="355"/>
      <c r="P2" s="355"/>
      <c r="Q2" s="355"/>
      <c r="R2" s="355"/>
      <c r="S2" s="324"/>
    </row>
    <row r="3" spans="1:21">
      <c r="A3" s="234"/>
      <c r="B3" s="234"/>
      <c r="C3" s="234"/>
      <c r="D3" s="234"/>
      <c r="E3" s="234"/>
      <c r="F3" s="234"/>
      <c r="G3" s="10"/>
      <c r="H3" s="323" t="s">
        <v>1669</v>
      </c>
      <c r="I3" s="323"/>
      <c r="J3" s="323"/>
      <c r="K3" s="323"/>
      <c r="L3" s="323"/>
      <c r="M3" s="323"/>
      <c r="N3" s="323"/>
      <c r="O3" s="356"/>
      <c r="P3" s="356"/>
      <c r="Q3" s="356"/>
      <c r="R3" s="355"/>
      <c r="S3" s="324"/>
    </row>
    <row r="4" ht="14" customHeight="1" spans="1:21">
      <c r="A4" s="234"/>
      <c r="B4" s="234"/>
      <c r="C4" s="234"/>
      <c r="D4" s="234"/>
      <c r="E4" s="234"/>
      <c r="F4" s="234"/>
      <c r="G4" s="10"/>
      <c r="H4" s="323" t="s">
        <v>1670</v>
      </c>
      <c r="I4" s="323"/>
      <c r="J4" s="323"/>
      <c r="K4" s="323"/>
      <c r="L4" s="323"/>
      <c r="M4" s="323"/>
      <c r="N4" s="323"/>
      <c r="O4" s="356"/>
      <c r="P4" s="356"/>
      <c r="Q4" s="356"/>
      <c r="R4" s="355"/>
      <c r="S4" s="324"/>
    </row>
    <row r="5" spans="1:21">
      <c r="A5" s="13" t="s">
        <v>1671</v>
      </c>
      <c r="B5" s="13"/>
      <c r="C5" s="13"/>
      <c r="D5" s="13"/>
      <c r="E5" s="13"/>
      <c r="F5" s="13"/>
      <c r="G5" s="14" t="s">
        <v>1672</v>
      </c>
      <c r="H5" s="325"/>
      <c r="I5" s="325"/>
      <c r="J5" s="326"/>
      <c r="K5" s="326"/>
      <c r="L5" s="326"/>
      <c r="M5" s="326"/>
      <c r="N5" s="326"/>
      <c r="O5" s="357"/>
      <c r="P5" s="357"/>
      <c r="Q5" s="357"/>
      <c r="R5" s="358"/>
      <c r="S5" s="327"/>
    </row>
    <row r="6" spans="1:21">
      <c r="A6" s="17"/>
      <c r="B6" s="17"/>
      <c r="C6" s="17"/>
      <c r="D6" s="17"/>
      <c r="E6" s="17"/>
      <c r="F6" s="17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21">
      <c r="A7" s="19" t="s">
        <v>1501</v>
      </c>
      <c r="B7" s="359" t="s">
        <v>1502</v>
      </c>
      <c r="C7" s="360"/>
      <c r="D7" s="361"/>
      <c r="E7" s="19" t="s">
        <v>1120</v>
      </c>
      <c r="F7" s="20" t="s">
        <v>1503</v>
      </c>
      <c r="G7" s="19" t="s">
        <v>1457</v>
      </c>
      <c r="H7" s="20" t="s">
        <v>1483</v>
      </c>
      <c r="I7" s="19" t="s">
        <v>1504</v>
      </c>
      <c r="J7" s="328" t="s">
        <v>1505</v>
      </c>
      <c r="K7" s="17"/>
      <c r="L7" s="17"/>
      <c r="M7" s="17"/>
      <c r="N7" s="17"/>
      <c r="O7" s="17"/>
      <c r="Q7" s="17"/>
    </row>
    <row r="8" spans="1:21">
      <c r="A8" s="17" t="s">
        <v>1673</v>
      </c>
      <c r="B8" s="17"/>
      <c r="C8" s="17"/>
      <c r="D8" s="17"/>
      <c r="E8" s="17"/>
      <c r="F8" s="17"/>
      <c r="G8" s="17"/>
      <c r="H8" s="17"/>
      <c r="I8" s="17"/>
      <c r="J8" s="17"/>
      <c r="K8" s="17"/>
      <c r="M8" s="17"/>
      <c r="N8" s="17"/>
      <c r="O8" s="17"/>
      <c r="P8" s="17"/>
      <c r="Q8" s="17"/>
      <c r="S8" s="17"/>
      <c r="T8" s="17"/>
      <c r="U8" s="17"/>
    </row>
    <row r="9" customFormat="1" spans="1:21">
      <c r="A9" s="329" t="s">
        <v>291</v>
      </c>
      <c r="B9" s="329" t="s">
        <v>292</v>
      </c>
      <c r="C9" s="362" t="s">
        <v>1462</v>
      </c>
      <c r="D9" s="362" t="s">
        <v>295</v>
      </c>
      <c r="E9" s="363" t="s">
        <v>1674</v>
      </c>
      <c r="F9" s="363"/>
      <c r="G9" s="363"/>
      <c r="H9" s="363"/>
      <c r="I9" s="363"/>
      <c r="J9" s="363" t="s">
        <v>1675</v>
      </c>
      <c r="K9" s="363"/>
      <c r="L9" s="363"/>
      <c r="M9" s="363"/>
      <c r="N9" s="363"/>
      <c r="O9" s="363" t="s">
        <v>1676</v>
      </c>
      <c r="P9" s="363"/>
      <c r="Q9" s="363"/>
      <c r="R9" s="363"/>
      <c r="S9" s="363"/>
      <c r="T9" s="17"/>
      <c r="U9" s="17"/>
    </row>
    <row r="10" s="318" customFormat="1" ht="39" customHeight="1" spans="1:21">
      <c r="A10" s="329"/>
      <c r="B10" s="329"/>
      <c r="C10" s="364"/>
      <c r="D10" s="364"/>
      <c r="E10" s="365" t="s">
        <v>1677</v>
      </c>
      <c r="F10" s="365" t="s">
        <v>1678</v>
      </c>
      <c r="G10" s="365" t="s">
        <v>1679</v>
      </c>
      <c r="H10" s="365" t="s">
        <v>1680</v>
      </c>
      <c r="I10" s="365" t="s">
        <v>1681</v>
      </c>
      <c r="J10" s="365" t="s">
        <v>1682</v>
      </c>
      <c r="K10" s="365" t="s">
        <v>1683</v>
      </c>
      <c r="L10" s="365" t="s">
        <v>1684</v>
      </c>
      <c r="M10" s="365" t="s">
        <v>1685</v>
      </c>
      <c r="N10" s="365" t="s">
        <v>1686</v>
      </c>
      <c r="O10" s="365" t="s">
        <v>1687</v>
      </c>
      <c r="P10" s="365" t="s">
        <v>1688</v>
      </c>
      <c r="Q10" s="365" t="s">
        <v>1689</v>
      </c>
      <c r="R10" s="365" t="s">
        <v>1690</v>
      </c>
      <c r="S10" s="365" t="s">
        <v>1691</v>
      </c>
    </row>
    <row r="11" s="319" customFormat="1" ht="21.5" customHeight="1" spans="1:21">
      <c r="A11" s="334" t="s">
        <v>1487</v>
      </c>
      <c r="B11" s="334" t="s">
        <v>1487</v>
      </c>
      <c r="C11" s="334"/>
      <c r="D11" s="334"/>
      <c r="E11" s="157" t="s">
        <v>1692</v>
      </c>
      <c r="F11" s="157" t="s">
        <v>1487</v>
      </c>
      <c r="G11" s="157" t="s">
        <v>1487</v>
      </c>
      <c r="H11" s="334" t="s">
        <v>1279</v>
      </c>
      <c r="I11" s="334" t="s">
        <v>1279</v>
      </c>
      <c r="J11" s="157" t="s">
        <v>1692</v>
      </c>
      <c r="K11" s="157" t="s">
        <v>1487</v>
      </c>
      <c r="L11" s="157" t="s">
        <v>1487</v>
      </c>
      <c r="M11" s="334" t="s">
        <v>1279</v>
      </c>
      <c r="N11" s="334" t="s">
        <v>1279</v>
      </c>
      <c r="O11" s="157" t="s">
        <v>1692</v>
      </c>
      <c r="P11" s="157" t="s">
        <v>1487</v>
      </c>
      <c r="Q11" s="157" t="s">
        <v>1487</v>
      </c>
      <c r="R11" s="334" t="s">
        <v>1279</v>
      </c>
      <c r="S11" s="334" t="s">
        <v>1279</v>
      </c>
    </row>
    <row r="12" spans="1:21">
      <c r="A12" s="335"/>
      <c r="B12" s="335"/>
      <c r="C12" s="335"/>
      <c r="D12" s="335"/>
      <c r="E12" s="366"/>
      <c r="F12" s="157" t="s">
        <v>1487</v>
      </c>
      <c r="G12" s="157" t="s">
        <v>1487</v>
      </c>
      <c r="H12" s="334" t="s">
        <v>1279</v>
      </c>
      <c r="I12" s="334" t="s">
        <v>1279</v>
      </c>
      <c r="J12" s="157" t="s">
        <v>1692</v>
      </c>
      <c r="K12" s="157" t="s">
        <v>1487</v>
      </c>
      <c r="L12" s="157" t="s">
        <v>1487</v>
      </c>
      <c r="M12" s="334" t="s">
        <v>1279</v>
      </c>
      <c r="N12" s="334" t="s">
        <v>1279</v>
      </c>
      <c r="O12" s="157" t="s">
        <v>1692</v>
      </c>
      <c r="P12" s="157" t="s">
        <v>1487</v>
      </c>
      <c r="Q12" s="157" t="s">
        <v>1487</v>
      </c>
      <c r="R12" s="334" t="s">
        <v>1279</v>
      </c>
      <c r="S12" s="334" t="s">
        <v>1279</v>
      </c>
    </row>
    <row r="13" spans="1:21">
      <c r="A13" s="335"/>
      <c r="B13" s="335"/>
      <c r="C13" s="335"/>
      <c r="D13" s="335"/>
      <c r="E13" s="367"/>
      <c r="F13" s="157" t="s">
        <v>1487</v>
      </c>
      <c r="G13" s="157" t="s">
        <v>1487</v>
      </c>
      <c r="H13" s="334" t="s">
        <v>1279</v>
      </c>
      <c r="I13" s="334" t="s">
        <v>1279</v>
      </c>
      <c r="J13" s="157" t="s">
        <v>1692</v>
      </c>
      <c r="K13" s="157" t="s">
        <v>1487</v>
      </c>
      <c r="L13" s="157" t="s">
        <v>1487</v>
      </c>
      <c r="M13" s="334" t="s">
        <v>1279</v>
      </c>
      <c r="N13" s="334" t="s">
        <v>1279</v>
      </c>
      <c r="O13" s="157" t="s">
        <v>1692</v>
      </c>
      <c r="P13" s="157" t="s">
        <v>1487</v>
      </c>
      <c r="Q13" s="157" t="s">
        <v>1487</v>
      </c>
      <c r="R13" s="334" t="s">
        <v>1279</v>
      </c>
      <c r="S13" s="334" t="s">
        <v>1279</v>
      </c>
    </row>
    <row r="14" spans="1:21">
      <c r="A14" s="335"/>
      <c r="B14" s="335"/>
      <c r="C14" s="335"/>
      <c r="D14" s="335"/>
      <c r="E14" s="367"/>
      <c r="F14" s="157" t="s">
        <v>1487</v>
      </c>
      <c r="G14" s="157" t="s">
        <v>1487</v>
      </c>
      <c r="H14" s="334" t="s">
        <v>1279</v>
      </c>
      <c r="I14" s="334" t="s">
        <v>1279</v>
      </c>
      <c r="J14" s="157" t="s">
        <v>1692</v>
      </c>
      <c r="K14" s="157" t="s">
        <v>1487</v>
      </c>
      <c r="L14" s="157" t="s">
        <v>1487</v>
      </c>
      <c r="M14" s="334" t="s">
        <v>1279</v>
      </c>
      <c r="N14" s="334" t="s">
        <v>1279</v>
      </c>
      <c r="O14" s="157" t="s">
        <v>1692</v>
      </c>
      <c r="P14" s="157" t="s">
        <v>1487</v>
      </c>
      <c r="Q14" s="157" t="s">
        <v>1487</v>
      </c>
      <c r="R14" s="334" t="s">
        <v>1279</v>
      </c>
      <c r="S14" s="334" t="s">
        <v>1279</v>
      </c>
    </row>
    <row r="15" spans="1:21">
      <c r="A15" s="335"/>
      <c r="B15" s="335"/>
      <c r="C15" s="335"/>
      <c r="D15" s="335"/>
      <c r="E15" s="367"/>
      <c r="F15" s="157" t="s">
        <v>1487</v>
      </c>
      <c r="G15" s="157" t="s">
        <v>1487</v>
      </c>
      <c r="H15" s="334" t="s">
        <v>1279</v>
      </c>
      <c r="I15" s="334" t="s">
        <v>1279</v>
      </c>
      <c r="J15" s="157" t="s">
        <v>1692</v>
      </c>
      <c r="K15" s="157" t="s">
        <v>1487</v>
      </c>
      <c r="L15" s="157" t="s">
        <v>1487</v>
      </c>
      <c r="M15" s="334" t="s">
        <v>1279</v>
      </c>
      <c r="N15" s="334" t="s">
        <v>1279</v>
      </c>
      <c r="O15" s="157" t="s">
        <v>1692</v>
      </c>
      <c r="P15" s="157" t="s">
        <v>1487</v>
      </c>
      <c r="Q15" s="157" t="s">
        <v>1487</v>
      </c>
      <c r="R15" s="334" t="s">
        <v>1279</v>
      </c>
      <c r="S15" s="334" t="s">
        <v>1279</v>
      </c>
    </row>
    <row r="16" spans="1:21">
      <c r="A16" s="335"/>
      <c r="B16" s="335"/>
      <c r="C16" s="335"/>
      <c r="D16" s="335"/>
      <c r="E16" s="367"/>
      <c r="F16" s="157" t="s">
        <v>1487</v>
      </c>
      <c r="G16" s="157" t="s">
        <v>1487</v>
      </c>
      <c r="H16" s="334" t="s">
        <v>1279</v>
      </c>
      <c r="I16" s="334" t="s">
        <v>1279</v>
      </c>
      <c r="J16" s="157" t="s">
        <v>1692</v>
      </c>
      <c r="K16" s="157" t="s">
        <v>1487</v>
      </c>
      <c r="L16" s="157" t="s">
        <v>1487</v>
      </c>
      <c r="M16" s="334" t="s">
        <v>1279</v>
      </c>
      <c r="N16" s="334" t="s">
        <v>1279</v>
      </c>
      <c r="O16" s="157" t="s">
        <v>1692</v>
      </c>
      <c r="P16" s="157" t="s">
        <v>1487</v>
      </c>
      <c r="Q16" s="157" t="s">
        <v>1487</v>
      </c>
      <c r="R16" s="334" t="s">
        <v>1279</v>
      </c>
      <c r="S16" s="334" t="s">
        <v>1279</v>
      </c>
    </row>
    <row r="17" spans="1:19">
      <c r="A17" s="335"/>
      <c r="B17" s="335"/>
      <c r="C17" s="335"/>
      <c r="D17" s="335"/>
      <c r="E17" s="367"/>
      <c r="F17" s="157" t="s">
        <v>1487</v>
      </c>
      <c r="G17" s="157" t="s">
        <v>1487</v>
      </c>
      <c r="H17" s="334" t="s">
        <v>1279</v>
      </c>
      <c r="I17" s="334" t="s">
        <v>1279</v>
      </c>
      <c r="J17" s="157" t="s">
        <v>1692</v>
      </c>
      <c r="K17" s="157" t="s">
        <v>1487</v>
      </c>
      <c r="L17" s="157" t="s">
        <v>1487</v>
      </c>
      <c r="M17" s="334" t="s">
        <v>1279</v>
      </c>
      <c r="N17" s="334" t="s">
        <v>1279</v>
      </c>
      <c r="O17" s="157" t="s">
        <v>1692</v>
      </c>
      <c r="P17" s="157" t="s">
        <v>1487</v>
      </c>
      <c r="Q17" s="157" t="s">
        <v>1487</v>
      </c>
      <c r="R17" s="334" t="s">
        <v>1279</v>
      </c>
      <c r="S17" s="334" t="s">
        <v>1279</v>
      </c>
    </row>
    <row r="18" spans="1:19">
      <c r="A18" s="335"/>
      <c r="B18" s="335"/>
      <c r="C18" s="335"/>
      <c r="D18" s="335"/>
      <c r="E18" s="367"/>
      <c r="F18" s="157" t="s">
        <v>1487</v>
      </c>
      <c r="G18" s="157" t="s">
        <v>1487</v>
      </c>
      <c r="H18" s="334" t="s">
        <v>1279</v>
      </c>
      <c r="I18" s="334" t="s">
        <v>1279</v>
      </c>
      <c r="J18" s="157" t="s">
        <v>1692</v>
      </c>
      <c r="K18" s="157" t="s">
        <v>1487</v>
      </c>
      <c r="L18" s="157" t="s">
        <v>1487</v>
      </c>
      <c r="M18" s="334" t="s">
        <v>1279</v>
      </c>
      <c r="N18" s="334" t="s">
        <v>1279</v>
      </c>
      <c r="O18" s="157" t="s">
        <v>1692</v>
      </c>
      <c r="P18" s="157" t="s">
        <v>1487</v>
      </c>
      <c r="Q18" s="157" t="s">
        <v>1487</v>
      </c>
      <c r="R18" s="334" t="s">
        <v>1279</v>
      </c>
      <c r="S18" s="334" t="s">
        <v>1279</v>
      </c>
    </row>
    <row r="19" spans="1:19">
      <c r="A19" s="335"/>
      <c r="B19" s="335"/>
      <c r="C19" s="335"/>
      <c r="D19" s="335"/>
      <c r="E19" s="367"/>
      <c r="F19" s="157" t="s">
        <v>1487</v>
      </c>
      <c r="G19" s="157" t="s">
        <v>1487</v>
      </c>
      <c r="H19" s="334" t="s">
        <v>1279</v>
      </c>
      <c r="I19" s="334" t="s">
        <v>1279</v>
      </c>
      <c r="J19" s="157" t="s">
        <v>1692</v>
      </c>
      <c r="K19" s="157" t="s">
        <v>1487</v>
      </c>
      <c r="L19" s="157" t="s">
        <v>1487</v>
      </c>
      <c r="M19" s="334" t="s">
        <v>1279</v>
      </c>
      <c r="N19" s="334" t="s">
        <v>1279</v>
      </c>
      <c r="O19" s="157" t="s">
        <v>1692</v>
      </c>
      <c r="P19" s="157" t="s">
        <v>1487</v>
      </c>
      <c r="Q19" s="157" t="s">
        <v>1487</v>
      </c>
      <c r="R19" s="334" t="s">
        <v>1279</v>
      </c>
      <c r="S19" s="334" t="s">
        <v>1279</v>
      </c>
    </row>
    <row r="20" spans="1:19">
      <c r="A20" s="335"/>
      <c r="B20" s="335"/>
      <c r="C20" s="335"/>
      <c r="D20" s="335"/>
      <c r="E20" s="367"/>
      <c r="F20" s="157" t="s">
        <v>1487</v>
      </c>
      <c r="G20" s="157" t="s">
        <v>1487</v>
      </c>
      <c r="H20" s="334" t="s">
        <v>1279</v>
      </c>
      <c r="I20" s="334" t="s">
        <v>1279</v>
      </c>
      <c r="J20" s="157" t="s">
        <v>1692</v>
      </c>
      <c r="K20" s="157" t="s">
        <v>1487</v>
      </c>
      <c r="L20" s="157" t="s">
        <v>1487</v>
      </c>
      <c r="M20" s="334" t="s">
        <v>1279</v>
      </c>
      <c r="N20" s="334" t="s">
        <v>1279</v>
      </c>
      <c r="O20" s="157" t="s">
        <v>1692</v>
      </c>
      <c r="P20" s="157" t="s">
        <v>1487</v>
      </c>
      <c r="Q20" s="157" t="s">
        <v>1487</v>
      </c>
      <c r="R20" s="334" t="s">
        <v>1279</v>
      </c>
      <c r="S20" s="334" t="s">
        <v>1279</v>
      </c>
    </row>
    <row r="21" spans="1:19">
      <c r="A21" s="335"/>
      <c r="B21" s="335"/>
      <c r="C21" s="335"/>
      <c r="D21" s="335"/>
      <c r="E21" s="367"/>
      <c r="F21" s="157" t="s">
        <v>1487</v>
      </c>
      <c r="G21" s="157" t="s">
        <v>1487</v>
      </c>
      <c r="H21" s="334" t="s">
        <v>1279</v>
      </c>
      <c r="I21" s="334" t="s">
        <v>1279</v>
      </c>
      <c r="J21" s="157" t="s">
        <v>1692</v>
      </c>
      <c r="K21" s="157" t="s">
        <v>1487</v>
      </c>
      <c r="L21" s="157" t="s">
        <v>1487</v>
      </c>
      <c r="M21" s="334" t="s">
        <v>1279</v>
      </c>
      <c r="N21" s="334" t="s">
        <v>1279</v>
      </c>
      <c r="O21" s="157" t="s">
        <v>1692</v>
      </c>
      <c r="P21" s="157" t="s">
        <v>1487</v>
      </c>
      <c r="Q21" s="157" t="s">
        <v>1487</v>
      </c>
      <c r="R21" s="334" t="s">
        <v>1279</v>
      </c>
      <c r="S21" s="334" t="s">
        <v>1279</v>
      </c>
    </row>
    <row r="22" spans="1:19">
      <c r="A22" s="335"/>
      <c r="B22" s="335"/>
      <c r="C22" s="335"/>
      <c r="D22" s="335"/>
      <c r="E22" s="367"/>
      <c r="F22" s="157" t="s">
        <v>1487</v>
      </c>
      <c r="G22" s="157" t="s">
        <v>1487</v>
      </c>
      <c r="H22" s="334" t="s">
        <v>1279</v>
      </c>
      <c r="I22" s="334" t="s">
        <v>1279</v>
      </c>
      <c r="J22" s="157" t="s">
        <v>1692</v>
      </c>
      <c r="K22" s="157" t="s">
        <v>1487</v>
      </c>
      <c r="L22" s="157" t="s">
        <v>1487</v>
      </c>
      <c r="M22" s="334" t="s">
        <v>1279</v>
      </c>
      <c r="N22" s="334" t="s">
        <v>1279</v>
      </c>
      <c r="O22" s="157" t="s">
        <v>1692</v>
      </c>
      <c r="P22" s="157" t="s">
        <v>1487</v>
      </c>
      <c r="Q22" s="157" t="s">
        <v>1487</v>
      </c>
      <c r="R22" s="334" t="s">
        <v>1279</v>
      </c>
      <c r="S22" s="334" t="s">
        <v>1279</v>
      </c>
    </row>
    <row r="23" spans="1:19">
      <c r="A23" s="335"/>
      <c r="B23" s="335"/>
      <c r="C23" s="335"/>
      <c r="D23" s="335"/>
      <c r="E23" s="367"/>
      <c r="F23" s="157" t="s">
        <v>1487</v>
      </c>
      <c r="G23" s="157" t="s">
        <v>1487</v>
      </c>
      <c r="H23" s="334" t="s">
        <v>1279</v>
      </c>
      <c r="I23" s="334" t="s">
        <v>1279</v>
      </c>
      <c r="J23" s="157" t="s">
        <v>1692</v>
      </c>
      <c r="K23" s="157" t="s">
        <v>1487</v>
      </c>
      <c r="L23" s="157" t="s">
        <v>1487</v>
      </c>
      <c r="M23" s="334" t="s">
        <v>1279</v>
      </c>
      <c r="N23" s="334" t="s">
        <v>1279</v>
      </c>
      <c r="O23" s="157" t="s">
        <v>1692</v>
      </c>
      <c r="P23" s="157" t="s">
        <v>1487</v>
      </c>
      <c r="Q23" s="157" t="s">
        <v>1487</v>
      </c>
      <c r="R23" s="334" t="s">
        <v>1279</v>
      </c>
      <c r="S23" s="334" t="s">
        <v>1279</v>
      </c>
    </row>
    <row r="24" spans="1:19">
      <c r="A24" s="335"/>
      <c r="B24" s="335"/>
      <c r="C24" s="335"/>
      <c r="D24" s="335"/>
      <c r="E24" s="367"/>
      <c r="F24" s="157" t="s">
        <v>1487</v>
      </c>
      <c r="G24" s="157" t="s">
        <v>1487</v>
      </c>
      <c r="H24" s="334" t="s">
        <v>1279</v>
      </c>
      <c r="I24" s="334" t="s">
        <v>1279</v>
      </c>
      <c r="J24" s="157" t="s">
        <v>1692</v>
      </c>
      <c r="K24" s="157" t="s">
        <v>1487</v>
      </c>
      <c r="L24" s="157" t="s">
        <v>1487</v>
      </c>
      <c r="M24" s="334" t="s">
        <v>1279</v>
      </c>
      <c r="N24" s="334" t="s">
        <v>1279</v>
      </c>
      <c r="O24" s="157" t="s">
        <v>1692</v>
      </c>
      <c r="P24" s="157" t="s">
        <v>1487</v>
      </c>
      <c r="Q24" s="157" t="s">
        <v>1487</v>
      </c>
      <c r="R24" s="334" t="s">
        <v>1279</v>
      </c>
      <c r="S24" s="334" t="s">
        <v>1279</v>
      </c>
    </row>
    <row r="25" spans="1:19">
      <c r="A25" s="335"/>
      <c r="B25" s="335"/>
      <c r="C25" s="335"/>
      <c r="D25" s="335"/>
      <c r="E25" s="367"/>
      <c r="F25" s="157" t="s">
        <v>1487</v>
      </c>
      <c r="G25" s="157" t="s">
        <v>1487</v>
      </c>
      <c r="H25" s="334" t="s">
        <v>1279</v>
      </c>
      <c r="I25" s="334" t="s">
        <v>1279</v>
      </c>
      <c r="J25" s="157" t="s">
        <v>1692</v>
      </c>
      <c r="K25" s="157" t="s">
        <v>1487</v>
      </c>
      <c r="L25" s="157" t="s">
        <v>1487</v>
      </c>
      <c r="M25" s="334" t="s">
        <v>1279</v>
      </c>
      <c r="N25" s="334" t="s">
        <v>1279</v>
      </c>
      <c r="O25" s="157" t="s">
        <v>1692</v>
      </c>
      <c r="P25" s="157" t="s">
        <v>1487</v>
      </c>
      <c r="Q25" s="157" t="s">
        <v>1487</v>
      </c>
      <c r="R25" s="334" t="s">
        <v>1279</v>
      </c>
      <c r="S25" s="334" t="s">
        <v>1279</v>
      </c>
    </row>
    <row r="26" spans="1:19">
      <c r="A26" s="335"/>
      <c r="B26" s="335"/>
      <c r="C26" s="335"/>
      <c r="D26" s="335"/>
      <c r="E26" s="367"/>
      <c r="F26" s="157" t="s">
        <v>1487</v>
      </c>
      <c r="G26" s="157" t="s">
        <v>1487</v>
      </c>
      <c r="H26" s="334" t="s">
        <v>1279</v>
      </c>
      <c r="I26" s="334" t="s">
        <v>1279</v>
      </c>
      <c r="J26" s="157" t="s">
        <v>1692</v>
      </c>
      <c r="K26" s="157" t="s">
        <v>1487</v>
      </c>
      <c r="L26" s="157" t="s">
        <v>1487</v>
      </c>
      <c r="M26" s="334" t="s">
        <v>1279</v>
      </c>
      <c r="N26" s="334" t="s">
        <v>1279</v>
      </c>
      <c r="O26" s="157" t="s">
        <v>1692</v>
      </c>
      <c r="P26" s="157" t="s">
        <v>1487</v>
      </c>
      <c r="Q26" s="157" t="s">
        <v>1487</v>
      </c>
      <c r="R26" s="334" t="s">
        <v>1279</v>
      </c>
      <c r="S26" s="334" t="s">
        <v>1279</v>
      </c>
    </row>
    <row r="27" spans="1:19">
      <c r="A27" s="335"/>
      <c r="B27" s="335"/>
      <c r="C27" s="335"/>
      <c r="D27" s="335"/>
      <c r="E27" s="367"/>
      <c r="F27" s="157" t="s">
        <v>1487</v>
      </c>
      <c r="G27" s="157" t="s">
        <v>1487</v>
      </c>
      <c r="H27" s="334" t="s">
        <v>1279</v>
      </c>
      <c r="I27" s="334" t="s">
        <v>1279</v>
      </c>
      <c r="J27" s="157" t="s">
        <v>1692</v>
      </c>
      <c r="K27" s="157" t="s">
        <v>1487</v>
      </c>
      <c r="L27" s="157" t="s">
        <v>1487</v>
      </c>
      <c r="M27" s="334" t="s">
        <v>1279</v>
      </c>
      <c r="N27" s="334" t="s">
        <v>1279</v>
      </c>
      <c r="O27" s="157" t="s">
        <v>1692</v>
      </c>
      <c r="P27" s="157" t="s">
        <v>1487</v>
      </c>
      <c r="Q27" s="157" t="s">
        <v>1487</v>
      </c>
      <c r="R27" s="334" t="s">
        <v>1279</v>
      </c>
      <c r="S27" s="334" t="s">
        <v>1279</v>
      </c>
    </row>
    <row r="28" spans="1:19">
      <c r="A28" s="335"/>
      <c r="B28" s="335"/>
      <c r="C28" s="335"/>
      <c r="D28" s="335"/>
      <c r="E28" s="367"/>
      <c r="F28" s="157" t="s">
        <v>1487</v>
      </c>
      <c r="G28" s="157" t="s">
        <v>1487</v>
      </c>
      <c r="H28" s="334" t="s">
        <v>1279</v>
      </c>
      <c r="I28" s="334" t="s">
        <v>1279</v>
      </c>
      <c r="J28" s="157" t="s">
        <v>1692</v>
      </c>
      <c r="K28" s="157" t="s">
        <v>1487</v>
      </c>
      <c r="L28" s="157" t="s">
        <v>1487</v>
      </c>
      <c r="M28" s="334" t="s">
        <v>1279</v>
      </c>
      <c r="N28" s="334" t="s">
        <v>1279</v>
      </c>
      <c r="O28" s="157" t="s">
        <v>1692</v>
      </c>
      <c r="P28" s="157" t="s">
        <v>1487</v>
      </c>
      <c r="Q28" s="157" t="s">
        <v>1487</v>
      </c>
      <c r="R28" s="334" t="s">
        <v>1279</v>
      </c>
      <c r="S28" s="334" t="s">
        <v>1279</v>
      </c>
    </row>
    <row r="29" spans="1:19">
      <c r="A29" s="335"/>
      <c r="B29" s="335"/>
      <c r="C29" s="335"/>
      <c r="D29" s="335"/>
      <c r="E29" s="367"/>
      <c r="F29" s="157" t="s">
        <v>1487</v>
      </c>
      <c r="G29" s="157" t="s">
        <v>1487</v>
      </c>
      <c r="H29" s="334" t="s">
        <v>1279</v>
      </c>
      <c r="I29" s="334" t="s">
        <v>1279</v>
      </c>
      <c r="J29" s="157" t="s">
        <v>1692</v>
      </c>
      <c r="K29" s="157" t="s">
        <v>1487</v>
      </c>
      <c r="L29" s="157" t="s">
        <v>1487</v>
      </c>
      <c r="M29" s="334" t="s">
        <v>1279</v>
      </c>
      <c r="N29" s="334" t="s">
        <v>1279</v>
      </c>
      <c r="O29" s="157" t="s">
        <v>1692</v>
      </c>
      <c r="P29" s="157" t="s">
        <v>1487</v>
      </c>
      <c r="Q29" s="157" t="s">
        <v>1487</v>
      </c>
      <c r="R29" s="334" t="s">
        <v>1279</v>
      </c>
      <c r="S29" s="334" t="s">
        <v>1279</v>
      </c>
    </row>
    <row r="30" spans="1:19">
      <c r="A30" s="335"/>
      <c r="B30" s="335"/>
      <c r="C30" s="335"/>
      <c r="D30" s="335"/>
      <c r="E30" s="367"/>
      <c r="F30" s="157" t="s">
        <v>1487</v>
      </c>
      <c r="G30" s="157" t="s">
        <v>1487</v>
      </c>
      <c r="H30" s="334" t="s">
        <v>1279</v>
      </c>
      <c r="I30" s="334" t="s">
        <v>1279</v>
      </c>
      <c r="J30" s="157" t="s">
        <v>1692</v>
      </c>
      <c r="K30" s="157" t="s">
        <v>1487</v>
      </c>
      <c r="L30" s="157" t="s">
        <v>1487</v>
      </c>
      <c r="M30" s="334" t="s">
        <v>1279</v>
      </c>
      <c r="N30" s="334" t="s">
        <v>1279</v>
      </c>
      <c r="O30" s="157" t="s">
        <v>1692</v>
      </c>
      <c r="P30" s="157" t="s">
        <v>1487</v>
      </c>
      <c r="Q30" s="157" t="s">
        <v>1487</v>
      </c>
      <c r="R30" s="334" t="s">
        <v>1279</v>
      </c>
      <c r="S30" s="334" t="s">
        <v>1279</v>
      </c>
    </row>
    <row r="31" spans="1:19">
      <c r="A31" s="335"/>
      <c r="B31" s="335"/>
      <c r="C31" s="335"/>
      <c r="D31" s="335"/>
      <c r="E31" s="367"/>
      <c r="F31" s="157" t="s">
        <v>1487</v>
      </c>
      <c r="G31" s="157" t="s">
        <v>1487</v>
      </c>
      <c r="H31" s="334" t="s">
        <v>1279</v>
      </c>
      <c r="I31" s="334" t="s">
        <v>1279</v>
      </c>
      <c r="J31" s="157" t="s">
        <v>1692</v>
      </c>
      <c r="K31" s="157" t="s">
        <v>1487</v>
      </c>
      <c r="L31" s="157" t="s">
        <v>1487</v>
      </c>
      <c r="M31" s="334" t="s">
        <v>1279</v>
      </c>
      <c r="N31" s="334" t="s">
        <v>1279</v>
      </c>
      <c r="O31" s="157" t="s">
        <v>1692</v>
      </c>
      <c r="P31" s="157" t="s">
        <v>1487</v>
      </c>
      <c r="Q31" s="157" t="s">
        <v>1487</v>
      </c>
      <c r="R31" s="334" t="s">
        <v>1279</v>
      </c>
      <c r="S31" s="334" t="s">
        <v>1279</v>
      </c>
    </row>
    <row r="32" spans="1:19">
      <c r="A32" s="335"/>
      <c r="B32" s="335"/>
      <c r="C32" s="335"/>
      <c r="D32" s="335"/>
      <c r="E32" s="367"/>
      <c r="F32" s="157" t="s">
        <v>1487</v>
      </c>
      <c r="G32" s="157" t="s">
        <v>1487</v>
      </c>
      <c r="H32" s="334" t="s">
        <v>1279</v>
      </c>
      <c r="I32" s="334" t="s">
        <v>1279</v>
      </c>
      <c r="J32" s="157" t="s">
        <v>1692</v>
      </c>
      <c r="K32" s="157" t="s">
        <v>1487</v>
      </c>
      <c r="L32" s="157" t="s">
        <v>1487</v>
      </c>
      <c r="M32" s="334" t="s">
        <v>1279</v>
      </c>
      <c r="N32" s="334" t="s">
        <v>1279</v>
      </c>
      <c r="O32" s="157" t="s">
        <v>1692</v>
      </c>
      <c r="P32" s="157" t="s">
        <v>1487</v>
      </c>
      <c r="Q32" s="157" t="s">
        <v>1487</v>
      </c>
      <c r="R32" s="334" t="s">
        <v>1279</v>
      </c>
      <c r="S32" s="334" t="s">
        <v>1279</v>
      </c>
    </row>
    <row r="33" spans="1:19">
      <c r="A33" s="335"/>
      <c r="B33" s="335"/>
      <c r="C33" s="335"/>
      <c r="D33" s="335"/>
      <c r="E33" s="367"/>
      <c r="F33" s="157" t="s">
        <v>1487</v>
      </c>
      <c r="G33" s="157" t="s">
        <v>1487</v>
      </c>
      <c r="H33" s="334" t="s">
        <v>1279</v>
      </c>
      <c r="I33" s="334" t="s">
        <v>1279</v>
      </c>
      <c r="J33" s="157" t="s">
        <v>1692</v>
      </c>
      <c r="K33" s="157" t="s">
        <v>1487</v>
      </c>
      <c r="L33" s="157" t="s">
        <v>1487</v>
      </c>
      <c r="M33" s="334" t="s">
        <v>1279</v>
      </c>
      <c r="N33" s="334" t="s">
        <v>1279</v>
      </c>
      <c r="O33" s="157" t="s">
        <v>1692</v>
      </c>
      <c r="P33" s="157" t="s">
        <v>1487</v>
      </c>
      <c r="Q33" s="157" t="s">
        <v>1487</v>
      </c>
      <c r="R33" s="334" t="s">
        <v>1279</v>
      </c>
      <c r="S33" s="334" t="s">
        <v>1279</v>
      </c>
    </row>
    <row r="34" spans="1:19">
      <c r="A34" s="335"/>
      <c r="B34" s="335"/>
      <c r="C34" s="335"/>
      <c r="D34" s="335"/>
      <c r="E34" s="367"/>
      <c r="F34" s="157" t="s">
        <v>1487</v>
      </c>
      <c r="G34" s="157" t="s">
        <v>1487</v>
      </c>
      <c r="H34" s="334" t="s">
        <v>1279</v>
      </c>
      <c r="I34" s="334" t="s">
        <v>1279</v>
      </c>
      <c r="J34" s="157" t="s">
        <v>1692</v>
      </c>
      <c r="K34" s="157" t="s">
        <v>1487</v>
      </c>
      <c r="L34" s="157" t="s">
        <v>1487</v>
      </c>
      <c r="M34" s="334" t="s">
        <v>1279</v>
      </c>
      <c r="N34" s="334" t="s">
        <v>1279</v>
      </c>
      <c r="O34" s="157" t="s">
        <v>1692</v>
      </c>
      <c r="P34" s="157" t="s">
        <v>1487</v>
      </c>
      <c r="Q34" s="157" t="s">
        <v>1487</v>
      </c>
      <c r="R34" s="334" t="s">
        <v>1279</v>
      </c>
      <c r="S34" s="334" t="s">
        <v>1279</v>
      </c>
    </row>
    <row r="35" spans="1:19">
      <c r="A35" s="335"/>
      <c r="B35" s="335"/>
      <c r="C35" s="335"/>
      <c r="D35" s="335"/>
      <c r="E35" s="367"/>
      <c r="F35" s="157" t="s">
        <v>1487</v>
      </c>
      <c r="G35" s="157" t="s">
        <v>1487</v>
      </c>
      <c r="H35" s="334" t="s">
        <v>1279</v>
      </c>
      <c r="I35" s="334" t="s">
        <v>1279</v>
      </c>
      <c r="J35" s="157" t="s">
        <v>1692</v>
      </c>
      <c r="K35" s="157" t="s">
        <v>1487</v>
      </c>
      <c r="L35" s="157" t="s">
        <v>1487</v>
      </c>
      <c r="M35" s="334" t="s">
        <v>1279</v>
      </c>
      <c r="N35" s="334" t="s">
        <v>1279</v>
      </c>
      <c r="O35" s="157" t="s">
        <v>1692</v>
      </c>
      <c r="P35" s="157" t="s">
        <v>1487</v>
      </c>
      <c r="Q35" s="157" t="s">
        <v>1487</v>
      </c>
      <c r="R35" s="334" t="s">
        <v>1279</v>
      </c>
      <c r="S35" s="334" t="s">
        <v>1279</v>
      </c>
    </row>
    <row r="36" spans="1:19">
      <c r="A36" s="335"/>
      <c r="B36" s="335"/>
      <c r="C36" s="335"/>
      <c r="D36" s="335"/>
      <c r="E36" s="367"/>
      <c r="F36" s="157" t="s">
        <v>1487</v>
      </c>
      <c r="G36" s="157" t="s">
        <v>1487</v>
      </c>
      <c r="H36" s="334" t="s">
        <v>1279</v>
      </c>
      <c r="I36" s="334" t="s">
        <v>1279</v>
      </c>
      <c r="J36" s="157" t="s">
        <v>1692</v>
      </c>
      <c r="K36" s="157" t="s">
        <v>1487</v>
      </c>
      <c r="L36" s="157" t="s">
        <v>1487</v>
      </c>
      <c r="M36" s="334" t="s">
        <v>1279</v>
      </c>
      <c r="N36" s="334" t="s">
        <v>1279</v>
      </c>
      <c r="O36" s="157" t="s">
        <v>1692</v>
      </c>
      <c r="P36" s="157" t="s">
        <v>1487</v>
      </c>
      <c r="Q36" s="157" t="s">
        <v>1487</v>
      </c>
      <c r="R36" s="334" t="s">
        <v>1279</v>
      </c>
      <c r="S36" s="334" t="s">
        <v>1279</v>
      </c>
    </row>
    <row r="37" spans="1:19">
      <c r="A37" s="335"/>
      <c r="B37" s="335"/>
      <c r="C37" s="335"/>
      <c r="D37" s="335"/>
      <c r="E37" s="367"/>
      <c r="F37" s="157" t="s">
        <v>1487</v>
      </c>
      <c r="G37" s="157" t="s">
        <v>1487</v>
      </c>
      <c r="H37" s="334" t="s">
        <v>1279</v>
      </c>
      <c r="I37" s="334" t="s">
        <v>1279</v>
      </c>
      <c r="J37" s="157" t="s">
        <v>1692</v>
      </c>
      <c r="K37" s="157" t="s">
        <v>1487</v>
      </c>
      <c r="L37" s="157" t="s">
        <v>1487</v>
      </c>
      <c r="M37" s="334" t="s">
        <v>1279</v>
      </c>
      <c r="N37" s="334" t="s">
        <v>1279</v>
      </c>
      <c r="O37" s="157" t="s">
        <v>1692</v>
      </c>
      <c r="P37" s="157" t="s">
        <v>1487</v>
      </c>
      <c r="Q37" s="157" t="s">
        <v>1487</v>
      </c>
      <c r="R37" s="334" t="s">
        <v>1279</v>
      </c>
      <c r="S37" s="334" t="s">
        <v>1279</v>
      </c>
    </row>
    <row r="38" spans="1:19">
      <c r="A38" s="335"/>
      <c r="B38" s="335"/>
      <c r="C38" s="335"/>
      <c r="D38" s="335"/>
      <c r="E38" s="367"/>
      <c r="F38" s="157" t="s">
        <v>1487</v>
      </c>
      <c r="G38" s="157" t="s">
        <v>1487</v>
      </c>
      <c r="H38" s="334" t="s">
        <v>1279</v>
      </c>
      <c r="I38" s="334" t="s">
        <v>1279</v>
      </c>
      <c r="J38" s="157" t="s">
        <v>1692</v>
      </c>
      <c r="K38" s="157" t="s">
        <v>1487</v>
      </c>
      <c r="L38" s="157" t="s">
        <v>1487</v>
      </c>
      <c r="M38" s="334" t="s">
        <v>1279</v>
      </c>
      <c r="N38" s="334" t="s">
        <v>1279</v>
      </c>
      <c r="O38" s="157" t="s">
        <v>1692</v>
      </c>
      <c r="P38" s="157" t="s">
        <v>1487</v>
      </c>
      <c r="Q38" s="157" t="s">
        <v>1487</v>
      </c>
      <c r="R38" s="334" t="s">
        <v>1279</v>
      </c>
      <c r="S38" s="334" t="s">
        <v>1279</v>
      </c>
    </row>
    <row r="39" spans="1:19">
      <c r="A39" s="335"/>
      <c r="B39" s="335"/>
      <c r="C39" s="335"/>
      <c r="D39" s="335"/>
      <c r="E39" s="367"/>
      <c r="F39" s="157" t="s">
        <v>1487</v>
      </c>
      <c r="G39" s="157" t="s">
        <v>1487</v>
      </c>
      <c r="H39" s="334" t="s">
        <v>1279</v>
      </c>
      <c r="I39" s="334" t="s">
        <v>1279</v>
      </c>
      <c r="J39" s="157" t="s">
        <v>1692</v>
      </c>
      <c r="K39" s="157" t="s">
        <v>1487</v>
      </c>
      <c r="L39" s="157" t="s">
        <v>1487</v>
      </c>
      <c r="M39" s="334" t="s">
        <v>1279</v>
      </c>
      <c r="N39" s="334" t="s">
        <v>1279</v>
      </c>
      <c r="O39" s="157" t="s">
        <v>1692</v>
      </c>
      <c r="P39" s="157" t="s">
        <v>1487</v>
      </c>
      <c r="Q39" s="157" t="s">
        <v>1487</v>
      </c>
      <c r="R39" s="334" t="s">
        <v>1279</v>
      </c>
      <c r="S39" s="334" t="s">
        <v>1279</v>
      </c>
    </row>
    <row r="40" spans="1:19">
      <c r="A40" s="335"/>
      <c r="B40" s="335"/>
      <c r="C40" s="335"/>
      <c r="D40" s="335"/>
      <c r="E40" s="367"/>
      <c r="F40" s="157" t="s">
        <v>1487</v>
      </c>
      <c r="G40" s="157" t="s">
        <v>1487</v>
      </c>
      <c r="H40" s="334" t="s">
        <v>1279</v>
      </c>
      <c r="I40" s="334" t="s">
        <v>1279</v>
      </c>
      <c r="J40" s="157" t="s">
        <v>1692</v>
      </c>
      <c r="K40" s="157" t="s">
        <v>1487</v>
      </c>
      <c r="L40" s="157" t="s">
        <v>1487</v>
      </c>
      <c r="M40" s="334" t="s">
        <v>1279</v>
      </c>
      <c r="N40" s="334" t="s">
        <v>1279</v>
      </c>
      <c r="O40" s="157" t="s">
        <v>1692</v>
      </c>
      <c r="P40" s="157" t="s">
        <v>1487</v>
      </c>
      <c r="Q40" s="157" t="s">
        <v>1487</v>
      </c>
      <c r="R40" s="334" t="s">
        <v>1279</v>
      </c>
      <c r="S40" s="334" t="s">
        <v>1279</v>
      </c>
    </row>
    <row r="41" spans="1:19">
      <c r="A41" s="335"/>
      <c r="B41" s="335"/>
      <c r="C41" s="335"/>
      <c r="D41" s="335"/>
      <c r="E41" s="367"/>
      <c r="F41" s="157" t="s">
        <v>1487</v>
      </c>
      <c r="G41" s="157" t="s">
        <v>1487</v>
      </c>
      <c r="H41" s="334" t="s">
        <v>1279</v>
      </c>
      <c r="I41" s="334" t="s">
        <v>1279</v>
      </c>
      <c r="J41" s="157" t="s">
        <v>1692</v>
      </c>
      <c r="K41" s="157" t="s">
        <v>1487</v>
      </c>
      <c r="L41" s="157" t="s">
        <v>1487</v>
      </c>
      <c r="M41" s="334" t="s">
        <v>1279</v>
      </c>
      <c r="N41" s="334" t="s">
        <v>1279</v>
      </c>
      <c r="O41" s="157" t="s">
        <v>1692</v>
      </c>
      <c r="P41" s="157" t="s">
        <v>1487</v>
      </c>
      <c r="Q41" s="157" t="s">
        <v>1487</v>
      </c>
      <c r="R41" s="334" t="s">
        <v>1279</v>
      </c>
      <c r="S41" s="334" t="s">
        <v>1279</v>
      </c>
    </row>
    <row r="42" spans="1:19">
      <c r="A42" s="335"/>
      <c r="B42" s="335"/>
      <c r="C42" s="335"/>
      <c r="D42" s="335"/>
      <c r="E42" s="367"/>
      <c r="F42" s="157" t="s">
        <v>1487</v>
      </c>
      <c r="G42" s="157" t="s">
        <v>1487</v>
      </c>
      <c r="H42" s="334" t="s">
        <v>1279</v>
      </c>
      <c r="I42" s="334" t="s">
        <v>1279</v>
      </c>
      <c r="J42" s="157" t="s">
        <v>1692</v>
      </c>
      <c r="K42" s="157" t="s">
        <v>1487</v>
      </c>
      <c r="L42" s="157" t="s">
        <v>1487</v>
      </c>
      <c r="M42" s="334" t="s">
        <v>1279</v>
      </c>
      <c r="N42" s="334" t="s">
        <v>1279</v>
      </c>
      <c r="O42" s="157" t="s">
        <v>1692</v>
      </c>
      <c r="P42" s="157" t="s">
        <v>1487</v>
      </c>
      <c r="Q42" s="157" t="s">
        <v>1487</v>
      </c>
      <c r="R42" s="334" t="s">
        <v>1279</v>
      </c>
      <c r="S42" s="334" t="s">
        <v>1279</v>
      </c>
    </row>
    <row r="43" spans="1:19">
      <c r="A43" s="335"/>
      <c r="B43" s="335"/>
      <c r="C43" s="335"/>
      <c r="D43" s="335"/>
      <c r="E43" s="367"/>
      <c r="F43" s="157" t="s">
        <v>1487</v>
      </c>
      <c r="G43" s="157" t="s">
        <v>1487</v>
      </c>
      <c r="H43" s="334" t="s">
        <v>1279</v>
      </c>
      <c r="I43" s="334" t="s">
        <v>1279</v>
      </c>
      <c r="J43" s="157" t="s">
        <v>1692</v>
      </c>
      <c r="K43" s="157" t="s">
        <v>1487</v>
      </c>
      <c r="L43" s="157" t="s">
        <v>1487</v>
      </c>
      <c r="M43" s="334" t="s">
        <v>1279</v>
      </c>
      <c r="N43" s="334" t="s">
        <v>1279</v>
      </c>
      <c r="O43" s="157" t="s">
        <v>1692</v>
      </c>
      <c r="P43" s="157" t="s">
        <v>1487</v>
      </c>
      <c r="Q43" s="157" t="s">
        <v>1487</v>
      </c>
      <c r="R43" s="334" t="s">
        <v>1279</v>
      </c>
      <c r="S43" s="334" t="s">
        <v>1279</v>
      </c>
    </row>
    <row r="44" spans="1:19">
      <c r="A44" s="335"/>
      <c r="B44" s="335"/>
      <c r="C44" s="335"/>
      <c r="D44" s="335"/>
      <c r="E44" s="367"/>
      <c r="F44" s="157" t="s">
        <v>1487</v>
      </c>
      <c r="G44" s="157" t="s">
        <v>1487</v>
      </c>
      <c r="H44" s="334" t="s">
        <v>1279</v>
      </c>
      <c r="I44" s="334" t="s">
        <v>1279</v>
      </c>
      <c r="J44" s="157" t="s">
        <v>1692</v>
      </c>
      <c r="K44" s="157" t="s">
        <v>1487</v>
      </c>
      <c r="L44" s="157" t="s">
        <v>1487</v>
      </c>
      <c r="M44" s="334" t="s">
        <v>1279</v>
      </c>
      <c r="N44" s="334" t="s">
        <v>1279</v>
      </c>
      <c r="O44" s="157" t="s">
        <v>1692</v>
      </c>
      <c r="P44" s="157" t="s">
        <v>1487</v>
      </c>
      <c r="Q44" s="157" t="s">
        <v>1487</v>
      </c>
      <c r="R44" s="334" t="s">
        <v>1279</v>
      </c>
      <c r="S44" s="334" t="s">
        <v>1279</v>
      </c>
    </row>
    <row r="45" spans="1:19">
      <c r="A45" s="335"/>
      <c r="B45" s="335"/>
      <c r="C45" s="335"/>
      <c r="D45" s="335"/>
      <c r="E45" s="367"/>
      <c r="F45" s="157" t="s">
        <v>1487</v>
      </c>
      <c r="G45" s="157" t="s">
        <v>1487</v>
      </c>
      <c r="H45" s="334" t="s">
        <v>1279</v>
      </c>
      <c r="I45" s="334" t="s">
        <v>1279</v>
      </c>
      <c r="J45" s="157" t="s">
        <v>1692</v>
      </c>
      <c r="K45" s="157" t="s">
        <v>1487</v>
      </c>
      <c r="L45" s="157" t="s">
        <v>1487</v>
      </c>
      <c r="M45" s="334" t="s">
        <v>1279</v>
      </c>
      <c r="N45" s="334" t="s">
        <v>1279</v>
      </c>
      <c r="O45" s="157" t="s">
        <v>1692</v>
      </c>
      <c r="P45" s="157" t="s">
        <v>1487</v>
      </c>
      <c r="Q45" s="157" t="s">
        <v>1487</v>
      </c>
      <c r="R45" s="334" t="s">
        <v>1279</v>
      </c>
      <c r="S45" s="334" t="s">
        <v>1279</v>
      </c>
    </row>
    <row r="46" spans="1:19">
      <c r="A46" s="335"/>
      <c r="B46" s="335"/>
      <c r="C46" s="335"/>
      <c r="D46" s="335"/>
      <c r="E46" s="367"/>
      <c r="F46" s="157" t="s">
        <v>1487</v>
      </c>
      <c r="G46" s="157" t="s">
        <v>1487</v>
      </c>
      <c r="H46" s="334" t="s">
        <v>1279</v>
      </c>
      <c r="I46" s="334" t="s">
        <v>1279</v>
      </c>
      <c r="J46" s="157" t="s">
        <v>1692</v>
      </c>
      <c r="K46" s="157" t="s">
        <v>1487</v>
      </c>
      <c r="L46" s="157" t="s">
        <v>1487</v>
      </c>
      <c r="M46" s="334" t="s">
        <v>1279</v>
      </c>
      <c r="N46" s="334" t="s">
        <v>1279</v>
      </c>
      <c r="O46" s="157" t="s">
        <v>1692</v>
      </c>
      <c r="P46" s="157" t="s">
        <v>1487</v>
      </c>
      <c r="Q46" s="157" t="s">
        <v>1487</v>
      </c>
      <c r="R46" s="334" t="s">
        <v>1279</v>
      </c>
      <c r="S46" s="334" t="s">
        <v>1279</v>
      </c>
    </row>
    <row r="47" spans="1:19">
      <c r="A47" s="335"/>
      <c r="B47" s="335"/>
      <c r="C47" s="335"/>
      <c r="D47" s="335"/>
      <c r="E47" s="367"/>
      <c r="F47" s="157" t="s">
        <v>1487</v>
      </c>
      <c r="G47" s="157" t="s">
        <v>1487</v>
      </c>
      <c r="H47" s="334" t="s">
        <v>1279</v>
      </c>
      <c r="I47" s="334" t="s">
        <v>1279</v>
      </c>
      <c r="J47" s="157" t="s">
        <v>1692</v>
      </c>
      <c r="K47" s="157" t="s">
        <v>1487</v>
      </c>
      <c r="L47" s="157" t="s">
        <v>1487</v>
      </c>
      <c r="M47" s="334" t="s">
        <v>1279</v>
      </c>
      <c r="N47" s="334" t="s">
        <v>1279</v>
      </c>
      <c r="O47" s="157" t="s">
        <v>1692</v>
      </c>
      <c r="P47" s="157" t="s">
        <v>1487</v>
      </c>
      <c r="Q47" s="157" t="s">
        <v>1487</v>
      </c>
      <c r="R47" s="334" t="s">
        <v>1279</v>
      </c>
      <c r="S47" s="334" t="s">
        <v>1279</v>
      </c>
    </row>
    <row r="48" spans="1:19">
      <c r="A48" s="335"/>
      <c r="B48" s="335"/>
      <c r="C48" s="335"/>
      <c r="D48" s="335"/>
      <c r="E48" s="367"/>
      <c r="F48" s="157" t="s">
        <v>1487</v>
      </c>
      <c r="G48" s="157" t="s">
        <v>1487</v>
      </c>
      <c r="H48" s="334" t="s">
        <v>1279</v>
      </c>
      <c r="I48" s="334" t="s">
        <v>1279</v>
      </c>
      <c r="J48" s="157" t="s">
        <v>1692</v>
      </c>
      <c r="K48" s="157" t="s">
        <v>1487</v>
      </c>
      <c r="L48" s="157" t="s">
        <v>1487</v>
      </c>
      <c r="M48" s="334" t="s">
        <v>1279</v>
      </c>
      <c r="N48" s="334" t="s">
        <v>1279</v>
      </c>
      <c r="O48" s="157" t="s">
        <v>1692</v>
      </c>
      <c r="P48" s="157" t="s">
        <v>1487</v>
      </c>
      <c r="Q48" s="157" t="s">
        <v>1487</v>
      </c>
      <c r="R48" s="334" t="s">
        <v>1279</v>
      </c>
      <c r="S48" s="334" t="s">
        <v>1279</v>
      </c>
    </row>
    <row r="49" spans="1:19">
      <c r="A49" s="335"/>
      <c r="B49" s="335"/>
      <c r="C49" s="335"/>
      <c r="D49" s="335"/>
      <c r="E49" s="367"/>
      <c r="F49" s="157" t="s">
        <v>1487</v>
      </c>
      <c r="G49" s="157" t="s">
        <v>1487</v>
      </c>
      <c r="H49" s="334" t="s">
        <v>1279</v>
      </c>
      <c r="I49" s="334" t="s">
        <v>1279</v>
      </c>
      <c r="J49" s="157" t="s">
        <v>1692</v>
      </c>
      <c r="K49" s="157" t="s">
        <v>1487</v>
      </c>
      <c r="L49" s="157" t="s">
        <v>1487</v>
      </c>
      <c r="M49" s="334" t="s">
        <v>1279</v>
      </c>
      <c r="N49" s="334" t="s">
        <v>1279</v>
      </c>
      <c r="O49" s="157" t="s">
        <v>1692</v>
      </c>
      <c r="P49" s="157" t="s">
        <v>1487</v>
      </c>
      <c r="Q49" s="157" t="s">
        <v>1487</v>
      </c>
      <c r="R49" s="334" t="s">
        <v>1279</v>
      </c>
      <c r="S49" s="334" t="s">
        <v>1279</v>
      </c>
    </row>
    <row r="50" spans="1:19">
      <c r="A50" s="335"/>
      <c r="B50" s="335"/>
      <c r="C50" s="335"/>
      <c r="D50" s="335"/>
      <c r="E50" s="367"/>
      <c r="F50" s="157" t="s">
        <v>1487</v>
      </c>
      <c r="G50" s="157" t="s">
        <v>1487</v>
      </c>
      <c r="H50" s="334" t="s">
        <v>1279</v>
      </c>
      <c r="I50" s="334" t="s">
        <v>1279</v>
      </c>
      <c r="J50" s="157" t="s">
        <v>1692</v>
      </c>
      <c r="K50" s="157" t="s">
        <v>1487</v>
      </c>
      <c r="L50" s="157" t="s">
        <v>1487</v>
      </c>
      <c r="M50" s="334" t="s">
        <v>1279</v>
      </c>
      <c r="N50" s="334" t="s">
        <v>1279</v>
      </c>
      <c r="O50" s="157" t="s">
        <v>1692</v>
      </c>
      <c r="P50" s="157" t="s">
        <v>1487</v>
      </c>
      <c r="Q50" s="157" t="s">
        <v>1487</v>
      </c>
      <c r="R50" s="334" t="s">
        <v>1279</v>
      </c>
      <c r="S50" s="334" t="s">
        <v>1279</v>
      </c>
    </row>
    <row r="51" spans="1:19">
      <c r="A51" s="335"/>
      <c r="B51" s="335"/>
      <c r="C51" s="335"/>
      <c r="D51" s="335"/>
      <c r="E51" s="367"/>
      <c r="F51" s="157" t="s">
        <v>1487</v>
      </c>
      <c r="G51" s="157" t="s">
        <v>1487</v>
      </c>
      <c r="H51" s="334" t="s">
        <v>1279</v>
      </c>
      <c r="I51" s="334" t="s">
        <v>1279</v>
      </c>
      <c r="J51" s="157" t="s">
        <v>1692</v>
      </c>
      <c r="K51" s="157" t="s">
        <v>1487</v>
      </c>
      <c r="L51" s="157" t="s">
        <v>1487</v>
      </c>
      <c r="M51" s="334" t="s">
        <v>1279</v>
      </c>
      <c r="N51" s="334" t="s">
        <v>1279</v>
      </c>
      <c r="O51" s="157" t="s">
        <v>1692</v>
      </c>
      <c r="P51" s="157" t="s">
        <v>1487</v>
      </c>
      <c r="Q51" s="157" t="s">
        <v>1487</v>
      </c>
      <c r="R51" s="334" t="s">
        <v>1279</v>
      </c>
      <c r="S51" s="334" t="s">
        <v>1279</v>
      </c>
    </row>
    <row r="52" spans="1:19">
      <c r="A52" s="335"/>
      <c r="B52" s="335"/>
      <c r="C52" s="335"/>
      <c r="D52" s="335"/>
      <c r="E52" s="367"/>
      <c r="F52" s="157" t="s">
        <v>1487</v>
      </c>
      <c r="G52" s="157" t="s">
        <v>1487</v>
      </c>
      <c r="H52" s="334" t="s">
        <v>1279</v>
      </c>
      <c r="I52" s="334" t="s">
        <v>1279</v>
      </c>
      <c r="J52" s="157" t="s">
        <v>1692</v>
      </c>
      <c r="K52" s="157" t="s">
        <v>1487</v>
      </c>
      <c r="L52" s="157" t="s">
        <v>1487</v>
      </c>
      <c r="M52" s="334" t="s">
        <v>1279</v>
      </c>
      <c r="N52" s="334" t="s">
        <v>1279</v>
      </c>
      <c r="O52" s="157" t="s">
        <v>1692</v>
      </c>
      <c r="P52" s="157" t="s">
        <v>1487</v>
      </c>
      <c r="Q52" s="157" t="s">
        <v>1487</v>
      </c>
      <c r="R52" s="334" t="s">
        <v>1279</v>
      </c>
      <c r="S52" s="334" t="s">
        <v>1279</v>
      </c>
    </row>
    <row r="53" spans="1:19">
      <c r="A53" s="335"/>
      <c r="B53" s="335"/>
      <c r="C53" s="335"/>
      <c r="D53" s="335"/>
      <c r="E53" s="367"/>
      <c r="F53" s="157" t="s">
        <v>1487</v>
      </c>
      <c r="G53" s="157" t="s">
        <v>1487</v>
      </c>
      <c r="H53" s="334" t="s">
        <v>1279</v>
      </c>
      <c r="I53" s="334" t="s">
        <v>1279</v>
      </c>
      <c r="J53" s="157" t="s">
        <v>1692</v>
      </c>
      <c r="K53" s="157" t="s">
        <v>1487</v>
      </c>
      <c r="L53" s="157" t="s">
        <v>1487</v>
      </c>
      <c r="M53" s="334" t="s">
        <v>1279</v>
      </c>
      <c r="N53" s="334" t="s">
        <v>1279</v>
      </c>
      <c r="O53" s="157" t="s">
        <v>1692</v>
      </c>
      <c r="P53" s="157" t="s">
        <v>1487</v>
      </c>
      <c r="Q53" s="157" t="s">
        <v>1487</v>
      </c>
      <c r="R53" s="334" t="s">
        <v>1279</v>
      </c>
      <c r="S53" s="334" t="s">
        <v>1279</v>
      </c>
    </row>
    <row r="54" spans="1:19">
      <c r="A54" s="335"/>
      <c r="B54" s="335"/>
      <c r="C54" s="335"/>
      <c r="D54" s="335"/>
      <c r="E54" s="367"/>
      <c r="F54" s="157" t="s">
        <v>1487</v>
      </c>
      <c r="G54" s="157" t="s">
        <v>1487</v>
      </c>
      <c r="H54" s="334" t="s">
        <v>1279</v>
      </c>
      <c r="I54" s="334" t="s">
        <v>1279</v>
      </c>
      <c r="J54" s="157" t="s">
        <v>1692</v>
      </c>
      <c r="K54" s="157" t="s">
        <v>1487</v>
      </c>
      <c r="L54" s="157" t="s">
        <v>1487</v>
      </c>
      <c r="M54" s="334" t="s">
        <v>1279</v>
      </c>
      <c r="N54" s="334" t="s">
        <v>1279</v>
      </c>
      <c r="O54" s="157" t="s">
        <v>1692</v>
      </c>
      <c r="P54" s="157" t="s">
        <v>1487</v>
      </c>
      <c r="Q54" s="157" t="s">
        <v>1487</v>
      </c>
      <c r="R54" s="334" t="s">
        <v>1279</v>
      </c>
      <c r="S54" s="334" t="s">
        <v>1279</v>
      </c>
    </row>
    <row r="55" spans="1:19">
      <c r="A55" s="335"/>
      <c r="B55" s="335"/>
      <c r="C55" s="335"/>
      <c r="D55" s="335"/>
      <c r="E55" s="367"/>
      <c r="F55" s="157" t="s">
        <v>1487</v>
      </c>
      <c r="G55" s="157" t="s">
        <v>1487</v>
      </c>
      <c r="H55" s="334" t="s">
        <v>1279</v>
      </c>
      <c r="I55" s="334" t="s">
        <v>1279</v>
      </c>
      <c r="J55" s="157" t="s">
        <v>1692</v>
      </c>
      <c r="K55" s="157" t="s">
        <v>1487</v>
      </c>
      <c r="L55" s="157" t="s">
        <v>1487</v>
      </c>
      <c r="M55" s="334" t="s">
        <v>1279</v>
      </c>
      <c r="N55" s="334" t="s">
        <v>1279</v>
      </c>
      <c r="O55" s="157" t="s">
        <v>1692</v>
      </c>
      <c r="P55" s="157" t="s">
        <v>1487</v>
      </c>
      <c r="Q55" s="157" t="s">
        <v>1487</v>
      </c>
      <c r="R55" s="334" t="s">
        <v>1279</v>
      </c>
      <c r="S55" s="334" t="s">
        <v>1279</v>
      </c>
    </row>
    <row r="56" spans="1:19">
      <c r="A56" s="335"/>
      <c r="B56" s="335"/>
      <c r="C56" s="335"/>
      <c r="D56" s="335"/>
      <c r="E56" s="367"/>
      <c r="F56" s="157" t="s">
        <v>1487</v>
      </c>
      <c r="G56" s="157" t="s">
        <v>1487</v>
      </c>
      <c r="H56" s="334" t="s">
        <v>1279</v>
      </c>
      <c r="I56" s="334" t="s">
        <v>1279</v>
      </c>
      <c r="J56" s="157" t="s">
        <v>1692</v>
      </c>
      <c r="K56" s="157" t="s">
        <v>1487</v>
      </c>
      <c r="L56" s="157" t="s">
        <v>1487</v>
      </c>
      <c r="M56" s="334" t="s">
        <v>1279</v>
      </c>
      <c r="N56" s="334" t="s">
        <v>1279</v>
      </c>
      <c r="O56" s="157" t="s">
        <v>1692</v>
      </c>
      <c r="P56" s="157" t="s">
        <v>1487</v>
      </c>
      <c r="Q56" s="157" t="s">
        <v>1487</v>
      </c>
      <c r="R56" s="334" t="s">
        <v>1279</v>
      </c>
      <c r="S56" s="334" t="s">
        <v>1279</v>
      </c>
    </row>
    <row r="57" spans="1:19">
      <c r="A57" s="335"/>
      <c r="B57" s="335"/>
      <c r="C57" s="335"/>
      <c r="D57" s="335"/>
      <c r="E57" s="367"/>
      <c r="F57" s="157" t="s">
        <v>1487</v>
      </c>
      <c r="G57" s="157" t="s">
        <v>1487</v>
      </c>
      <c r="H57" s="334" t="s">
        <v>1279</v>
      </c>
      <c r="I57" s="334" t="s">
        <v>1279</v>
      </c>
      <c r="J57" s="157" t="s">
        <v>1692</v>
      </c>
      <c r="K57" s="157" t="s">
        <v>1487</v>
      </c>
      <c r="L57" s="157" t="s">
        <v>1487</v>
      </c>
      <c r="M57" s="334" t="s">
        <v>1279</v>
      </c>
      <c r="N57" s="334" t="s">
        <v>1279</v>
      </c>
      <c r="O57" s="157" t="s">
        <v>1692</v>
      </c>
      <c r="P57" s="157" t="s">
        <v>1487</v>
      </c>
      <c r="Q57" s="157" t="s">
        <v>1487</v>
      </c>
      <c r="R57" s="334" t="s">
        <v>1279</v>
      </c>
      <c r="S57" s="334" t="s">
        <v>1279</v>
      </c>
    </row>
    <row r="58" spans="1:19">
      <c r="A58" s="335"/>
      <c r="B58" s="335"/>
      <c r="C58" s="335"/>
      <c r="D58" s="335"/>
      <c r="E58" s="367"/>
      <c r="F58" s="157" t="s">
        <v>1487</v>
      </c>
      <c r="G58" s="157" t="s">
        <v>1487</v>
      </c>
      <c r="H58" s="334" t="s">
        <v>1279</v>
      </c>
      <c r="I58" s="334" t="s">
        <v>1279</v>
      </c>
      <c r="J58" s="157" t="s">
        <v>1692</v>
      </c>
      <c r="K58" s="157" t="s">
        <v>1487</v>
      </c>
      <c r="L58" s="157" t="s">
        <v>1487</v>
      </c>
      <c r="M58" s="334" t="s">
        <v>1279</v>
      </c>
      <c r="N58" s="334" t="s">
        <v>1279</v>
      </c>
      <c r="O58" s="157" t="s">
        <v>1692</v>
      </c>
      <c r="P58" s="157" t="s">
        <v>1487</v>
      </c>
      <c r="Q58" s="157" t="s">
        <v>1487</v>
      </c>
      <c r="R58" s="334" t="s">
        <v>1279</v>
      </c>
      <c r="S58" s="334" t="s">
        <v>1279</v>
      </c>
    </row>
    <row r="59" spans="1:19">
      <c r="A59" s="335"/>
      <c r="B59" s="335"/>
      <c r="C59" s="335"/>
      <c r="D59" s="335"/>
      <c r="E59" s="367"/>
      <c r="F59" s="157" t="s">
        <v>1487</v>
      </c>
      <c r="G59" s="157" t="s">
        <v>1487</v>
      </c>
      <c r="H59" s="334" t="s">
        <v>1279</v>
      </c>
      <c r="I59" s="334" t="s">
        <v>1279</v>
      </c>
      <c r="J59" s="157" t="s">
        <v>1692</v>
      </c>
      <c r="K59" s="157" t="s">
        <v>1487</v>
      </c>
      <c r="L59" s="157" t="s">
        <v>1487</v>
      </c>
      <c r="M59" s="334" t="s">
        <v>1279</v>
      </c>
      <c r="N59" s="334" t="s">
        <v>1279</v>
      </c>
      <c r="O59" s="157" t="s">
        <v>1692</v>
      </c>
      <c r="P59" s="157" t="s">
        <v>1487</v>
      </c>
      <c r="Q59" s="157" t="s">
        <v>1487</v>
      </c>
      <c r="R59" s="334" t="s">
        <v>1279</v>
      </c>
      <c r="S59" s="334" t="s">
        <v>1279</v>
      </c>
    </row>
    <row r="60" spans="1:19">
      <c r="A60" s="335"/>
      <c r="B60" s="335"/>
      <c r="C60" s="335"/>
      <c r="D60" s="335"/>
      <c r="E60" s="367"/>
      <c r="F60" s="157" t="s">
        <v>1487</v>
      </c>
      <c r="G60" s="157" t="s">
        <v>1487</v>
      </c>
      <c r="H60" s="334" t="s">
        <v>1279</v>
      </c>
      <c r="I60" s="334" t="s">
        <v>1279</v>
      </c>
      <c r="J60" s="157" t="s">
        <v>1692</v>
      </c>
      <c r="K60" s="157" t="s">
        <v>1487</v>
      </c>
      <c r="L60" s="157" t="s">
        <v>1487</v>
      </c>
      <c r="M60" s="334" t="s">
        <v>1279</v>
      </c>
      <c r="N60" s="334" t="s">
        <v>1279</v>
      </c>
      <c r="O60" s="157" t="s">
        <v>1692</v>
      </c>
      <c r="P60" s="157" t="s">
        <v>1487</v>
      </c>
      <c r="Q60" s="157" t="s">
        <v>1487</v>
      </c>
      <c r="R60" s="334" t="s">
        <v>1279</v>
      </c>
      <c r="S60" s="334" t="s">
        <v>1279</v>
      </c>
    </row>
    <row r="61" spans="1:19">
      <c r="A61" s="335"/>
      <c r="B61" s="335"/>
      <c r="C61" s="335"/>
      <c r="D61" s="335"/>
      <c r="E61" s="367"/>
      <c r="F61" s="157" t="s">
        <v>1487</v>
      </c>
      <c r="G61" s="157" t="s">
        <v>1487</v>
      </c>
      <c r="H61" s="334" t="s">
        <v>1279</v>
      </c>
      <c r="I61" s="334" t="s">
        <v>1279</v>
      </c>
      <c r="J61" s="157" t="s">
        <v>1692</v>
      </c>
      <c r="K61" s="157" t="s">
        <v>1487</v>
      </c>
      <c r="L61" s="157" t="s">
        <v>1487</v>
      </c>
      <c r="M61" s="334" t="s">
        <v>1279</v>
      </c>
      <c r="N61" s="334" t="s">
        <v>1279</v>
      </c>
      <c r="O61" s="157" t="s">
        <v>1692</v>
      </c>
      <c r="P61" s="157" t="s">
        <v>1487</v>
      </c>
      <c r="Q61" s="157" t="s">
        <v>1487</v>
      </c>
      <c r="R61" s="334" t="s">
        <v>1279</v>
      </c>
      <c r="S61" s="334" t="s">
        <v>1279</v>
      </c>
    </row>
    <row r="62" spans="1:19">
      <c r="A62" s="335"/>
      <c r="B62" s="335"/>
      <c r="C62" s="335"/>
      <c r="D62" s="335"/>
      <c r="E62" s="367"/>
      <c r="F62" s="157" t="s">
        <v>1487</v>
      </c>
      <c r="G62" s="157" t="s">
        <v>1487</v>
      </c>
      <c r="H62" s="334" t="s">
        <v>1279</v>
      </c>
      <c r="I62" s="334" t="s">
        <v>1279</v>
      </c>
      <c r="J62" s="157" t="s">
        <v>1692</v>
      </c>
      <c r="K62" s="157" t="s">
        <v>1487</v>
      </c>
      <c r="L62" s="157" t="s">
        <v>1487</v>
      </c>
      <c r="M62" s="334" t="s">
        <v>1279</v>
      </c>
      <c r="N62" s="334" t="s">
        <v>1279</v>
      </c>
      <c r="O62" s="157" t="s">
        <v>1692</v>
      </c>
      <c r="P62" s="157" t="s">
        <v>1487</v>
      </c>
      <c r="Q62" s="157" t="s">
        <v>1487</v>
      </c>
      <c r="R62" s="334" t="s">
        <v>1279</v>
      </c>
      <c r="S62" s="334" t="s">
        <v>1279</v>
      </c>
    </row>
    <row r="63" spans="1:19">
      <c r="A63" s="335"/>
      <c r="B63" s="335"/>
      <c r="C63" s="335"/>
      <c r="D63" s="335"/>
      <c r="E63" s="367"/>
      <c r="F63" s="157" t="s">
        <v>1487</v>
      </c>
      <c r="G63" s="157" t="s">
        <v>1487</v>
      </c>
      <c r="H63" s="334" t="s">
        <v>1279</v>
      </c>
      <c r="I63" s="334" t="s">
        <v>1279</v>
      </c>
      <c r="J63" s="157" t="s">
        <v>1692</v>
      </c>
      <c r="K63" s="157" t="s">
        <v>1487</v>
      </c>
      <c r="L63" s="157" t="s">
        <v>1487</v>
      </c>
      <c r="M63" s="334" t="s">
        <v>1279</v>
      </c>
      <c r="N63" s="334" t="s">
        <v>1279</v>
      </c>
      <c r="O63" s="157" t="s">
        <v>1692</v>
      </c>
      <c r="P63" s="157" t="s">
        <v>1487</v>
      </c>
      <c r="Q63" s="157" t="s">
        <v>1487</v>
      </c>
      <c r="R63" s="334" t="s">
        <v>1279</v>
      </c>
      <c r="S63" s="334" t="s">
        <v>1279</v>
      </c>
    </row>
    <row r="64" spans="1:19">
      <c r="A64" s="335"/>
      <c r="B64" s="335"/>
      <c r="C64" s="335"/>
      <c r="D64" s="335"/>
      <c r="E64" s="367"/>
      <c r="F64" s="157" t="s">
        <v>1487</v>
      </c>
      <c r="G64" s="157" t="s">
        <v>1487</v>
      </c>
      <c r="H64" s="334" t="s">
        <v>1279</v>
      </c>
      <c r="I64" s="334" t="s">
        <v>1279</v>
      </c>
      <c r="J64" s="157" t="s">
        <v>1692</v>
      </c>
      <c r="K64" s="157" t="s">
        <v>1487</v>
      </c>
      <c r="L64" s="157" t="s">
        <v>1487</v>
      </c>
      <c r="M64" s="334" t="s">
        <v>1279</v>
      </c>
      <c r="N64" s="334" t="s">
        <v>1279</v>
      </c>
      <c r="O64" s="157" t="s">
        <v>1692</v>
      </c>
      <c r="P64" s="157" t="s">
        <v>1487</v>
      </c>
      <c r="Q64" s="157" t="s">
        <v>1487</v>
      </c>
      <c r="R64" s="334" t="s">
        <v>1279</v>
      </c>
      <c r="S64" s="334" t="s">
        <v>1279</v>
      </c>
    </row>
    <row r="65" spans="1:19">
      <c r="A65" s="335"/>
      <c r="B65" s="335"/>
      <c r="C65" s="335"/>
      <c r="D65" s="335"/>
      <c r="E65" s="367"/>
      <c r="F65" s="157" t="s">
        <v>1487</v>
      </c>
      <c r="G65" s="157" t="s">
        <v>1487</v>
      </c>
      <c r="H65" s="334" t="s">
        <v>1279</v>
      </c>
      <c r="I65" s="334" t="s">
        <v>1279</v>
      </c>
      <c r="J65" s="157" t="s">
        <v>1692</v>
      </c>
      <c r="K65" s="157" t="s">
        <v>1487</v>
      </c>
      <c r="L65" s="157" t="s">
        <v>1487</v>
      </c>
      <c r="M65" s="334" t="s">
        <v>1279</v>
      </c>
      <c r="N65" s="334" t="s">
        <v>1279</v>
      </c>
      <c r="O65" s="157" t="s">
        <v>1692</v>
      </c>
      <c r="P65" s="157" t="s">
        <v>1487</v>
      </c>
      <c r="Q65" s="157" t="s">
        <v>1487</v>
      </c>
      <c r="R65" s="334" t="s">
        <v>1279</v>
      </c>
      <c r="S65" s="334" t="s">
        <v>1279</v>
      </c>
    </row>
    <row r="66" spans="1:19">
      <c r="A66" s="335"/>
      <c r="B66" s="335"/>
      <c r="C66" s="335"/>
      <c r="D66" s="335"/>
      <c r="E66" s="367"/>
      <c r="F66" s="157" t="s">
        <v>1487</v>
      </c>
      <c r="G66" s="157" t="s">
        <v>1487</v>
      </c>
      <c r="H66" s="334" t="s">
        <v>1279</v>
      </c>
      <c r="I66" s="334" t="s">
        <v>1279</v>
      </c>
      <c r="J66" s="157" t="s">
        <v>1692</v>
      </c>
      <c r="K66" s="157" t="s">
        <v>1487</v>
      </c>
      <c r="L66" s="157" t="s">
        <v>1487</v>
      </c>
      <c r="M66" s="334" t="s">
        <v>1279</v>
      </c>
      <c r="N66" s="334" t="s">
        <v>1279</v>
      </c>
      <c r="O66" s="157" t="s">
        <v>1692</v>
      </c>
      <c r="P66" s="157" t="s">
        <v>1487</v>
      </c>
      <c r="Q66" s="157" t="s">
        <v>1487</v>
      </c>
      <c r="R66" s="334" t="s">
        <v>1279</v>
      </c>
      <c r="S66" s="334" t="s">
        <v>1279</v>
      </c>
    </row>
    <row r="67" spans="1:19">
      <c r="A67" s="335"/>
      <c r="B67" s="335"/>
      <c r="C67" s="335"/>
      <c r="D67" s="335"/>
      <c r="E67" s="367"/>
      <c r="F67" s="157" t="s">
        <v>1487</v>
      </c>
      <c r="G67" s="157" t="s">
        <v>1487</v>
      </c>
      <c r="H67" s="334" t="s">
        <v>1279</v>
      </c>
      <c r="I67" s="334" t="s">
        <v>1279</v>
      </c>
      <c r="J67" s="157" t="s">
        <v>1692</v>
      </c>
      <c r="K67" s="157" t="s">
        <v>1487</v>
      </c>
      <c r="L67" s="157" t="s">
        <v>1487</v>
      </c>
      <c r="M67" s="334" t="s">
        <v>1279</v>
      </c>
      <c r="N67" s="334" t="s">
        <v>1279</v>
      </c>
      <c r="O67" s="157" t="s">
        <v>1692</v>
      </c>
      <c r="P67" s="157" t="s">
        <v>1487</v>
      </c>
      <c r="Q67" s="157" t="s">
        <v>1487</v>
      </c>
      <c r="R67" s="334" t="s">
        <v>1279</v>
      </c>
      <c r="S67" s="334" t="s">
        <v>1279</v>
      </c>
    </row>
    <row r="68" spans="1:19">
      <c r="A68" s="335"/>
      <c r="B68" s="335"/>
      <c r="C68" s="335"/>
      <c r="D68" s="335"/>
      <c r="E68" s="367"/>
      <c r="F68" s="157" t="s">
        <v>1487</v>
      </c>
      <c r="G68" s="157" t="s">
        <v>1487</v>
      </c>
      <c r="H68" s="334" t="s">
        <v>1279</v>
      </c>
      <c r="I68" s="334" t="s">
        <v>1279</v>
      </c>
      <c r="J68" s="157" t="s">
        <v>1692</v>
      </c>
      <c r="K68" s="157" t="s">
        <v>1487</v>
      </c>
      <c r="L68" s="157" t="s">
        <v>1487</v>
      </c>
      <c r="M68" s="334" t="s">
        <v>1279</v>
      </c>
      <c r="N68" s="334" t="s">
        <v>1279</v>
      </c>
      <c r="O68" s="157" t="s">
        <v>1692</v>
      </c>
      <c r="P68" s="157" t="s">
        <v>1487</v>
      </c>
      <c r="Q68" s="157" t="s">
        <v>1487</v>
      </c>
      <c r="R68" s="334" t="s">
        <v>1279</v>
      </c>
      <c r="S68" s="334" t="s">
        <v>1279</v>
      </c>
    </row>
    <row r="69" spans="1:19">
      <c r="A69" s="335"/>
      <c r="B69" s="335"/>
      <c r="C69" s="335"/>
      <c r="D69" s="335"/>
      <c r="E69" s="367"/>
      <c r="F69" s="157" t="s">
        <v>1487</v>
      </c>
      <c r="G69" s="157" t="s">
        <v>1487</v>
      </c>
      <c r="H69" s="334" t="s">
        <v>1279</v>
      </c>
      <c r="I69" s="334" t="s">
        <v>1279</v>
      </c>
      <c r="J69" s="157" t="s">
        <v>1692</v>
      </c>
      <c r="K69" s="157" t="s">
        <v>1487</v>
      </c>
      <c r="L69" s="157" t="s">
        <v>1487</v>
      </c>
      <c r="M69" s="334" t="s">
        <v>1279</v>
      </c>
      <c r="N69" s="334" t="s">
        <v>1279</v>
      </c>
      <c r="O69" s="157" t="s">
        <v>1692</v>
      </c>
      <c r="P69" s="157" t="s">
        <v>1487</v>
      </c>
      <c r="Q69" s="157" t="s">
        <v>1487</v>
      </c>
      <c r="R69" s="334" t="s">
        <v>1279</v>
      </c>
      <c r="S69" s="334" t="s">
        <v>1279</v>
      </c>
    </row>
    <row r="70" spans="1:19">
      <c r="A70" s="335"/>
      <c r="B70" s="335"/>
      <c r="C70" s="335"/>
      <c r="D70" s="335"/>
      <c r="E70" s="367"/>
      <c r="F70" s="157" t="s">
        <v>1487</v>
      </c>
      <c r="G70" s="157" t="s">
        <v>1487</v>
      </c>
      <c r="H70" s="334" t="s">
        <v>1279</v>
      </c>
      <c r="I70" s="334" t="s">
        <v>1279</v>
      </c>
      <c r="J70" s="157" t="s">
        <v>1692</v>
      </c>
      <c r="K70" s="157" t="s">
        <v>1487</v>
      </c>
      <c r="L70" s="157" t="s">
        <v>1487</v>
      </c>
      <c r="M70" s="334" t="s">
        <v>1279</v>
      </c>
      <c r="N70" s="334" t="s">
        <v>1279</v>
      </c>
      <c r="O70" s="157" t="s">
        <v>1692</v>
      </c>
      <c r="P70" s="157" t="s">
        <v>1487</v>
      </c>
      <c r="Q70" s="157" t="s">
        <v>1487</v>
      </c>
      <c r="R70" s="334" t="s">
        <v>1279</v>
      </c>
      <c r="S70" s="334" t="s">
        <v>1279</v>
      </c>
    </row>
    <row r="71" spans="1:19">
      <c r="A71" s="335"/>
      <c r="B71" s="335"/>
      <c r="C71" s="335"/>
      <c r="D71" s="335"/>
      <c r="E71" s="367"/>
      <c r="F71" s="157" t="s">
        <v>1487</v>
      </c>
      <c r="G71" s="157" t="s">
        <v>1487</v>
      </c>
      <c r="H71" s="334" t="s">
        <v>1279</v>
      </c>
      <c r="I71" s="334" t="s">
        <v>1279</v>
      </c>
      <c r="J71" s="157" t="s">
        <v>1692</v>
      </c>
      <c r="K71" s="157" t="s">
        <v>1487</v>
      </c>
      <c r="L71" s="157" t="s">
        <v>1487</v>
      </c>
      <c r="M71" s="334" t="s">
        <v>1279</v>
      </c>
      <c r="N71" s="334" t="s">
        <v>1279</v>
      </c>
      <c r="O71" s="157" t="s">
        <v>1692</v>
      </c>
      <c r="P71" s="157" t="s">
        <v>1487</v>
      </c>
      <c r="Q71" s="157" t="s">
        <v>1487</v>
      </c>
      <c r="R71" s="334" t="s">
        <v>1279</v>
      </c>
      <c r="S71" s="334" t="s">
        <v>1279</v>
      </c>
    </row>
    <row r="72" spans="1:19">
      <c r="A72" s="335"/>
      <c r="B72" s="335"/>
      <c r="C72" s="335"/>
      <c r="D72" s="335"/>
      <c r="E72" s="367"/>
      <c r="F72" s="157" t="s">
        <v>1487</v>
      </c>
      <c r="G72" s="157" t="s">
        <v>1487</v>
      </c>
      <c r="H72" s="334" t="s">
        <v>1279</v>
      </c>
      <c r="I72" s="334" t="s">
        <v>1279</v>
      </c>
      <c r="J72" s="157" t="s">
        <v>1692</v>
      </c>
      <c r="K72" s="157" t="s">
        <v>1487</v>
      </c>
      <c r="L72" s="157" t="s">
        <v>1487</v>
      </c>
      <c r="M72" s="334" t="s">
        <v>1279</v>
      </c>
      <c r="N72" s="334" t="s">
        <v>1279</v>
      </c>
      <c r="O72" s="157" t="s">
        <v>1692</v>
      </c>
      <c r="P72" s="157" t="s">
        <v>1487</v>
      </c>
      <c r="Q72" s="157" t="s">
        <v>1487</v>
      </c>
      <c r="R72" s="334" t="s">
        <v>1279</v>
      </c>
      <c r="S72" s="334" t="s">
        <v>1279</v>
      </c>
    </row>
    <row r="73" spans="1:19">
      <c r="A73" s="335"/>
      <c r="B73" s="335"/>
      <c r="C73" s="335"/>
      <c r="D73" s="335"/>
      <c r="E73" s="367"/>
      <c r="F73" s="157" t="s">
        <v>1487</v>
      </c>
      <c r="G73" s="157" t="s">
        <v>1487</v>
      </c>
      <c r="H73" s="334" t="s">
        <v>1279</v>
      </c>
      <c r="I73" s="334" t="s">
        <v>1279</v>
      </c>
      <c r="J73" s="157" t="s">
        <v>1692</v>
      </c>
      <c r="K73" s="157" t="s">
        <v>1487</v>
      </c>
      <c r="L73" s="157" t="s">
        <v>1487</v>
      </c>
      <c r="M73" s="334" t="s">
        <v>1279</v>
      </c>
      <c r="N73" s="334" t="s">
        <v>1279</v>
      </c>
      <c r="O73" s="157" t="s">
        <v>1692</v>
      </c>
      <c r="P73" s="157" t="s">
        <v>1487</v>
      </c>
      <c r="Q73" s="157" t="s">
        <v>1487</v>
      </c>
      <c r="R73" s="334" t="s">
        <v>1279</v>
      </c>
      <c r="S73" s="334" t="s">
        <v>1279</v>
      </c>
    </row>
    <row r="74" spans="1:19">
      <c r="A74" s="335"/>
      <c r="B74" s="335"/>
      <c r="C74" s="335"/>
      <c r="D74" s="335"/>
      <c r="E74" s="367"/>
      <c r="F74" s="157" t="s">
        <v>1487</v>
      </c>
      <c r="G74" s="157" t="s">
        <v>1487</v>
      </c>
      <c r="H74" s="334" t="s">
        <v>1279</v>
      </c>
      <c r="I74" s="334" t="s">
        <v>1279</v>
      </c>
      <c r="J74" s="157" t="s">
        <v>1692</v>
      </c>
      <c r="K74" s="157" t="s">
        <v>1487</v>
      </c>
      <c r="L74" s="157" t="s">
        <v>1487</v>
      </c>
      <c r="M74" s="334" t="s">
        <v>1279</v>
      </c>
      <c r="N74" s="334" t="s">
        <v>1279</v>
      </c>
      <c r="O74" s="157" t="s">
        <v>1692</v>
      </c>
      <c r="P74" s="157" t="s">
        <v>1487</v>
      </c>
      <c r="Q74" s="157" t="s">
        <v>1487</v>
      </c>
      <c r="R74" s="334" t="s">
        <v>1279</v>
      </c>
      <c r="S74" s="334" t="s">
        <v>1279</v>
      </c>
    </row>
    <row r="75" spans="1:19">
      <c r="A75" s="335"/>
      <c r="B75" s="335"/>
      <c r="C75" s="335"/>
      <c r="D75" s="335"/>
      <c r="E75" s="367"/>
      <c r="F75" s="157" t="s">
        <v>1487</v>
      </c>
      <c r="G75" s="157" t="s">
        <v>1487</v>
      </c>
      <c r="H75" s="334" t="s">
        <v>1279</v>
      </c>
      <c r="I75" s="334" t="s">
        <v>1279</v>
      </c>
      <c r="J75" s="157" t="s">
        <v>1692</v>
      </c>
      <c r="K75" s="157" t="s">
        <v>1487</v>
      </c>
      <c r="L75" s="157" t="s">
        <v>1487</v>
      </c>
      <c r="M75" s="334" t="s">
        <v>1279</v>
      </c>
      <c r="N75" s="334" t="s">
        <v>1279</v>
      </c>
      <c r="O75" s="157" t="s">
        <v>1692</v>
      </c>
      <c r="P75" s="157" t="s">
        <v>1487</v>
      </c>
      <c r="Q75" s="157" t="s">
        <v>1487</v>
      </c>
      <c r="R75" s="334" t="s">
        <v>1279</v>
      </c>
      <c r="S75" s="334" t="s">
        <v>1279</v>
      </c>
    </row>
    <row r="76" spans="1:19">
      <c r="A76" s="335"/>
      <c r="B76" s="335"/>
      <c r="C76" s="335"/>
      <c r="D76" s="335"/>
      <c r="E76" s="367"/>
      <c r="F76" s="157" t="s">
        <v>1487</v>
      </c>
      <c r="G76" s="157" t="s">
        <v>1487</v>
      </c>
      <c r="H76" s="334" t="s">
        <v>1279</v>
      </c>
      <c r="I76" s="334" t="s">
        <v>1279</v>
      </c>
      <c r="J76" s="157" t="s">
        <v>1692</v>
      </c>
      <c r="K76" s="157" t="s">
        <v>1487</v>
      </c>
      <c r="L76" s="157" t="s">
        <v>1487</v>
      </c>
      <c r="M76" s="334" t="s">
        <v>1279</v>
      </c>
      <c r="N76" s="334" t="s">
        <v>1279</v>
      </c>
      <c r="O76" s="157" t="s">
        <v>1692</v>
      </c>
      <c r="P76" s="157" t="s">
        <v>1487</v>
      </c>
      <c r="Q76" s="157" t="s">
        <v>1487</v>
      </c>
      <c r="R76" s="334" t="s">
        <v>1279</v>
      </c>
      <c r="S76" s="334" t="s">
        <v>1279</v>
      </c>
    </row>
    <row r="77" spans="1:19">
      <c r="A77" s="335"/>
      <c r="B77" s="335"/>
      <c r="C77" s="335"/>
      <c r="D77" s="335"/>
      <c r="E77" s="367"/>
      <c r="F77" s="157" t="s">
        <v>1487</v>
      </c>
      <c r="G77" s="157" t="s">
        <v>1487</v>
      </c>
      <c r="H77" s="334" t="s">
        <v>1279</v>
      </c>
      <c r="I77" s="334" t="s">
        <v>1279</v>
      </c>
      <c r="J77" s="157" t="s">
        <v>1692</v>
      </c>
      <c r="K77" s="157" t="s">
        <v>1487</v>
      </c>
      <c r="L77" s="157" t="s">
        <v>1487</v>
      </c>
      <c r="M77" s="334" t="s">
        <v>1279</v>
      </c>
      <c r="N77" s="334" t="s">
        <v>1279</v>
      </c>
      <c r="O77" s="157" t="s">
        <v>1692</v>
      </c>
      <c r="P77" s="157" t="s">
        <v>1487</v>
      </c>
      <c r="Q77" s="157" t="s">
        <v>1487</v>
      </c>
      <c r="R77" s="334" t="s">
        <v>1279</v>
      </c>
      <c r="S77" s="334" t="s">
        <v>1279</v>
      </c>
    </row>
    <row r="78" spans="1:19">
      <c r="A78" s="335"/>
      <c r="B78" s="335"/>
      <c r="C78" s="335"/>
      <c r="D78" s="335"/>
      <c r="E78" s="367"/>
      <c r="F78" s="157" t="s">
        <v>1487</v>
      </c>
      <c r="G78" s="157" t="s">
        <v>1487</v>
      </c>
      <c r="H78" s="334" t="s">
        <v>1279</v>
      </c>
      <c r="I78" s="334" t="s">
        <v>1279</v>
      </c>
      <c r="J78" s="157" t="s">
        <v>1692</v>
      </c>
      <c r="K78" s="157" t="s">
        <v>1487</v>
      </c>
      <c r="L78" s="157" t="s">
        <v>1487</v>
      </c>
      <c r="M78" s="334" t="s">
        <v>1279</v>
      </c>
      <c r="N78" s="334" t="s">
        <v>1279</v>
      </c>
      <c r="O78" s="157" t="s">
        <v>1692</v>
      </c>
      <c r="P78" s="157" t="s">
        <v>1487</v>
      </c>
      <c r="Q78" s="157" t="s">
        <v>1487</v>
      </c>
      <c r="R78" s="334" t="s">
        <v>1279</v>
      </c>
      <c r="S78" s="334" t="s">
        <v>1279</v>
      </c>
    </row>
    <row r="79" spans="1:19">
      <c r="A79" s="335"/>
      <c r="B79" s="335"/>
      <c r="C79" s="335"/>
      <c r="D79" s="335"/>
      <c r="E79" s="367"/>
      <c r="F79" s="157" t="s">
        <v>1487</v>
      </c>
      <c r="G79" s="157" t="s">
        <v>1487</v>
      </c>
      <c r="H79" s="334" t="s">
        <v>1279</v>
      </c>
      <c r="I79" s="334" t="s">
        <v>1279</v>
      </c>
      <c r="J79" s="157" t="s">
        <v>1692</v>
      </c>
      <c r="K79" s="157" t="s">
        <v>1487</v>
      </c>
      <c r="L79" s="157" t="s">
        <v>1487</v>
      </c>
      <c r="M79" s="334" t="s">
        <v>1279</v>
      </c>
      <c r="N79" s="334" t="s">
        <v>1279</v>
      </c>
      <c r="O79" s="157" t="s">
        <v>1692</v>
      </c>
      <c r="P79" s="157" t="s">
        <v>1487</v>
      </c>
      <c r="Q79" s="157" t="s">
        <v>1487</v>
      </c>
      <c r="R79" s="334" t="s">
        <v>1279</v>
      </c>
      <c r="S79" s="334" t="s">
        <v>1279</v>
      </c>
    </row>
    <row r="80" spans="1:19">
      <c r="A80" s="335"/>
      <c r="B80" s="335"/>
      <c r="C80" s="335"/>
      <c r="D80" s="335"/>
      <c r="E80" s="367"/>
      <c r="F80" s="157" t="s">
        <v>1487</v>
      </c>
      <c r="G80" s="157" t="s">
        <v>1487</v>
      </c>
      <c r="H80" s="334" t="s">
        <v>1279</v>
      </c>
      <c r="I80" s="334" t="s">
        <v>1279</v>
      </c>
      <c r="J80" s="157" t="s">
        <v>1692</v>
      </c>
      <c r="K80" s="157" t="s">
        <v>1487</v>
      </c>
      <c r="L80" s="157" t="s">
        <v>1487</v>
      </c>
      <c r="M80" s="334" t="s">
        <v>1279</v>
      </c>
      <c r="N80" s="334" t="s">
        <v>1279</v>
      </c>
      <c r="O80" s="157" t="s">
        <v>1692</v>
      </c>
      <c r="P80" s="157" t="s">
        <v>1487</v>
      </c>
      <c r="Q80" s="157" t="s">
        <v>1487</v>
      </c>
      <c r="R80" s="334" t="s">
        <v>1279</v>
      </c>
      <c r="S80" s="334" t="s">
        <v>1279</v>
      </c>
    </row>
    <row r="81" spans="1:23">
      <c r="A81" s="335"/>
      <c r="B81" s="335"/>
      <c r="C81" s="335"/>
      <c r="D81" s="335"/>
      <c r="E81" s="367"/>
      <c r="F81" s="157" t="s">
        <v>1487</v>
      </c>
      <c r="G81" s="157" t="s">
        <v>1487</v>
      </c>
      <c r="H81" s="334" t="s">
        <v>1279</v>
      </c>
      <c r="I81" s="334" t="s">
        <v>1279</v>
      </c>
      <c r="J81" s="157" t="s">
        <v>1692</v>
      </c>
      <c r="K81" s="157" t="s">
        <v>1487</v>
      </c>
      <c r="L81" s="157" t="s">
        <v>1487</v>
      </c>
      <c r="M81" s="334" t="s">
        <v>1279</v>
      </c>
      <c r="N81" s="334" t="s">
        <v>1279</v>
      </c>
      <c r="O81" s="157" t="s">
        <v>1692</v>
      </c>
      <c r="P81" s="157" t="s">
        <v>1487</v>
      </c>
      <c r="Q81" s="157" t="s">
        <v>1487</v>
      </c>
      <c r="R81" s="334" t="s">
        <v>1279</v>
      </c>
      <c r="S81" s="334" t="s">
        <v>1279</v>
      </c>
    </row>
    <row r="82" spans="1:23">
      <c r="A82" s="335"/>
      <c r="B82" s="335"/>
      <c r="C82" s="335"/>
      <c r="D82" s="335"/>
      <c r="E82" s="367"/>
      <c r="F82" s="157" t="s">
        <v>1487</v>
      </c>
      <c r="G82" s="157" t="s">
        <v>1487</v>
      </c>
      <c r="H82" s="334" t="s">
        <v>1279</v>
      </c>
      <c r="I82" s="334" t="s">
        <v>1279</v>
      </c>
      <c r="J82" s="157" t="s">
        <v>1692</v>
      </c>
      <c r="K82" s="157" t="s">
        <v>1487</v>
      </c>
      <c r="L82" s="157" t="s">
        <v>1487</v>
      </c>
      <c r="M82" s="334" t="s">
        <v>1279</v>
      </c>
      <c r="N82" s="334" t="s">
        <v>1279</v>
      </c>
      <c r="O82" s="157" t="s">
        <v>1692</v>
      </c>
      <c r="P82" s="157" t="s">
        <v>1487</v>
      </c>
      <c r="Q82" s="157" t="s">
        <v>1487</v>
      </c>
      <c r="R82" s="334" t="s">
        <v>1279</v>
      </c>
      <c r="S82" s="334" t="s">
        <v>1279</v>
      </c>
    </row>
    <row r="83" spans="1:23">
      <c r="W83" s="368"/>
    </row>
    <row r="84" s="354" customFormat="1" spans="1:23">
      <c r="A84" s="340" t="s">
        <v>1693</v>
      </c>
      <c r="W84" s="369"/>
    </row>
    <row r="85" spans="1:23">
      <c r="W85" s="368"/>
    </row>
    <row r="86" spans="1:23">
      <c r="W86" s="368"/>
    </row>
    <row r="87" spans="1:23">
      <c r="W87" s="368"/>
    </row>
    <row r="88" spans="1:23">
      <c r="W88" s="368"/>
    </row>
    <row r="89" spans="1:23">
      <c r="W89" s="368"/>
    </row>
    <row r="90" spans="1:23">
      <c r="W90" s="368"/>
    </row>
    <row r="91" spans="1:23">
      <c r="W91" s="368"/>
    </row>
    <row r="92" spans="1:23">
      <c r="W92" s="368"/>
    </row>
    <row r="93" spans="1:23">
      <c r="W93" s="368"/>
    </row>
    <row r="94" spans="1:23">
      <c r="W94" s="368"/>
    </row>
    <row r="95" spans="1:23">
      <c r="W95" s="368"/>
    </row>
    <row r="96" spans="1:23">
      <c r="W96" s="368"/>
    </row>
    <row r="97" spans="23:23">
      <c r="W97" s="368"/>
    </row>
    <row r="98" spans="23:23">
      <c r="W98" s="368"/>
    </row>
    <row r="99" spans="23:23">
      <c r="W99" s="368"/>
    </row>
    <row r="100" spans="23:23">
      <c r="W100" s="368"/>
    </row>
    <row r="101" spans="23:23">
      <c r="W101" s="368"/>
    </row>
    <row r="102" spans="23:23">
      <c r="W102" s="368"/>
    </row>
    <row r="103" spans="23:23">
      <c r="W103" s="368"/>
    </row>
    <row r="104" spans="23:23">
      <c r="W104" s="368"/>
    </row>
    <row r="105" spans="23:23">
      <c r="W105" s="368"/>
    </row>
    <row r="106" spans="23:23">
      <c r="W106" s="368"/>
    </row>
    <row r="107" spans="23:23">
      <c r="W107" s="368"/>
    </row>
  </sheetData>
  <mergeCells count="10">
    <mergeCell ref="A5:F5"/>
    <mergeCell ref="B7:D7"/>
    <mergeCell ref="E9:I9"/>
    <mergeCell ref="J9:N9"/>
    <mergeCell ref="O9:S9"/>
    <mergeCell ref="A9:A10"/>
    <mergeCell ref="B9:B10"/>
    <mergeCell ref="C9:C10"/>
    <mergeCell ref="D9:D10"/>
    <mergeCell ref="A1:F4"/>
  </mergeCells>
  <conditionalFormatting sqref="E10:G10">
    <cfRule type="cellIs" dxfId="0" priority="22" operator="lessThan">
      <formula>0</formula>
    </cfRule>
    <cfRule type="cellIs" priority="23" operator="lessThan">
      <formula>0</formula>
    </cfRule>
  </conditionalFormatting>
  <conditionalFormatting sqref="H10:I10">
    <cfRule type="cellIs" dxfId="0" priority="19" operator="lessThan">
      <formula>0</formula>
    </cfRule>
    <cfRule type="cellIs" priority="20" operator="lessThan">
      <formula>0</formula>
    </cfRule>
  </conditionalFormatting>
  <conditionalFormatting sqref="J10:L10">
    <cfRule type="cellIs" dxfId="0" priority="7" operator="lessThan">
      <formula>0</formula>
    </cfRule>
    <cfRule type="cellIs" priority="8" operator="lessThan">
      <formula>0</formula>
    </cfRule>
  </conditionalFormatting>
  <conditionalFormatting sqref="M10:N10">
    <cfRule type="cellIs" dxfId="0" priority="5" operator="lessThan">
      <formula>0</formula>
    </cfRule>
    <cfRule type="cellIs" priority="6" operator="lessThan">
      <formula>0</formula>
    </cfRule>
  </conditionalFormatting>
  <conditionalFormatting sqref="O10:Q10">
    <cfRule type="cellIs" dxfId="0" priority="3" operator="lessThan">
      <formula>0</formula>
    </cfRule>
    <cfRule type="cellIs" priority="4" operator="lessThan">
      <formula>0</formula>
    </cfRule>
  </conditionalFormatting>
  <conditionalFormatting sqref="R10:S10">
    <cfRule type="cellIs" dxfId="0" priority="1" operator="lessThan">
      <formula>0</formula>
    </cfRule>
    <cfRule type="cellIs" priority="2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pane xSplit="8" ySplit="10" topLeftCell="I11" activePane="bottomRight" state="frozen"/>
      <selection/>
      <selection pane="topRight"/>
      <selection pane="bottomLeft"/>
      <selection pane="bottomRight" activeCell="I25" sqref="I25"/>
    </sheetView>
  </sheetViews>
  <sheetFormatPr defaultColWidth="8.88888888888889" defaultRowHeight="14.4"/>
  <cols>
    <col min="6" max="6" width="12.8888888888889" customWidth="1"/>
    <col min="7" max="7" width="14.3333333333333" customWidth="1"/>
    <col min="9" max="9" width="14.8888888888889" customWidth="1"/>
  </cols>
  <sheetData>
    <row r="1" s="55" customFormat="1" ht="19" customHeight="1" spans="1:16">
      <c r="A1" s="61" t="s">
        <v>100</v>
      </c>
      <c r="B1" s="62"/>
      <c r="C1" s="62"/>
      <c r="D1" s="62"/>
      <c r="E1" s="62"/>
      <c r="F1" s="62"/>
      <c r="G1" s="339" t="s">
        <v>1517</v>
      </c>
      <c r="H1" s="339"/>
      <c r="I1" s="339"/>
      <c r="J1" s="339"/>
      <c r="K1" s="339"/>
      <c r="L1" s="339"/>
      <c r="M1" s="339"/>
      <c r="N1" s="339"/>
      <c r="O1" s="339"/>
      <c r="P1" s="339"/>
    </row>
    <row r="2" s="55" customFormat="1" ht="19" customHeight="1" spans="1:16">
      <c r="A2" s="62"/>
      <c r="B2" s="62"/>
      <c r="C2" s="62"/>
      <c r="D2" s="62"/>
      <c r="E2" s="62"/>
      <c r="F2" s="62"/>
      <c r="G2" s="339"/>
      <c r="H2" s="339"/>
      <c r="I2" s="339"/>
      <c r="J2" s="339"/>
      <c r="K2" s="339"/>
      <c r="L2" s="339"/>
      <c r="M2" s="339"/>
      <c r="N2" s="339"/>
      <c r="O2" s="339"/>
      <c r="P2" s="339"/>
    </row>
    <row r="3" s="55" customFormat="1" ht="19" customHeight="1" spans="1:16">
      <c r="A3" s="62"/>
      <c r="B3" s="62"/>
      <c r="C3" s="62"/>
      <c r="D3" s="62"/>
      <c r="E3" s="62"/>
      <c r="F3" s="62"/>
      <c r="G3" s="339"/>
      <c r="H3" s="339"/>
      <c r="I3" s="339"/>
      <c r="J3" s="339"/>
      <c r="K3" s="339"/>
      <c r="L3" s="339"/>
      <c r="M3" s="339"/>
      <c r="N3" s="339"/>
      <c r="O3" s="339"/>
      <c r="P3" s="339"/>
    </row>
    <row r="4" s="55" customFormat="1" ht="19" customHeight="1" spans="1:16">
      <c r="A4" s="62"/>
      <c r="B4" s="62"/>
      <c r="C4" s="62"/>
      <c r="D4" s="62"/>
      <c r="E4" s="62"/>
      <c r="F4" s="62"/>
      <c r="G4" s="339"/>
      <c r="H4" s="339"/>
      <c r="I4" s="339"/>
      <c r="J4" s="339"/>
      <c r="K4" s="339"/>
      <c r="L4" s="339"/>
      <c r="M4" s="339"/>
      <c r="N4" s="339"/>
      <c r="O4" s="339"/>
      <c r="P4" s="339"/>
    </row>
    <row r="5" s="55" customFormat="1" ht="19" customHeight="1" spans="1:16">
      <c r="A5" s="65" t="s">
        <v>1518</v>
      </c>
      <c r="B5" s="65"/>
      <c r="C5" s="65"/>
      <c r="D5" s="65"/>
      <c r="E5" s="65"/>
      <c r="F5" s="65"/>
      <c r="G5" s="339"/>
      <c r="H5" s="339"/>
      <c r="I5" s="339"/>
      <c r="J5" s="339"/>
      <c r="K5" s="339"/>
      <c r="L5" s="339"/>
      <c r="M5" s="339"/>
      <c r="N5" s="339"/>
      <c r="O5" s="339"/>
      <c r="P5" s="339"/>
    </row>
    <row r="6" s="55" customFormat="1" ht="5" customHeight="1" spans="1:16">
      <c r="A6" s="66"/>
      <c r="B6" s="66"/>
      <c r="C6" s="67"/>
      <c r="D6" s="67"/>
      <c r="E6" s="67"/>
      <c r="F6" s="67"/>
      <c r="G6" s="68"/>
      <c r="H6" s="68"/>
      <c r="I6" s="69"/>
      <c r="J6" s="67"/>
    </row>
    <row r="7" s="1" customFormat="1" ht="14" customHeight="1" spans="1:16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328" t="s">
        <v>1505</v>
      </c>
      <c r="I7" s="340"/>
      <c r="J7" s="17"/>
      <c r="K7" s="17"/>
      <c r="L7" s="17"/>
      <c r="M7" s="17"/>
      <c r="N7" s="17"/>
      <c r="O7" s="17"/>
      <c r="P7" s="17"/>
    </row>
    <row r="8" s="271" customFormat="1" ht="15.6" spans="1:16">
      <c r="A8" s="290"/>
      <c r="B8" s="290"/>
      <c r="C8" s="291"/>
      <c r="D8" s="291"/>
      <c r="E8" s="291"/>
      <c r="F8" s="291"/>
      <c r="G8" s="291"/>
    </row>
    <row r="9" s="336" customFormat="1" ht="15" spans="1:16">
      <c r="A9" s="341"/>
      <c r="B9" s="341"/>
      <c r="C9" s="341"/>
      <c r="G9" s="342"/>
      <c r="H9" s="343"/>
      <c r="I9" s="343"/>
      <c r="J9" s="341"/>
      <c r="K9" s="341"/>
      <c r="L9" s="344"/>
      <c r="M9" s="344"/>
    </row>
    <row r="10" s="337" customFormat="1" ht="46.8" spans="1:16">
      <c r="A10" s="345" t="s">
        <v>103</v>
      </c>
      <c r="B10" s="345" t="s">
        <v>1694</v>
      </c>
      <c r="C10" s="345" t="s">
        <v>1695</v>
      </c>
      <c r="D10" s="345" t="s">
        <v>1696</v>
      </c>
      <c r="E10" s="345" t="s">
        <v>292</v>
      </c>
      <c r="F10" s="345" t="s">
        <v>1462</v>
      </c>
      <c r="G10" s="345" t="s">
        <v>295</v>
      </c>
      <c r="H10" s="346" t="s">
        <v>1464</v>
      </c>
      <c r="I10" s="347" t="s">
        <v>1697</v>
      </c>
      <c r="J10" s="347" t="s">
        <v>1698</v>
      </c>
      <c r="K10" s="347" t="s">
        <v>1699</v>
      </c>
      <c r="L10" s="348" t="s">
        <v>1700</v>
      </c>
      <c r="M10" s="345" t="s">
        <v>1701</v>
      </c>
      <c r="N10" s="345" t="s">
        <v>1702</v>
      </c>
      <c r="O10" s="345" t="s">
        <v>1237</v>
      </c>
      <c r="P10" s="349" t="s">
        <v>1238</v>
      </c>
    </row>
    <row r="11" s="338" customFormat="1" ht="15.6" spans="1:16">
      <c r="A11" s="350"/>
      <c r="B11" s="350"/>
      <c r="C11" s="350" t="s">
        <v>1703</v>
      </c>
      <c r="D11" s="350" t="s">
        <v>176</v>
      </c>
      <c r="E11" s="350" t="s">
        <v>552</v>
      </c>
      <c r="F11" s="351">
        <v>2202040129</v>
      </c>
      <c r="G11" s="350" t="s">
        <v>592</v>
      </c>
      <c r="H11" s="351" t="s">
        <v>557</v>
      </c>
      <c r="I11" s="350"/>
      <c r="J11" s="350" t="s">
        <v>1704</v>
      </c>
      <c r="K11" s="350"/>
      <c r="L11" s="352" t="s">
        <v>11</v>
      </c>
      <c r="M11" s="350" t="s">
        <v>1487</v>
      </c>
      <c r="N11" s="350" t="s">
        <v>1487</v>
      </c>
      <c r="O11" s="352" t="s">
        <v>1433</v>
      </c>
      <c r="P11" s="352" t="s">
        <v>1433</v>
      </c>
    </row>
    <row r="12" s="338" customFormat="1" ht="15.6" spans="1:16">
      <c r="A12" s="350"/>
      <c r="B12" s="350"/>
      <c r="C12" s="353" t="s">
        <v>1487</v>
      </c>
      <c r="D12" s="353" t="s">
        <v>1487</v>
      </c>
      <c r="E12" s="353" t="s">
        <v>1487</v>
      </c>
      <c r="F12" s="353" t="s">
        <v>1487</v>
      </c>
      <c r="G12" s="353" t="s">
        <v>1487</v>
      </c>
      <c r="H12" s="353" t="s">
        <v>1487</v>
      </c>
      <c r="I12" s="353" t="s">
        <v>1487</v>
      </c>
      <c r="J12" s="353" t="s">
        <v>1562</v>
      </c>
      <c r="K12" s="353" t="s">
        <v>1562</v>
      </c>
      <c r="L12" s="352" t="s">
        <v>11</v>
      </c>
      <c r="M12" s="350" t="s">
        <v>1487</v>
      </c>
      <c r="N12" s="350" t="s">
        <v>1487</v>
      </c>
      <c r="O12" s="352" t="s">
        <v>1433</v>
      </c>
      <c r="P12" s="352" t="s">
        <v>1433</v>
      </c>
    </row>
    <row r="13" s="338" customFormat="1" ht="15.6" spans="1:16">
      <c r="A13" s="350"/>
      <c r="B13" s="350"/>
      <c r="C13" s="350"/>
      <c r="D13" s="350"/>
      <c r="E13" s="350"/>
      <c r="F13" s="350"/>
      <c r="G13" s="351"/>
      <c r="H13" s="351"/>
      <c r="I13" s="350"/>
      <c r="J13" s="350"/>
      <c r="K13" s="350"/>
      <c r="L13" s="352" t="s">
        <v>11</v>
      </c>
      <c r="M13" s="350" t="s">
        <v>1487</v>
      </c>
      <c r="N13" s="350" t="s">
        <v>1487</v>
      </c>
      <c r="O13" s="352" t="s">
        <v>1433</v>
      </c>
      <c r="P13" s="352" t="s">
        <v>1433</v>
      </c>
    </row>
    <row r="14" s="338" customFormat="1" ht="15.6" spans="1:16">
      <c r="A14" s="350"/>
      <c r="B14" s="350"/>
      <c r="C14" s="350"/>
      <c r="D14" s="350"/>
      <c r="E14" s="350"/>
      <c r="F14" s="350"/>
      <c r="G14" s="351"/>
      <c r="H14" s="351"/>
      <c r="I14" s="350"/>
      <c r="J14" s="350"/>
      <c r="K14" s="350"/>
      <c r="L14" s="352" t="s">
        <v>11</v>
      </c>
      <c r="M14" s="350" t="s">
        <v>1487</v>
      </c>
      <c r="N14" s="350" t="s">
        <v>1487</v>
      </c>
      <c r="O14" s="352" t="s">
        <v>1433</v>
      </c>
      <c r="P14" s="352" t="s">
        <v>1433</v>
      </c>
    </row>
    <row r="15" s="338" customFormat="1" ht="15.6" spans="1:16">
      <c r="A15" s="350"/>
      <c r="B15" s="350"/>
      <c r="C15" s="350"/>
      <c r="D15" s="350"/>
      <c r="E15" s="350"/>
      <c r="F15" s="350"/>
      <c r="G15" s="351"/>
      <c r="H15" s="351"/>
      <c r="I15" s="350"/>
      <c r="J15" s="350"/>
      <c r="K15" s="350"/>
      <c r="L15" s="352" t="s">
        <v>11</v>
      </c>
      <c r="M15" s="350" t="s">
        <v>1487</v>
      </c>
      <c r="N15" s="350" t="s">
        <v>1487</v>
      </c>
      <c r="O15" s="352" t="s">
        <v>1433</v>
      </c>
      <c r="P15" s="352" t="s">
        <v>1433</v>
      </c>
    </row>
    <row r="16" s="338" customFormat="1" ht="15.6" spans="1:16">
      <c r="A16" s="350"/>
      <c r="B16" s="350"/>
      <c r="C16" s="350"/>
      <c r="D16" s="350"/>
      <c r="E16" s="350"/>
      <c r="F16" s="350"/>
      <c r="G16" s="351"/>
      <c r="H16" s="351"/>
      <c r="I16" s="350"/>
      <c r="J16" s="350"/>
      <c r="K16" s="350"/>
      <c r="L16" s="352" t="s">
        <v>11</v>
      </c>
      <c r="M16" s="350" t="s">
        <v>1487</v>
      </c>
      <c r="N16" s="350" t="s">
        <v>1487</v>
      </c>
      <c r="O16" s="352" t="s">
        <v>1433</v>
      </c>
      <c r="P16" s="352" t="s">
        <v>1433</v>
      </c>
    </row>
    <row r="17" s="338" customFormat="1" ht="15.6" spans="1:16">
      <c r="A17" s="350"/>
      <c r="B17" s="350"/>
      <c r="C17" s="350"/>
      <c r="D17" s="350"/>
      <c r="E17" s="350"/>
      <c r="F17" s="350"/>
      <c r="G17" s="351"/>
      <c r="H17" s="351"/>
      <c r="I17" s="350"/>
      <c r="J17" s="350"/>
      <c r="K17" s="350"/>
      <c r="L17" s="352" t="s">
        <v>11</v>
      </c>
      <c r="M17" s="350" t="s">
        <v>1487</v>
      </c>
      <c r="N17" s="350" t="s">
        <v>1487</v>
      </c>
      <c r="O17" s="352" t="s">
        <v>1433</v>
      </c>
      <c r="P17" s="352" t="s">
        <v>1433</v>
      </c>
    </row>
    <row r="18" s="338" customFormat="1" ht="15.6" spans="1:16">
      <c r="A18" s="350"/>
      <c r="B18" s="350"/>
      <c r="C18" s="350"/>
      <c r="D18" s="350"/>
      <c r="E18" s="350"/>
      <c r="F18" s="350"/>
      <c r="G18" s="351"/>
      <c r="H18" s="351"/>
      <c r="I18" s="350"/>
      <c r="J18" s="350"/>
      <c r="K18" s="350"/>
      <c r="L18" s="352" t="s">
        <v>11</v>
      </c>
      <c r="M18" s="350" t="s">
        <v>1487</v>
      </c>
      <c r="N18" s="350" t="s">
        <v>1487</v>
      </c>
      <c r="O18" s="352" t="s">
        <v>1433</v>
      </c>
      <c r="P18" s="352" t="s">
        <v>1433</v>
      </c>
    </row>
    <row r="19" s="338" customFormat="1" ht="15.6" spans="1:16">
      <c r="A19" s="350"/>
      <c r="B19" s="350"/>
      <c r="C19" s="350"/>
      <c r="D19" s="350"/>
      <c r="E19" s="350"/>
      <c r="F19" s="350"/>
      <c r="G19" s="351"/>
      <c r="H19" s="351"/>
      <c r="I19" s="350"/>
      <c r="J19" s="350"/>
      <c r="K19" s="350"/>
      <c r="L19" s="352" t="s">
        <v>11</v>
      </c>
      <c r="M19" s="350" t="s">
        <v>1487</v>
      </c>
      <c r="N19" s="350" t="s">
        <v>1487</v>
      </c>
      <c r="O19" s="352" t="s">
        <v>1433</v>
      </c>
      <c r="P19" s="352" t="s">
        <v>1433</v>
      </c>
    </row>
    <row r="20" s="338" customFormat="1" ht="15.6" spans="1:16">
      <c r="A20" s="350"/>
      <c r="B20" s="350"/>
      <c r="C20" s="350"/>
      <c r="D20" s="350"/>
      <c r="E20" s="350"/>
      <c r="F20" s="350"/>
      <c r="G20" s="351"/>
      <c r="H20" s="351"/>
      <c r="I20" s="350"/>
      <c r="J20" s="350"/>
      <c r="K20" s="350"/>
      <c r="L20" s="352" t="s">
        <v>11</v>
      </c>
      <c r="M20" s="350" t="s">
        <v>1487</v>
      </c>
      <c r="N20" s="350" t="s">
        <v>1487</v>
      </c>
      <c r="O20" s="352" t="s">
        <v>1433</v>
      </c>
      <c r="P20" s="352" t="s">
        <v>1433</v>
      </c>
    </row>
    <row r="21" s="338" customFormat="1" ht="15.6" spans="1:16">
      <c r="A21" s="350"/>
      <c r="B21" s="350"/>
      <c r="C21" s="350"/>
      <c r="D21" s="350"/>
      <c r="E21" s="350"/>
      <c r="F21" s="350"/>
      <c r="G21" s="351"/>
      <c r="H21" s="351"/>
      <c r="I21" s="350"/>
      <c r="J21" s="350"/>
      <c r="K21" s="350"/>
      <c r="L21" s="352" t="s">
        <v>11</v>
      </c>
      <c r="M21" s="350" t="s">
        <v>1487</v>
      </c>
      <c r="N21" s="350" t="s">
        <v>1487</v>
      </c>
      <c r="O21" s="352" t="s">
        <v>1433</v>
      </c>
      <c r="P21" s="352" t="s">
        <v>1433</v>
      </c>
    </row>
  </sheetData>
  <mergeCells count="4">
    <mergeCell ref="A5:F5"/>
    <mergeCell ref="A8:B8"/>
    <mergeCell ref="A1:F4"/>
    <mergeCell ref="G1:P5"/>
  </mergeCells>
  <conditionalFormatting sqref="A8:II8">
    <cfRule type="cellIs" dxfId="0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theme="8" tint="0.799981688894314"/>
  </sheetPr>
  <dimension ref="A1:K81"/>
  <sheetViews>
    <sheetView zoomScale="85" zoomScaleNormal="85" workbookViewId="0">
      <pane ySplit="10" topLeftCell="A11" activePane="bottomLeft" state="frozen"/>
      <selection/>
      <selection pane="bottomLeft" activeCell="J25" sqref="J25"/>
    </sheetView>
  </sheetViews>
  <sheetFormatPr defaultColWidth="8.72222222222222" defaultRowHeight="14.4"/>
  <cols>
    <col min="2" max="2" width="10.9074074074074" customWidth="1"/>
    <col min="3" max="4" width="11.6296296296296" customWidth="1"/>
    <col min="5" max="5" width="17.4444444444444" customWidth="1"/>
    <col min="6" max="8" width="11.5462962962963" customWidth="1"/>
    <col min="9" max="9" width="17.6481481481481" customWidth="1"/>
    <col min="10" max="12" width="9.17592592592593" customWidth="1"/>
    <col min="13" max="13" width="22.5462962962963" customWidth="1"/>
  </cols>
  <sheetData>
    <row r="1" spans="1:11">
      <c r="A1" s="61" t="s">
        <v>100</v>
      </c>
      <c r="B1" s="234"/>
      <c r="C1" s="234"/>
      <c r="D1" s="234"/>
      <c r="E1" s="320" t="s">
        <v>1666</v>
      </c>
      <c r="F1" s="321" t="s">
        <v>1667</v>
      </c>
      <c r="G1" s="321"/>
      <c r="H1" s="321"/>
      <c r="I1" s="322"/>
    </row>
    <row r="2" spans="1:11">
      <c r="A2" s="234"/>
      <c r="B2" s="234"/>
      <c r="C2" s="234"/>
      <c r="D2" s="234"/>
      <c r="E2" s="10"/>
      <c r="F2" s="323" t="s">
        <v>1668</v>
      </c>
      <c r="G2" s="323"/>
      <c r="H2" s="323"/>
      <c r="I2" s="324"/>
    </row>
    <row r="3" spans="1:11">
      <c r="A3" s="234"/>
      <c r="B3" s="234"/>
      <c r="C3" s="234"/>
      <c r="D3" s="234"/>
      <c r="E3" s="10"/>
      <c r="F3" s="323" t="s">
        <v>1705</v>
      </c>
      <c r="G3" s="323"/>
      <c r="H3" s="323"/>
      <c r="I3" s="324"/>
    </row>
    <row r="4" ht="14" customHeight="1" spans="1:11">
      <c r="A4" s="234"/>
      <c r="B4" s="234"/>
      <c r="C4" s="234"/>
      <c r="D4" s="234"/>
      <c r="E4" s="10"/>
      <c r="F4" s="323" t="s">
        <v>1670</v>
      </c>
      <c r="G4" s="323"/>
      <c r="H4" s="323"/>
      <c r="I4" s="324"/>
    </row>
    <row r="5" spans="1:11">
      <c r="A5" s="13" t="s">
        <v>1706</v>
      </c>
      <c r="B5" s="13"/>
      <c r="C5" s="13"/>
      <c r="D5" s="13"/>
      <c r="E5" s="14" t="s">
        <v>1672</v>
      </c>
      <c r="F5" s="325"/>
      <c r="G5" s="325"/>
      <c r="H5" s="326"/>
      <c r="I5" s="327"/>
    </row>
    <row r="6" spans="1:11">
      <c r="A6" s="17"/>
      <c r="B6" s="17"/>
      <c r="C6" s="17"/>
      <c r="D6" s="17"/>
      <c r="G6" s="18"/>
      <c r="H6" s="17"/>
      <c r="I6" s="17"/>
    </row>
    <row r="7" spans="1:11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328" t="s">
        <v>1505</v>
      </c>
      <c r="I7" s="328"/>
    </row>
    <row r="8" spans="1:11">
      <c r="A8" s="17"/>
      <c r="B8" s="17"/>
      <c r="C8" s="17"/>
      <c r="D8" s="17"/>
      <c r="E8" s="17"/>
      <c r="F8" s="17"/>
      <c r="H8" s="17"/>
      <c r="I8" s="17"/>
      <c r="J8" s="17"/>
      <c r="K8" s="17"/>
    </row>
    <row r="9" s="318" customFormat="1" ht="26" customHeight="1" spans="1:11">
      <c r="A9" s="329" t="s">
        <v>291</v>
      </c>
      <c r="B9" s="329" t="s">
        <v>292</v>
      </c>
      <c r="C9" s="329" t="s">
        <v>1462</v>
      </c>
      <c r="D9" s="330" t="s">
        <v>295</v>
      </c>
      <c r="E9" s="331" t="s">
        <v>1707</v>
      </c>
      <c r="F9" s="332" t="s">
        <v>1708</v>
      </c>
      <c r="G9" s="332" t="s">
        <v>1709</v>
      </c>
      <c r="H9" s="332" t="s">
        <v>1237</v>
      </c>
      <c r="I9" s="333" t="s">
        <v>1238</v>
      </c>
    </row>
    <row r="10" s="319" customFormat="1" ht="21.5" customHeight="1" spans="1:11">
      <c r="A10" s="334" t="s">
        <v>1487</v>
      </c>
      <c r="B10" s="334" t="s">
        <v>1487</v>
      </c>
      <c r="C10" s="334" t="s">
        <v>1487</v>
      </c>
      <c r="D10" s="334" t="s">
        <v>1487</v>
      </c>
      <c r="E10" s="334" t="s">
        <v>11</v>
      </c>
      <c r="F10" s="334" t="s">
        <v>1487</v>
      </c>
      <c r="G10" s="334" t="s">
        <v>1487</v>
      </c>
      <c r="H10" s="334" t="s">
        <v>1279</v>
      </c>
      <c r="I10" s="334" t="s">
        <v>1279</v>
      </c>
    </row>
    <row r="11" spans="1:11">
      <c r="A11" s="335"/>
      <c r="B11" s="335"/>
      <c r="C11" s="335"/>
      <c r="D11" s="335"/>
      <c r="E11" s="334" t="s">
        <v>11</v>
      </c>
      <c r="F11" s="334" t="s">
        <v>1487</v>
      </c>
      <c r="G11" s="334" t="s">
        <v>1487</v>
      </c>
      <c r="H11" s="334" t="s">
        <v>1279</v>
      </c>
      <c r="I11" s="334" t="s">
        <v>1279</v>
      </c>
    </row>
    <row r="12" spans="1:11">
      <c r="A12" s="335"/>
      <c r="B12" s="335"/>
      <c r="C12" s="335"/>
      <c r="D12" s="335"/>
      <c r="E12" s="334" t="s">
        <v>11</v>
      </c>
      <c r="F12" s="334" t="s">
        <v>1487</v>
      </c>
      <c r="G12" s="334" t="s">
        <v>1487</v>
      </c>
      <c r="H12" s="334" t="s">
        <v>1279</v>
      </c>
      <c r="I12" s="334" t="s">
        <v>1279</v>
      </c>
    </row>
    <row r="13" spans="1:11">
      <c r="A13" s="335"/>
      <c r="B13" s="335"/>
      <c r="C13" s="335"/>
      <c r="D13" s="335"/>
      <c r="E13" s="334" t="s">
        <v>11</v>
      </c>
      <c r="F13" s="334" t="s">
        <v>1487</v>
      </c>
      <c r="G13" s="334" t="s">
        <v>1487</v>
      </c>
      <c r="H13" s="334" t="s">
        <v>1279</v>
      </c>
      <c r="I13" s="334" t="s">
        <v>1279</v>
      </c>
    </row>
    <row r="14" spans="1:11">
      <c r="A14" s="335"/>
      <c r="B14" s="335"/>
      <c r="C14" s="335"/>
      <c r="D14" s="335"/>
      <c r="E14" s="334" t="s">
        <v>11</v>
      </c>
      <c r="F14" s="334" t="s">
        <v>1487</v>
      </c>
      <c r="G14" s="334" t="s">
        <v>1487</v>
      </c>
      <c r="H14" s="334" t="s">
        <v>1279</v>
      </c>
      <c r="I14" s="334" t="s">
        <v>1279</v>
      </c>
    </row>
    <row r="15" spans="1:11">
      <c r="A15" s="335"/>
      <c r="B15" s="335"/>
      <c r="C15" s="335"/>
      <c r="D15" s="335"/>
      <c r="E15" s="334" t="s">
        <v>11</v>
      </c>
      <c r="F15" s="334" t="s">
        <v>1487</v>
      </c>
      <c r="G15" s="334" t="s">
        <v>1487</v>
      </c>
      <c r="H15" s="334" t="s">
        <v>1279</v>
      </c>
      <c r="I15" s="334" t="s">
        <v>1279</v>
      </c>
    </row>
    <row r="16" spans="1:11">
      <c r="A16" s="335"/>
      <c r="B16" s="335"/>
      <c r="C16" s="335"/>
      <c r="D16" s="335"/>
      <c r="E16" s="334" t="s">
        <v>11</v>
      </c>
      <c r="F16" s="334" t="s">
        <v>1487</v>
      </c>
      <c r="G16" s="334" t="s">
        <v>1487</v>
      </c>
      <c r="H16" s="334" t="s">
        <v>1279</v>
      </c>
      <c r="I16" s="334" t="s">
        <v>1279</v>
      </c>
    </row>
    <row r="17" spans="1:9">
      <c r="A17" s="335"/>
      <c r="B17" s="335"/>
      <c r="C17" s="335"/>
      <c r="D17" s="335"/>
      <c r="E17" s="334" t="s">
        <v>11</v>
      </c>
      <c r="F17" s="334" t="s">
        <v>1487</v>
      </c>
      <c r="G17" s="334" t="s">
        <v>1487</v>
      </c>
      <c r="H17" s="334" t="s">
        <v>1279</v>
      </c>
      <c r="I17" s="334" t="s">
        <v>1279</v>
      </c>
    </row>
    <row r="18" spans="1:9">
      <c r="A18" s="335"/>
      <c r="B18" s="335"/>
      <c r="C18" s="335"/>
      <c r="D18" s="335"/>
      <c r="E18" s="334" t="s">
        <v>11</v>
      </c>
      <c r="F18" s="334" t="s">
        <v>1487</v>
      </c>
      <c r="G18" s="334" t="s">
        <v>1487</v>
      </c>
      <c r="H18" s="334" t="s">
        <v>1279</v>
      </c>
      <c r="I18" s="334" t="s">
        <v>1279</v>
      </c>
    </row>
    <row r="19" spans="1:9">
      <c r="A19" s="335"/>
      <c r="B19" s="335"/>
      <c r="C19" s="335"/>
      <c r="D19" s="335"/>
      <c r="E19" s="334" t="s">
        <v>11</v>
      </c>
      <c r="F19" s="334" t="s">
        <v>1487</v>
      </c>
      <c r="G19" s="334" t="s">
        <v>1487</v>
      </c>
      <c r="H19" s="334" t="s">
        <v>1279</v>
      </c>
      <c r="I19" s="334" t="s">
        <v>1279</v>
      </c>
    </row>
    <row r="20" spans="1:9">
      <c r="A20" s="335"/>
      <c r="B20" s="335"/>
      <c r="C20" s="335"/>
      <c r="D20" s="335"/>
      <c r="E20" s="334" t="s">
        <v>11</v>
      </c>
      <c r="F20" s="334" t="s">
        <v>1487</v>
      </c>
      <c r="G20" s="334" t="s">
        <v>1487</v>
      </c>
      <c r="H20" s="334" t="s">
        <v>1279</v>
      </c>
      <c r="I20" s="334" t="s">
        <v>1279</v>
      </c>
    </row>
    <row r="21" spans="1:9">
      <c r="A21" s="335"/>
      <c r="B21" s="335"/>
      <c r="C21" s="335"/>
      <c r="D21" s="335"/>
      <c r="E21" s="334" t="s">
        <v>11</v>
      </c>
      <c r="F21" s="334" t="s">
        <v>1487</v>
      </c>
      <c r="G21" s="334" t="s">
        <v>1487</v>
      </c>
      <c r="H21" s="334" t="s">
        <v>1279</v>
      </c>
      <c r="I21" s="334" t="s">
        <v>1279</v>
      </c>
    </row>
    <row r="22" spans="1:9">
      <c r="A22" s="335"/>
      <c r="B22" s="335"/>
      <c r="C22" s="335"/>
      <c r="D22" s="335"/>
      <c r="E22" s="334" t="s">
        <v>11</v>
      </c>
      <c r="F22" s="334" t="s">
        <v>1487</v>
      </c>
      <c r="G22" s="334" t="s">
        <v>1487</v>
      </c>
      <c r="H22" s="334" t="s">
        <v>1279</v>
      </c>
      <c r="I22" s="334" t="s">
        <v>1279</v>
      </c>
    </row>
    <row r="23" spans="1:9">
      <c r="A23" s="335"/>
      <c r="B23" s="335"/>
      <c r="C23" s="335"/>
      <c r="D23" s="335"/>
      <c r="E23" s="334" t="s">
        <v>11</v>
      </c>
      <c r="F23" s="334" t="s">
        <v>1487</v>
      </c>
      <c r="G23" s="334" t="s">
        <v>1487</v>
      </c>
      <c r="H23" s="334" t="s">
        <v>1279</v>
      </c>
      <c r="I23" s="334" t="s">
        <v>1279</v>
      </c>
    </row>
    <row r="24" spans="1:9">
      <c r="A24" s="335"/>
      <c r="B24" s="335"/>
      <c r="C24" s="335"/>
      <c r="D24" s="335"/>
      <c r="E24" s="334" t="s">
        <v>11</v>
      </c>
      <c r="F24" s="334" t="s">
        <v>1487</v>
      </c>
      <c r="G24" s="334" t="s">
        <v>1487</v>
      </c>
      <c r="H24" s="334" t="s">
        <v>1279</v>
      </c>
      <c r="I24" s="334" t="s">
        <v>1279</v>
      </c>
    </row>
    <row r="25" spans="1:9">
      <c r="A25" s="335"/>
      <c r="B25" s="335"/>
      <c r="C25" s="335"/>
      <c r="D25" s="335"/>
      <c r="E25" s="334" t="s">
        <v>11</v>
      </c>
      <c r="F25" s="334" t="s">
        <v>1487</v>
      </c>
      <c r="G25" s="334" t="s">
        <v>1487</v>
      </c>
      <c r="H25" s="334" t="s">
        <v>1279</v>
      </c>
      <c r="I25" s="334" t="s">
        <v>1279</v>
      </c>
    </row>
    <row r="26" spans="1:9">
      <c r="A26" s="335"/>
      <c r="B26" s="335"/>
      <c r="C26" s="335"/>
      <c r="D26" s="335"/>
      <c r="E26" s="334" t="s">
        <v>11</v>
      </c>
      <c r="F26" s="334" t="s">
        <v>1487</v>
      </c>
      <c r="G26" s="334" t="s">
        <v>1487</v>
      </c>
      <c r="H26" s="334" t="s">
        <v>1279</v>
      </c>
      <c r="I26" s="334" t="s">
        <v>1279</v>
      </c>
    </row>
    <row r="27" spans="1:9">
      <c r="A27" s="335"/>
      <c r="B27" s="335"/>
      <c r="C27" s="335"/>
      <c r="D27" s="335"/>
      <c r="E27" s="334" t="s">
        <v>11</v>
      </c>
      <c r="F27" s="334" t="s">
        <v>1487</v>
      </c>
      <c r="G27" s="334" t="s">
        <v>1487</v>
      </c>
      <c r="H27" s="334" t="s">
        <v>1279</v>
      </c>
      <c r="I27" s="334" t="s">
        <v>1279</v>
      </c>
    </row>
    <row r="28" spans="1:9">
      <c r="A28" s="335"/>
      <c r="B28" s="335"/>
      <c r="C28" s="335"/>
      <c r="D28" s="335"/>
      <c r="E28" s="334" t="s">
        <v>11</v>
      </c>
      <c r="F28" s="334" t="s">
        <v>1487</v>
      </c>
      <c r="G28" s="334" t="s">
        <v>1487</v>
      </c>
      <c r="H28" s="334" t="s">
        <v>1279</v>
      </c>
      <c r="I28" s="334" t="s">
        <v>1279</v>
      </c>
    </row>
    <row r="29" spans="1:9">
      <c r="A29" s="335"/>
      <c r="B29" s="335"/>
      <c r="C29" s="335"/>
      <c r="D29" s="335"/>
      <c r="E29" s="334" t="s">
        <v>11</v>
      </c>
      <c r="F29" s="334" t="s">
        <v>1487</v>
      </c>
      <c r="G29" s="334" t="s">
        <v>1487</v>
      </c>
      <c r="H29" s="334" t="s">
        <v>1279</v>
      </c>
      <c r="I29" s="334" t="s">
        <v>1279</v>
      </c>
    </row>
    <row r="30" spans="1:9">
      <c r="A30" s="335"/>
      <c r="B30" s="335"/>
      <c r="C30" s="335"/>
      <c r="D30" s="335"/>
      <c r="E30" s="334" t="s">
        <v>11</v>
      </c>
      <c r="F30" s="334" t="s">
        <v>1487</v>
      </c>
      <c r="G30" s="334" t="s">
        <v>1487</v>
      </c>
      <c r="H30" s="334" t="s">
        <v>1279</v>
      </c>
      <c r="I30" s="334" t="s">
        <v>1279</v>
      </c>
    </row>
    <row r="31" spans="1:9">
      <c r="A31" s="335"/>
      <c r="B31" s="335"/>
      <c r="C31" s="335"/>
      <c r="D31" s="335"/>
      <c r="E31" s="334" t="s">
        <v>11</v>
      </c>
      <c r="F31" s="334" t="s">
        <v>1487</v>
      </c>
      <c r="G31" s="334" t="s">
        <v>1487</v>
      </c>
      <c r="H31" s="334" t="s">
        <v>1279</v>
      </c>
      <c r="I31" s="334" t="s">
        <v>1279</v>
      </c>
    </row>
    <row r="32" spans="1:9">
      <c r="A32" s="335"/>
      <c r="B32" s="335"/>
      <c r="C32" s="335"/>
      <c r="D32" s="335"/>
      <c r="E32" s="334" t="s">
        <v>11</v>
      </c>
      <c r="F32" s="334" t="s">
        <v>1487</v>
      </c>
      <c r="G32" s="334" t="s">
        <v>1487</v>
      </c>
      <c r="H32" s="334" t="s">
        <v>1279</v>
      </c>
      <c r="I32" s="334" t="s">
        <v>1279</v>
      </c>
    </row>
    <row r="33" spans="1:9">
      <c r="A33" s="335"/>
      <c r="B33" s="335"/>
      <c r="C33" s="335"/>
      <c r="D33" s="335"/>
      <c r="E33" s="334" t="s">
        <v>11</v>
      </c>
      <c r="F33" s="334" t="s">
        <v>1487</v>
      </c>
      <c r="G33" s="334" t="s">
        <v>1487</v>
      </c>
      <c r="H33" s="334" t="s">
        <v>1279</v>
      </c>
      <c r="I33" s="334" t="s">
        <v>1279</v>
      </c>
    </row>
    <row r="34" spans="1:9">
      <c r="A34" s="335"/>
      <c r="B34" s="335"/>
      <c r="C34" s="335"/>
      <c r="D34" s="335"/>
      <c r="E34" s="334" t="s">
        <v>11</v>
      </c>
      <c r="F34" s="334" t="s">
        <v>1487</v>
      </c>
      <c r="G34" s="334" t="s">
        <v>1487</v>
      </c>
      <c r="H34" s="334" t="s">
        <v>1279</v>
      </c>
      <c r="I34" s="334" t="s">
        <v>1279</v>
      </c>
    </row>
    <row r="35" spans="1:9">
      <c r="A35" s="335"/>
      <c r="B35" s="335"/>
      <c r="C35" s="335"/>
      <c r="D35" s="335"/>
      <c r="E35" s="334" t="s">
        <v>11</v>
      </c>
      <c r="F35" s="334" t="s">
        <v>1487</v>
      </c>
      <c r="G35" s="334" t="s">
        <v>1487</v>
      </c>
      <c r="H35" s="334" t="s">
        <v>1279</v>
      </c>
      <c r="I35" s="334" t="s">
        <v>1279</v>
      </c>
    </row>
    <row r="36" spans="1:9">
      <c r="A36" s="335"/>
      <c r="B36" s="335"/>
      <c r="C36" s="335"/>
      <c r="D36" s="335"/>
      <c r="E36" s="334" t="s">
        <v>11</v>
      </c>
      <c r="F36" s="334" t="s">
        <v>1487</v>
      </c>
      <c r="G36" s="334" t="s">
        <v>1487</v>
      </c>
      <c r="H36" s="334" t="s">
        <v>1279</v>
      </c>
      <c r="I36" s="334" t="s">
        <v>1279</v>
      </c>
    </row>
    <row r="37" spans="1:9">
      <c r="A37" s="335"/>
      <c r="B37" s="335"/>
      <c r="C37" s="335"/>
      <c r="D37" s="335"/>
      <c r="E37" s="334" t="s">
        <v>11</v>
      </c>
      <c r="F37" s="334" t="s">
        <v>1487</v>
      </c>
      <c r="G37" s="334" t="s">
        <v>1487</v>
      </c>
      <c r="H37" s="334" t="s">
        <v>1279</v>
      </c>
      <c r="I37" s="334" t="s">
        <v>1279</v>
      </c>
    </row>
    <row r="38" spans="1:9">
      <c r="A38" s="335"/>
      <c r="B38" s="335"/>
      <c r="C38" s="335"/>
      <c r="D38" s="335"/>
      <c r="E38" s="334" t="s">
        <v>11</v>
      </c>
      <c r="F38" s="334" t="s">
        <v>1487</v>
      </c>
      <c r="G38" s="334" t="s">
        <v>1487</v>
      </c>
      <c r="H38" s="334" t="s">
        <v>1279</v>
      </c>
      <c r="I38" s="334" t="s">
        <v>1279</v>
      </c>
    </row>
    <row r="39" spans="1:9">
      <c r="A39" s="335"/>
      <c r="B39" s="335"/>
      <c r="C39" s="335"/>
      <c r="D39" s="335"/>
      <c r="E39" s="334" t="s">
        <v>11</v>
      </c>
      <c r="F39" s="334" t="s">
        <v>1487</v>
      </c>
      <c r="G39" s="334" t="s">
        <v>1487</v>
      </c>
      <c r="H39" s="334" t="s">
        <v>1279</v>
      </c>
      <c r="I39" s="334" t="s">
        <v>1279</v>
      </c>
    </row>
    <row r="40" spans="1:9">
      <c r="A40" s="335"/>
      <c r="B40" s="335"/>
      <c r="C40" s="335"/>
      <c r="D40" s="335"/>
      <c r="E40" s="334" t="s">
        <v>11</v>
      </c>
      <c r="F40" s="334" t="s">
        <v>1487</v>
      </c>
      <c r="G40" s="334" t="s">
        <v>1487</v>
      </c>
      <c r="H40" s="334" t="s">
        <v>1279</v>
      </c>
      <c r="I40" s="334" t="s">
        <v>1279</v>
      </c>
    </row>
    <row r="41" spans="1:9">
      <c r="A41" s="335"/>
      <c r="B41" s="335"/>
      <c r="C41" s="335"/>
      <c r="D41" s="335"/>
      <c r="E41" s="334" t="s">
        <v>11</v>
      </c>
      <c r="F41" s="334" t="s">
        <v>1487</v>
      </c>
      <c r="G41" s="334" t="s">
        <v>1487</v>
      </c>
      <c r="H41" s="334" t="s">
        <v>1279</v>
      </c>
      <c r="I41" s="334" t="s">
        <v>1279</v>
      </c>
    </row>
    <row r="42" spans="1:9">
      <c r="A42" s="335"/>
      <c r="B42" s="335"/>
      <c r="C42" s="335"/>
      <c r="D42" s="335"/>
      <c r="E42" s="334" t="s">
        <v>11</v>
      </c>
      <c r="F42" s="334" t="s">
        <v>1487</v>
      </c>
      <c r="G42" s="334" t="s">
        <v>1487</v>
      </c>
      <c r="H42" s="334" t="s">
        <v>1279</v>
      </c>
      <c r="I42" s="334" t="s">
        <v>1279</v>
      </c>
    </row>
    <row r="43" spans="1:9">
      <c r="A43" s="335"/>
      <c r="B43" s="335"/>
      <c r="C43" s="335"/>
      <c r="D43" s="335"/>
      <c r="E43" s="334" t="s">
        <v>11</v>
      </c>
      <c r="F43" s="334" t="s">
        <v>1487</v>
      </c>
      <c r="G43" s="334" t="s">
        <v>1487</v>
      </c>
      <c r="H43" s="334" t="s">
        <v>1279</v>
      </c>
      <c r="I43" s="334" t="s">
        <v>1279</v>
      </c>
    </row>
    <row r="44" spans="1:9">
      <c r="A44" s="335"/>
      <c r="B44" s="335"/>
      <c r="C44" s="335"/>
      <c r="D44" s="335"/>
      <c r="E44" s="334" t="s">
        <v>11</v>
      </c>
      <c r="F44" s="334" t="s">
        <v>1487</v>
      </c>
      <c r="G44" s="334" t="s">
        <v>1487</v>
      </c>
      <c r="H44" s="334" t="s">
        <v>1279</v>
      </c>
      <c r="I44" s="334" t="s">
        <v>1279</v>
      </c>
    </row>
    <row r="45" spans="1:9">
      <c r="A45" s="335"/>
      <c r="B45" s="335"/>
      <c r="C45" s="335"/>
      <c r="D45" s="335"/>
      <c r="E45" s="334" t="s">
        <v>11</v>
      </c>
      <c r="F45" s="334" t="s">
        <v>1487</v>
      </c>
      <c r="G45" s="334" t="s">
        <v>1487</v>
      </c>
      <c r="H45" s="334" t="s">
        <v>1279</v>
      </c>
      <c r="I45" s="334" t="s">
        <v>1279</v>
      </c>
    </row>
    <row r="46" spans="1:9">
      <c r="A46" s="335"/>
      <c r="B46" s="335"/>
      <c r="C46" s="335"/>
      <c r="D46" s="335"/>
      <c r="E46" s="334" t="s">
        <v>11</v>
      </c>
      <c r="F46" s="334" t="s">
        <v>1487</v>
      </c>
      <c r="G46" s="334" t="s">
        <v>1487</v>
      </c>
      <c r="H46" s="334" t="s">
        <v>1279</v>
      </c>
      <c r="I46" s="334" t="s">
        <v>1279</v>
      </c>
    </row>
    <row r="47" spans="1:9">
      <c r="A47" s="335"/>
      <c r="B47" s="335"/>
      <c r="C47" s="335"/>
      <c r="D47" s="335"/>
      <c r="E47" s="334" t="s">
        <v>11</v>
      </c>
      <c r="F47" s="334" t="s">
        <v>1487</v>
      </c>
      <c r="G47" s="334" t="s">
        <v>1487</v>
      </c>
      <c r="H47" s="334" t="s">
        <v>1279</v>
      </c>
      <c r="I47" s="334" t="s">
        <v>1279</v>
      </c>
    </row>
    <row r="48" spans="1:9">
      <c r="A48" s="335"/>
      <c r="B48" s="335"/>
      <c r="C48" s="335"/>
      <c r="D48" s="335"/>
      <c r="E48" s="334" t="s">
        <v>11</v>
      </c>
      <c r="F48" s="334" t="s">
        <v>1487</v>
      </c>
      <c r="G48" s="334" t="s">
        <v>1487</v>
      </c>
      <c r="H48" s="334" t="s">
        <v>1279</v>
      </c>
      <c r="I48" s="334" t="s">
        <v>1279</v>
      </c>
    </row>
    <row r="49" spans="1:9">
      <c r="A49" s="335"/>
      <c r="B49" s="335"/>
      <c r="C49" s="335"/>
      <c r="D49" s="335"/>
      <c r="E49" s="334" t="s">
        <v>11</v>
      </c>
      <c r="F49" s="334" t="s">
        <v>1487</v>
      </c>
      <c r="G49" s="334" t="s">
        <v>1487</v>
      </c>
      <c r="H49" s="334" t="s">
        <v>1279</v>
      </c>
      <c r="I49" s="334" t="s">
        <v>1279</v>
      </c>
    </row>
    <row r="50" spans="1:9">
      <c r="A50" s="335"/>
      <c r="B50" s="335"/>
      <c r="C50" s="335"/>
      <c r="D50" s="335"/>
      <c r="E50" s="334" t="s">
        <v>11</v>
      </c>
      <c r="F50" s="334" t="s">
        <v>1487</v>
      </c>
      <c r="G50" s="334" t="s">
        <v>1487</v>
      </c>
      <c r="H50" s="334" t="s">
        <v>1279</v>
      </c>
      <c r="I50" s="334" t="s">
        <v>1279</v>
      </c>
    </row>
    <row r="51" spans="1:9">
      <c r="A51" s="335"/>
      <c r="B51" s="335"/>
      <c r="C51" s="335"/>
      <c r="D51" s="335"/>
      <c r="E51" s="334" t="s">
        <v>11</v>
      </c>
      <c r="F51" s="334" t="s">
        <v>1487</v>
      </c>
      <c r="G51" s="334" t="s">
        <v>1487</v>
      </c>
      <c r="H51" s="334" t="s">
        <v>1279</v>
      </c>
      <c r="I51" s="334" t="s">
        <v>1279</v>
      </c>
    </row>
    <row r="52" spans="1:9">
      <c r="A52" s="335"/>
      <c r="B52" s="335"/>
      <c r="C52" s="335"/>
      <c r="D52" s="335"/>
      <c r="E52" s="334" t="s">
        <v>11</v>
      </c>
      <c r="F52" s="334" t="s">
        <v>1487</v>
      </c>
      <c r="G52" s="334" t="s">
        <v>1487</v>
      </c>
      <c r="H52" s="334" t="s">
        <v>1279</v>
      </c>
      <c r="I52" s="334" t="s">
        <v>1279</v>
      </c>
    </row>
    <row r="53" spans="1:9">
      <c r="A53" s="335"/>
      <c r="B53" s="335"/>
      <c r="C53" s="335"/>
      <c r="D53" s="335"/>
      <c r="E53" s="334" t="s">
        <v>11</v>
      </c>
      <c r="F53" s="334" t="s">
        <v>1487</v>
      </c>
      <c r="G53" s="334" t="s">
        <v>1487</v>
      </c>
      <c r="H53" s="334" t="s">
        <v>1279</v>
      </c>
      <c r="I53" s="334" t="s">
        <v>1279</v>
      </c>
    </row>
    <row r="54" spans="1:9">
      <c r="A54" s="335"/>
      <c r="B54" s="335"/>
      <c r="C54" s="335"/>
      <c r="D54" s="335"/>
      <c r="E54" s="334" t="s">
        <v>11</v>
      </c>
      <c r="F54" s="334" t="s">
        <v>1487</v>
      </c>
      <c r="G54" s="334" t="s">
        <v>1487</v>
      </c>
      <c r="H54" s="334" t="s">
        <v>1279</v>
      </c>
      <c r="I54" s="334" t="s">
        <v>1279</v>
      </c>
    </row>
    <row r="55" spans="1:9">
      <c r="A55" s="335"/>
      <c r="B55" s="335"/>
      <c r="C55" s="335"/>
      <c r="D55" s="335"/>
      <c r="E55" s="334" t="s">
        <v>11</v>
      </c>
      <c r="F55" s="334" t="s">
        <v>1487</v>
      </c>
      <c r="G55" s="334" t="s">
        <v>1487</v>
      </c>
      <c r="H55" s="334" t="s">
        <v>1279</v>
      </c>
      <c r="I55" s="334" t="s">
        <v>1279</v>
      </c>
    </row>
    <row r="56" spans="1:9">
      <c r="A56" s="335"/>
      <c r="B56" s="335"/>
      <c r="C56" s="335"/>
      <c r="D56" s="335"/>
      <c r="E56" s="334" t="s">
        <v>11</v>
      </c>
      <c r="F56" s="334" t="s">
        <v>1487</v>
      </c>
      <c r="G56" s="334" t="s">
        <v>1487</v>
      </c>
      <c r="H56" s="334" t="s">
        <v>1279</v>
      </c>
      <c r="I56" s="334" t="s">
        <v>1279</v>
      </c>
    </row>
    <row r="57" spans="1:9">
      <c r="A57" s="335"/>
      <c r="B57" s="335"/>
      <c r="C57" s="335"/>
      <c r="D57" s="335"/>
      <c r="E57" s="334" t="s">
        <v>11</v>
      </c>
      <c r="F57" s="334" t="s">
        <v>1487</v>
      </c>
      <c r="G57" s="334" t="s">
        <v>1487</v>
      </c>
      <c r="H57" s="334" t="s">
        <v>1279</v>
      </c>
      <c r="I57" s="334" t="s">
        <v>1279</v>
      </c>
    </row>
    <row r="58" spans="1:9">
      <c r="A58" s="335"/>
      <c r="B58" s="335"/>
      <c r="C58" s="335"/>
      <c r="D58" s="335"/>
      <c r="E58" s="334" t="s">
        <v>11</v>
      </c>
      <c r="F58" s="334" t="s">
        <v>1487</v>
      </c>
      <c r="G58" s="334" t="s">
        <v>1487</v>
      </c>
      <c r="H58" s="334" t="s">
        <v>1279</v>
      </c>
      <c r="I58" s="334" t="s">
        <v>1279</v>
      </c>
    </row>
    <row r="59" spans="1:9">
      <c r="A59" s="335"/>
      <c r="B59" s="335"/>
      <c r="C59" s="335"/>
      <c r="D59" s="335"/>
      <c r="E59" s="334" t="s">
        <v>11</v>
      </c>
      <c r="F59" s="334" t="s">
        <v>1487</v>
      </c>
      <c r="G59" s="334" t="s">
        <v>1487</v>
      </c>
      <c r="H59" s="334" t="s">
        <v>1279</v>
      </c>
      <c r="I59" s="334" t="s">
        <v>1279</v>
      </c>
    </row>
    <row r="60" spans="1:9">
      <c r="A60" s="335"/>
      <c r="B60" s="335"/>
      <c r="C60" s="335"/>
      <c r="D60" s="335"/>
      <c r="E60" s="334" t="s">
        <v>11</v>
      </c>
      <c r="F60" s="334" t="s">
        <v>1487</v>
      </c>
      <c r="G60" s="334" t="s">
        <v>1487</v>
      </c>
      <c r="H60" s="334" t="s">
        <v>1279</v>
      </c>
      <c r="I60" s="334" t="s">
        <v>1279</v>
      </c>
    </row>
    <row r="61" spans="1:9">
      <c r="A61" s="335"/>
      <c r="B61" s="335"/>
      <c r="C61" s="335"/>
      <c r="D61" s="335"/>
      <c r="E61" s="334" t="s">
        <v>11</v>
      </c>
      <c r="F61" s="334" t="s">
        <v>1487</v>
      </c>
      <c r="G61" s="334" t="s">
        <v>1487</v>
      </c>
      <c r="H61" s="334" t="s">
        <v>1279</v>
      </c>
      <c r="I61" s="334" t="s">
        <v>1279</v>
      </c>
    </row>
    <row r="62" spans="1:9">
      <c r="A62" s="335"/>
      <c r="B62" s="335"/>
      <c r="C62" s="335"/>
      <c r="D62" s="335"/>
      <c r="E62" s="334" t="s">
        <v>11</v>
      </c>
      <c r="F62" s="334" t="s">
        <v>1487</v>
      </c>
      <c r="G62" s="334" t="s">
        <v>1487</v>
      </c>
      <c r="H62" s="334" t="s">
        <v>1279</v>
      </c>
      <c r="I62" s="334" t="s">
        <v>1279</v>
      </c>
    </row>
    <row r="63" spans="1:9">
      <c r="A63" s="335"/>
      <c r="B63" s="335"/>
      <c r="C63" s="335"/>
      <c r="D63" s="335"/>
      <c r="E63" s="334" t="s">
        <v>11</v>
      </c>
      <c r="F63" s="334" t="s">
        <v>1487</v>
      </c>
      <c r="G63" s="334" t="s">
        <v>1487</v>
      </c>
      <c r="H63" s="334" t="s">
        <v>1279</v>
      </c>
      <c r="I63" s="334" t="s">
        <v>1279</v>
      </c>
    </row>
    <row r="64" spans="1:9">
      <c r="A64" s="335"/>
      <c r="B64" s="335"/>
      <c r="C64" s="335"/>
      <c r="D64" s="335"/>
      <c r="E64" s="334" t="s">
        <v>11</v>
      </c>
      <c r="F64" s="334" t="s">
        <v>1487</v>
      </c>
      <c r="G64" s="334" t="s">
        <v>1487</v>
      </c>
      <c r="H64" s="334" t="s">
        <v>1279</v>
      </c>
      <c r="I64" s="334" t="s">
        <v>1279</v>
      </c>
    </row>
    <row r="65" spans="1:9">
      <c r="A65" s="335"/>
      <c r="B65" s="335"/>
      <c r="C65" s="335"/>
      <c r="D65" s="335"/>
      <c r="E65" s="334" t="s">
        <v>11</v>
      </c>
      <c r="F65" s="334" t="s">
        <v>1487</v>
      </c>
      <c r="G65" s="334" t="s">
        <v>1487</v>
      </c>
      <c r="H65" s="334" t="s">
        <v>1279</v>
      </c>
      <c r="I65" s="334" t="s">
        <v>1279</v>
      </c>
    </row>
    <row r="66" spans="1:9">
      <c r="A66" s="335"/>
      <c r="B66" s="335"/>
      <c r="C66" s="335"/>
      <c r="D66" s="335"/>
      <c r="E66" s="334" t="s">
        <v>11</v>
      </c>
      <c r="F66" s="334" t="s">
        <v>1487</v>
      </c>
      <c r="G66" s="334" t="s">
        <v>1487</v>
      </c>
      <c r="H66" s="334" t="s">
        <v>1279</v>
      </c>
      <c r="I66" s="334" t="s">
        <v>1279</v>
      </c>
    </row>
    <row r="67" spans="1:9">
      <c r="A67" s="335"/>
      <c r="B67" s="335"/>
      <c r="C67" s="335"/>
      <c r="D67" s="335"/>
      <c r="E67" s="334" t="s">
        <v>11</v>
      </c>
      <c r="F67" s="334" t="s">
        <v>1487</v>
      </c>
      <c r="G67" s="334" t="s">
        <v>1487</v>
      </c>
      <c r="H67" s="334" t="s">
        <v>1279</v>
      </c>
      <c r="I67" s="334" t="s">
        <v>1279</v>
      </c>
    </row>
    <row r="68" spans="1:9">
      <c r="A68" s="335"/>
      <c r="B68" s="335"/>
      <c r="C68" s="335"/>
      <c r="D68" s="335"/>
      <c r="E68" s="334" t="s">
        <v>11</v>
      </c>
      <c r="F68" s="334" t="s">
        <v>1487</v>
      </c>
      <c r="G68" s="334" t="s">
        <v>1487</v>
      </c>
      <c r="H68" s="334" t="s">
        <v>1279</v>
      </c>
      <c r="I68" s="334" t="s">
        <v>1279</v>
      </c>
    </row>
    <row r="69" spans="1:9">
      <c r="A69" s="335"/>
      <c r="B69" s="335"/>
      <c r="C69" s="335"/>
      <c r="D69" s="335"/>
      <c r="E69" s="334" t="s">
        <v>11</v>
      </c>
      <c r="F69" s="334" t="s">
        <v>1487</v>
      </c>
      <c r="G69" s="334" t="s">
        <v>1487</v>
      </c>
      <c r="H69" s="334" t="s">
        <v>1279</v>
      </c>
      <c r="I69" s="334" t="s">
        <v>1279</v>
      </c>
    </row>
    <row r="70" spans="1:9">
      <c r="A70" s="335"/>
      <c r="B70" s="335"/>
      <c r="C70" s="335"/>
      <c r="D70" s="335"/>
      <c r="E70" s="334" t="s">
        <v>11</v>
      </c>
      <c r="F70" s="334" t="s">
        <v>1487</v>
      </c>
      <c r="G70" s="334" t="s">
        <v>1487</v>
      </c>
      <c r="H70" s="334" t="s">
        <v>1279</v>
      </c>
      <c r="I70" s="334" t="s">
        <v>1279</v>
      </c>
    </row>
    <row r="71" spans="1:9">
      <c r="A71" s="335"/>
      <c r="B71" s="335"/>
      <c r="C71" s="335"/>
      <c r="D71" s="335"/>
      <c r="E71" s="334" t="s">
        <v>11</v>
      </c>
      <c r="F71" s="334" t="s">
        <v>1487</v>
      </c>
      <c r="G71" s="334" t="s">
        <v>1487</v>
      </c>
      <c r="H71" s="334" t="s">
        <v>1279</v>
      </c>
      <c r="I71" s="334" t="s">
        <v>1279</v>
      </c>
    </row>
    <row r="72" spans="1:9">
      <c r="A72" s="335"/>
      <c r="B72" s="335"/>
      <c r="C72" s="335"/>
      <c r="D72" s="335"/>
      <c r="E72" s="334" t="s">
        <v>11</v>
      </c>
      <c r="F72" s="334" t="s">
        <v>1487</v>
      </c>
      <c r="G72" s="334" t="s">
        <v>1487</v>
      </c>
      <c r="H72" s="334" t="s">
        <v>1279</v>
      </c>
      <c r="I72" s="334" t="s">
        <v>1279</v>
      </c>
    </row>
    <row r="73" spans="1:9">
      <c r="A73" s="335"/>
      <c r="B73" s="335"/>
      <c r="C73" s="335"/>
      <c r="D73" s="335"/>
      <c r="E73" s="334" t="s">
        <v>11</v>
      </c>
      <c r="F73" s="334" t="s">
        <v>1487</v>
      </c>
      <c r="G73" s="334" t="s">
        <v>1487</v>
      </c>
      <c r="H73" s="334" t="s">
        <v>1279</v>
      </c>
      <c r="I73" s="334" t="s">
        <v>1279</v>
      </c>
    </row>
    <row r="74" spans="1:9">
      <c r="A74" s="335"/>
      <c r="B74" s="335"/>
      <c r="C74" s="335"/>
      <c r="D74" s="335"/>
      <c r="E74" s="334" t="s">
        <v>11</v>
      </c>
      <c r="F74" s="334" t="s">
        <v>1487</v>
      </c>
      <c r="G74" s="334" t="s">
        <v>1487</v>
      </c>
      <c r="H74" s="334" t="s">
        <v>1279</v>
      </c>
      <c r="I74" s="334" t="s">
        <v>1279</v>
      </c>
    </row>
    <row r="75" spans="1:9">
      <c r="A75" s="335"/>
      <c r="B75" s="335"/>
      <c r="C75" s="335"/>
      <c r="D75" s="335"/>
      <c r="E75" s="334" t="s">
        <v>11</v>
      </c>
      <c r="F75" s="334" t="s">
        <v>1487</v>
      </c>
      <c r="G75" s="334" t="s">
        <v>1487</v>
      </c>
      <c r="H75" s="334" t="s">
        <v>1279</v>
      </c>
      <c r="I75" s="334" t="s">
        <v>1279</v>
      </c>
    </row>
    <row r="76" spans="1:9">
      <c r="A76" s="335"/>
      <c r="B76" s="335"/>
      <c r="C76" s="335"/>
      <c r="D76" s="335"/>
      <c r="E76" s="334" t="s">
        <v>11</v>
      </c>
      <c r="F76" s="334" t="s">
        <v>1487</v>
      </c>
      <c r="G76" s="334" t="s">
        <v>1487</v>
      </c>
      <c r="H76" s="334" t="s">
        <v>1279</v>
      </c>
      <c r="I76" s="334" t="s">
        <v>1279</v>
      </c>
    </row>
    <row r="77" spans="1:9">
      <c r="A77" s="335"/>
      <c r="B77" s="335"/>
      <c r="C77" s="335"/>
      <c r="D77" s="335"/>
      <c r="E77" s="334" t="s">
        <v>11</v>
      </c>
      <c r="F77" s="334" t="s">
        <v>1487</v>
      </c>
      <c r="G77" s="334" t="s">
        <v>1487</v>
      </c>
      <c r="H77" s="334" t="s">
        <v>1279</v>
      </c>
      <c r="I77" s="334" t="s">
        <v>1279</v>
      </c>
    </row>
    <row r="78" spans="1:9">
      <c r="A78" s="335"/>
      <c r="B78" s="335"/>
      <c r="C78" s="335"/>
      <c r="D78" s="335"/>
      <c r="E78" s="334" t="s">
        <v>11</v>
      </c>
      <c r="F78" s="334" t="s">
        <v>1487</v>
      </c>
      <c r="G78" s="334" t="s">
        <v>1487</v>
      </c>
      <c r="H78" s="334" t="s">
        <v>1279</v>
      </c>
      <c r="I78" s="334" t="s">
        <v>1279</v>
      </c>
    </row>
    <row r="79" spans="1:9">
      <c r="A79" s="335"/>
      <c r="B79" s="335"/>
      <c r="C79" s="335"/>
      <c r="D79" s="335"/>
      <c r="E79" s="334" t="s">
        <v>11</v>
      </c>
      <c r="F79" s="334" t="s">
        <v>1487</v>
      </c>
      <c r="G79" s="334" t="s">
        <v>1487</v>
      </c>
      <c r="H79" s="334" t="s">
        <v>1279</v>
      </c>
      <c r="I79" s="334" t="s">
        <v>1279</v>
      </c>
    </row>
    <row r="80" spans="1:9">
      <c r="A80" s="335"/>
      <c r="B80" s="335"/>
      <c r="C80" s="335"/>
      <c r="D80" s="335"/>
      <c r="E80" s="334" t="s">
        <v>11</v>
      </c>
      <c r="F80" s="334" t="s">
        <v>1487</v>
      </c>
      <c r="G80" s="334" t="s">
        <v>1487</v>
      </c>
      <c r="H80" s="334" t="s">
        <v>1279</v>
      </c>
      <c r="I80" s="334" t="s">
        <v>1279</v>
      </c>
    </row>
    <row r="81" spans="1:9">
      <c r="A81" s="335"/>
      <c r="B81" s="335"/>
      <c r="C81" s="335"/>
      <c r="D81" s="335"/>
      <c r="E81" s="334" t="s">
        <v>11</v>
      </c>
      <c r="F81" s="334" t="s">
        <v>1487</v>
      </c>
      <c r="G81" s="334" t="s">
        <v>1487</v>
      </c>
      <c r="H81" s="334" t="s">
        <v>1279</v>
      </c>
      <c r="I81" s="334" t="s">
        <v>1279</v>
      </c>
    </row>
  </sheetData>
  <mergeCells count="3">
    <mergeCell ref="A5:D5"/>
    <mergeCell ref="H7:I7"/>
    <mergeCell ref="A1:D4"/>
  </mergeCells>
  <conditionalFormatting sqref="D9:H9">
    <cfRule type="cellIs" dxfId="0" priority="2" operator="lessThan">
      <formula>0</formula>
    </cfRule>
    <cfRule type="cellIs" priority="3" operator="lessThan">
      <formula>0</formula>
    </cfRule>
  </conditionalFormatting>
  <conditionalFormatting sqref="D81">
    <cfRule type="duplicateValues" dxfId="1" priority="1"/>
  </conditionalFormatting>
  <conditionalFormatting sqref="D13:D80">
    <cfRule type="duplicateValues" dxfId="1" priority="4"/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7">
    <tabColor rgb="FFFF0000"/>
  </sheetPr>
  <dimension ref="A1:I53"/>
  <sheetViews>
    <sheetView showGridLines="0" workbookViewId="0">
      <selection activeCell="L22" sqref="L21:L22"/>
    </sheetView>
  </sheetViews>
  <sheetFormatPr defaultColWidth="9" defaultRowHeight="15.6"/>
  <cols>
    <col min="1" max="1" width="11.3611111111111" style="271" customWidth="1"/>
    <col min="2" max="2" width="20" style="271" customWidth="1"/>
    <col min="3" max="3" width="17.6296296296296" style="271" customWidth="1"/>
    <col min="4" max="7" width="9.36111111111111" style="271" customWidth="1"/>
    <col min="8" max="8" width="10.1759259259259" style="272" customWidth="1"/>
    <col min="9" max="9" width="11" style="272" customWidth="1"/>
    <col min="10" max="10" width="12.0925925925926" style="271" customWidth="1"/>
    <col min="11" max="11" width="15.4537037037037" style="271" customWidth="1"/>
    <col min="12" max="12" width="15.6296296296296" style="271"/>
    <col min="13" max="13" width="15.6666666666667" style="271"/>
    <col min="14" max="16384" width="9" style="271"/>
  </cols>
  <sheetData>
    <row r="1" s="55" customFormat="1" ht="19" customHeight="1" spans="1:9">
      <c r="A1" s="273" t="s">
        <v>100</v>
      </c>
      <c r="B1" s="274"/>
      <c r="C1" s="274"/>
      <c r="D1" s="274"/>
      <c r="E1" s="275"/>
      <c r="F1" s="276" t="s">
        <v>1517</v>
      </c>
      <c r="G1" s="277"/>
      <c r="H1" s="277"/>
      <c r="I1" s="278"/>
    </row>
    <row r="2" s="55" customFormat="1" ht="19" customHeight="1" spans="1:9">
      <c r="A2" s="274"/>
      <c r="B2" s="274"/>
      <c r="C2" s="274"/>
      <c r="D2" s="274"/>
      <c r="E2" s="275"/>
      <c r="F2" s="279"/>
      <c r="G2" s="280"/>
      <c r="H2" s="280"/>
      <c r="I2" s="281"/>
    </row>
    <row r="3" s="55" customFormat="1" ht="19" customHeight="1" spans="1:9">
      <c r="A3" s="274"/>
      <c r="B3" s="274"/>
      <c r="C3" s="274"/>
      <c r="D3" s="274"/>
      <c r="E3" s="275"/>
      <c r="F3" s="279"/>
      <c r="G3" s="280"/>
      <c r="H3" s="280"/>
      <c r="I3" s="281"/>
    </row>
    <row r="4" s="55" customFormat="1" ht="19" customHeight="1" spans="1:9">
      <c r="A4" s="282"/>
      <c r="B4" s="282"/>
      <c r="C4" s="282"/>
      <c r="D4" s="282"/>
      <c r="E4" s="283"/>
      <c r="F4" s="279"/>
      <c r="G4" s="280"/>
      <c r="H4" s="280"/>
      <c r="I4" s="281"/>
    </row>
    <row r="5" s="55" customFormat="1" ht="19" customHeight="1" spans="1:9">
      <c r="A5" s="284" t="s">
        <v>1518</v>
      </c>
      <c r="B5" s="285"/>
      <c r="C5" s="285"/>
      <c r="D5" s="285"/>
      <c r="E5" s="286"/>
      <c r="F5" s="287"/>
      <c r="G5" s="288"/>
      <c r="H5" s="288"/>
      <c r="I5" s="289"/>
    </row>
    <row r="6" s="55" customFormat="1" ht="5" customHeight="1" spans="1:9">
      <c r="A6" s="66"/>
      <c r="B6" s="66"/>
      <c r="C6" s="67"/>
      <c r="D6" s="67"/>
      <c r="E6" s="67"/>
      <c r="F6" s="67"/>
      <c r="G6" s="68"/>
      <c r="H6" s="68"/>
      <c r="I6" s="69"/>
    </row>
    <row r="7" s="1" customFormat="1" ht="14" customHeight="1" spans="1:9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21" t="s">
        <v>1505</v>
      </c>
      <c r="I7" s="22"/>
    </row>
    <row r="8" spans="1:9">
      <c r="A8" s="290"/>
      <c r="B8" s="290"/>
      <c r="C8" s="291"/>
      <c r="D8" s="291"/>
      <c r="E8" s="291"/>
      <c r="F8" s="291"/>
      <c r="G8" s="291"/>
      <c r="H8" s="271"/>
      <c r="I8" s="271"/>
    </row>
    <row r="9" spans="1:9">
      <c r="A9" s="292" t="s">
        <v>1710</v>
      </c>
      <c r="B9" s="293" t="s">
        <v>117</v>
      </c>
      <c r="C9" s="294" t="s">
        <v>1711</v>
      </c>
      <c r="D9" s="295" t="s">
        <v>1234</v>
      </c>
      <c r="E9" s="295" t="s">
        <v>1235</v>
      </c>
      <c r="F9" s="295" t="s">
        <v>1236</v>
      </c>
      <c r="G9" s="296" t="s">
        <v>1237</v>
      </c>
      <c r="H9" s="296" t="s">
        <v>1238</v>
      </c>
      <c r="I9" s="296" t="s">
        <v>1522</v>
      </c>
    </row>
    <row r="10" spans="1:9">
      <c r="A10" s="297"/>
      <c r="B10" s="293"/>
      <c r="C10" s="298"/>
      <c r="D10" s="299"/>
      <c r="E10" s="299"/>
      <c r="F10" s="299"/>
      <c r="G10" s="300"/>
      <c r="H10" s="300"/>
      <c r="I10" s="300"/>
    </row>
    <row r="11" spans="1:9">
      <c r="A11" s="181"/>
      <c r="B11" s="198" t="s">
        <v>1191</v>
      </c>
      <c r="C11" s="198" t="s">
        <v>1523</v>
      </c>
      <c r="D11" s="301" t="s">
        <v>11</v>
      </c>
      <c r="E11" s="157" t="s">
        <v>1487</v>
      </c>
      <c r="F11" s="157" t="s">
        <v>1487</v>
      </c>
      <c r="G11" s="157" t="s">
        <v>1279</v>
      </c>
      <c r="H11" s="157" t="s">
        <v>1279</v>
      </c>
      <c r="I11" s="245"/>
    </row>
    <row r="12" spans="1:9">
      <c r="A12" s="181"/>
      <c r="B12" s="198" t="s">
        <v>1524</v>
      </c>
      <c r="C12" s="198" t="s">
        <v>1523</v>
      </c>
      <c r="D12" s="301" t="s">
        <v>11</v>
      </c>
      <c r="E12" s="157" t="s">
        <v>1487</v>
      </c>
      <c r="F12" s="157" t="s">
        <v>1487</v>
      </c>
      <c r="G12" s="157" t="s">
        <v>1279</v>
      </c>
      <c r="H12" s="157" t="s">
        <v>1279</v>
      </c>
      <c r="I12" s="302"/>
    </row>
    <row r="13" ht="26.4" spans="1:9">
      <c r="A13" s="215" t="str">
        <f>VLOOKUP(B13,'[4]B1-基础资料'!$A$108:$B$135,2,0)</f>
        <v>固定</v>
      </c>
      <c r="B13" s="303" t="s">
        <v>1712</v>
      </c>
      <c r="C13" s="198" t="str">
        <f>VLOOKUP(B13,'[4]B1-基础资料'!$A$108:$C$135,3,0)</f>
        <v>车间人工薪酬（工资、五险一金）</v>
      </c>
      <c r="D13" s="301" t="s">
        <v>11</v>
      </c>
      <c r="E13" s="157" t="s">
        <v>1487</v>
      </c>
      <c r="F13" s="157" t="s">
        <v>1487</v>
      </c>
      <c r="G13" s="157" t="s">
        <v>1279</v>
      </c>
      <c r="H13" s="157" t="s">
        <v>1279</v>
      </c>
      <c r="I13" s="304"/>
    </row>
    <row r="14" ht="26.4" spans="1:9">
      <c r="A14" s="215" t="str">
        <f>VLOOKUP(B14,'[4]B1-基础资料'!$A$108:$B$135,2,0)</f>
        <v>固定</v>
      </c>
      <c r="B14" s="305" t="s">
        <v>1713</v>
      </c>
      <c r="C14" s="198" t="str">
        <f>VLOOKUP(B14,'[4]B1-基础资料'!$A$108:$C$135,3,0)</f>
        <v>车间人工薪酬（工资、五险一金）</v>
      </c>
      <c r="D14" s="301" t="s">
        <v>11</v>
      </c>
      <c r="E14" s="157" t="s">
        <v>1487</v>
      </c>
      <c r="F14" s="157" t="s">
        <v>1487</v>
      </c>
      <c r="G14" s="157" t="s">
        <v>1279</v>
      </c>
      <c r="H14" s="157" t="s">
        <v>1279</v>
      </c>
      <c r="I14" s="302"/>
    </row>
    <row r="15" ht="26.4" spans="1:9">
      <c r="A15" s="215" t="str">
        <f>VLOOKUP(B15,'[4]B1-基础资料'!$A$108:$B$135,2,0)</f>
        <v>固定</v>
      </c>
      <c r="B15" s="305" t="s">
        <v>1714</v>
      </c>
      <c r="C15" s="198" t="str">
        <f>VLOOKUP(B15,'[4]B1-基础资料'!$A$108:$C$135,3,0)</f>
        <v>车间人工薪酬（工资、五险一金）</v>
      </c>
      <c r="D15" s="301" t="s">
        <v>11</v>
      </c>
      <c r="E15" s="157" t="s">
        <v>1487</v>
      </c>
      <c r="F15" s="157" t="s">
        <v>1487</v>
      </c>
      <c r="G15" s="157" t="s">
        <v>1279</v>
      </c>
      <c r="H15" s="157" t="s">
        <v>1279</v>
      </c>
      <c r="I15" s="302"/>
    </row>
    <row r="16" ht="26.4" spans="1:9">
      <c r="A16" s="215" t="str">
        <f>VLOOKUP(B16,'[4]B1-基础资料'!$A$108:$B$135,2,0)</f>
        <v>固定</v>
      </c>
      <c r="B16" s="305" t="s">
        <v>1715</v>
      </c>
      <c r="C16" s="198" t="str">
        <f>VLOOKUP(B16,'[4]B1-基础资料'!$A$108:$C$135,3,0)</f>
        <v>车间人工薪酬（工资、五险一金）</v>
      </c>
      <c r="D16" s="301" t="s">
        <v>11</v>
      </c>
      <c r="E16" s="157" t="s">
        <v>1487</v>
      </c>
      <c r="F16" s="157" t="s">
        <v>1487</v>
      </c>
      <c r="G16" s="157" t="s">
        <v>1279</v>
      </c>
      <c r="H16" s="157" t="s">
        <v>1279</v>
      </c>
      <c r="I16" s="302"/>
    </row>
    <row r="17" ht="26.4" spans="1:9">
      <c r="A17" s="215" t="str">
        <f>VLOOKUP(B17,'[4]B1-基础资料'!$A$108:$B$135,2,0)</f>
        <v>变动</v>
      </c>
      <c r="B17" s="305" t="s">
        <v>1716</v>
      </c>
      <c r="C17" s="198" t="str">
        <f>VLOOKUP(B17,'[4]B1-基础资料'!$A$108:$C$135,3,0)</f>
        <v>车间人工提成奖金、绩效</v>
      </c>
      <c r="D17" s="301" t="s">
        <v>11</v>
      </c>
      <c r="E17" s="157" t="s">
        <v>1487</v>
      </c>
      <c r="F17" s="157" t="s">
        <v>1487</v>
      </c>
      <c r="G17" s="157" t="s">
        <v>1279</v>
      </c>
      <c r="H17" s="157" t="s">
        <v>1279</v>
      </c>
      <c r="I17" s="302"/>
    </row>
    <row r="18" ht="26.4" spans="1:9">
      <c r="A18" s="215" t="str">
        <f>VLOOKUP(B18,'[4]B1-基础资料'!$A$108:$B$135,2,0)</f>
        <v>变动</v>
      </c>
      <c r="B18" s="305" t="s">
        <v>1717</v>
      </c>
      <c r="C18" s="198" t="str">
        <f>VLOOKUP(B18,'[4]B1-基础资料'!$A$108:$C$135,3,0)</f>
        <v>车间人工提成奖金、绩效</v>
      </c>
      <c r="D18" s="301" t="s">
        <v>11</v>
      </c>
      <c r="E18" s="157" t="s">
        <v>1487</v>
      </c>
      <c r="F18" s="157" t="s">
        <v>1487</v>
      </c>
      <c r="G18" s="157" t="s">
        <v>1279</v>
      </c>
      <c r="H18" s="157" t="s">
        <v>1279</v>
      </c>
      <c r="I18" s="302"/>
    </row>
    <row r="19" ht="26.4" spans="1:9">
      <c r="A19" s="215" t="str">
        <f>VLOOKUP(B19,'[4]B1-基础资料'!$A$108:$B$135,2,0)</f>
        <v>变动</v>
      </c>
      <c r="B19" s="305" t="s">
        <v>1718</v>
      </c>
      <c r="C19" s="198" t="str">
        <f>VLOOKUP(B19,'[4]B1-基础资料'!$A$108:$C$135,3,0)</f>
        <v>车间人工提成奖金、绩效</v>
      </c>
      <c r="D19" s="301" t="s">
        <v>11</v>
      </c>
      <c r="E19" s="157" t="s">
        <v>1487</v>
      </c>
      <c r="F19" s="157" t="s">
        <v>1487</v>
      </c>
      <c r="G19" s="157" t="s">
        <v>1279</v>
      </c>
      <c r="H19" s="157" t="s">
        <v>1279</v>
      </c>
      <c r="I19" s="302"/>
    </row>
    <row r="20" ht="26.4" spans="1:9">
      <c r="A20" s="215" t="str">
        <f>VLOOKUP(B20,'[4]B1-基础资料'!$A$108:$B$135,2,0)</f>
        <v>变动</v>
      </c>
      <c r="B20" s="305" t="s">
        <v>1719</v>
      </c>
      <c r="C20" s="198" t="str">
        <f>VLOOKUP(B20,'[4]B1-基础资料'!$A$108:$C$135,3,0)</f>
        <v>车间人工提成奖金、绩效</v>
      </c>
      <c r="D20" s="301" t="s">
        <v>11</v>
      </c>
      <c r="E20" s="157" t="s">
        <v>1487</v>
      </c>
      <c r="F20" s="157" t="s">
        <v>1487</v>
      </c>
      <c r="G20" s="157" t="s">
        <v>1279</v>
      </c>
      <c r="H20" s="157" t="s">
        <v>1279</v>
      </c>
      <c r="I20" s="302"/>
    </row>
    <row r="21" ht="26.4" spans="1:9">
      <c r="A21" s="215" t="str">
        <f>VLOOKUP(B21,'[4]B1-基础资料'!$A$108:$B$135,2,0)</f>
        <v>固定</v>
      </c>
      <c r="B21" s="305" t="s">
        <v>218</v>
      </c>
      <c r="C21" s="198" t="str">
        <f>VLOOKUP(B21,'[4]B1-基础资料'!$A$108:$C$135,3,0)</f>
        <v>车间人工薪酬（工资、五险一金）</v>
      </c>
      <c r="D21" s="301" t="s">
        <v>11</v>
      </c>
      <c r="E21" s="157" t="s">
        <v>1487</v>
      </c>
      <c r="F21" s="157" t="s">
        <v>1487</v>
      </c>
      <c r="G21" s="157" t="s">
        <v>1279</v>
      </c>
      <c r="H21" s="157" t="s">
        <v>1279</v>
      </c>
      <c r="I21" s="302"/>
    </row>
    <row r="22" ht="26.4" spans="1:9">
      <c r="A22" s="215" t="str">
        <f>VLOOKUP(B22,'[4]B1-基础资料'!$A$108:$B$135,2,0)</f>
        <v>固定</v>
      </c>
      <c r="B22" s="305" t="s">
        <v>225</v>
      </c>
      <c r="C22" s="198" t="str">
        <f>VLOOKUP(B22,'[4]B1-基础资料'!$A$108:$C$135,3,0)</f>
        <v>车间人工薪酬（工资、五险一金）</v>
      </c>
      <c r="D22" s="301" t="s">
        <v>11</v>
      </c>
      <c r="E22" s="157" t="s">
        <v>1487</v>
      </c>
      <c r="F22" s="157" t="s">
        <v>1487</v>
      </c>
      <c r="G22" s="157" t="s">
        <v>1279</v>
      </c>
      <c r="H22" s="157" t="s">
        <v>1279</v>
      </c>
      <c r="I22" s="302"/>
    </row>
    <row r="23" ht="26.4" spans="1:9">
      <c r="A23" s="215" t="str">
        <f>VLOOKUP(B23,'[4]B1-基础资料'!$A$108:$B$135,2,0)</f>
        <v>固定</v>
      </c>
      <c r="B23" s="305" t="s">
        <v>230</v>
      </c>
      <c r="C23" s="198" t="str">
        <f>VLOOKUP(B23,'[4]B1-基础资料'!$A$108:$C$135,3,0)</f>
        <v>车间人工薪酬（工资、五险一金）</v>
      </c>
      <c r="D23" s="301" t="s">
        <v>11</v>
      </c>
      <c r="E23" s="157" t="s">
        <v>1487</v>
      </c>
      <c r="F23" s="157" t="s">
        <v>1487</v>
      </c>
      <c r="G23" s="157" t="s">
        <v>1279</v>
      </c>
      <c r="H23" s="157" t="s">
        <v>1279</v>
      </c>
      <c r="I23" s="302"/>
    </row>
    <row r="24" spans="1:9">
      <c r="A24" s="215" t="str">
        <f>VLOOKUP(B24,'[4]B1-基础资料'!$A$108:$B$135,2,0)</f>
        <v>变动</v>
      </c>
      <c r="B24" s="198" t="s">
        <v>1720</v>
      </c>
      <c r="C24" s="198" t="str">
        <f>VLOOKUP(B24,'[4]B1-基础资料'!$A$108:$C$135,3,0)</f>
        <v>能耗—水电费</v>
      </c>
      <c r="D24" s="301" t="s">
        <v>11</v>
      </c>
      <c r="E24" s="157" t="s">
        <v>1487</v>
      </c>
      <c r="F24" s="157" t="s">
        <v>1487</v>
      </c>
      <c r="G24" s="157" t="s">
        <v>1279</v>
      </c>
      <c r="H24" s="157" t="s">
        <v>1279</v>
      </c>
      <c r="I24" s="306"/>
    </row>
    <row r="25" spans="1:9">
      <c r="A25" s="215" t="str">
        <f>VLOOKUP(B25,'[4]B1-基础资料'!$A$108:$B$135,2,0)</f>
        <v>变动</v>
      </c>
      <c r="B25" s="198" t="s">
        <v>1721</v>
      </c>
      <c r="C25" s="198" t="str">
        <f>VLOOKUP(B25,'[4]B1-基础资料'!$A$108:$C$135,3,0)</f>
        <v>能耗—水电费</v>
      </c>
      <c r="D25" s="301" t="s">
        <v>11</v>
      </c>
      <c r="E25" s="157" t="s">
        <v>1487</v>
      </c>
      <c r="F25" s="157" t="s">
        <v>1487</v>
      </c>
      <c r="G25" s="157" t="s">
        <v>1279</v>
      </c>
      <c r="H25" s="157" t="s">
        <v>1279</v>
      </c>
      <c r="I25" s="306"/>
    </row>
    <row r="26" spans="1:9">
      <c r="A26" s="215" t="str">
        <f>VLOOKUP(B26,'[4]B1-基础资料'!$A$108:$B$135,2,0)</f>
        <v>变动</v>
      </c>
      <c r="B26" s="198" t="s">
        <v>1722</v>
      </c>
      <c r="C26" s="198" t="str">
        <f>VLOOKUP(B26,'[4]B1-基础资料'!$A$108:$C$135,3,0)</f>
        <v>经营物料</v>
      </c>
      <c r="D26" s="301" t="s">
        <v>11</v>
      </c>
      <c r="E26" s="157" t="s">
        <v>1487</v>
      </c>
      <c r="F26" s="157" t="s">
        <v>1487</v>
      </c>
      <c r="G26" s="157" t="s">
        <v>1279</v>
      </c>
      <c r="H26" s="157" t="s">
        <v>1279</v>
      </c>
      <c r="I26" s="306"/>
    </row>
    <row r="27" spans="1:9">
      <c r="A27" s="215" t="str">
        <f>VLOOKUP(B27,'[4]B1-基础资料'!$A$108:$B$135,2,0)</f>
        <v>变动</v>
      </c>
      <c r="B27" s="198" t="s">
        <v>262</v>
      </c>
      <c r="C27" s="198" t="str">
        <f>VLOOKUP(B27,'[4]B1-基础资料'!$A$108:$C$135,3,0)</f>
        <v>维修费</v>
      </c>
      <c r="D27" s="301" t="s">
        <v>11</v>
      </c>
      <c r="E27" s="157" t="s">
        <v>1487</v>
      </c>
      <c r="F27" s="157" t="s">
        <v>1487</v>
      </c>
      <c r="G27" s="157" t="s">
        <v>1279</v>
      </c>
      <c r="H27" s="157" t="s">
        <v>1279</v>
      </c>
      <c r="I27" s="306"/>
    </row>
    <row r="28" spans="1:9">
      <c r="A28" s="215" t="str">
        <f>VLOOKUP(B28,'[4]B1-基础资料'!$A$108:$B$135,2,0)</f>
        <v>固定</v>
      </c>
      <c r="B28" s="198" t="s">
        <v>137</v>
      </c>
      <c r="C28" s="198" t="str">
        <f>VLOOKUP(B28,'[4]B1-基础资料'!$A$108:$C$135,3,0)</f>
        <v>折旧费</v>
      </c>
      <c r="D28" s="301" t="s">
        <v>11</v>
      </c>
      <c r="E28" s="157" t="s">
        <v>1487</v>
      </c>
      <c r="F28" s="157" t="s">
        <v>1487</v>
      </c>
      <c r="G28" s="157" t="s">
        <v>1279</v>
      </c>
      <c r="H28" s="157" t="s">
        <v>1279</v>
      </c>
      <c r="I28" s="307"/>
    </row>
    <row r="29" spans="1:9">
      <c r="A29" s="215" t="str">
        <f>VLOOKUP(B29,'[4]B1-基础资料'!$A$108:$B$135,2,0)</f>
        <v>变动</v>
      </c>
      <c r="B29" s="198" t="s">
        <v>1723</v>
      </c>
      <c r="C29" s="198" t="str">
        <f>VLOOKUP(B29,'[4]B1-基础资料'!$A$108:$C$135,3,0)</f>
        <v>维修费</v>
      </c>
      <c r="D29" s="301" t="s">
        <v>11</v>
      </c>
      <c r="E29" s="157" t="s">
        <v>1487</v>
      </c>
      <c r="F29" s="157" t="s">
        <v>1487</v>
      </c>
      <c r="G29" s="157" t="s">
        <v>1279</v>
      </c>
      <c r="H29" s="157" t="s">
        <v>1279</v>
      </c>
      <c r="I29" s="308"/>
    </row>
    <row r="30" spans="1:9">
      <c r="A30" s="215" t="str">
        <f>VLOOKUP(B30,'[4]B1-基础资料'!$A$108:$B$135,2,0)</f>
        <v>变动</v>
      </c>
      <c r="B30" s="198" t="s">
        <v>1724</v>
      </c>
      <c r="C30" s="198" t="str">
        <f>VLOOKUP(B30,'[4]B1-基础资料'!$A$108:$C$135,3,0)</f>
        <v>经营物料</v>
      </c>
      <c r="D30" s="301" t="s">
        <v>11</v>
      </c>
      <c r="E30" s="157" t="s">
        <v>1487</v>
      </c>
      <c r="F30" s="157" t="s">
        <v>1487</v>
      </c>
      <c r="G30" s="157" t="s">
        <v>1279</v>
      </c>
      <c r="H30" s="157" t="s">
        <v>1279</v>
      </c>
      <c r="I30" s="302"/>
    </row>
    <row r="31" spans="1:9">
      <c r="A31" s="215" t="str">
        <f>VLOOKUP(B31,'[4]B1-基础资料'!$A$108:$B$135,2,0)</f>
        <v>变动</v>
      </c>
      <c r="B31" s="198" t="s">
        <v>1725</v>
      </c>
      <c r="C31" s="198" t="str">
        <f>VLOOKUP(B31,'[4]B1-基础资料'!$A$108:$C$135,3,0)</f>
        <v>能耗—汽耗</v>
      </c>
      <c r="D31" s="301" t="s">
        <v>11</v>
      </c>
      <c r="E31" s="157" t="s">
        <v>1487</v>
      </c>
      <c r="F31" s="157" t="s">
        <v>1487</v>
      </c>
      <c r="G31" s="157" t="s">
        <v>1279</v>
      </c>
      <c r="H31" s="157" t="s">
        <v>1279</v>
      </c>
      <c r="I31" s="302"/>
    </row>
    <row r="32" spans="1:9">
      <c r="A32" s="215" t="str">
        <f>VLOOKUP(B32,'[4]B1-基础资料'!$A$108:$B$135,2,0)</f>
        <v>变动</v>
      </c>
      <c r="B32" s="198" t="s">
        <v>264</v>
      </c>
      <c r="C32" s="198" t="str">
        <f>VLOOKUP(B32,'[4]B1-基础资料'!$A$108:$C$135,3,0)</f>
        <v>经营物料</v>
      </c>
      <c r="D32" s="301" t="s">
        <v>11</v>
      </c>
      <c r="E32" s="157" t="s">
        <v>1487</v>
      </c>
      <c r="F32" s="157" t="s">
        <v>1487</v>
      </c>
      <c r="G32" s="157" t="s">
        <v>1279</v>
      </c>
      <c r="H32" s="157" t="s">
        <v>1279</v>
      </c>
      <c r="I32" s="302"/>
    </row>
    <row r="33" ht="26.4" spans="1:9">
      <c r="A33" s="215" t="str">
        <f>VLOOKUP(B33,'[4]B1-基础资料'!$A$108:$B$135,2,0)</f>
        <v>变动</v>
      </c>
      <c r="B33" s="305" t="s">
        <v>212</v>
      </c>
      <c r="C33" s="198" t="str">
        <f>VLOOKUP(B33,'[4]B1-基础资料'!$A$108:$C$135,3,0)</f>
        <v>车间人工提成奖金、绩效</v>
      </c>
      <c r="D33" s="301" t="s">
        <v>11</v>
      </c>
      <c r="E33" s="157" t="s">
        <v>1487</v>
      </c>
      <c r="F33" s="157" t="s">
        <v>1487</v>
      </c>
      <c r="G33" s="157" t="s">
        <v>1279</v>
      </c>
      <c r="H33" s="157" t="s">
        <v>1279</v>
      </c>
      <c r="I33" s="302"/>
    </row>
    <row r="34" spans="1:9">
      <c r="A34" s="215" t="str">
        <f>VLOOKUP(B34,'[4]B1-基础资料'!$A$108:$B$135,2,0)</f>
        <v>变动</v>
      </c>
      <c r="B34" s="309" t="s">
        <v>1726</v>
      </c>
      <c r="C34" s="198" t="str">
        <f>VLOOKUP(B34,'[4]B1-基础资料'!$A$108:$C$135,3,0)</f>
        <v>其他</v>
      </c>
      <c r="D34" s="301" t="s">
        <v>11</v>
      </c>
      <c r="E34" s="157" t="s">
        <v>1487</v>
      </c>
      <c r="F34" s="157" t="s">
        <v>1487</v>
      </c>
      <c r="G34" s="157" t="s">
        <v>1279</v>
      </c>
      <c r="H34" s="157" t="s">
        <v>1279</v>
      </c>
      <c r="I34" s="302"/>
    </row>
    <row r="35" ht="26.4" spans="1:9">
      <c r="A35" s="215" t="str">
        <f>VLOOKUP(B35,'[4]B1-基础资料'!$A$108:$B$135,2,0)</f>
        <v>固定</v>
      </c>
      <c r="B35" s="198" t="s">
        <v>219</v>
      </c>
      <c r="C35" s="198" t="str">
        <f>VLOOKUP(B35,'[4]B1-基础资料'!$A$108:$C$135,3,0)</f>
        <v>车间人工薪酬（工资、五险一金）</v>
      </c>
      <c r="D35" s="301" t="s">
        <v>11</v>
      </c>
      <c r="E35" s="157" t="s">
        <v>1487</v>
      </c>
      <c r="F35" s="157" t="s">
        <v>1487</v>
      </c>
      <c r="G35" s="157" t="s">
        <v>1279</v>
      </c>
      <c r="H35" s="157" t="s">
        <v>1279</v>
      </c>
      <c r="I35" s="310"/>
    </row>
    <row r="36" spans="1:9">
      <c r="A36" s="215" t="str">
        <f>VLOOKUP(B36,'[4]B1-基础资料'!$A$108:$B$135,2,0)</f>
        <v>变动</v>
      </c>
      <c r="B36" s="198" t="s">
        <v>271</v>
      </c>
      <c r="C36" s="198" t="str">
        <f>VLOOKUP(B36,'[4]B1-基础资料'!$A$108:$C$135,3,0)</f>
        <v>经营物料</v>
      </c>
      <c r="D36" s="301" t="s">
        <v>11</v>
      </c>
      <c r="E36" s="157" t="s">
        <v>1487</v>
      </c>
      <c r="F36" s="157" t="s">
        <v>1487</v>
      </c>
      <c r="G36" s="157" t="s">
        <v>1279</v>
      </c>
      <c r="H36" s="157" t="s">
        <v>1279</v>
      </c>
      <c r="I36" s="310"/>
    </row>
    <row r="37" spans="1:9">
      <c r="A37" s="215" t="str">
        <f>VLOOKUP(B37,'[4]B1-基础资料'!$A$108:$B$135,2,0)</f>
        <v>固定</v>
      </c>
      <c r="B37" s="198" t="s">
        <v>1727</v>
      </c>
      <c r="C37" s="198" t="str">
        <f>VLOOKUP(B37,'[4]B1-基础资料'!$A$108:$C$135,3,0)</f>
        <v>资产折旧摊销费</v>
      </c>
      <c r="D37" s="301" t="s">
        <v>11</v>
      </c>
      <c r="E37" s="157" t="s">
        <v>1487</v>
      </c>
      <c r="F37" s="157" t="s">
        <v>1487</v>
      </c>
      <c r="G37" s="157" t="s">
        <v>1279</v>
      </c>
      <c r="H37" s="157" t="s">
        <v>1279</v>
      </c>
      <c r="I37" s="310"/>
    </row>
    <row r="38" spans="1:9">
      <c r="A38" s="215" t="str">
        <f>VLOOKUP(B38,'[4]B1-基础资料'!$A$108:$B$135,2,0)</f>
        <v>固定</v>
      </c>
      <c r="B38" s="198" t="s">
        <v>1728</v>
      </c>
      <c r="C38" s="198" t="str">
        <f>VLOOKUP(B38,'[4]B1-基础资料'!$A$108:$C$135,3,0)</f>
        <v>资产折旧摊销费</v>
      </c>
      <c r="D38" s="301" t="s">
        <v>11</v>
      </c>
      <c r="E38" s="157" t="s">
        <v>1487</v>
      </c>
      <c r="F38" s="157" t="s">
        <v>1487</v>
      </c>
      <c r="G38" s="157" t="s">
        <v>1279</v>
      </c>
      <c r="H38" s="157" t="s">
        <v>1279</v>
      </c>
      <c r="I38" s="310"/>
    </row>
    <row r="39" spans="1:9">
      <c r="A39" s="215" t="str">
        <f>VLOOKUP(B39,'[4]B1-基础资料'!$A$108:$B$135,2,0)</f>
        <v>固定</v>
      </c>
      <c r="B39" s="198" t="s">
        <v>1729</v>
      </c>
      <c r="C39" s="198" t="str">
        <f>VLOOKUP(B39,'[4]B1-基础资料'!$A$108:$C$135,3,0)</f>
        <v>资产折旧摊销费</v>
      </c>
      <c r="D39" s="301" t="s">
        <v>11</v>
      </c>
      <c r="E39" s="157" t="s">
        <v>1487</v>
      </c>
      <c r="F39" s="157" t="s">
        <v>1487</v>
      </c>
      <c r="G39" s="157" t="s">
        <v>1279</v>
      </c>
      <c r="H39" s="157" t="s">
        <v>1279</v>
      </c>
      <c r="I39" s="310"/>
    </row>
    <row r="40" spans="1:9">
      <c r="A40" s="215" t="str">
        <f>VLOOKUP(B40,'[4]B1-基础资料'!$A$108:$B$135,2,0)</f>
        <v>固定</v>
      </c>
      <c r="B40" s="198" t="s">
        <v>277</v>
      </c>
      <c r="C40" s="198" t="str">
        <f>VLOOKUP(B40,'[4]B1-基础资料'!$A$108:$C$135,3,0)</f>
        <v>资产折旧摊销费</v>
      </c>
      <c r="D40" s="301" t="s">
        <v>11</v>
      </c>
      <c r="E40" s="157" t="s">
        <v>1487</v>
      </c>
      <c r="F40" s="157" t="s">
        <v>1487</v>
      </c>
      <c r="G40" s="157" t="s">
        <v>1279</v>
      </c>
      <c r="H40" s="157" t="s">
        <v>1279</v>
      </c>
      <c r="I40" s="310"/>
    </row>
    <row r="41" spans="1:9">
      <c r="A41" s="181"/>
      <c r="B41" s="305" t="s">
        <v>1418</v>
      </c>
      <c r="C41" s="305"/>
      <c r="D41" s="301" t="s">
        <v>1279</v>
      </c>
      <c r="E41" s="301" t="s">
        <v>1279</v>
      </c>
      <c r="F41" s="301" t="s">
        <v>1279</v>
      </c>
      <c r="G41" s="301" t="s">
        <v>1279</v>
      </c>
      <c r="H41" s="301" t="s">
        <v>1279</v>
      </c>
      <c r="I41" s="310"/>
    </row>
    <row r="42" spans="1:9">
      <c r="A42" s="181"/>
      <c r="B42" s="198" t="s">
        <v>1730</v>
      </c>
      <c r="C42" s="198"/>
      <c r="D42" s="301" t="s">
        <v>1279</v>
      </c>
      <c r="E42" s="301" t="s">
        <v>1279</v>
      </c>
      <c r="F42" s="301" t="s">
        <v>1279</v>
      </c>
      <c r="G42" s="301" t="s">
        <v>1279</v>
      </c>
      <c r="H42" s="301" t="s">
        <v>1279</v>
      </c>
      <c r="I42" s="302"/>
    </row>
    <row r="43" spans="1:9">
      <c r="A43" s="181"/>
      <c r="B43" s="198" t="s">
        <v>1731</v>
      </c>
      <c r="C43" s="198"/>
      <c r="D43" s="301" t="s">
        <v>1279</v>
      </c>
      <c r="E43" s="301" t="s">
        <v>1279</v>
      </c>
      <c r="F43" s="301" t="s">
        <v>1279</v>
      </c>
      <c r="G43" s="301" t="s">
        <v>1279</v>
      </c>
      <c r="H43" s="301" t="s">
        <v>1279</v>
      </c>
      <c r="I43" s="302"/>
    </row>
    <row r="44" spans="1:9">
      <c r="A44" s="181"/>
      <c r="B44" s="198" t="s">
        <v>1732</v>
      </c>
      <c r="C44" s="198"/>
      <c r="D44" s="301" t="s">
        <v>1279</v>
      </c>
      <c r="E44" s="301" t="s">
        <v>1279</v>
      </c>
      <c r="F44" s="301" t="s">
        <v>1279</v>
      </c>
      <c r="G44" s="301" t="s">
        <v>1279</v>
      </c>
      <c r="H44" s="301" t="s">
        <v>1279</v>
      </c>
      <c r="I44" s="302"/>
    </row>
    <row r="45" spans="1:9">
      <c r="A45" s="181"/>
      <c r="B45" s="198" t="s">
        <v>1733</v>
      </c>
      <c r="C45" s="198"/>
      <c r="D45" s="301" t="s">
        <v>1279</v>
      </c>
      <c r="E45" s="301" t="s">
        <v>1279</v>
      </c>
      <c r="F45" s="301" t="s">
        <v>1279</v>
      </c>
      <c r="G45" s="301" t="s">
        <v>1279</v>
      </c>
      <c r="H45" s="301" t="s">
        <v>1279</v>
      </c>
      <c r="I45" s="311">
        <f>IFERROR(SUM(I13:I23,I33)/I11,0)</f>
        <v>0</v>
      </c>
    </row>
    <row r="46" spans="1:9">
      <c r="A46" s="312"/>
      <c r="B46" s="198"/>
      <c r="C46" s="198"/>
      <c r="D46" s="313"/>
      <c r="E46" s="313"/>
      <c r="F46" s="313"/>
      <c r="G46" s="313"/>
      <c r="H46" s="314"/>
      <c r="I46" s="314"/>
    </row>
    <row r="47" spans="1:9">
      <c r="B47" s="181" t="s">
        <v>1513</v>
      </c>
      <c r="C47" s="181" t="s">
        <v>1541</v>
      </c>
      <c r="H47" s="271"/>
      <c r="I47" s="271"/>
    </row>
    <row r="48" spans="1:9">
      <c r="B48" s="315" t="s">
        <v>164</v>
      </c>
      <c r="C48" s="316">
        <v>0.97548262816261</v>
      </c>
      <c r="H48" s="271"/>
      <c r="I48" s="271"/>
    </row>
    <row r="49" spans="2:9">
      <c r="B49" s="315" t="s">
        <v>1539</v>
      </c>
      <c r="C49" s="316">
        <v>2.65663354052796</v>
      </c>
      <c r="H49" s="271"/>
      <c r="I49" s="271"/>
    </row>
    <row r="50" spans="2:9">
      <c r="B50" s="315" t="s">
        <v>126</v>
      </c>
      <c r="C50" s="316">
        <v>1.82643555911297</v>
      </c>
      <c r="H50" s="271"/>
      <c r="I50" s="271"/>
    </row>
    <row r="51" spans="2:9">
      <c r="B51" s="315" t="s">
        <v>1540</v>
      </c>
      <c r="C51" s="316">
        <v>3.35538350821891</v>
      </c>
      <c r="H51" s="271"/>
      <c r="I51" s="271"/>
    </row>
    <row r="52" spans="2:9">
      <c r="B52" s="317"/>
      <c r="C52" s="317"/>
      <c r="H52" s="271"/>
      <c r="I52" s="271"/>
    </row>
    <row r="53" spans="2:9">
      <c r="B53" s="317"/>
      <c r="C53" s="317"/>
    </row>
  </sheetData>
  <mergeCells count="14">
    <mergeCell ref="A5:E5"/>
    <mergeCell ref="H7:I7"/>
    <mergeCell ref="A8:B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1:E4"/>
    <mergeCell ref="F1:I5"/>
  </mergeCells>
  <conditionalFormatting sqref="D14">
    <cfRule type="cellIs" dxfId="0" priority="27" operator="lessThan">
      <formula>0</formula>
    </cfRule>
  </conditionalFormatting>
  <conditionalFormatting sqref="D15">
    <cfRule type="cellIs" dxfId="0" priority="26" operator="lessThan">
      <formula>0</formula>
    </cfRule>
  </conditionalFormatting>
  <conditionalFormatting sqref="D16">
    <cfRule type="cellIs" dxfId="0" priority="25" operator="lessThan">
      <formula>0</formula>
    </cfRule>
  </conditionalFormatting>
  <conditionalFormatting sqref="D17">
    <cfRule type="cellIs" dxfId="0" priority="24" operator="lessThan">
      <formula>0</formula>
    </cfRule>
  </conditionalFormatting>
  <conditionalFormatting sqref="D18">
    <cfRule type="cellIs" dxfId="0" priority="23" operator="lessThan">
      <formula>0</formula>
    </cfRule>
  </conditionalFormatting>
  <conditionalFormatting sqref="D19">
    <cfRule type="cellIs" dxfId="0" priority="22" operator="lessThan">
      <formula>0</formula>
    </cfRule>
  </conditionalFormatting>
  <conditionalFormatting sqref="D20">
    <cfRule type="cellIs" dxfId="0" priority="21" operator="lessThan">
      <formula>0</formula>
    </cfRule>
  </conditionalFormatting>
  <conditionalFormatting sqref="D21">
    <cfRule type="cellIs" dxfId="0" priority="20" operator="lessThan">
      <formula>0</formula>
    </cfRule>
  </conditionalFormatting>
  <conditionalFormatting sqref="D22">
    <cfRule type="cellIs" dxfId="0" priority="19" operator="lessThan">
      <formula>0</formula>
    </cfRule>
  </conditionalFormatting>
  <conditionalFormatting sqref="D23">
    <cfRule type="cellIs" dxfId="0" priority="18" operator="lessThan">
      <formula>0</formula>
    </cfRule>
  </conditionalFormatting>
  <conditionalFormatting sqref="D24">
    <cfRule type="cellIs" dxfId="0" priority="17" operator="lessThan">
      <formula>0</formula>
    </cfRule>
  </conditionalFormatting>
  <conditionalFormatting sqref="D25">
    <cfRule type="cellIs" dxfId="0" priority="16" operator="lessThan">
      <formula>0</formula>
    </cfRule>
  </conditionalFormatting>
  <conditionalFormatting sqref="D26">
    <cfRule type="cellIs" dxfId="0" priority="15" operator="lessThan">
      <formula>0</formula>
    </cfRule>
  </conditionalFormatting>
  <conditionalFormatting sqref="D27">
    <cfRule type="cellIs" dxfId="0" priority="14" operator="lessThan">
      <formula>0</formula>
    </cfRule>
  </conditionalFormatting>
  <conditionalFormatting sqref="D28">
    <cfRule type="cellIs" dxfId="0" priority="13" operator="lessThan">
      <formula>0</formula>
    </cfRule>
  </conditionalFormatting>
  <conditionalFormatting sqref="D29">
    <cfRule type="cellIs" dxfId="0" priority="12" operator="lessThan">
      <formula>0</formula>
    </cfRule>
  </conditionalFormatting>
  <conditionalFormatting sqref="D30">
    <cfRule type="cellIs" dxfId="0" priority="11" operator="lessThan">
      <formula>0</formula>
    </cfRule>
  </conditionalFormatting>
  <conditionalFormatting sqref="D31">
    <cfRule type="cellIs" dxfId="0" priority="10" operator="lessThan">
      <formula>0</formula>
    </cfRule>
  </conditionalFormatting>
  <conditionalFormatting sqref="D32">
    <cfRule type="cellIs" dxfId="0" priority="9" operator="lessThan">
      <formula>0</formula>
    </cfRule>
  </conditionalFormatting>
  <conditionalFormatting sqref="D33">
    <cfRule type="cellIs" dxfId="0" priority="8" operator="lessThan">
      <formula>0</formula>
    </cfRule>
  </conditionalFormatting>
  <conditionalFormatting sqref="D34">
    <cfRule type="cellIs" dxfId="0" priority="7" operator="lessThan">
      <formula>0</formula>
    </cfRule>
  </conditionalFormatting>
  <conditionalFormatting sqref="D35">
    <cfRule type="cellIs" dxfId="0" priority="6" operator="lessThan">
      <formula>0</formula>
    </cfRule>
  </conditionalFormatting>
  <conditionalFormatting sqref="D36">
    <cfRule type="cellIs" dxfId="0" priority="5" operator="lessThan">
      <formula>0</formula>
    </cfRule>
  </conditionalFormatting>
  <conditionalFormatting sqref="D37">
    <cfRule type="cellIs" dxfId="0" priority="4" operator="lessThan">
      <formula>0</formula>
    </cfRule>
  </conditionalFormatting>
  <conditionalFormatting sqref="D38">
    <cfRule type="cellIs" dxfId="0" priority="3" operator="lessThan">
      <formula>0</formula>
    </cfRule>
  </conditionalFormatting>
  <conditionalFormatting sqref="D39">
    <cfRule type="cellIs" dxfId="0" priority="2" operator="lessThan">
      <formula>0</formula>
    </cfRule>
  </conditionalFormatting>
  <conditionalFormatting sqref="D40">
    <cfRule type="cellIs" dxfId="0" priority="1" operator="lessThan">
      <formula>0</formula>
    </cfRule>
  </conditionalFormatting>
  <conditionalFormatting sqref="A8:HW8 A9:C10 J9:HW10 A11:D11 I11:HW11 A12:D13 I12:HW13 A14:C40 I14:HW40 A41:HW46 A47:C47 G47:HW47 B48:C51 E48:HW51 A52:A53 D52:HW53 A54:HW65536">
    <cfRule type="cellIs" dxfId="0" priority="28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8">
    <tabColor theme="8" tint="0.399975585192419"/>
  </sheetPr>
  <dimension ref="A1:IH60"/>
  <sheetViews>
    <sheetView showGridLines="0" zoomScale="93" zoomScaleNormal="93" workbookViewId="0">
      <selection activeCell="N34" sqref="N34"/>
    </sheetView>
  </sheetViews>
  <sheetFormatPr defaultColWidth="9" defaultRowHeight="15.6"/>
  <cols>
    <col min="1" max="1" width="15.6296296296296" style="231" customWidth="1"/>
    <col min="2" max="2" width="9" style="232"/>
    <col min="3" max="3" width="11.7222222222222" style="231" customWidth="1"/>
    <col min="4" max="4" width="24" style="231" customWidth="1"/>
    <col min="5" max="5" width="16.6296296296296" style="231" customWidth="1"/>
    <col min="6" max="6" width="13.1759259259259" style="233" customWidth="1"/>
    <col min="7" max="7" width="13.9074074074074" style="233" customWidth="1"/>
    <col min="8" max="9" width="9" style="233" customWidth="1"/>
    <col min="10" max="16384" width="9" style="232"/>
  </cols>
  <sheetData>
    <row r="1" s="1" customFormat="1" ht="10.8" spans="1:11">
      <c r="A1" s="61" t="s">
        <v>100</v>
      </c>
      <c r="B1" s="234"/>
      <c r="C1" s="234"/>
      <c r="D1" s="234"/>
      <c r="E1" s="7" t="s">
        <v>1734</v>
      </c>
      <c r="F1" s="8"/>
      <c r="G1" s="8"/>
      <c r="H1" s="8"/>
      <c r="I1" s="8"/>
      <c r="J1" s="8"/>
      <c r="K1" s="9"/>
    </row>
    <row r="2" s="1" customFormat="1" ht="10.8" spans="1:11">
      <c r="A2" s="234"/>
      <c r="B2" s="234"/>
      <c r="C2" s="234"/>
      <c r="D2" s="234"/>
      <c r="E2" s="10"/>
      <c r="F2" s="11"/>
      <c r="G2" s="11"/>
      <c r="H2" s="11"/>
      <c r="I2" s="11"/>
      <c r="J2" s="11"/>
      <c r="K2" s="12"/>
    </row>
    <row r="3" s="1" customFormat="1" ht="10.8" spans="1:11">
      <c r="A3" s="234"/>
      <c r="B3" s="234"/>
      <c r="C3" s="234"/>
      <c r="D3" s="234"/>
      <c r="E3" s="10"/>
      <c r="F3" s="11"/>
      <c r="G3" s="11"/>
      <c r="H3" s="11"/>
      <c r="I3" s="11"/>
      <c r="J3" s="11"/>
      <c r="K3" s="12"/>
    </row>
    <row r="4" s="1" customFormat="1" ht="10.8" spans="1:11">
      <c r="A4" s="234"/>
      <c r="B4" s="234"/>
      <c r="C4" s="234"/>
      <c r="D4" s="234"/>
      <c r="E4" s="10"/>
      <c r="F4" s="11"/>
      <c r="G4" s="11"/>
      <c r="H4" s="11"/>
      <c r="I4" s="11"/>
      <c r="J4" s="11"/>
      <c r="K4" s="12"/>
    </row>
    <row r="5" s="1" customFormat="1" ht="10.8" spans="1:11">
      <c r="A5" s="13" t="s">
        <v>1735</v>
      </c>
      <c r="B5" s="13"/>
      <c r="C5" s="13"/>
      <c r="D5" s="13"/>
      <c r="E5" s="14"/>
      <c r="F5" s="15"/>
      <c r="G5" s="15"/>
      <c r="H5" s="15"/>
      <c r="I5" s="15"/>
      <c r="J5" s="15"/>
      <c r="K5" s="16"/>
    </row>
    <row r="6" s="1" customFormat="1" ht="14.4" spans="1:11">
      <c r="A6" s="17"/>
      <c r="B6" s="17"/>
      <c r="C6" s="17"/>
      <c r="D6" s="17"/>
      <c r="E6"/>
      <c r="F6"/>
      <c r="G6" s="18"/>
      <c r="H6" s="17"/>
      <c r="I6" s="17"/>
    </row>
    <row r="7" s="1" customFormat="1" ht="10.8" spans="1:11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21" t="s">
        <v>1505</v>
      </c>
      <c r="I7" s="174"/>
      <c r="J7" s="174"/>
      <c r="K7" s="22"/>
    </row>
    <row r="8" s="1" customFormat="1" ht="14.4" spans="1:11">
      <c r="A8" s="17"/>
      <c r="B8" s="17"/>
      <c r="C8" s="17"/>
      <c r="D8" s="17"/>
      <c r="E8"/>
      <c r="F8"/>
      <c r="G8" s="18"/>
      <c r="H8" s="17"/>
      <c r="I8" s="17"/>
    </row>
    <row r="9" s="228" customFormat="1" spans="1:11">
      <c r="A9" s="235" t="s">
        <v>1736</v>
      </c>
      <c r="C9" s="236"/>
      <c r="D9" s="236"/>
      <c r="E9" s="236"/>
      <c r="F9" s="237"/>
      <c r="G9" s="237"/>
      <c r="H9" s="237"/>
      <c r="I9" s="237"/>
    </row>
    <row r="10" s="228" customFormat="1" spans="1:11">
      <c r="A10" s="235" t="s">
        <v>1737</v>
      </c>
      <c r="C10" s="236"/>
      <c r="D10" s="236"/>
      <c r="E10" s="236"/>
      <c r="F10" s="237"/>
      <c r="G10" s="237"/>
      <c r="H10" s="237"/>
      <c r="I10" s="237"/>
    </row>
    <row r="11" spans="1:11">
      <c r="A11" s="238" t="s">
        <v>1738</v>
      </c>
      <c r="B11" s="238" t="s">
        <v>1739</v>
      </c>
      <c r="C11" s="238" t="s">
        <v>1740</v>
      </c>
      <c r="D11" s="239" t="s">
        <v>1741</v>
      </c>
      <c r="E11" s="239" t="s">
        <v>1742</v>
      </c>
      <c r="F11" s="151" t="s">
        <v>1234</v>
      </c>
      <c r="G11" s="151" t="s">
        <v>1235</v>
      </c>
      <c r="H11" s="151" t="s">
        <v>1236</v>
      </c>
      <c r="I11" s="152" t="s">
        <v>1237</v>
      </c>
      <c r="J11" s="152" t="s">
        <v>1238</v>
      </c>
      <c r="K11" s="152" t="s">
        <v>1522</v>
      </c>
    </row>
    <row r="12" spans="1:11">
      <c r="A12" s="238"/>
      <c r="B12" s="238"/>
      <c r="C12" s="238"/>
      <c r="D12" s="238"/>
      <c r="E12" s="238"/>
      <c r="F12" s="151"/>
      <c r="G12" s="151"/>
      <c r="H12" s="151"/>
      <c r="I12" s="152"/>
      <c r="J12" s="152"/>
      <c r="K12" s="152"/>
    </row>
    <row r="13" s="229" customFormat="1" ht="13.2" spans="1:11">
      <c r="A13" s="240" t="s">
        <v>181</v>
      </c>
      <c r="B13" s="241" t="s">
        <v>81</v>
      </c>
      <c r="C13" s="242" t="s">
        <v>1743</v>
      </c>
      <c r="D13" s="243" t="s">
        <v>181</v>
      </c>
      <c r="E13" s="244" t="s">
        <v>1744</v>
      </c>
      <c r="F13" s="154" t="s">
        <v>11</v>
      </c>
      <c r="G13" s="157" t="s">
        <v>1487</v>
      </c>
      <c r="H13" s="157" t="s">
        <v>1487</v>
      </c>
      <c r="I13" s="157" t="s">
        <v>1279</v>
      </c>
      <c r="J13" s="157" t="s">
        <v>1279</v>
      </c>
      <c r="K13" s="245"/>
    </row>
    <row r="14" s="229" customFormat="1" ht="13.2" spans="1:11">
      <c r="A14" s="240" t="s">
        <v>181</v>
      </c>
      <c r="B14" s="241" t="s">
        <v>81</v>
      </c>
      <c r="C14" s="246"/>
      <c r="D14" s="247" t="s">
        <v>219</v>
      </c>
      <c r="E14" s="244" t="s">
        <v>219</v>
      </c>
      <c r="F14" s="154" t="s">
        <v>11</v>
      </c>
      <c r="G14" s="157" t="s">
        <v>1487</v>
      </c>
      <c r="H14" s="157" t="s">
        <v>1487</v>
      </c>
      <c r="I14" s="157" t="s">
        <v>1279</v>
      </c>
      <c r="J14" s="157" t="s">
        <v>1279</v>
      </c>
      <c r="K14" s="245"/>
    </row>
    <row r="15" s="229" customFormat="1" ht="13.2" spans="1:11">
      <c r="A15" s="240" t="s">
        <v>181</v>
      </c>
      <c r="B15" s="241" t="s">
        <v>81</v>
      </c>
      <c r="C15" s="246"/>
      <c r="D15" s="248" t="s">
        <v>181</v>
      </c>
      <c r="E15" s="248" t="s">
        <v>1745</v>
      </c>
      <c r="F15" s="154" t="s">
        <v>11</v>
      </c>
      <c r="G15" s="157" t="s">
        <v>1487</v>
      </c>
      <c r="H15" s="157" t="s">
        <v>1487</v>
      </c>
      <c r="I15" s="157" t="s">
        <v>1279</v>
      </c>
      <c r="J15" s="157" t="s">
        <v>1279</v>
      </c>
      <c r="K15" s="245"/>
    </row>
    <row r="16" s="229" customFormat="1" ht="13.2" spans="1:11">
      <c r="A16" s="240" t="s">
        <v>181</v>
      </c>
      <c r="B16" s="241" t="s">
        <v>81</v>
      </c>
      <c r="C16" s="246"/>
      <c r="D16" s="243" t="s">
        <v>181</v>
      </c>
      <c r="E16" s="244" t="s">
        <v>1746</v>
      </c>
      <c r="F16" s="154" t="s">
        <v>11</v>
      </c>
      <c r="G16" s="157" t="s">
        <v>1487</v>
      </c>
      <c r="H16" s="157" t="s">
        <v>1487</v>
      </c>
      <c r="I16" s="157" t="s">
        <v>1279</v>
      </c>
      <c r="J16" s="157" t="s">
        <v>1279</v>
      </c>
      <c r="K16" s="245"/>
    </row>
    <row r="17" s="229" customFormat="1" ht="13.2" spans="1:242">
      <c r="A17" s="240" t="s">
        <v>181</v>
      </c>
      <c r="B17" s="241" t="s">
        <v>81</v>
      </c>
      <c r="C17" s="249"/>
      <c r="D17" s="247" t="s">
        <v>226</v>
      </c>
      <c r="E17" s="250" t="s">
        <v>226</v>
      </c>
      <c r="F17" s="154" t="s">
        <v>11</v>
      </c>
      <c r="G17" s="157" t="s">
        <v>1487</v>
      </c>
      <c r="H17" s="157" t="s">
        <v>1487</v>
      </c>
      <c r="I17" s="157" t="s">
        <v>1279</v>
      </c>
      <c r="J17" s="157" t="s">
        <v>1279</v>
      </c>
      <c r="K17" s="245"/>
    </row>
    <row r="18" s="229" customFormat="1" ht="13.2" spans="1:242">
      <c r="A18" s="240" t="s">
        <v>181</v>
      </c>
      <c r="B18" s="241" t="s">
        <v>81</v>
      </c>
      <c r="C18" s="243" t="s">
        <v>1747</v>
      </c>
      <c r="D18" s="243" t="s">
        <v>181</v>
      </c>
      <c r="E18" s="244" t="s">
        <v>1747</v>
      </c>
      <c r="F18" s="154" t="s">
        <v>11</v>
      </c>
      <c r="G18" s="157" t="s">
        <v>1487</v>
      </c>
      <c r="H18" s="157" t="s">
        <v>1487</v>
      </c>
      <c r="I18" s="157" t="s">
        <v>1279</v>
      </c>
      <c r="J18" s="157" t="s">
        <v>1279</v>
      </c>
      <c r="K18" s="245"/>
    </row>
    <row r="19" s="229" customFormat="1" ht="16" customHeight="1" spans="1:242">
      <c r="A19" s="251" t="s">
        <v>160</v>
      </c>
      <c r="B19" s="252" t="s">
        <v>81</v>
      </c>
      <c r="C19" s="243" t="s">
        <v>1748</v>
      </c>
      <c r="D19" s="242" t="s">
        <v>160</v>
      </c>
      <c r="E19" s="244" t="s">
        <v>1749</v>
      </c>
      <c r="F19" s="154" t="s">
        <v>11</v>
      </c>
      <c r="G19" s="157" t="s">
        <v>1487</v>
      </c>
      <c r="H19" s="157" t="s">
        <v>1487</v>
      </c>
      <c r="I19" s="157" t="s">
        <v>1279</v>
      </c>
      <c r="J19" s="157" t="s">
        <v>1279</v>
      </c>
      <c r="K19" s="245"/>
    </row>
    <row r="20" s="229" customFormat="1" ht="16" customHeight="1" spans="1:242">
      <c r="A20" s="253"/>
      <c r="B20" s="254"/>
      <c r="C20" s="243"/>
      <c r="D20" s="246"/>
      <c r="E20" s="665" t="s">
        <v>1750</v>
      </c>
      <c r="F20" s="154" t="s">
        <v>11</v>
      </c>
      <c r="G20" s="157" t="s">
        <v>1487</v>
      </c>
      <c r="H20" s="157" t="s">
        <v>1487</v>
      </c>
      <c r="I20" s="157" t="s">
        <v>1279</v>
      </c>
      <c r="J20" s="157" t="s">
        <v>1279</v>
      </c>
      <c r="K20" s="245"/>
    </row>
    <row r="21" s="229" customFormat="1" ht="16" customHeight="1" spans="1:242">
      <c r="A21" s="255"/>
      <c r="B21" s="256"/>
      <c r="C21" s="243"/>
      <c r="D21" s="249"/>
      <c r="E21" s="665" t="s">
        <v>1751</v>
      </c>
      <c r="F21" s="154" t="s">
        <v>11</v>
      </c>
      <c r="G21" s="157" t="s">
        <v>1487</v>
      </c>
      <c r="H21" s="157" t="s">
        <v>1487</v>
      </c>
      <c r="I21" s="157" t="s">
        <v>1279</v>
      </c>
      <c r="J21" s="157" t="s">
        <v>1279</v>
      </c>
      <c r="K21" s="245"/>
    </row>
    <row r="22" s="229" customFormat="1" ht="13.2" spans="1:242">
      <c r="A22" s="240" t="s">
        <v>171</v>
      </c>
      <c r="B22" s="241" t="s">
        <v>81</v>
      </c>
      <c r="C22" s="243"/>
      <c r="D22" s="243" t="s">
        <v>171</v>
      </c>
      <c r="E22" s="244" t="s">
        <v>1752</v>
      </c>
      <c r="F22" s="154" t="s">
        <v>11</v>
      </c>
      <c r="G22" s="157" t="s">
        <v>1487</v>
      </c>
      <c r="H22" s="157" t="s">
        <v>1487</v>
      </c>
      <c r="I22" s="157" t="s">
        <v>1279</v>
      </c>
      <c r="J22" s="157" t="s">
        <v>1279</v>
      </c>
      <c r="K22" s="245"/>
    </row>
    <row r="23" s="229" customFormat="1" ht="13.2" spans="1:242">
      <c r="A23" s="240" t="s">
        <v>181</v>
      </c>
      <c r="B23" s="241" t="s">
        <v>81</v>
      </c>
      <c r="C23" s="243" t="s">
        <v>1753</v>
      </c>
      <c r="D23" s="242" t="s">
        <v>181</v>
      </c>
      <c r="E23" s="244" t="s">
        <v>1754</v>
      </c>
      <c r="F23" s="154" t="s">
        <v>11</v>
      </c>
      <c r="G23" s="157" t="s">
        <v>1487</v>
      </c>
      <c r="H23" s="157" t="s">
        <v>1487</v>
      </c>
      <c r="I23" s="157" t="s">
        <v>1279</v>
      </c>
      <c r="J23" s="157" t="s">
        <v>1279</v>
      </c>
      <c r="K23" s="245"/>
    </row>
    <row r="24" s="229" customFormat="1" ht="13.2" spans="1:242">
      <c r="A24" s="240" t="s">
        <v>181</v>
      </c>
      <c r="B24" s="241" t="s">
        <v>81</v>
      </c>
      <c r="C24" s="243"/>
      <c r="D24" s="249"/>
      <c r="E24" s="244" t="s">
        <v>1755</v>
      </c>
      <c r="F24" s="154" t="s">
        <v>11</v>
      </c>
      <c r="G24" s="157" t="s">
        <v>1487</v>
      </c>
      <c r="H24" s="157" t="s">
        <v>1487</v>
      </c>
      <c r="I24" s="157" t="s">
        <v>1279</v>
      </c>
      <c r="J24" s="157" t="s">
        <v>1279</v>
      </c>
      <c r="K24" s="245"/>
    </row>
    <row r="25" s="229" customFormat="1" ht="13.2" spans="1:242">
      <c r="A25" s="240" t="s">
        <v>218</v>
      </c>
      <c r="B25" s="241" t="s">
        <v>81</v>
      </c>
      <c r="C25" s="243" t="s">
        <v>1756</v>
      </c>
      <c r="D25" s="243" t="s">
        <v>218</v>
      </c>
      <c r="E25" s="244" t="s">
        <v>218</v>
      </c>
      <c r="F25" s="154" t="s">
        <v>11</v>
      </c>
      <c r="G25" s="157" t="s">
        <v>1487</v>
      </c>
      <c r="H25" s="157" t="s">
        <v>1487</v>
      </c>
      <c r="I25" s="157" t="s">
        <v>1279</v>
      </c>
      <c r="J25" s="157" t="s">
        <v>1279</v>
      </c>
      <c r="K25" s="245"/>
    </row>
    <row r="26" s="229" customFormat="1" ht="13.2" spans="1:242">
      <c r="A26" s="240" t="s">
        <v>225</v>
      </c>
      <c r="B26" s="241" t="s">
        <v>81</v>
      </c>
      <c r="C26" s="243"/>
      <c r="D26" s="243" t="s">
        <v>225</v>
      </c>
      <c r="E26" s="244" t="s">
        <v>225</v>
      </c>
      <c r="F26" s="154" t="s">
        <v>11</v>
      </c>
      <c r="G26" s="157" t="s">
        <v>1487</v>
      </c>
      <c r="H26" s="157" t="s">
        <v>1487</v>
      </c>
      <c r="I26" s="157" t="s">
        <v>1279</v>
      </c>
      <c r="J26" s="157" t="s">
        <v>1279</v>
      </c>
      <c r="K26" s="245"/>
    </row>
    <row r="27" s="229" customFormat="1" ht="13.2" spans="1:242">
      <c r="A27" s="240" t="s">
        <v>230</v>
      </c>
      <c r="B27" s="241" t="s">
        <v>81</v>
      </c>
      <c r="C27" s="243" t="s">
        <v>230</v>
      </c>
      <c r="D27" s="243" t="s">
        <v>230</v>
      </c>
      <c r="E27" s="244" t="s">
        <v>230</v>
      </c>
      <c r="F27" s="154" t="s">
        <v>11</v>
      </c>
      <c r="G27" s="157" t="s">
        <v>1487</v>
      </c>
      <c r="H27" s="157" t="s">
        <v>1487</v>
      </c>
      <c r="I27" s="157" t="s">
        <v>1279</v>
      </c>
      <c r="J27" s="157" t="s">
        <v>1279</v>
      </c>
      <c r="K27" s="245"/>
    </row>
    <row r="28" s="229" customFormat="1" ht="13.2" spans="1:242">
      <c r="A28" s="240" t="s">
        <v>212</v>
      </c>
      <c r="B28" s="241" t="s">
        <v>81</v>
      </c>
      <c r="C28" s="257" t="s">
        <v>1757</v>
      </c>
      <c r="D28" s="244" t="s">
        <v>212</v>
      </c>
      <c r="E28" s="244" t="s">
        <v>212</v>
      </c>
      <c r="F28" s="154" t="s">
        <v>11</v>
      </c>
      <c r="G28" s="157" t="s">
        <v>1487</v>
      </c>
      <c r="H28" s="157" t="s">
        <v>1487</v>
      </c>
      <c r="I28" s="157" t="s">
        <v>1279</v>
      </c>
      <c r="J28" s="157" t="s">
        <v>1279</v>
      </c>
      <c r="K28" s="245"/>
    </row>
    <row r="29" s="229" customFormat="1" ht="13" customHeight="1" spans="1:242">
      <c r="A29" s="240" t="s">
        <v>184</v>
      </c>
      <c r="B29" s="241" t="s">
        <v>81</v>
      </c>
      <c r="C29" s="257" t="s">
        <v>1758</v>
      </c>
      <c r="D29" s="244" t="s">
        <v>184</v>
      </c>
      <c r="E29" s="258" t="s">
        <v>184</v>
      </c>
      <c r="F29" s="154" t="s">
        <v>11</v>
      </c>
      <c r="G29" s="157" t="s">
        <v>1487</v>
      </c>
      <c r="H29" s="157" t="s">
        <v>1487</v>
      </c>
      <c r="I29" s="157" t="s">
        <v>1279</v>
      </c>
      <c r="J29" s="157" t="s">
        <v>1279</v>
      </c>
      <c r="K29" s="245"/>
      <c r="AI29" s="259"/>
      <c r="AJ29" s="259"/>
      <c r="AK29" s="259"/>
      <c r="AL29" s="259"/>
      <c r="AM29" s="259"/>
      <c r="AN29" s="259"/>
      <c r="AO29" s="241"/>
      <c r="AP29" s="257"/>
      <c r="AQ29" s="244"/>
      <c r="AR29" s="260"/>
      <c r="AS29" s="261"/>
      <c r="AT29" s="261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41"/>
      <c r="BH29" s="257"/>
      <c r="BI29" s="244"/>
      <c r="BJ29" s="260"/>
      <c r="BK29" s="261"/>
      <c r="BL29" s="261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41"/>
      <c r="BZ29" s="257"/>
      <c r="CA29" s="244"/>
      <c r="CB29" s="260"/>
      <c r="CC29" s="261"/>
      <c r="CD29" s="261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  <c r="CO29" s="259"/>
      <c r="CP29" s="259"/>
      <c r="CQ29" s="241"/>
      <c r="CR29" s="257"/>
      <c r="CS29" s="244"/>
      <c r="CT29" s="260"/>
      <c r="CU29" s="261"/>
      <c r="CV29" s="261"/>
      <c r="CW29" s="259"/>
      <c r="CX29" s="259"/>
      <c r="CY29" s="259"/>
      <c r="CZ29" s="259"/>
      <c r="DA29" s="259"/>
      <c r="DB29" s="259"/>
      <c r="DC29" s="259"/>
      <c r="DD29" s="259"/>
      <c r="DE29" s="259"/>
      <c r="DF29" s="259"/>
      <c r="DG29" s="259"/>
      <c r="DH29" s="259"/>
      <c r="DI29" s="241"/>
      <c r="DJ29" s="257"/>
      <c r="DK29" s="244"/>
      <c r="DL29" s="260"/>
      <c r="DM29" s="261"/>
      <c r="DN29" s="261"/>
      <c r="DO29" s="259"/>
      <c r="DP29" s="259"/>
      <c r="DQ29" s="259"/>
      <c r="DR29" s="259"/>
      <c r="DS29" s="259"/>
      <c r="DT29" s="259"/>
      <c r="DU29" s="259"/>
      <c r="DV29" s="259"/>
      <c r="DW29" s="259"/>
      <c r="DX29" s="259"/>
      <c r="DY29" s="259"/>
      <c r="DZ29" s="259"/>
      <c r="EA29" s="241"/>
      <c r="EB29" s="257"/>
      <c r="EC29" s="244"/>
      <c r="ED29" s="260"/>
      <c r="EE29" s="261"/>
      <c r="EF29" s="261"/>
      <c r="EG29" s="259"/>
      <c r="EH29" s="259"/>
      <c r="EI29" s="259"/>
      <c r="EJ29" s="259"/>
      <c r="EK29" s="259"/>
      <c r="EL29" s="259"/>
      <c r="EM29" s="259"/>
      <c r="EN29" s="259"/>
      <c r="EO29" s="259"/>
      <c r="EP29" s="259"/>
      <c r="EQ29" s="259"/>
      <c r="ER29" s="259"/>
      <c r="ES29" s="241"/>
      <c r="ET29" s="257"/>
      <c r="EU29" s="244"/>
      <c r="EV29" s="260"/>
      <c r="EW29" s="261"/>
      <c r="EX29" s="261"/>
      <c r="EY29" s="259"/>
      <c r="EZ29" s="259"/>
      <c r="FA29" s="259"/>
      <c r="FB29" s="259"/>
      <c r="FC29" s="259"/>
      <c r="FD29" s="259"/>
      <c r="FE29" s="259"/>
      <c r="FF29" s="259"/>
      <c r="FG29" s="259"/>
      <c r="FH29" s="259"/>
      <c r="FI29" s="259"/>
      <c r="FJ29" s="259"/>
      <c r="FK29" s="241"/>
      <c r="FL29" s="257"/>
      <c r="FM29" s="244"/>
      <c r="FN29" s="260"/>
      <c r="FO29" s="261"/>
      <c r="FP29" s="261"/>
      <c r="FQ29" s="259"/>
      <c r="FR29" s="259"/>
      <c r="FS29" s="259"/>
      <c r="FT29" s="259"/>
      <c r="FU29" s="259"/>
      <c r="FV29" s="259"/>
      <c r="FW29" s="259"/>
      <c r="FX29" s="259"/>
      <c r="FY29" s="259"/>
      <c r="FZ29" s="259"/>
      <c r="GA29" s="259"/>
      <c r="GB29" s="259"/>
      <c r="GC29" s="241"/>
      <c r="GD29" s="257"/>
      <c r="GE29" s="244"/>
      <c r="GF29" s="260"/>
      <c r="GG29" s="261"/>
      <c r="GH29" s="261"/>
      <c r="GI29" s="259"/>
      <c r="GJ29" s="259"/>
      <c r="GK29" s="259"/>
      <c r="GL29" s="259"/>
      <c r="GM29" s="259"/>
      <c r="GN29" s="259"/>
      <c r="GO29" s="259"/>
      <c r="GP29" s="259"/>
      <c r="GQ29" s="259"/>
      <c r="GR29" s="259"/>
      <c r="GS29" s="259"/>
      <c r="GT29" s="259"/>
      <c r="GU29" s="241"/>
      <c r="GV29" s="257"/>
      <c r="GW29" s="244"/>
      <c r="GX29" s="260"/>
      <c r="GY29" s="261"/>
      <c r="GZ29" s="261"/>
      <c r="HA29" s="259"/>
      <c r="HB29" s="259"/>
      <c r="HC29" s="259"/>
      <c r="HD29" s="259"/>
      <c r="HE29" s="259"/>
      <c r="HF29" s="259"/>
      <c r="HG29" s="259"/>
      <c r="HH29" s="259"/>
      <c r="HI29" s="259"/>
      <c r="HJ29" s="259"/>
      <c r="HK29" s="259"/>
      <c r="HL29" s="259"/>
      <c r="HM29" s="241"/>
      <c r="HN29" s="257"/>
      <c r="HO29" s="244"/>
      <c r="HP29" s="260"/>
      <c r="HQ29" s="261"/>
      <c r="HR29" s="261"/>
      <c r="HS29" s="259"/>
      <c r="HT29" s="259"/>
      <c r="HU29" s="259"/>
      <c r="HV29" s="259"/>
      <c r="HW29" s="259"/>
      <c r="HX29" s="259"/>
      <c r="HY29" s="259"/>
      <c r="HZ29" s="259"/>
      <c r="IA29" s="259"/>
      <c r="IB29" s="259"/>
      <c r="IC29" s="259"/>
      <c r="ID29" s="259"/>
      <c r="IE29" s="241"/>
      <c r="IF29" s="257"/>
      <c r="IG29" s="244"/>
      <c r="IH29" s="260"/>
    </row>
    <row r="30" s="230" customFormat="1" ht="13.2" spans="1:242">
      <c r="A30" s="262"/>
      <c r="B30" s="263" t="s">
        <v>81</v>
      </c>
      <c r="C30" s="263" t="s">
        <v>1759</v>
      </c>
      <c r="D30" s="263"/>
      <c r="E30" s="263"/>
      <c r="F30" s="264" t="s">
        <v>1279</v>
      </c>
      <c r="G30" s="264" t="s">
        <v>1279</v>
      </c>
      <c r="H30" s="264" t="s">
        <v>1279</v>
      </c>
      <c r="I30" s="264" t="s">
        <v>1279</v>
      </c>
      <c r="J30" s="264" t="s">
        <v>1279</v>
      </c>
      <c r="K30" s="245"/>
    </row>
    <row r="31" s="229" customFormat="1" ht="13.2" spans="1:242">
      <c r="A31" s="240" t="s">
        <v>181</v>
      </c>
      <c r="B31" s="265" t="s">
        <v>84</v>
      </c>
      <c r="C31" s="266" t="s">
        <v>1760</v>
      </c>
      <c r="D31" s="243" t="s">
        <v>181</v>
      </c>
      <c r="E31" s="244" t="s">
        <v>1744</v>
      </c>
      <c r="F31" s="154" t="s">
        <v>11</v>
      </c>
      <c r="G31" s="157" t="s">
        <v>1487</v>
      </c>
      <c r="H31" s="157" t="s">
        <v>1487</v>
      </c>
      <c r="I31" s="157" t="s">
        <v>1279</v>
      </c>
      <c r="J31" s="157" t="s">
        <v>1279</v>
      </c>
      <c r="K31" s="245"/>
    </row>
    <row r="32" s="229" customFormat="1" ht="13.2" spans="1:242">
      <c r="A32" s="240" t="s">
        <v>226</v>
      </c>
      <c r="B32" s="265" t="s">
        <v>84</v>
      </c>
      <c r="C32" s="266"/>
      <c r="D32" s="267" t="s">
        <v>226</v>
      </c>
      <c r="E32" s="244" t="s">
        <v>1761</v>
      </c>
      <c r="F32" s="154" t="s">
        <v>11</v>
      </c>
      <c r="G32" s="157" t="s">
        <v>1487</v>
      </c>
      <c r="H32" s="157" t="s">
        <v>1487</v>
      </c>
      <c r="I32" s="157" t="s">
        <v>1279</v>
      </c>
      <c r="J32" s="157" t="s">
        <v>1279</v>
      </c>
      <c r="K32" s="245"/>
    </row>
    <row r="33" s="229" customFormat="1" ht="13.2" spans="1:11">
      <c r="A33" s="240" t="s">
        <v>181</v>
      </c>
      <c r="B33" s="265" t="s">
        <v>84</v>
      </c>
      <c r="C33" s="266"/>
      <c r="D33" s="266" t="s">
        <v>1762</v>
      </c>
      <c r="E33" s="244" t="s">
        <v>1762</v>
      </c>
      <c r="F33" s="154" t="s">
        <v>11</v>
      </c>
      <c r="G33" s="157" t="s">
        <v>1487</v>
      </c>
      <c r="H33" s="157" t="s">
        <v>1487</v>
      </c>
      <c r="I33" s="157" t="s">
        <v>1279</v>
      </c>
      <c r="J33" s="157" t="s">
        <v>1279</v>
      </c>
      <c r="K33" s="245"/>
    </row>
    <row r="34" s="229" customFormat="1" ht="13.2" spans="1:11">
      <c r="A34" s="240" t="s">
        <v>1763</v>
      </c>
      <c r="B34" s="265" t="s">
        <v>84</v>
      </c>
      <c r="C34" s="266"/>
      <c r="D34" s="266" t="s">
        <v>1763</v>
      </c>
      <c r="E34" s="244" t="s">
        <v>1764</v>
      </c>
      <c r="F34" s="154" t="s">
        <v>11</v>
      </c>
      <c r="G34" s="157" t="s">
        <v>1487</v>
      </c>
      <c r="H34" s="157" t="s">
        <v>1487</v>
      </c>
      <c r="I34" s="157" t="s">
        <v>1279</v>
      </c>
      <c r="J34" s="157" t="s">
        <v>1279</v>
      </c>
      <c r="K34" s="245"/>
    </row>
    <row r="35" s="229" customFormat="1" ht="13.2" spans="1:11">
      <c r="A35" s="240" t="s">
        <v>181</v>
      </c>
      <c r="B35" s="265" t="s">
        <v>84</v>
      </c>
      <c r="C35" s="266"/>
      <c r="D35" s="243" t="s">
        <v>181</v>
      </c>
      <c r="E35" s="244" t="s">
        <v>1746</v>
      </c>
      <c r="F35" s="154" t="s">
        <v>11</v>
      </c>
      <c r="G35" s="157" t="s">
        <v>1487</v>
      </c>
      <c r="H35" s="157" t="s">
        <v>1487</v>
      </c>
      <c r="I35" s="157" t="s">
        <v>1279</v>
      </c>
      <c r="J35" s="157" t="s">
        <v>1279</v>
      </c>
      <c r="K35" s="245"/>
    </row>
    <row r="36" s="229" customFormat="1" ht="13.2" spans="1:11">
      <c r="A36" s="240" t="s">
        <v>181</v>
      </c>
      <c r="B36" s="265" t="s">
        <v>84</v>
      </c>
      <c r="C36" s="243" t="s">
        <v>1747</v>
      </c>
      <c r="D36" s="243" t="s">
        <v>181</v>
      </c>
      <c r="E36" s="244" t="s">
        <v>1747</v>
      </c>
      <c r="F36" s="154" t="s">
        <v>11</v>
      </c>
      <c r="G36" s="157" t="s">
        <v>1487</v>
      </c>
      <c r="H36" s="157" t="s">
        <v>1487</v>
      </c>
      <c r="I36" s="157" t="s">
        <v>1279</v>
      </c>
      <c r="J36" s="157" t="s">
        <v>1279</v>
      </c>
      <c r="K36" s="245"/>
    </row>
    <row r="37" s="229" customFormat="1" ht="13.2" spans="1:11">
      <c r="A37" s="240" t="s">
        <v>181</v>
      </c>
      <c r="B37" s="265" t="s">
        <v>84</v>
      </c>
      <c r="C37" s="243" t="s">
        <v>1753</v>
      </c>
      <c r="D37" s="243" t="s">
        <v>181</v>
      </c>
      <c r="E37" s="244" t="s">
        <v>1754</v>
      </c>
      <c r="F37" s="154" t="s">
        <v>11</v>
      </c>
      <c r="G37" s="157" t="s">
        <v>1487</v>
      </c>
      <c r="H37" s="157" t="s">
        <v>1487</v>
      </c>
      <c r="I37" s="157" t="s">
        <v>1279</v>
      </c>
      <c r="J37" s="157" t="s">
        <v>1279</v>
      </c>
      <c r="K37" s="245"/>
    </row>
    <row r="38" s="229" customFormat="1" ht="13.2" spans="1:11">
      <c r="A38" s="240" t="s">
        <v>181</v>
      </c>
      <c r="B38" s="265" t="s">
        <v>84</v>
      </c>
      <c r="C38" s="243"/>
      <c r="D38" s="243" t="s">
        <v>181</v>
      </c>
      <c r="E38" s="244" t="s">
        <v>1755</v>
      </c>
      <c r="F38" s="154" t="s">
        <v>11</v>
      </c>
      <c r="G38" s="157" t="s">
        <v>1487</v>
      </c>
      <c r="H38" s="157" t="s">
        <v>1487</v>
      </c>
      <c r="I38" s="157" t="s">
        <v>1279</v>
      </c>
      <c r="J38" s="157" t="s">
        <v>1279</v>
      </c>
      <c r="K38" s="245"/>
    </row>
    <row r="39" s="229" customFormat="1" ht="13.2" spans="1:11">
      <c r="A39" s="240" t="s">
        <v>218</v>
      </c>
      <c r="B39" s="265" t="s">
        <v>84</v>
      </c>
      <c r="C39" s="266" t="s">
        <v>1756</v>
      </c>
      <c r="D39" s="266" t="s">
        <v>218</v>
      </c>
      <c r="E39" s="244" t="s">
        <v>218</v>
      </c>
      <c r="F39" s="154" t="s">
        <v>11</v>
      </c>
      <c r="G39" s="157" t="s">
        <v>1487</v>
      </c>
      <c r="H39" s="157" t="s">
        <v>1487</v>
      </c>
      <c r="I39" s="157" t="s">
        <v>1279</v>
      </c>
      <c r="J39" s="157" t="s">
        <v>1279</v>
      </c>
      <c r="K39" s="245"/>
    </row>
    <row r="40" s="229" customFormat="1" ht="13.2" spans="1:11">
      <c r="A40" s="240" t="s">
        <v>225</v>
      </c>
      <c r="B40" s="265" t="s">
        <v>84</v>
      </c>
      <c r="C40" s="266"/>
      <c r="D40" s="266" t="s">
        <v>225</v>
      </c>
      <c r="E40" s="244" t="s">
        <v>225</v>
      </c>
      <c r="F40" s="154" t="s">
        <v>11</v>
      </c>
      <c r="G40" s="157" t="s">
        <v>1487</v>
      </c>
      <c r="H40" s="157" t="s">
        <v>1487</v>
      </c>
      <c r="I40" s="157" t="s">
        <v>1279</v>
      </c>
      <c r="J40" s="157" t="s">
        <v>1279</v>
      </c>
      <c r="K40" s="245"/>
    </row>
    <row r="41" s="229" customFormat="1" ht="13.2" spans="1:11">
      <c r="A41" s="240" t="s">
        <v>230</v>
      </c>
      <c r="B41" s="265" t="s">
        <v>84</v>
      </c>
      <c r="C41" s="243" t="s">
        <v>230</v>
      </c>
      <c r="D41" s="243" t="s">
        <v>230</v>
      </c>
      <c r="E41" s="244" t="s">
        <v>230</v>
      </c>
      <c r="F41" s="154" t="s">
        <v>11</v>
      </c>
      <c r="G41" s="157" t="s">
        <v>1487</v>
      </c>
      <c r="H41" s="157" t="s">
        <v>1487</v>
      </c>
      <c r="I41" s="157" t="s">
        <v>1279</v>
      </c>
      <c r="J41" s="157" t="s">
        <v>1279</v>
      </c>
      <c r="K41" s="245"/>
    </row>
    <row r="42" s="229" customFormat="1" ht="13.2" spans="1:11">
      <c r="A42" s="240" t="s">
        <v>1765</v>
      </c>
      <c r="B42" s="265" t="s">
        <v>84</v>
      </c>
      <c r="C42" s="266" t="s">
        <v>1757</v>
      </c>
      <c r="D42" s="244" t="s">
        <v>1765</v>
      </c>
      <c r="E42" s="244" t="s">
        <v>212</v>
      </c>
      <c r="F42" s="154" t="s">
        <v>11</v>
      </c>
      <c r="G42" s="157" t="s">
        <v>1487</v>
      </c>
      <c r="H42" s="157" t="s">
        <v>1487</v>
      </c>
      <c r="I42" s="157" t="s">
        <v>1279</v>
      </c>
      <c r="J42" s="157" t="s">
        <v>1279</v>
      </c>
      <c r="K42" s="245"/>
    </row>
    <row r="43" s="229" customFormat="1" ht="13" customHeight="1" spans="1:11">
      <c r="A43" s="240" t="s">
        <v>184</v>
      </c>
      <c r="B43" s="265" t="s">
        <v>84</v>
      </c>
      <c r="C43" s="266" t="s">
        <v>184</v>
      </c>
      <c r="D43" s="244" t="s">
        <v>184</v>
      </c>
      <c r="E43" s="258" t="s">
        <v>184</v>
      </c>
      <c r="F43" s="154" t="s">
        <v>11</v>
      </c>
      <c r="G43" s="157" t="s">
        <v>1487</v>
      </c>
      <c r="H43" s="157" t="s">
        <v>1487</v>
      </c>
      <c r="I43" s="157" t="s">
        <v>1279</v>
      </c>
      <c r="J43" s="157" t="s">
        <v>1279</v>
      </c>
      <c r="K43" s="245"/>
    </row>
    <row r="44" s="229" customFormat="1" ht="13.2" spans="1:11">
      <c r="A44" s="248" t="s">
        <v>1766</v>
      </c>
      <c r="B44" s="265" t="s">
        <v>84</v>
      </c>
      <c r="C44" s="266" t="s">
        <v>1767</v>
      </c>
      <c r="D44" s="244" t="s">
        <v>1766</v>
      </c>
      <c r="E44" s="244" t="s">
        <v>1766</v>
      </c>
      <c r="F44" s="154" t="s">
        <v>11</v>
      </c>
      <c r="G44" s="157" t="s">
        <v>1487</v>
      </c>
      <c r="H44" s="157" t="s">
        <v>1487</v>
      </c>
      <c r="I44" s="157" t="s">
        <v>1279</v>
      </c>
      <c r="J44" s="157" t="s">
        <v>1279</v>
      </c>
      <c r="K44" s="245"/>
    </row>
    <row r="45" s="230" customFormat="1" ht="13.2" spans="1:11">
      <c r="A45" s="262"/>
      <c r="B45" s="263" t="s">
        <v>84</v>
      </c>
      <c r="C45" s="263" t="s">
        <v>1768</v>
      </c>
      <c r="D45" s="263"/>
      <c r="E45" s="263"/>
      <c r="F45" s="264" t="s">
        <v>1279</v>
      </c>
      <c r="G45" s="264" t="s">
        <v>1279</v>
      </c>
      <c r="H45" s="264" t="s">
        <v>1279</v>
      </c>
      <c r="I45" s="264" t="s">
        <v>1279</v>
      </c>
      <c r="J45" s="264" t="s">
        <v>1279</v>
      </c>
      <c r="K45" s="245"/>
    </row>
    <row r="46" s="229" customFormat="1" ht="13.2" spans="1:11">
      <c r="A46" s="240" t="s">
        <v>181</v>
      </c>
      <c r="B46" s="265" t="s">
        <v>44</v>
      </c>
      <c r="C46" s="243" t="s">
        <v>1760</v>
      </c>
      <c r="D46" s="244" t="s">
        <v>181</v>
      </c>
      <c r="E46" s="244" t="s">
        <v>1744</v>
      </c>
      <c r="F46" s="154" t="s">
        <v>11</v>
      </c>
      <c r="G46" s="157" t="s">
        <v>1487</v>
      </c>
      <c r="H46" s="157" t="s">
        <v>1487</v>
      </c>
      <c r="I46" s="157" t="s">
        <v>1279</v>
      </c>
      <c r="J46" s="157" t="s">
        <v>1279</v>
      </c>
      <c r="K46" s="245"/>
    </row>
    <row r="47" s="229" customFormat="1" ht="13.2" spans="1:11">
      <c r="A47" s="240" t="s">
        <v>160</v>
      </c>
      <c r="B47" s="265" t="s">
        <v>44</v>
      </c>
      <c r="C47" s="243"/>
      <c r="D47" s="243" t="s">
        <v>1716</v>
      </c>
      <c r="E47" s="244" t="s">
        <v>1762</v>
      </c>
      <c r="F47" s="154" t="s">
        <v>11</v>
      </c>
      <c r="G47" s="157" t="s">
        <v>1487</v>
      </c>
      <c r="H47" s="157" t="s">
        <v>1487</v>
      </c>
      <c r="I47" s="157" t="s">
        <v>1279</v>
      </c>
      <c r="J47" s="157" t="s">
        <v>1279</v>
      </c>
      <c r="K47" s="245"/>
    </row>
    <row r="48" s="229" customFormat="1" ht="13.2" spans="1:11">
      <c r="A48" s="240" t="s">
        <v>181</v>
      </c>
      <c r="B48" s="265" t="s">
        <v>44</v>
      </c>
      <c r="C48" s="243"/>
      <c r="D48" s="244" t="s">
        <v>181</v>
      </c>
      <c r="E48" s="244" t="s">
        <v>1764</v>
      </c>
      <c r="F48" s="154" t="s">
        <v>11</v>
      </c>
      <c r="G48" s="157" t="s">
        <v>1487</v>
      </c>
      <c r="H48" s="157" t="s">
        <v>1487</v>
      </c>
      <c r="I48" s="157" t="s">
        <v>1279</v>
      </c>
      <c r="J48" s="157" t="s">
        <v>1279</v>
      </c>
      <c r="K48" s="245"/>
    </row>
    <row r="49" s="229" customFormat="1" ht="13.2" spans="1:242">
      <c r="A49" s="240" t="s">
        <v>181</v>
      </c>
      <c r="B49" s="265" t="s">
        <v>44</v>
      </c>
      <c r="C49" s="243"/>
      <c r="D49" s="244" t="s">
        <v>181</v>
      </c>
      <c r="E49" s="244" t="s">
        <v>1746</v>
      </c>
      <c r="F49" s="154" t="s">
        <v>11</v>
      </c>
      <c r="G49" s="157" t="s">
        <v>1487</v>
      </c>
      <c r="H49" s="157" t="s">
        <v>1487</v>
      </c>
      <c r="I49" s="157" t="s">
        <v>1279</v>
      </c>
      <c r="J49" s="157" t="s">
        <v>1279</v>
      </c>
      <c r="K49" s="245"/>
    </row>
    <row r="50" s="229" customFormat="1" ht="13.2" spans="1:242">
      <c r="A50" s="240" t="s">
        <v>181</v>
      </c>
      <c r="B50" s="265" t="s">
        <v>44</v>
      </c>
      <c r="C50" s="243" t="s">
        <v>1747</v>
      </c>
      <c r="D50" s="243" t="s">
        <v>181</v>
      </c>
      <c r="E50" s="244" t="s">
        <v>1747</v>
      </c>
      <c r="F50" s="154" t="s">
        <v>11</v>
      </c>
      <c r="G50" s="157" t="s">
        <v>1487</v>
      </c>
      <c r="H50" s="157" t="s">
        <v>1487</v>
      </c>
      <c r="I50" s="157" t="s">
        <v>1279</v>
      </c>
      <c r="J50" s="157" t="s">
        <v>1279</v>
      </c>
      <c r="K50" s="245"/>
    </row>
    <row r="51" s="229" customFormat="1" ht="13.2" spans="1:242">
      <c r="A51" s="240" t="s">
        <v>160</v>
      </c>
      <c r="B51" s="265" t="s">
        <v>44</v>
      </c>
      <c r="C51" s="243" t="s">
        <v>1748</v>
      </c>
      <c r="D51" s="243" t="s">
        <v>1716</v>
      </c>
      <c r="E51" s="244" t="s">
        <v>1769</v>
      </c>
      <c r="F51" s="154" t="s">
        <v>11</v>
      </c>
      <c r="G51" s="157" t="s">
        <v>1487</v>
      </c>
      <c r="H51" s="157" t="s">
        <v>1487</v>
      </c>
      <c r="I51" s="157" t="s">
        <v>1279</v>
      </c>
      <c r="J51" s="157" t="s">
        <v>1279</v>
      </c>
      <c r="K51" s="245"/>
    </row>
    <row r="52" s="229" customFormat="1" ht="13.2" spans="1:242">
      <c r="A52" s="240" t="s">
        <v>181</v>
      </c>
      <c r="B52" s="265" t="s">
        <v>44</v>
      </c>
      <c r="C52" s="243" t="s">
        <v>1753</v>
      </c>
      <c r="D52" s="244" t="s">
        <v>181</v>
      </c>
      <c r="E52" s="244" t="s">
        <v>1754</v>
      </c>
      <c r="F52" s="154" t="s">
        <v>11</v>
      </c>
      <c r="G52" s="157" t="s">
        <v>1487</v>
      </c>
      <c r="H52" s="157" t="s">
        <v>1487</v>
      </c>
      <c r="I52" s="157" t="s">
        <v>1279</v>
      </c>
      <c r="J52" s="157" t="s">
        <v>1279</v>
      </c>
      <c r="K52" s="245"/>
    </row>
    <row r="53" s="229" customFormat="1" ht="13.2" spans="1:242">
      <c r="A53" s="240" t="s">
        <v>181</v>
      </c>
      <c r="B53" s="265" t="s">
        <v>44</v>
      </c>
      <c r="C53" s="243"/>
      <c r="D53" s="244" t="s">
        <v>181</v>
      </c>
      <c r="E53" s="244" t="s">
        <v>1755</v>
      </c>
      <c r="F53" s="154" t="s">
        <v>11</v>
      </c>
      <c r="G53" s="157" t="s">
        <v>1487</v>
      </c>
      <c r="H53" s="157" t="s">
        <v>1487</v>
      </c>
      <c r="I53" s="157" t="s">
        <v>1279</v>
      </c>
      <c r="J53" s="157" t="s">
        <v>1279</v>
      </c>
      <c r="K53" s="245"/>
    </row>
    <row r="54" s="229" customFormat="1" ht="13.2" spans="1:242">
      <c r="A54" s="240" t="s">
        <v>218</v>
      </c>
      <c r="B54" s="265" t="s">
        <v>44</v>
      </c>
      <c r="C54" s="243" t="s">
        <v>1756</v>
      </c>
      <c r="D54" s="244" t="s">
        <v>218</v>
      </c>
      <c r="E54" s="244" t="s">
        <v>218</v>
      </c>
      <c r="F54" s="154" t="s">
        <v>11</v>
      </c>
      <c r="G54" s="157" t="s">
        <v>1487</v>
      </c>
      <c r="H54" s="157" t="s">
        <v>1487</v>
      </c>
      <c r="I54" s="157" t="s">
        <v>1279</v>
      </c>
      <c r="J54" s="157" t="s">
        <v>1279</v>
      </c>
      <c r="K54" s="245"/>
    </row>
    <row r="55" s="229" customFormat="1" ht="13.2" spans="1:242">
      <c r="A55" s="240" t="s">
        <v>225</v>
      </c>
      <c r="B55" s="265" t="s">
        <v>44</v>
      </c>
      <c r="C55" s="243"/>
      <c r="D55" s="244" t="s">
        <v>225</v>
      </c>
      <c r="E55" s="244" t="s">
        <v>225</v>
      </c>
      <c r="F55" s="154" t="s">
        <v>11</v>
      </c>
      <c r="G55" s="157" t="s">
        <v>1487</v>
      </c>
      <c r="H55" s="157" t="s">
        <v>1487</v>
      </c>
      <c r="I55" s="157" t="s">
        <v>1279</v>
      </c>
      <c r="J55" s="157" t="s">
        <v>1279</v>
      </c>
      <c r="K55" s="245"/>
    </row>
    <row r="56" s="229" customFormat="1" ht="13.2" spans="1:242">
      <c r="A56" s="240" t="s">
        <v>230</v>
      </c>
      <c r="B56" s="265" t="s">
        <v>44</v>
      </c>
      <c r="C56" s="243" t="s">
        <v>230</v>
      </c>
      <c r="D56" s="243" t="s">
        <v>230</v>
      </c>
      <c r="E56" s="244" t="s">
        <v>230</v>
      </c>
      <c r="F56" s="154" t="s">
        <v>11</v>
      </c>
      <c r="G56" s="157" t="s">
        <v>1487</v>
      </c>
      <c r="H56" s="157" t="s">
        <v>1487</v>
      </c>
      <c r="I56" s="157" t="s">
        <v>1279</v>
      </c>
      <c r="J56" s="157" t="s">
        <v>1279</v>
      </c>
      <c r="K56" s="245"/>
    </row>
    <row r="57" s="229" customFormat="1" ht="13.2" spans="1:242">
      <c r="A57" s="240" t="s">
        <v>212</v>
      </c>
      <c r="B57" s="265" t="s">
        <v>44</v>
      </c>
      <c r="C57" s="266" t="s">
        <v>1757</v>
      </c>
      <c r="D57" s="244" t="s">
        <v>212</v>
      </c>
      <c r="E57" s="244" t="s">
        <v>212</v>
      </c>
      <c r="F57" s="154" t="s">
        <v>11</v>
      </c>
      <c r="G57" s="157" t="s">
        <v>1487</v>
      </c>
      <c r="H57" s="157" t="s">
        <v>1487</v>
      </c>
      <c r="I57" s="157" t="s">
        <v>1279</v>
      </c>
      <c r="J57" s="157" t="s">
        <v>1279</v>
      </c>
      <c r="K57" s="245"/>
    </row>
    <row r="58" s="229" customFormat="1" ht="13" customHeight="1" spans="1:242">
      <c r="A58" s="240" t="s">
        <v>181</v>
      </c>
      <c r="B58" s="265" t="s">
        <v>44</v>
      </c>
      <c r="C58" s="266" t="s">
        <v>184</v>
      </c>
      <c r="D58" s="244" t="s">
        <v>181</v>
      </c>
      <c r="E58" s="258" t="s">
        <v>184</v>
      </c>
      <c r="F58" s="154" t="s">
        <v>11</v>
      </c>
      <c r="G58" s="157" t="s">
        <v>1487</v>
      </c>
      <c r="H58" s="157" t="s">
        <v>1487</v>
      </c>
      <c r="I58" s="157" t="s">
        <v>1279</v>
      </c>
      <c r="J58" s="157" t="s">
        <v>1279</v>
      </c>
      <c r="K58" s="245"/>
      <c r="AI58" s="268"/>
      <c r="AJ58" s="268"/>
      <c r="AK58" s="268"/>
      <c r="AL58" s="268"/>
      <c r="AM58" s="268"/>
      <c r="AN58" s="268"/>
      <c r="AO58" s="265"/>
      <c r="AP58" s="266"/>
      <c r="AQ58" s="244"/>
      <c r="AR58" s="260"/>
      <c r="AS58" s="269"/>
      <c r="AT58" s="269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  <c r="BG58" s="265"/>
      <c r="BH58" s="266"/>
      <c r="BI58" s="244"/>
      <c r="BJ58" s="260"/>
      <c r="BK58" s="269"/>
      <c r="BL58" s="269"/>
      <c r="BM58" s="268"/>
      <c r="BN58" s="268"/>
      <c r="BO58" s="268"/>
      <c r="BP58" s="268"/>
      <c r="BQ58" s="268"/>
      <c r="BR58" s="268"/>
      <c r="BS58" s="268"/>
      <c r="BT58" s="268"/>
      <c r="BU58" s="268"/>
      <c r="BV58" s="268"/>
      <c r="BW58" s="268"/>
      <c r="BX58" s="268"/>
      <c r="BY58" s="265"/>
      <c r="BZ58" s="266"/>
      <c r="CA58" s="244"/>
      <c r="CB58" s="260"/>
      <c r="CC58" s="269"/>
      <c r="CD58" s="269"/>
      <c r="CE58" s="268"/>
      <c r="CF58" s="268"/>
      <c r="CG58" s="268"/>
      <c r="CH58" s="268"/>
      <c r="CI58" s="268"/>
      <c r="CJ58" s="268"/>
      <c r="CK58" s="268"/>
      <c r="CL58" s="268"/>
      <c r="CM58" s="268"/>
      <c r="CN58" s="268"/>
      <c r="CO58" s="268"/>
      <c r="CP58" s="268"/>
      <c r="CQ58" s="265"/>
      <c r="CR58" s="266"/>
      <c r="CS58" s="244"/>
      <c r="CT58" s="260"/>
      <c r="CU58" s="269"/>
      <c r="CV58" s="269"/>
      <c r="CW58" s="268"/>
      <c r="CX58" s="268"/>
      <c r="CY58" s="268"/>
      <c r="CZ58" s="268"/>
      <c r="DA58" s="268"/>
      <c r="DB58" s="268"/>
      <c r="DC58" s="268"/>
      <c r="DD58" s="268"/>
      <c r="DE58" s="268"/>
      <c r="DF58" s="268"/>
      <c r="DG58" s="268"/>
      <c r="DH58" s="268"/>
      <c r="DI58" s="265"/>
      <c r="DJ58" s="266"/>
      <c r="DK58" s="244"/>
      <c r="DL58" s="260"/>
      <c r="DM58" s="269"/>
      <c r="DN58" s="269"/>
      <c r="DO58" s="268"/>
      <c r="DP58" s="268"/>
      <c r="DQ58" s="268"/>
      <c r="DR58" s="268"/>
      <c r="DS58" s="268"/>
      <c r="DT58" s="268"/>
      <c r="DU58" s="268"/>
      <c r="DV58" s="268"/>
      <c r="DW58" s="268"/>
      <c r="DX58" s="268"/>
      <c r="DY58" s="268"/>
      <c r="DZ58" s="268"/>
      <c r="EA58" s="265"/>
      <c r="EB58" s="266"/>
      <c r="EC58" s="244"/>
      <c r="ED58" s="260"/>
      <c r="EE58" s="269"/>
      <c r="EF58" s="269"/>
      <c r="EG58" s="268"/>
      <c r="EH58" s="268"/>
      <c r="EI58" s="268"/>
      <c r="EJ58" s="268"/>
      <c r="EK58" s="268"/>
      <c r="EL58" s="268"/>
      <c r="EM58" s="268"/>
      <c r="EN58" s="268"/>
      <c r="EO58" s="268"/>
      <c r="EP58" s="268"/>
      <c r="EQ58" s="268"/>
      <c r="ER58" s="268"/>
      <c r="ES58" s="265"/>
      <c r="ET58" s="266"/>
      <c r="EU58" s="244"/>
      <c r="EV58" s="260"/>
      <c r="EW58" s="269"/>
      <c r="EX58" s="269"/>
      <c r="EY58" s="268"/>
      <c r="EZ58" s="268"/>
      <c r="FA58" s="268"/>
      <c r="FB58" s="268"/>
      <c r="FC58" s="268"/>
      <c r="FD58" s="268"/>
      <c r="FE58" s="268"/>
      <c r="FF58" s="268"/>
      <c r="FG58" s="268"/>
      <c r="FH58" s="268"/>
      <c r="FI58" s="268"/>
      <c r="FJ58" s="268"/>
      <c r="FK58" s="265"/>
      <c r="FL58" s="266"/>
      <c r="FM58" s="244"/>
      <c r="FN58" s="260"/>
      <c r="FO58" s="269"/>
      <c r="FP58" s="269"/>
      <c r="FQ58" s="268"/>
      <c r="FR58" s="268"/>
      <c r="FS58" s="268"/>
      <c r="FT58" s="268"/>
      <c r="FU58" s="268"/>
      <c r="FV58" s="268"/>
      <c r="FW58" s="268"/>
      <c r="FX58" s="268"/>
      <c r="FY58" s="268"/>
      <c r="FZ58" s="268"/>
      <c r="GA58" s="268"/>
      <c r="GB58" s="268"/>
      <c r="GC58" s="265"/>
      <c r="GD58" s="266"/>
      <c r="GE58" s="244"/>
      <c r="GF58" s="260"/>
      <c r="GG58" s="269"/>
      <c r="GH58" s="269"/>
      <c r="GI58" s="268"/>
      <c r="GJ58" s="268"/>
      <c r="GK58" s="268"/>
      <c r="GL58" s="268"/>
      <c r="GM58" s="268"/>
      <c r="GN58" s="268"/>
      <c r="GO58" s="268"/>
      <c r="GP58" s="268"/>
      <c r="GQ58" s="268"/>
      <c r="GR58" s="268"/>
      <c r="GS58" s="268"/>
      <c r="GT58" s="268"/>
      <c r="GU58" s="265"/>
      <c r="GV58" s="266"/>
      <c r="GW58" s="244"/>
      <c r="GX58" s="260"/>
      <c r="GY58" s="269"/>
      <c r="GZ58" s="269"/>
      <c r="HA58" s="268"/>
      <c r="HB58" s="268"/>
      <c r="HC58" s="268"/>
      <c r="HD58" s="268"/>
      <c r="HE58" s="268"/>
      <c r="HF58" s="268"/>
      <c r="HG58" s="268"/>
      <c r="HH58" s="268"/>
      <c r="HI58" s="268"/>
      <c r="HJ58" s="268"/>
      <c r="HK58" s="268"/>
      <c r="HL58" s="268"/>
      <c r="HM58" s="265"/>
      <c r="HN58" s="266"/>
      <c r="HO58" s="244"/>
      <c r="HP58" s="260"/>
      <c r="HQ58" s="269"/>
      <c r="HR58" s="269"/>
      <c r="HS58" s="268"/>
      <c r="HT58" s="268"/>
      <c r="HU58" s="268"/>
      <c r="HV58" s="268"/>
      <c r="HW58" s="268"/>
      <c r="HX58" s="268"/>
      <c r="HY58" s="268"/>
      <c r="HZ58" s="268"/>
      <c r="IA58" s="268"/>
      <c r="IB58" s="268"/>
      <c r="IC58" s="268"/>
      <c r="ID58" s="268"/>
      <c r="IE58" s="265"/>
      <c r="IF58" s="266"/>
      <c r="IG58" s="244"/>
      <c r="IH58" s="260"/>
    </row>
    <row r="59" s="230" customFormat="1" ht="13.2" spans="1:242">
      <c r="A59" s="262"/>
      <c r="B59" s="263" t="s">
        <v>44</v>
      </c>
      <c r="C59" s="263" t="s">
        <v>1770</v>
      </c>
      <c r="D59" s="263"/>
      <c r="E59" s="263"/>
      <c r="F59" s="264" t="s">
        <v>1279</v>
      </c>
      <c r="G59" s="264" t="s">
        <v>1279</v>
      </c>
      <c r="H59" s="264" t="s">
        <v>1279</v>
      </c>
      <c r="I59" s="264" t="s">
        <v>1279</v>
      </c>
      <c r="J59" s="264" t="s">
        <v>1279</v>
      </c>
      <c r="K59" s="245"/>
    </row>
    <row r="60" spans="1:242">
      <c r="G60" s="270"/>
      <c r="H60" s="270"/>
      <c r="I60" s="270"/>
    </row>
  </sheetData>
  <mergeCells count="32">
    <mergeCell ref="A5:D5"/>
    <mergeCell ref="H7:K7"/>
    <mergeCell ref="C30:E30"/>
    <mergeCell ref="C45:E45"/>
    <mergeCell ref="C59:E59"/>
    <mergeCell ref="A11:A12"/>
    <mergeCell ref="A19:A21"/>
    <mergeCell ref="B11:B12"/>
    <mergeCell ref="B19:B21"/>
    <mergeCell ref="C11:C12"/>
    <mergeCell ref="C13:C17"/>
    <mergeCell ref="C19:C22"/>
    <mergeCell ref="C23:C24"/>
    <mergeCell ref="C25:C26"/>
    <mergeCell ref="C31:C35"/>
    <mergeCell ref="C37:C38"/>
    <mergeCell ref="C39:C40"/>
    <mergeCell ref="C46:C49"/>
    <mergeCell ref="C52:C53"/>
    <mergeCell ref="C54:C55"/>
    <mergeCell ref="D11:D12"/>
    <mergeCell ref="D19:D21"/>
    <mergeCell ref="D23:D24"/>
    <mergeCell ref="E11:E12"/>
    <mergeCell ref="F11:F12"/>
    <mergeCell ref="G11:G12"/>
    <mergeCell ref="H11:H12"/>
    <mergeCell ref="I11:I12"/>
    <mergeCell ref="J11:J12"/>
    <mergeCell ref="K11:K12"/>
    <mergeCell ref="A1:D4"/>
    <mergeCell ref="E1:K5"/>
  </mergeCells>
  <conditionalFormatting sqref="C23">
    <cfRule type="cellIs" dxfId="2" priority="83" operator="lessThanOrEqual">
      <formula>0</formula>
    </cfRule>
  </conditionalFormatting>
  <conditionalFormatting sqref="AP29:AR29">
    <cfRule type="cellIs" dxfId="2" priority="60" operator="lessThanOrEqual">
      <formula>0</formula>
    </cfRule>
  </conditionalFormatting>
  <conditionalFormatting sqref="BH29:BJ29">
    <cfRule type="cellIs" dxfId="2" priority="59" operator="lessThanOrEqual">
      <formula>0</formula>
    </cfRule>
  </conditionalFormatting>
  <conditionalFormatting sqref="BZ29:CB29">
    <cfRule type="cellIs" dxfId="2" priority="58" operator="lessThanOrEqual">
      <formula>0</formula>
    </cfRule>
  </conditionalFormatting>
  <conditionalFormatting sqref="CR29:CT29">
    <cfRule type="cellIs" dxfId="2" priority="57" operator="lessThanOrEqual">
      <formula>0</formula>
    </cfRule>
  </conditionalFormatting>
  <conditionalFormatting sqref="DJ29:DL29">
    <cfRule type="cellIs" dxfId="2" priority="56" operator="lessThanOrEqual">
      <formula>0</formula>
    </cfRule>
  </conditionalFormatting>
  <conditionalFormatting sqref="EB29:ED29">
    <cfRule type="cellIs" dxfId="2" priority="55" operator="lessThanOrEqual">
      <formula>0</formula>
    </cfRule>
  </conditionalFormatting>
  <conditionalFormatting sqref="ET29:EV29">
    <cfRule type="cellIs" dxfId="2" priority="54" operator="lessThanOrEqual">
      <formula>0</formula>
    </cfRule>
  </conditionalFormatting>
  <conditionalFormatting sqref="FL29:FN29">
    <cfRule type="cellIs" dxfId="2" priority="53" operator="lessThanOrEqual">
      <formula>0</formula>
    </cfRule>
  </conditionalFormatting>
  <conditionalFormatting sqref="GD29:GF29">
    <cfRule type="cellIs" dxfId="2" priority="52" operator="lessThanOrEqual">
      <formula>0</formula>
    </cfRule>
  </conditionalFormatting>
  <conditionalFormatting sqref="GV29:GX29">
    <cfRule type="cellIs" dxfId="2" priority="51" operator="lessThanOrEqual">
      <formula>0</formula>
    </cfRule>
  </conditionalFormatting>
  <conditionalFormatting sqref="HN29:HP29">
    <cfRule type="cellIs" dxfId="2" priority="50" operator="lessThanOrEqual">
      <formula>0</formula>
    </cfRule>
  </conditionalFormatting>
  <conditionalFormatting sqref="IF29:IH29">
    <cfRule type="cellIs" dxfId="2" priority="49" operator="lessThanOrEqual">
      <formula>0</formula>
    </cfRule>
  </conditionalFormatting>
  <conditionalFormatting sqref="K30">
    <cfRule type="cellIs" dxfId="0" priority="30" operator="lessThan">
      <formula>0</formula>
    </cfRule>
  </conditionalFormatting>
  <conditionalFormatting sqref="C31">
    <cfRule type="cellIs" dxfId="2" priority="87" operator="lessThanOrEqual">
      <formula>0</formula>
    </cfRule>
  </conditionalFormatting>
  <conditionalFormatting sqref="C37">
    <cfRule type="cellIs" dxfId="2" priority="81" operator="lessThanOrEqual">
      <formula>0</formula>
    </cfRule>
  </conditionalFormatting>
  <conditionalFormatting sqref="C41:E41">
    <cfRule type="cellIs" dxfId="2" priority="75" operator="lessThanOrEqual">
      <formula>0</formula>
    </cfRule>
  </conditionalFormatting>
  <conditionalFormatting sqref="A44">
    <cfRule type="cellIs" dxfId="2" priority="48" operator="lessThanOrEqual">
      <formula>0</formula>
    </cfRule>
  </conditionalFormatting>
  <conditionalFormatting sqref="K45">
    <cfRule type="cellIs" dxfId="0" priority="15" operator="lessThan">
      <formula>0</formula>
    </cfRule>
  </conditionalFormatting>
  <conditionalFormatting sqref="D46">
    <cfRule type="cellIs" dxfId="2" priority="84" operator="lessThanOrEqual">
      <formula>0</formula>
    </cfRule>
  </conditionalFormatting>
  <conditionalFormatting sqref="AP58:AR58">
    <cfRule type="cellIs" dxfId="2" priority="73" operator="lessThanOrEqual">
      <formula>0</formula>
    </cfRule>
  </conditionalFormatting>
  <conditionalFormatting sqref="BH58:BJ58">
    <cfRule type="cellIs" dxfId="2" priority="72" operator="lessThanOrEqual">
      <formula>0</formula>
    </cfRule>
  </conditionalFormatting>
  <conditionalFormatting sqref="BZ58:CB58">
    <cfRule type="cellIs" dxfId="2" priority="71" operator="lessThanOrEqual">
      <formula>0</formula>
    </cfRule>
  </conditionalFormatting>
  <conditionalFormatting sqref="CR58:CT58">
    <cfRule type="cellIs" dxfId="2" priority="70" operator="lessThanOrEqual">
      <formula>0</formula>
    </cfRule>
  </conditionalFormatting>
  <conditionalFormatting sqref="DJ58:DL58">
    <cfRule type="cellIs" dxfId="2" priority="69" operator="lessThanOrEqual">
      <formula>0</formula>
    </cfRule>
  </conditionalFormatting>
  <conditionalFormatting sqref="EB58:ED58">
    <cfRule type="cellIs" dxfId="2" priority="68" operator="lessThanOrEqual">
      <formula>0</formula>
    </cfRule>
  </conditionalFormatting>
  <conditionalFormatting sqref="ET58:EV58">
    <cfRule type="cellIs" dxfId="2" priority="67" operator="lessThanOrEqual">
      <formula>0</formula>
    </cfRule>
  </conditionalFormatting>
  <conditionalFormatting sqref="FL58:FN58">
    <cfRule type="cellIs" dxfId="2" priority="66" operator="lessThanOrEqual">
      <formula>0</formula>
    </cfRule>
  </conditionalFormatting>
  <conditionalFormatting sqref="GD58:GF58">
    <cfRule type="cellIs" dxfId="2" priority="65" operator="lessThanOrEqual">
      <formula>0</formula>
    </cfRule>
  </conditionalFormatting>
  <conditionalFormatting sqref="GV58:GX58">
    <cfRule type="cellIs" dxfId="2" priority="64" operator="lessThanOrEqual">
      <formula>0</formula>
    </cfRule>
  </conditionalFormatting>
  <conditionalFormatting sqref="HN58:HP58">
    <cfRule type="cellIs" dxfId="2" priority="63" operator="lessThanOrEqual">
      <formula>0</formula>
    </cfRule>
  </conditionalFormatting>
  <conditionalFormatting sqref="IF58:IH58">
    <cfRule type="cellIs" dxfId="2" priority="62" operator="lessThanOrEqual">
      <formula>0</formula>
    </cfRule>
  </conditionalFormatting>
  <conditionalFormatting sqref="K59">
    <cfRule type="cellIs" dxfId="0" priority="1" operator="lessThan">
      <formula>0</formula>
    </cfRule>
  </conditionalFormatting>
  <conditionalFormatting sqref="D31:D32">
    <cfRule type="cellIs" dxfId="2" priority="86" operator="lessThanOrEqual">
      <formula>0</formula>
    </cfRule>
  </conditionalFormatting>
  <conditionalFormatting sqref="E31:E34">
    <cfRule type="cellIs" dxfId="2" priority="82" operator="lessThanOrEqual">
      <formula>0</formula>
    </cfRule>
  </conditionalFormatting>
  <conditionalFormatting sqref="E39:E40">
    <cfRule type="cellIs" dxfId="2" priority="89" operator="lessThanOrEqual">
      <formula>0</formula>
    </cfRule>
  </conditionalFormatting>
  <conditionalFormatting sqref="E46:E49">
    <cfRule type="cellIs" dxfId="2" priority="78" operator="lessThanOrEqual">
      <formula>0</formula>
    </cfRule>
  </conditionalFormatting>
  <conditionalFormatting sqref="E51:E55">
    <cfRule type="cellIs" dxfId="2" priority="79" operator="lessThanOrEqual">
      <formula>0</formula>
    </cfRule>
  </conditionalFormatting>
  <conditionalFormatting sqref="C13:E13 C19:E19 C20:C21 E20:E21 D22:E23 E24 C25:E25 D26:E26 D50:E50">
    <cfRule type="cellIs" dxfId="2" priority="90" operator="lessThanOrEqual">
      <formula>0</formula>
    </cfRule>
  </conditionalFormatting>
  <conditionalFormatting sqref="F13 K13">
    <cfRule type="cellIs" dxfId="0" priority="47" operator="lessThan">
      <formula>0</formula>
    </cfRule>
  </conditionalFormatting>
  <conditionalFormatting sqref="D14:E18">
    <cfRule type="cellIs" dxfId="2" priority="77" operator="lessThanOrEqual">
      <formula>0</formula>
    </cfRule>
  </conditionalFormatting>
  <conditionalFormatting sqref="F14 K14">
    <cfRule type="cellIs" dxfId="0" priority="46" operator="lessThan">
      <formula>0</formula>
    </cfRule>
  </conditionalFormatting>
  <conditionalFormatting sqref="F15 K15">
    <cfRule type="cellIs" dxfId="0" priority="45" operator="lessThan">
      <formula>0</formula>
    </cfRule>
  </conditionalFormatting>
  <conditionalFormatting sqref="F16 K16">
    <cfRule type="cellIs" dxfId="0" priority="44" operator="lessThan">
      <formula>0</formula>
    </cfRule>
  </conditionalFormatting>
  <conditionalFormatting sqref="F17 K17">
    <cfRule type="cellIs" dxfId="0" priority="43" operator="lessThan">
      <formula>0</formula>
    </cfRule>
  </conditionalFormatting>
  <conditionalFormatting sqref="F18 K18">
    <cfRule type="cellIs" dxfId="0" priority="42" operator="lessThan">
      <formula>0</formula>
    </cfRule>
  </conditionalFormatting>
  <conditionalFormatting sqref="F19 K19">
    <cfRule type="cellIs" dxfId="0" priority="41" operator="lessThan">
      <formula>0</formula>
    </cfRule>
  </conditionalFormatting>
  <conditionalFormatting sqref="F20 K20">
    <cfRule type="cellIs" dxfId="0" priority="40" operator="lessThan">
      <formula>0</formula>
    </cfRule>
  </conditionalFormatting>
  <conditionalFormatting sqref="F21 K21">
    <cfRule type="cellIs" dxfId="0" priority="39" operator="lessThan">
      <formula>0</formula>
    </cfRule>
  </conditionalFormatting>
  <conditionalFormatting sqref="F22 K22">
    <cfRule type="cellIs" dxfId="0" priority="38" operator="lessThan">
      <formula>0</formula>
    </cfRule>
  </conditionalFormatting>
  <conditionalFormatting sqref="F23 K23">
    <cfRule type="cellIs" dxfId="0" priority="37" operator="lessThan">
      <formula>0</formula>
    </cfRule>
  </conditionalFormatting>
  <conditionalFormatting sqref="F24 K24">
    <cfRule type="cellIs" dxfId="0" priority="36" operator="lessThan">
      <formula>0</formula>
    </cfRule>
  </conditionalFormatting>
  <conditionalFormatting sqref="F25 K25">
    <cfRule type="cellIs" dxfId="0" priority="35" operator="lessThan">
      <formula>0</formula>
    </cfRule>
  </conditionalFormatting>
  <conditionalFormatting sqref="F26 K26">
    <cfRule type="cellIs" dxfId="0" priority="34" operator="lessThan">
      <formula>0</formula>
    </cfRule>
  </conditionalFormatting>
  <conditionalFormatting sqref="C27:E29">
    <cfRule type="cellIs" dxfId="2" priority="61" operator="lessThanOrEqual">
      <formula>0</formula>
    </cfRule>
  </conditionalFormatting>
  <conditionalFormatting sqref="F27 K27">
    <cfRule type="cellIs" dxfId="0" priority="33" operator="lessThan">
      <formula>0</formula>
    </cfRule>
  </conditionalFormatting>
  <conditionalFormatting sqref="F28 K28">
    <cfRule type="cellIs" dxfId="0" priority="32" operator="lessThan">
      <formula>0</formula>
    </cfRule>
  </conditionalFormatting>
  <conditionalFormatting sqref="F29 K29">
    <cfRule type="cellIs" dxfId="0" priority="31" operator="lessThan">
      <formula>0</formula>
    </cfRule>
  </conditionalFormatting>
  <conditionalFormatting sqref="F31 K31">
    <cfRule type="cellIs" dxfId="0" priority="29" operator="lessThan">
      <formula>0</formula>
    </cfRule>
  </conditionalFormatting>
  <conditionalFormatting sqref="F32 K32">
    <cfRule type="cellIs" dxfId="0" priority="28" operator="lessThan">
      <formula>0</formula>
    </cfRule>
  </conditionalFormatting>
  <conditionalFormatting sqref="F33 K33">
    <cfRule type="cellIs" dxfId="0" priority="27" operator="lessThan">
      <formula>0</formula>
    </cfRule>
  </conditionalFormatting>
  <conditionalFormatting sqref="D34 C42:C43">
    <cfRule type="cellIs" dxfId="2" priority="88" operator="lessThanOrEqual">
      <formula>0</formula>
    </cfRule>
  </conditionalFormatting>
  <conditionalFormatting sqref="F34 K34">
    <cfRule type="cellIs" dxfId="0" priority="26" operator="lessThan">
      <formula>0</formula>
    </cfRule>
  </conditionalFormatting>
  <conditionalFormatting sqref="D35:E38">
    <cfRule type="cellIs" dxfId="2" priority="76" operator="lessThanOrEqual">
      <formula>0</formula>
    </cfRule>
  </conditionalFormatting>
  <conditionalFormatting sqref="F35 K35">
    <cfRule type="cellIs" dxfId="0" priority="25" operator="lessThan">
      <formula>0</formula>
    </cfRule>
  </conditionalFormatting>
  <conditionalFormatting sqref="F36 K36">
    <cfRule type="cellIs" dxfId="0" priority="24" operator="lessThan">
      <formula>0</formula>
    </cfRule>
  </conditionalFormatting>
  <conditionalFormatting sqref="F37 K37">
    <cfRule type="cellIs" dxfId="0" priority="23" operator="lessThan">
      <formula>0</formula>
    </cfRule>
  </conditionalFormatting>
  <conditionalFormatting sqref="F38 K38">
    <cfRule type="cellIs" dxfId="0" priority="22" operator="lessThan">
      <formula>0</formula>
    </cfRule>
  </conditionalFormatting>
  <conditionalFormatting sqref="F39 K39">
    <cfRule type="cellIs" dxfId="0" priority="21" operator="lessThan">
      <formula>0</formula>
    </cfRule>
  </conditionalFormatting>
  <conditionalFormatting sqref="F40 K40">
    <cfRule type="cellIs" dxfId="0" priority="20" operator="lessThan">
      <formula>0</formula>
    </cfRule>
  </conditionalFormatting>
  <conditionalFormatting sqref="F41 K41">
    <cfRule type="cellIs" dxfId="0" priority="19" operator="lessThan">
      <formula>0</formula>
    </cfRule>
  </conditionalFormatting>
  <conditionalFormatting sqref="D42:E44">
    <cfRule type="cellIs" dxfId="2" priority="85" operator="lessThanOrEqual">
      <formula>0</formula>
    </cfRule>
  </conditionalFormatting>
  <conditionalFormatting sqref="F42 K42">
    <cfRule type="cellIs" dxfId="0" priority="18" operator="lessThan">
      <formula>0</formula>
    </cfRule>
  </conditionalFormatting>
  <conditionalFormatting sqref="F43 K43">
    <cfRule type="cellIs" dxfId="0" priority="17" operator="lessThan">
      <formula>0</formula>
    </cfRule>
  </conditionalFormatting>
  <conditionalFormatting sqref="F44 K44">
    <cfRule type="cellIs" dxfId="0" priority="16" operator="lessThan">
      <formula>0</formula>
    </cfRule>
  </conditionalFormatting>
  <conditionalFormatting sqref="F46 K46">
    <cfRule type="cellIs" dxfId="0" priority="14" operator="lessThan">
      <formula>0</formula>
    </cfRule>
  </conditionalFormatting>
  <conditionalFormatting sqref="F47 K47">
    <cfRule type="cellIs" dxfId="0" priority="13" operator="lessThan">
      <formula>0</formula>
    </cfRule>
  </conditionalFormatting>
  <conditionalFormatting sqref="D48:D49 D52:D55">
    <cfRule type="cellIs" dxfId="2" priority="80" operator="lessThanOrEqual">
      <formula>0</formula>
    </cfRule>
  </conditionalFormatting>
  <conditionalFormatting sqref="F48 K48">
    <cfRule type="cellIs" dxfId="0" priority="12" operator="lessThan">
      <formula>0</formula>
    </cfRule>
  </conditionalFormatting>
  <conditionalFormatting sqref="F49 K49">
    <cfRule type="cellIs" dxfId="0" priority="11" operator="lessThan">
      <formula>0</formula>
    </cfRule>
  </conditionalFormatting>
  <conditionalFormatting sqref="F50 K50">
    <cfRule type="cellIs" dxfId="0" priority="10" operator="lessThan">
      <formula>0</formula>
    </cfRule>
  </conditionalFormatting>
  <conditionalFormatting sqref="F51 K51">
    <cfRule type="cellIs" dxfId="0" priority="9" operator="lessThan">
      <formula>0</formula>
    </cfRule>
  </conditionalFormatting>
  <conditionalFormatting sqref="F52 K52">
    <cfRule type="cellIs" dxfId="0" priority="8" operator="lessThan">
      <formula>0</formula>
    </cfRule>
  </conditionalFormatting>
  <conditionalFormatting sqref="F53 K53">
    <cfRule type="cellIs" dxfId="0" priority="7" operator="lessThan">
      <formula>0</formula>
    </cfRule>
  </conditionalFormatting>
  <conditionalFormatting sqref="F54 K54">
    <cfRule type="cellIs" dxfId="0" priority="6" operator="lessThan">
      <formula>0</formula>
    </cfRule>
  </conditionalFormatting>
  <conditionalFormatting sqref="F55 K55">
    <cfRule type="cellIs" dxfId="0" priority="5" operator="lessThan">
      <formula>0</formula>
    </cfRule>
  </conditionalFormatting>
  <conditionalFormatting sqref="C56:E58">
    <cfRule type="cellIs" dxfId="2" priority="74" operator="lessThanOrEqual">
      <formula>0</formula>
    </cfRule>
  </conditionalFormatting>
  <conditionalFormatting sqref="F56 K56">
    <cfRule type="cellIs" dxfId="0" priority="4" operator="lessThan">
      <formula>0</formula>
    </cfRule>
  </conditionalFormatting>
  <conditionalFormatting sqref="F57 K57">
    <cfRule type="cellIs" dxfId="0" priority="3" operator="lessThan">
      <formula>0</formula>
    </cfRule>
  </conditionalFormatting>
  <conditionalFormatting sqref="F58 K58">
    <cfRule type="cellIs" dxfId="0" priority="2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pageSetup paperSize="9" orientation="portrait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51">
    <tabColor theme="2" tint="-0.249977111117893"/>
  </sheetPr>
  <dimension ref="A1:L39"/>
  <sheetViews>
    <sheetView zoomScale="90" zoomScaleNormal="90" workbookViewId="0">
      <pane xSplit="4" ySplit="1" topLeftCell="E2" activePane="bottomRight" state="frozen"/>
      <selection/>
      <selection pane="topRight"/>
      <selection pane="bottomLeft"/>
      <selection pane="bottomRight" activeCell="M29" sqref="M29"/>
    </sheetView>
  </sheetViews>
  <sheetFormatPr defaultColWidth="8.90740740740741" defaultRowHeight="10.8"/>
  <cols>
    <col min="1" max="1" width="8.90740740740741" style="190"/>
    <col min="2" max="2" width="8.90740740740741" style="190" customWidth="1"/>
    <col min="3" max="3" width="17.3611111111111" style="190" customWidth="1"/>
    <col min="4" max="4" width="14.6296296296296" style="190" customWidth="1"/>
    <col min="5" max="16384" width="8.90740740740741" style="190"/>
  </cols>
  <sheetData>
    <row r="1" s="55" customFormat="1" ht="19" customHeight="1" spans="1:12">
      <c r="A1" s="61" t="s">
        <v>100</v>
      </c>
      <c r="B1" s="62"/>
      <c r="C1" s="62"/>
      <c r="D1" s="62"/>
      <c r="E1" s="62"/>
      <c r="F1" s="62"/>
      <c r="G1" s="165" t="s">
        <v>1517</v>
      </c>
      <c r="H1" s="166"/>
      <c r="I1" s="166"/>
      <c r="J1" s="166"/>
      <c r="K1" s="166"/>
      <c r="L1" s="167"/>
    </row>
    <row r="2" s="55" customFormat="1" ht="19" customHeight="1" spans="1:12">
      <c r="A2" s="62"/>
      <c r="B2" s="62"/>
      <c r="C2" s="62"/>
      <c r="D2" s="62"/>
      <c r="E2" s="62"/>
      <c r="F2" s="62"/>
      <c r="G2" s="168"/>
      <c r="H2" s="169"/>
      <c r="I2" s="169"/>
      <c r="J2" s="169"/>
      <c r="K2" s="169"/>
      <c r="L2" s="170"/>
    </row>
    <row r="3" s="55" customFormat="1" ht="19" customHeight="1" spans="1:12">
      <c r="A3" s="62"/>
      <c r="B3" s="62"/>
      <c r="C3" s="62"/>
      <c r="D3" s="62"/>
      <c r="E3" s="62"/>
      <c r="F3" s="62"/>
      <c r="G3" s="168"/>
      <c r="H3" s="169"/>
      <c r="I3" s="169"/>
      <c r="J3" s="169"/>
      <c r="K3" s="169"/>
      <c r="L3" s="170"/>
    </row>
    <row r="4" s="55" customFormat="1" ht="19" customHeight="1" spans="1:12">
      <c r="A4" s="62"/>
      <c r="B4" s="62"/>
      <c r="C4" s="62"/>
      <c r="D4" s="62"/>
      <c r="E4" s="62"/>
      <c r="F4" s="62"/>
      <c r="G4" s="168"/>
      <c r="H4" s="169"/>
      <c r="I4" s="169"/>
      <c r="J4" s="169"/>
      <c r="K4" s="169"/>
      <c r="L4" s="170"/>
    </row>
    <row r="5" s="55" customFormat="1" ht="19" customHeight="1" spans="1:12">
      <c r="A5" s="65" t="s">
        <v>1518</v>
      </c>
      <c r="B5" s="65"/>
      <c r="C5" s="65"/>
      <c r="D5" s="65"/>
      <c r="E5" s="65"/>
      <c r="F5" s="65"/>
      <c r="G5" s="171"/>
      <c r="H5" s="172"/>
      <c r="I5" s="172"/>
      <c r="J5" s="172"/>
      <c r="K5" s="172"/>
      <c r="L5" s="173"/>
    </row>
    <row r="6" s="55" customFormat="1" ht="5" customHeight="1" spans="1:12">
      <c r="A6" s="66"/>
      <c r="B6" s="66"/>
      <c r="C6" s="67"/>
      <c r="D6" s="67"/>
      <c r="E6" s="67"/>
      <c r="F6" s="67"/>
      <c r="G6" s="68"/>
      <c r="H6" s="68"/>
      <c r="I6" s="69"/>
      <c r="J6" s="67"/>
    </row>
    <row r="7" s="1" customFormat="1" ht="14" customHeight="1" spans="1:12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21" t="s">
        <v>1505</v>
      </c>
      <c r="I7" s="174"/>
      <c r="J7" s="174"/>
      <c r="K7" s="174"/>
      <c r="L7" s="22"/>
    </row>
    <row r="9" spans="1:12">
      <c r="A9" s="191" t="s">
        <v>103</v>
      </c>
      <c r="B9" s="191" t="s">
        <v>1120</v>
      </c>
      <c r="C9" s="210" t="s">
        <v>0</v>
      </c>
      <c r="D9" s="211" t="s">
        <v>1771</v>
      </c>
      <c r="E9" s="212" t="s">
        <v>117</v>
      </c>
      <c r="F9" s="193" t="s">
        <v>1711</v>
      </c>
      <c r="G9" s="151" t="s">
        <v>1234</v>
      </c>
      <c r="H9" s="151" t="s">
        <v>1235</v>
      </c>
      <c r="I9" s="151" t="s">
        <v>1236</v>
      </c>
      <c r="J9" s="152" t="s">
        <v>1237</v>
      </c>
      <c r="K9" s="152" t="s">
        <v>1238</v>
      </c>
      <c r="L9" s="152" t="s">
        <v>1522</v>
      </c>
    </row>
    <row r="10" spans="1:12">
      <c r="A10" s="191"/>
      <c r="B10" s="191"/>
      <c r="C10" s="210"/>
      <c r="D10" s="213"/>
      <c r="E10" s="212"/>
      <c r="F10" s="195"/>
      <c r="G10" s="151"/>
      <c r="H10" s="151"/>
      <c r="I10" s="151"/>
      <c r="J10" s="152"/>
      <c r="K10" s="152"/>
      <c r="L10" s="152"/>
    </row>
    <row r="11" ht="13.2" spans="1:12">
      <c r="A11" s="180" t="s">
        <v>1128</v>
      </c>
      <c r="B11" s="180" t="s">
        <v>1772</v>
      </c>
      <c r="C11" s="181">
        <v>59</v>
      </c>
      <c r="D11" s="197" t="s">
        <v>1523</v>
      </c>
      <c r="E11" s="182" t="s">
        <v>147</v>
      </c>
      <c r="F11" s="197" t="s">
        <v>1523</v>
      </c>
      <c r="G11" s="154" t="s">
        <v>11</v>
      </c>
      <c r="H11" s="157" t="s">
        <v>1487</v>
      </c>
      <c r="I11" s="157" t="s">
        <v>1487</v>
      </c>
      <c r="J11" s="157" t="s">
        <v>1279</v>
      </c>
      <c r="K11" s="157" t="s">
        <v>1279</v>
      </c>
      <c r="L11" s="155"/>
    </row>
    <row r="12" ht="26.4" spans="1:12">
      <c r="A12" s="180" t="s">
        <v>1128</v>
      </c>
      <c r="B12" s="180" t="s">
        <v>1772</v>
      </c>
      <c r="C12" s="181">
        <v>60</v>
      </c>
      <c r="D12" s="197" t="s">
        <v>1523</v>
      </c>
      <c r="E12" s="182" t="s">
        <v>159</v>
      </c>
      <c r="F12" s="197" t="s">
        <v>1523</v>
      </c>
      <c r="G12" s="154" t="s">
        <v>11</v>
      </c>
      <c r="H12" s="157" t="s">
        <v>1487</v>
      </c>
      <c r="I12" s="157" t="s">
        <v>1487</v>
      </c>
      <c r="J12" s="157" t="s">
        <v>1279</v>
      </c>
      <c r="K12" s="157" t="s">
        <v>1279</v>
      </c>
      <c r="L12" s="155"/>
    </row>
    <row r="13" ht="13.2" spans="1:12">
      <c r="A13" s="180" t="s">
        <v>1128</v>
      </c>
      <c r="B13" s="180" t="s">
        <v>1772</v>
      </c>
      <c r="C13" s="181">
        <v>61</v>
      </c>
      <c r="D13" s="197" t="s">
        <v>1523</v>
      </c>
      <c r="E13" s="214" t="s">
        <v>170</v>
      </c>
      <c r="F13" s="199" t="s">
        <v>1523</v>
      </c>
      <c r="G13" s="154" t="s">
        <v>11</v>
      </c>
      <c r="H13" s="157" t="s">
        <v>1487</v>
      </c>
      <c r="I13" s="157" t="s">
        <v>1487</v>
      </c>
      <c r="J13" s="157" t="s">
        <v>1279</v>
      </c>
      <c r="K13" s="157" t="s">
        <v>1279</v>
      </c>
      <c r="L13" s="155"/>
    </row>
    <row r="14" ht="13.2" spans="1:12">
      <c r="A14" s="180" t="s">
        <v>1128</v>
      </c>
      <c r="B14" s="180" t="s">
        <v>1772</v>
      </c>
      <c r="C14" s="181">
        <v>62</v>
      </c>
      <c r="D14" s="215" t="s">
        <v>182</v>
      </c>
      <c r="E14" s="216" t="s">
        <v>181</v>
      </c>
      <c r="F14" s="217" t="s">
        <v>183</v>
      </c>
      <c r="G14" s="154" t="s">
        <v>11</v>
      </c>
      <c r="H14" s="157" t="s">
        <v>1487</v>
      </c>
      <c r="I14" s="157" t="s">
        <v>1487</v>
      </c>
      <c r="J14" s="157" t="s">
        <v>1279</v>
      </c>
      <c r="K14" s="157" t="s">
        <v>1279</v>
      </c>
      <c r="L14" s="155"/>
    </row>
    <row r="15" ht="13.2" spans="1:12">
      <c r="A15" s="180" t="s">
        <v>1128</v>
      </c>
      <c r="B15" s="180" t="s">
        <v>1772</v>
      </c>
      <c r="C15" s="181">
        <v>63</v>
      </c>
      <c r="D15" s="215" t="s">
        <v>191</v>
      </c>
      <c r="E15" s="218" t="s">
        <v>160</v>
      </c>
      <c r="F15" s="217" t="s">
        <v>160</v>
      </c>
      <c r="G15" s="154" t="s">
        <v>11</v>
      </c>
      <c r="H15" s="157" t="s">
        <v>1487</v>
      </c>
      <c r="I15" s="157" t="s">
        <v>1487</v>
      </c>
      <c r="J15" s="157" t="s">
        <v>1279</v>
      </c>
      <c r="K15" s="157" t="s">
        <v>1279</v>
      </c>
      <c r="L15" s="155"/>
    </row>
    <row r="16" ht="13.2" spans="1:12">
      <c r="A16" s="180" t="s">
        <v>1128</v>
      </c>
      <c r="B16" s="180" t="s">
        <v>1772</v>
      </c>
      <c r="C16" s="181">
        <v>64</v>
      </c>
      <c r="D16" s="215" t="s">
        <v>191</v>
      </c>
      <c r="E16" s="218" t="s">
        <v>171</v>
      </c>
      <c r="F16" s="217" t="s">
        <v>171</v>
      </c>
      <c r="G16" s="154" t="s">
        <v>11</v>
      </c>
      <c r="H16" s="157" t="s">
        <v>1487</v>
      </c>
      <c r="I16" s="157" t="s">
        <v>1487</v>
      </c>
      <c r="J16" s="157" t="s">
        <v>1279</v>
      </c>
      <c r="K16" s="157" t="s">
        <v>1279</v>
      </c>
      <c r="L16" s="155"/>
    </row>
    <row r="17" ht="13.2" spans="1:12">
      <c r="A17" s="180" t="s">
        <v>1128</v>
      </c>
      <c r="B17" s="180" t="s">
        <v>1772</v>
      </c>
      <c r="C17" s="181">
        <v>65</v>
      </c>
      <c r="D17" s="215" t="s">
        <v>191</v>
      </c>
      <c r="E17" s="218" t="s">
        <v>184</v>
      </c>
      <c r="F17" s="217" t="s">
        <v>184</v>
      </c>
      <c r="G17" s="154" t="s">
        <v>11</v>
      </c>
      <c r="H17" s="157" t="s">
        <v>1487</v>
      </c>
      <c r="I17" s="157" t="s">
        <v>1487</v>
      </c>
      <c r="J17" s="157" t="s">
        <v>1279</v>
      </c>
      <c r="K17" s="157" t="s">
        <v>1279</v>
      </c>
      <c r="L17" s="155"/>
    </row>
    <row r="18" ht="13.2" spans="1:12">
      <c r="A18" s="180" t="s">
        <v>1128</v>
      </c>
      <c r="B18" s="180" t="s">
        <v>1772</v>
      </c>
      <c r="C18" s="181">
        <v>66</v>
      </c>
      <c r="D18" s="215" t="s">
        <v>182</v>
      </c>
      <c r="E18" s="216" t="s">
        <v>212</v>
      </c>
      <c r="F18" s="217" t="s">
        <v>183</v>
      </c>
      <c r="G18" s="154" t="s">
        <v>11</v>
      </c>
      <c r="H18" s="157" t="s">
        <v>1487</v>
      </c>
      <c r="I18" s="157" t="s">
        <v>1487</v>
      </c>
      <c r="J18" s="157" t="s">
        <v>1279</v>
      </c>
      <c r="K18" s="157" t="s">
        <v>1279</v>
      </c>
      <c r="L18" s="155"/>
    </row>
    <row r="19" ht="13.2" spans="1:12">
      <c r="A19" s="180" t="s">
        <v>1128</v>
      </c>
      <c r="B19" s="180" t="s">
        <v>1772</v>
      </c>
      <c r="C19" s="181">
        <v>67</v>
      </c>
      <c r="D19" s="215" t="s">
        <v>182</v>
      </c>
      <c r="E19" s="216" t="s">
        <v>218</v>
      </c>
      <c r="F19" s="217" t="s">
        <v>183</v>
      </c>
      <c r="G19" s="154" t="s">
        <v>11</v>
      </c>
      <c r="H19" s="157" t="s">
        <v>1487</v>
      </c>
      <c r="I19" s="157" t="s">
        <v>1487</v>
      </c>
      <c r="J19" s="157" t="s">
        <v>1279</v>
      </c>
      <c r="K19" s="157" t="s">
        <v>1279</v>
      </c>
      <c r="L19" s="155"/>
    </row>
    <row r="20" ht="13.2" spans="1:12">
      <c r="A20" s="180" t="s">
        <v>1128</v>
      </c>
      <c r="B20" s="180" t="s">
        <v>1772</v>
      </c>
      <c r="C20" s="181">
        <v>68</v>
      </c>
      <c r="D20" s="215" t="s">
        <v>182</v>
      </c>
      <c r="E20" s="216" t="s">
        <v>225</v>
      </c>
      <c r="F20" s="217" t="s">
        <v>183</v>
      </c>
      <c r="G20" s="154" t="s">
        <v>11</v>
      </c>
      <c r="H20" s="157" t="s">
        <v>1487</v>
      </c>
      <c r="I20" s="157" t="s">
        <v>1487</v>
      </c>
      <c r="J20" s="157" t="s">
        <v>1279</v>
      </c>
      <c r="K20" s="157" t="s">
        <v>1279</v>
      </c>
      <c r="L20" s="155"/>
    </row>
    <row r="21" ht="13.2" spans="1:12">
      <c r="A21" s="180" t="s">
        <v>1128</v>
      </c>
      <c r="B21" s="180" t="s">
        <v>1772</v>
      </c>
      <c r="C21" s="181">
        <v>69</v>
      </c>
      <c r="D21" s="215" t="s">
        <v>182</v>
      </c>
      <c r="E21" s="216" t="s">
        <v>230</v>
      </c>
      <c r="F21" s="217" t="s">
        <v>183</v>
      </c>
      <c r="G21" s="154" t="s">
        <v>11</v>
      </c>
      <c r="H21" s="157" t="s">
        <v>1487</v>
      </c>
      <c r="I21" s="157" t="s">
        <v>1487</v>
      </c>
      <c r="J21" s="157" t="s">
        <v>1279</v>
      </c>
      <c r="K21" s="157" t="s">
        <v>1279</v>
      </c>
      <c r="L21" s="155"/>
    </row>
    <row r="22" ht="13.2" spans="1:12">
      <c r="A22" s="180" t="s">
        <v>1128</v>
      </c>
      <c r="B22" s="180" t="s">
        <v>1772</v>
      </c>
      <c r="C22" s="181">
        <v>70</v>
      </c>
      <c r="D22" s="215" t="s">
        <v>182</v>
      </c>
      <c r="E22" s="216" t="s">
        <v>236</v>
      </c>
      <c r="F22" s="217" t="s">
        <v>219</v>
      </c>
      <c r="G22" s="154" t="s">
        <v>11</v>
      </c>
      <c r="H22" s="157" t="s">
        <v>1487</v>
      </c>
      <c r="I22" s="157" t="s">
        <v>1487</v>
      </c>
      <c r="J22" s="157" t="s">
        <v>1279</v>
      </c>
      <c r="K22" s="157" t="s">
        <v>1279</v>
      </c>
      <c r="L22" s="155"/>
    </row>
    <row r="23" ht="13.2" spans="1:12">
      <c r="A23" s="180" t="s">
        <v>1128</v>
      </c>
      <c r="B23" s="180" t="s">
        <v>1772</v>
      </c>
      <c r="C23" s="181">
        <v>71</v>
      </c>
      <c r="D23" s="215" t="s">
        <v>182</v>
      </c>
      <c r="E23" s="216" t="s">
        <v>219</v>
      </c>
      <c r="F23" s="217" t="s">
        <v>219</v>
      </c>
      <c r="G23" s="154" t="s">
        <v>11</v>
      </c>
      <c r="H23" s="157" t="s">
        <v>1487</v>
      </c>
      <c r="I23" s="157" t="s">
        <v>1487</v>
      </c>
      <c r="J23" s="157" t="s">
        <v>1279</v>
      </c>
      <c r="K23" s="157" t="s">
        <v>1279</v>
      </c>
      <c r="L23" s="155"/>
    </row>
    <row r="24" ht="13.2" spans="1:12">
      <c r="A24" s="180" t="s">
        <v>1128</v>
      </c>
      <c r="B24" s="180" t="s">
        <v>1772</v>
      </c>
      <c r="C24" s="181">
        <v>72</v>
      </c>
      <c r="D24" s="215" t="s">
        <v>182</v>
      </c>
      <c r="E24" s="216" t="s">
        <v>226</v>
      </c>
      <c r="F24" s="217" t="s">
        <v>183</v>
      </c>
      <c r="G24" s="154" t="s">
        <v>11</v>
      </c>
      <c r="H24" s="157" t="s">
        <v>1487</v>
      </c>
      <c r="I24" s="157" t="s">
        <v>1487</v>
      </c>
      <c r="J24" s="157" t="s">
        <v>1279</v>
      </c>
      <c r="K24" s="157" t="s">
        <v>1279</v>
      </c>
      <c r="L24" s="155"/>
    </row>
    <row r="25" ht="13.2" spans="1:12">
      <c r="A25" s="180" t="s">
        <v>1128</v>
      </c>
      <c r="B25" s="180" t="s">
        <v>1772</v>
      </c>
      <c r="C25" s="181">
        <v>73</v>
      </c>
      <c r="D25" s="215" t="s">
        <v>182</v>
      </c>
      <c r="E25" s="219" t="s">
        <v>231</v>
      </c>
      <c r="F25" s="217" t="s">
        <v>231</v>
      </c>
      <c r="G25" s="154" t="s">
        <v>11</v>
      </c>
      <c r="H25" s="157" t="s">
        <v>1487</v>
      </c>
      <c r="I25" s="157" t="s">
        <v>1487</v>
      </c>
      <c r="J25" s="157" t="s">
        <v>1279</v>
      </c>
      <c r="K25" s="157" t="s">
        <v>1279</v>
      </c>
      <c r="L25" s="155"/>
    </row>
    <row r="26" ht="15.6" spans="1:12">
      <c r="A26" s="220" t="s">
        <v>1128</v>
      </c>
      <c r="B26" s="220" t="s">
        <v>1772</v>
      </c>
      <c r="C26" s="221">
        <v>74</v>
      </c>
      <c r="D26" s="215" t="s">
        <v>191</v>
      </c>
      <c r="E26" s="222" t="s">
        <v>250</v>
      </c>
      <c r="F26" s="223" t="s">
        <v>237</v>
      </c>
      <c r="G26" s="154" t="s">
        <v>11</v>
      </c>
      <c r="H26" s="157" t="s">
        <v>1487</v>
      </c>
      <c r="I26" s="157" t="s">
        <v>1487</v>
      </c>
      <c r="J26" s="157" t="s">
        <v>1279</v>
      </c>
      <c r="K26" s="157" t="s">
        <v>1279</v>
      </c>
      <c r="L26" s="155"/>
    </row>
    <row r="27" ht="13.2" spans="1:12">
      <c r="A27" s="180" t="s">
        <v>1128</v>
      </c>
      <c r="B27" s="180" t="s">
        <v>1772</v>
      </c>
      <c r="C27" s="224">
        <v>75</v>
      </c>
      <c r="D27" s="215" t="s">
        <v>182</v>
      </c>
      <c r="E27" s="180" t="s">
        <v>253</v>
      </c>
      <c r="F27" s="217" t="s">
        <v>237</v>
      </c>
      <c r="G27" s="154" t="s">
        <v>11</v>
      </c>
      <c r="H27" s="157" t="s">
        <v>1487</v>
      </c>
      <c r="I27" s="157" t="s">
        <v>1487</v>
      </c>
      <c r="J27" s="157" t="s">
        <v>1279</v>
      </c>
      <c r="K27" s="157" t="s">
        <v>1279</v>
      </c>
      <c r="L27" s="155"/>
    </row>
    <row r="28" ht="13.2" spans="1:12">
      <c r="A28" s="180" t="s">
        <v>1128</v>
      </c>
      <c r="B28" s="180" t="s">
        <v>1772</v>
      </c>
      <c r="C28" s="181">
        <v>76</v>
      </c>
      <c r="D28" s="215" t="s">
        <v>191</v>
      </c>
      <c r="E28" s="219" t="s">
        <v>192</v>
      </c>
      <c r="F28" s="217" t="s">
        <v>192</v>
      </c>
      <c r="G28" s="154" t="s">
        <v>11</v>
      </c>
      <c r="H28" s="157" t="s">
        <v>1487</v>
      </c>
      <c r="I28" s="157" t="s">
        <v>1487</v>
      </c>
      <c r="J28" s="157" t="s">
        <v>1279</v>
      </c>
      <c r="K28" s="157" t="s">
        <v>1279</v>
      </c>
      <c r="L28" s="155"/>
    </row>
    <row r="29" ht="13.2" spans="1:12">
      <c r="A29" s="180" t="s">
        <v>1128</v>
      </c>
      <c r="B29" s="180" t="s">
        <v>1772</v>
      </c>
      <c r="C29" s="181">
        <v>77</v>
      </c>
      <c r="D29" s="215" t="s">
        <v>182</v>
      </c>
      <c r="E29" s="219" t="s">
        <v>258</v>
      </c>
      <c r="F29" s="217" t="s">
        <v>241</v>
      </c>
      <c r="G29" s="154" t="s">
        <v>11</v>
      </c>
      <c r="H29" s="157" t="s">
        <v>1487</v>
      </c>
      <c r="I29" s="157" t="s">
        <v>1487</v>
      </c>
      <c r="J29" s="157" t="s">
        <v>1279</v>
      </c>
      <c r="K29" s="157" t="s">
        <v>1279</v>
      </c>
      <c r="L29" s="155"/>
    </row>
    <row r="30" ht="15" spans="1:12">
      <c r="A30" s="180" t="s">
        <v>1128</v>
      </c>
      <c r="B30" s="180" t="s">
        <v>1772</v>
      </c>
      <c r="C30" s="181">
        <v>78</v>
      </c>
      <c r="D30" s="215" t="s">
        <v>182</v>
      </c>
      <c r="E30" s="225" t="s">
        <v>245</v>
      </c>
      <c r="F30" s="217" t="s">
        <v>245</v>
      </c>
      <c r="G30" s="154" t="s">
        <v>11</v>
      </c>
      <c r="H30" s="157" t="s">
        <v>1487</v>
      </c>
      <c r="I30" s="157" t="s">
        <v>1487</v>
      </c>
      <c r="J30" s="157" t="s">
        <v>1279</v>
      </c>
      <c r="K30" s="157" t="s">
        <v>1279</v>
      </c>
      <c r="L30" s="155"/>
    </row>
    <row r="31" ht="13.2" spans="1:12">
      <c r="A31" s="180" t="s">
        <v>1128</v>
      </c>
      <c r="B31" s="180" t="s">
        <v>1772</v>
      </c>
      <c r="C31" s="181">
        <v>79</v>
      </c>
      <c r="D31" s="215" t="s">
        <v>182</v>
      </c>
      <c r="E31" s="226" t="s">
        <v>264</v>
      </c>
      <c r="F31" s="217" t="s">
        <v>241</v>
      </c>
      <c r="G31" s="154" t="s">
        <v>11</v>
      </c>
      <c r="H31" s="157" t="s">
        <v>1487</v>
      </c>
      <c r="I31" s="157" t="s">
        <v>1487</v>
      </c>
      <c r="J31" s="157" t="s">
        <v>1279</v>
      </c>
      <c r="K31" s="157" t="s">
        <v>1279</v>
      </c>
      <c r="L31" s="155"/>
    </row>
    <row r="32" ht="13.2" spans="1:12">
      <c r="A32" s="180" t="s">
        <v>1128</v>
      </c>
      <c r="B32" s="180" t="s">
        <v>1772</v>
      </c>
      <c r="C32" s="181">
        <v>80</v>
      </c>
      <c r="D32" s="215" t="s">
        <v>191</v>
      </c>
      <c r="E32" s="219" t="s">
        <v>267</v>
      </c>
      <c r="F32" s="217" t="s">
        <v>192</v>
      </c>
      <c r="G32" s="154" t="s">
        <v>11</v>
      </c>
      <c r="H32" s="157" t="s">
        <v>1487</v>
      </c>
      <c r="I32" s="157" t="s">
        <v>1487</v>
      </c>
      <c r="J32" s="157" t="s">
        <v>1279</v>
      </c>
      <c r="K32" s="157" t="s">
        <v>1279</v>
      </c>
      <c r="L32" s="155"/>
    </row>
    <row r="33" ht="13.2" spans="1:12">
      <c r="A33" s="180" t="s">
        <v>1128</v>
      </c>
      <c r="B33" s="180" t="s">
        <v>1772</v>
      </c>
      <c r="C33" s="181">
        <v>81</v>
      </c>
      <c r="D33" s="215" t="s">
        <v>182</v>
      </c>
      <c r="E33" s="219" t="s">
        <v>271</v>
      </c>
      <c r="F33" s="217" t="s">
        <v>237</v>
      </c>
      <c r="G33" s="154" t="s">
        <v>11</v>
      </c>
      <c r="H33" s="157" t="s">
        <v>1487</v>
      </c>
      <c r="I33" s="157" t="s">
        <v>1487</v>
      </c>
      <c r="J33" s="157" t="s">
        <v>1279</v>
      </c>
      <c r="K33" s="157" t="s">
        <v>1279</v>
      </c>
      <c r="L33" s="155"/>
    </row>
    <row r="34" ht="13.2" spans="1:12">
      <c r="A34" s="180" t="s">
        <v>1128</v>
      </c>
      <c r="B34" s="180" t="s">
        <v>1772</v>
      </c>
      <c r="C34" s="181">
        <v>82</v>
      </c>
      <c r="D34" s="215" t="s">
        <v>191</v>
      </c>
      <c r="E34" s="219" t="s">
        <v>199</v>
      </c>
      <c r="F34" s="217" t="s">
        <v>199</v>
      </c>
      <c r="G34" s="154" t="s">
        <v>11</v>
      </c>
      <c r="H34" s="157" t="s">
        <v>1487</v>
      </c>
      <c r="I34" s="157" t="s">
        <v>1487</v>
      </c>
      <c r="J34" s="157" t="s">
        <v>1279</v>
      </c>
      <c r="K34" s="157" t="s">
        <v>1279</v>
      </c>
      <c r="L34" s="155"/>
    </row>
    <row r="35" ht="13.2" spans="1:12">
      <c r="A35" s="180" t="s">
        <v>1128</v>
      </c>
      <c r="B35" s="180" t="s">
        <v>1772</v>
      </c>
      <c r="C35" s="181">
        <v>83</v>
      </c>
      <c r="D35" s="215" t="s">
        <v>182</v>
      </c>
      <c r="E35" s="219" t="s">
        <v>277</v>
      </c>
      <c r="F35" s="217" t="s">
        <v>241</v>
      </c>
      <c r="G35" s="154" t="s">
        <v>11</v>
      </c>
      <c r="H35" s="157" t="s">
        <v>1487</v>
      </c>
      <c r="I35" s="157" t="s">
        <v>1487</v>
      </c>
      <c r="J35" s="157" t="s">
        <v>1279</v>
      </c>
      <c r="K35" s="157" t="s">
        <v>1279</v>
      </c>
      <c r="L35" s="155"/>
    </row>
    <row r="36" ht="13.2" spans="1:12">
      <c r="A36" s="180" t="s">
        <v>1128</v>
      </c>
      <c r="B36" s="180" t="s">
        <v>1772</v>
      </c>
      <c r="C36" s="181">
        <v>84</v>
      </c>
      <c r="D36" s="215" t="s">
        <v>182</v>
      </c>
      <c r="E36" s="219" t="s">
        <v>241</v>
      </c>
      <c r="F36" s="217" t="s">
        <v>241</v>
      </c>
      <c r="G36" s="154" t="s">
        <v>11</v>
      </c>
      <c r="H36" s="157" t="s">
        <v>1487</v>
      </c>
      <c r="I36" s="157" t="s">
        <v>1487</v>
      </c>
      <c r="J36" s="157" t="s">
        <v>1279</v>
      </c>
      <c r="K36" s="157" t="s">
        <v>1279</v>
      </c>
      <c r="L36" s="155"/>
    </row>
    <row r="37" ht="13.2" spans="1:12">
      <c r="A37" s="180" t="s">
        <v>1128</v>
      </c>
      <c r="B37" s="180" t="s">
        <v>1772</v>
      </c>
      <c r="C37" s="181">
        <v>85</v>
      </c>
      <c r="D37" s="215" t="s">
        <v>182</v>
      </c>
      <c r="E37" s="219" t="s">
        <v>281</v>
      </c>
      <c r="F37" s="217" t="s">
        <v>241</v>
      </c>
      <c r="G37" s="154" t="s">
        <v>11</v>
      </c>
      <c r="H37" s="157" t="s">
        <v>1487</v>
      </c>
      <c r="I37" s="157" t="s">
        <v>1487</v>
      </c>
      <c r="J37" s="157" t="s">
        <v>1279</v>
      </c>
      <c r="K37" s="157" t="s">
        <v>1279</v>
      </c>
      <c r="L37" s="155"/>
    </row>
    <row r="38" ht="13.2" spans="1:12">
      <c r="A38" s="180" t="s">
        <v>1128</v>
      </c>
      <c r="B38" s="180" t="s">
        <v>1772</v>
      </c>
      <c r="C38" s="181">
        <v>86</v>
      </c>
      <c r="D38" s="215" t="s">
        <v>182</v>
      </c>
      <c r="E38" s="219" t="s">
        <v>284</v>
      </c>
      <c r="F38" s="217" t="s">
        <v>241</v>
      </c>
      <c r="G38" s="154" t="s">
        <v>11</v>
      </c>
      <c r="H38" s="157" t="s">
        <v>1487</v>
      </c>
      <c r="I38" s="157" t="s">
        <v>1487</v>
      </c>
      <c r="J38" s="157" t="s">
        <v>1279</v>
      </c>
      <c r="K38" s="157" t="s">
        <v>1279</v>
      </c>
      <c r="L38" s="155"/>
    </row>
    <row r="39" ht="13.2" spans="1:12">
      <c r="A39" s="180" t="s">
        <v>1128</v>
      </c>
      <c r="B39" s="180" t="s">
        <v>1772</v>
      </c>
      <c r="C39" s="181">
        <v>87</v>
      </c>
      <c r="D39" s="181"/>
      <c r="E39" s="219" t="s">
        <v>1418</v>
      </c>
      <c r="F39" s="227"/>
      <c r="G39" s="130" t="s">
        <v>1279</v>
      </c>
      <c r="H39" s="130" t="s">
        <v>1279</v>
      </c>
      <c r="I39" s="130" t="s">
        <v>1279</v>
      </c>
      <c r="J39" s="130" t="s">
        <v>1279</v>
      </c>
      <c r="K39" s="130" t="s">
        <v>1279</v>
      </c>
      <c r="L39" s="155"/>
    </row>
  </sheetData>
  <mergeCells count="16">
    <mergeCell ref="A5:F5"/>
    <mergeCell ref="H7:L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:F4"/>
    <mergeCell ref="G1:L5"/>
  </mergeCells>
  <conditionalFormatting sqref="G11">
    <cfRule type="cellIs" dxfId="0" priority="28" operator="lessThan">
      <formula>0</formula>
    </cfRule>
  </conditionalFormatting>
  <conditionalFormatting sqref="G12">
    <cfRule type="cellIs" dxfId="0" priority="27" operator="lessThan">
      <formula>0</formula>
    </cfRule>
  </conditionalFormatting>
  <conditionalFormatting sqref="G13">
    <cfRule type="cellIs" dxfId="0" priority="26" operator="lessThan">
      <formula>0</formula>
    </cfRule>
  </conditionalFormatting>
  <conditionalFormatting sqref="G14">
    <cfRule type="cellIs" dxfId="0" priority="25" operator="lessThan">
      <formula>0</formula>
    </cfRule>
  </conditionalFormatting>
  <conditionalFormatting sqref="G15">
    <cfRule type="cellIs" dxfId="0" priority="24" operator="lessThan">
      <formula>0</formula>
    </cfRule>
  </conditionalFormatting>
  <conditionalFormatting sqref="G16">
    <cfRule type="cellIs" dxfId="0" priority="23" operator="lessThan">
      <formula>0</formula>
    </cfRule>
  </conditionalFormatting>
  <conditionalFormatting sqref="G17">
    <cfRule type="cellIs" dxfId="0" priority="22" operator="lessThan">
      <formula>0</formula>
    </cfRule>
  </conditionalFormatting>
  <conditionalFormatting sqref="G18">
    <cfRule type="cellIs" dxfId="0" priority="21" operator="lessThan">
      <formula>0</formula>
    </cfRule>
  </conditionalFormatting>
  <conditionalFormatting sqref="G19">
    <cfRule type="cellIs" dxfId="0" priority="20" operator="lessThan">
      <formula>0</formula>
    </cfRule>
  </conditionalFormatting>
  <conditionalFormatting sqref="G20">
    <cfRule type="cellIs" dxfId="0" priority="19" operator="lessThan">
      <formula>0</formula>
    </cfRule>
  </conditionalFormatting>
  <conditionalFormatting sqref="G21">
    <cfRule type="cellIs" dxfId="0" priority="18" operator="lessThan">
      <formula>0</formula>
    </cfRule>
  </conditionalFormatting>
  <conditionalFormatting sqref="G22">
    <cfRule type="cellIs" dxfId="0" priority="17" operator="lessThan">
      <formula>0</formula>
    </cfRule>
  </conditionalFormatting>
  <conditionalFormatting sqref="G23">
    <cfRule type="cellIs" dxfId="0" priority="16" operator="lessThan">
      <formula>0</formula>
    </cfRule>
  </conditionalFormatting>
  <conditionalFormatting sqref="G24">
    <cfRule type="cellIs" dxfId="0" priority="15" operator="lessThan">
      <formula>0</formula>
    </cfRule>
  </conditionalFormatting>
  <conditionalFormatting sqref="G25">
    <cfRule type="cellIs" dxfId="0" priority="14" operator="lessThan">
      <formula>0</formula>
    </cfRule>
  </conditionalFormatting>
  <conditionalFormatting sqref="G26">
    <cfRule type="cellIs" dxfId="0" priority="13" operator="lessThan">
      <formula>0</formula>
    </cfRule>
  </conditionalFormatting>
  <conditionalFormatting sqref="G27">
    <cfRule type="cellIs" dxfId="0" priority="12" operator="lessThan">
      <formula>0</formula>
    </cfRule>
  </conditionalFormatting>
  <conditionalFormatting sqref="G28">
    <cfRule type="cellIs" dxfId="0" priority="11" operator="lessThan">
      <formula>0</formula>
    </cfRule>
  </conditionalFormatting>
  <conditionalFormatting sqref="G29">
    <cfRule type="cellIs" dxfId="0" priority="10" operator="lessThan">
      <formula>0</formula>
    </cfRule>
  </conditionalFormatting>
  <conditionalFormatting sqref="G30">
    <cfRule type="cellIs" dxfId="0" priority="9" operator="lessThan">
      <formula>0</formula>
    </cfRule>
  </conditionalFormatting>
  <conditionalFormatting sqref="G31">
    <cfRule type="cellIs" dxfId="0" priority="8" operator="lessThan">
      <formula>0</formula>
    </cfRule>
  </conditionalFormatting>
  <conditionalFormatting sqref="G32">
    <cfRule type="cellIs" dxfId="0" priority="7" operator="lessThan">
      <formula>0</formula>
    </cfRule>
  </conditionalFormatting>
  <conditionalFormatting sqref="G33">
    <cfRule type="cellIs" dxfId="0" priority="6" operator="lessThan">
      <formula>0</formula>
    </cfRule>
  </conditionalFormatting>
  <conditionalFormatting sqref="G34">
    <cfRule type="cellIs" dxfId="0" priority="5" operator="lessThan">
      <formula>0</formula>
    </cfRule>
  </conditionalFormatting>
  <conditionalFormatting sqref="G35">
    <cfRule type="cellIs" dxfId="0" priority="4" operator="lessThan">
      <formula>0</formula>
    </cfRule>
  </conditionalFormatting>
  <conditionalFormatting sqref="G36">
    <cfRule type="cellIs" dxfId="0" priority="3" operator="lessThan">
      <formula>0</formula>
    </cfRule>
  </conditionalFormatting>
  <conditionalFormatting sqref="G37">
    <cfRule type="cellIs" dxfId="0" priority="2" operator="lessThan">
      <formula>0</formula>
    </cfRule>
  </conditionalFormatting>
  <conditionalFormatting sqref="G38">
    <cfRule type="cellIs" dxfId="0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topLeftCell="A3" workbookViewId="0">
      <selection activeCell="P18" sqref="P18"/>
    </sheetView>
  </sheetViews>
  <sheetFormatPr defaultColWidth="8.88888888888889" defaultRowHeight="14.4"/>
  <sheetData>
    <row r="1" s="55" customFormat="1" ht="19" customHeight="1" spans="1:12">
      <c r="A1" s="61" t="s">
        <v>100</v>
      </c>
      <c r="B1" s="62"/>
      <c r="C1" s="62"/>
      <c r="D1" s="62"/>
      <c r="E1" s="62"/>
      <c r="F1" s="62"/>
      <c r="G1" s="165" t="s">
        <v>1517</v>
      </c>
      <c r="H1" s="166"/>
      <c r="I1" s="166"/>
      <c r="J1" s="166"/>
      <c r="K1" s="166"/>
      <c r="L1" s="167"/>
    </row>
    <row r="2" s="55" customFormat="1" ht="19" customHeight="1" spans="1:12">
      <c r="A2" s="62"/>
      <c r="B2" s="62"/>
      <c r="C2" s="62"/>
      <c r="D2" s="62"/>
      <c r="E2" s="62"/>
      <c r="F2" s="62"/>
      <c r="G2" s="168"/>
      <c r="H2" s="169"/>
      <c r="I2" s="169"/>
      <c r="J2" s="169"/>
      <c r="K2" s="169"/>
      <c r="L2" s="170"/>
    </row>
    <row r="3" s="55" customFormat="1" ht="19" customHeight="1" spans="1:12">
      <c r="A3" s="62"/>
      <c r="B3" s="62"/>
      <c r="C3" s="62"/>
      <c r="D3" s="62"/>
      <c r="E3" s="62"/>
      <c r="F3" s="62"/>
      <c r="G3" s="168"/>
      <c r="H3" s="169"/>
      <c r="I3" s="169"/>
      <c r="J3" s="169"/>
      <c r="K3" s="169"/>
      <c r="L3" s="170"/>
    </row>
    <row r="4" s="55" customFormat="1" ht="19" customHeight="1" spans="1:12">
      <c r="A4" s="62"/>
      <c r="B4" s="62"/>
      <c r="C4" s="62"/>
      <c r="D4" s="62"/>
      <c r="E4" s="62"/>
      <c r="F4" s="62"/>
      <c r="G4" s="168"/>
      <c r="H4" s="169"/>
      <c r="I4" s="169"/>
      <c r="J4" s="169"/>
      <c r="K4" s="169"/>
      <c r="L4" s="170"/>
    </row>
    <row r="5" s="55" customFormat="1" ht="33" customHeight="1" spans="1:12">
      <c r="A5" s="65" t="s">
        <v>1518</v>
      </c>
      <c r="B5" s="65"/>
      <c r="C5" s="65"/>
      <c r="D5" s="65"/>
      <c r="E5" s="65"/>
      <c r="F5" s="65"/>
      <c r="G5" s="171"/>
      <c r="H5" s="172"/>
      <c r="I5" s="172"/>
      <c r="J5" s="172"/>
      <c r="K5" s="172"/>
      <c r="L5" s="173"/>
    </row>
    <row r="6" s="55" customFormat="1" ht="5" customHeight="1" spans="1:12">
      <c r="A6" s="66"/>
      <c r="B6" s="66"/>
      <c r="C6" s="67"/>
      <c r="D6" s="67"/>
      <c r="E6" s="67"/>
      <c r="F6" s="67"/>
      <c r="G6" s="68"/>
      <c r="H6" s="68"/>
      <c r="I6" s="69"/>
      <c r="J6" s="67"/>
    </row>
    <row r="7" s="1" customFormat="1" ht="14" customHeight="1" spans="1:12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21" t="s">
        <v>1505</v>
      </c>
      <c r="I7" s="174"/>
      <c r="J7" s="174"/>
      <c r="K7" s="174"/>
      <c r="L7" s="22"/>
    </row>
    <row r="8" s="190" customFormat="1" ht="10.8"/>
    <row r="9" spans="1:12">
      <c r="A9" s="191" t="s">
        <v>103</v>
      </c>
      <c r="B9" s="191" t="s">
        <v>1120</v>
      </c>
      <c r="C9" s="192" t="s">
        <v>0</v>
      </c>
      <c r="D9" s="192" t="s">
        <v>1771</v>
      </c>
      <c r="E9" s="193" t="s">
        <v>117</v>
      </c>
      <c r="F9" s="193" t="s">
        <v>1711</v>
      </c>
      <c r="G9" s="151" t="s">
        <v>1234</v>
      </c>
      <c r="H9" s="151" t="s">
        <v>1235</v>
      </c>
      <c r="I9" s="151" t="s">
        <v>1236</v>
      </c>
      <c r="J9" s="152" t="s">
        <v>1237</v>
      </c>
      <c r="K9" s="152" t="s">
        <v>1238</v>
      </c>
      <c r="L9" s="152" t="s">
        <v>1522</v>
      </c>
    </row>
    <row r="10" ht="12" customHeight="1" spans="1:12">
      <c r="A10" s="191"/>
      <c r="B10" s="191"/>
      <c r="C10" s="194"/>
      <c r="D10" s="194"/>
      <c r="E10" s="195"/>
      <c r="F10" s="195"/>
      <c r="G10" s="151"/>
      <c r="H10" s="151"/>
      <c r="I10" s="151"/>
      <c r="J10" s="152"/>
      <c r="K10" s="152"/>
      <c r="L10" s="152"/>
    </row>
    <row r="11" spans="1:12">
      <c r="A11" s="196" t="str">
        <f>[5]封面!$B$6</f>
        <v>华东一区</v>
      </c>
      <c r="B11" s="196" t="str">
        <f>[5]封面!$B$2</f>
        <v>浙江公司</v>
      </c>
      <c r="C11" s="181">
        <v>95</v>
      </c>
      <c r="D11" s="197" t="s">
        <v>1523</v>
      </c>
      <c r="E11" s="198" t="s">
        <v>147</v>
      </c>
      <c r="F11" s="197" t="s">
        <v>1523</v>
      </c>
      <c r="G11" s="154" t="s">
        <v>11</v>
      </c>
      <c r="H11" s="157" t="s">
        <v>1487</v>
      </c>
      <c r="I11" s="157" t="s">
        <v>1487</v>
      </c>
      <c r="J11" s="157" t="s">
        <v>1279</v>
      </c>
      <c r="K11" s="157" t="s">
        <v>1279</v>
      </c>
      <c r="L11" s="155"/>
    </row>
    <row r="12" ht="26.4" spans="1:12">
      <c r="A12" s="196" t="str">
        <f>[5]封面!$B$6</f>
        <v>华东一区</v>
      </c>
      <c r="B12" s="196" t="str">
        <f>[5]封面!$B$2</f>
        <v>浙江公司</v>
      </c>
      <c r="C12" s="181">
        <v>96</v>
      </c>
      <c r="D12" s="197" t="s">
        <v>1523</v>
      </c>
      <c r="E12" s="198" t="s">
        <v>159</v>
      </c>
      <c r="F12" s="197" t="s">
        <v>1523</v>
      </c>
      <c r="G12" s="154" t="s">
        <v>11</v>
      </c>
      <c r="H12" s="157" t="s">
        <v>1487</v>
      </c>
      <c r="I12" s="157" t="s">
        <v>1487</v>
      </c>
      <c r="J12" s="157" t="s">
        <v>1279</v>
      </c>
      <c r="K12" s="157" t="s">
        <v>1279</v>
      </c>
      <c r="L12" s="158"/>
    </row>
    <row r="13" spans="1:12">
      <c r="A13" s="196" t="str">
        <f>[5]封面!$B$6</f>
        <v>华东一区</v>
      </c>
      <c r="B13" s="196" t="str">
        <f>[5]封面!$B$2</f>
        <v>浙江公司</v>
      </c>
      <c r="C13" s="181">
        <v>97</v>
      </c>
      <c r="D13" s="197" t="s">
        <v>1523</v>
      </c>
      <c r="E13" s="198" t="s">
        <v>1189</v>
      </c>
      <c r="F13" s="199" t="s">
        <v>1523</v>
      </c>
      <c r="G13" s="154" t="s">
        <v>11</v>
      </c>
      <c r="H13" s="157" t="s">
        <v>1487</v>
      </c>
      <c r="I13" s="157" t="s">
        <v>1487</v>
      </c>
      <c r="J13" s="157" t="s">
        <v>1279</v>
      </c>
      <c r="K13" s="157" t="s">
        <v>1279</v>
      </c>
      <c r="L13" s="158"/>
    </row>
    <row r="14" ht="52.8" spans="1:12">
      <c r="A14" s="196" t="str">
        <f>[5]封面!$B$6</f>
        <v>华东一区</v>
      </c>
      <c r="B14" s="196" t="str">
        <f>[5]封面!$B$2</f>
        <v>浙江公司</v>
      </c>
      <c r="C14" s="181">
        <v>98</v>
      </c>
      <c r="D14" s="181" t="s">
        <v>182</v>
      </c>
      <c r="E14" s="200" t="s">
        <v>181</v>
      </c>
      <c r="F14" s="201" t="s">
        <v>150</v>
      </c>
      <c r="G14" s="154" t="s">
        <v>11</v>
      </c>
      <c r="H14" s="157" t="s">
        <v>1487</v>
      </c>
      <c r="I14" s="157" t="s">
        <v>1487</v>
      </c>
      <c r="J14" s="157" t="s">
        <v>1279</v>
      </c>
      <c r="K14" s="157" t="s">
        <v>1279</v>
      </c>
      <c r="L14" s="158"/>
    </row>
    <row r="15" ht="52.8" spans="1:12">
      <c r="A15" s="196" t="str">
        <f>[5]封面!$B$6</f>
        <v>华东一区</v>
      </c>
      <c r="B15" s="196" t="str">
        <f>[5]封面!$B$2</f>
        <v>浙江公司</v>
      </c>
      <c r="C15" s="181">
        <v>99</v>
      </c>
      <c r="D15" s="181" t="s">
        <v>182</v>
      </c>
      <c r="E15" s="202" t="s">
        <v>1762</v>
      </c>
      <c r="F15" s="201" t="s">
        <v>150</v>
      </c>
      <c r="G15" s="154" t="s">
        <v>11</v>
      </c>
      <c r="H15" s="157" t="s">
        <v>1487</v>
      </c>
      <c r="I15" s="157" t="s">
        <v>1487</v>
      </c>
      <c r="J15" s="157" t="s">
        <v>1279</v>
      </c>
      <c r="K15" s="157" t="s">
        <v>1279</v>
      </c>
      <c r="L15" s="158"/>
    </row>
    <row r="16" ht="52.8" spans="1:12">
      <c r="A16" s="196" t="str">
        <f>[5]封面!$B$6</f>
        <v>华东一区</v>
      </c>
      <c r="B16" s="196" t="str">
        <f>[5]封面!$B$2</f>
        <v>浙江公司</v>
      </c>
      <c r="C16" s="181">
        <v>100</v>
      </c>
      <c r="D16" s="181" t="s">
        <v>182</v>
      </c>
      <c r="E16" s="202" t="s">
        <v>1763</v>
      </c>
      <c r="F16" s="201" t="s">
        <v>150</v>
      </c>
      <c r="G16" s="154" t="s">
        <v>11</v>
      </c>
      <c r="H16" s="157" t="s">
        <v>1487</v>
      </c>
      <c r="I16" s="157" t="s">
        <v>1487</v>
      </c>
      <c r="J16" s="157" t="s">
        <v>1279</v>
      </c>
      <c r="K16" s="157" t="s">
        <v>1279</v>
      </c>
      <c r="L16" s="158"/>
    </row>
    <row r="17" ht="52.8" spans="1:12">
      <c r="A17" s="196" t="str">
        <f>[5]封面!$B$6</f>
        <v>华东一区</v>
      </c>
      <c r="B17" s="196" t="str">
        <f>[5]封面!$B$2</f>
        <v>浙江公司</v>
      </c>
      <c r="C17" s="181">
        <v>101</v>
      </c>
      <c r="D17" s="181" t="s">
        <v>182</v>
      </c>
      <c r="E17" s="202" t="s">
        <v>1765</v>
      </c>
      <c r="F17" s="201" t="s">
        <v>150</v>
      </c>
      <c r="G17" s="154" t="s">
        <v>11</v>
      </c>
      <c r="H17" s="157" t="s">
        <v>1487</v>
      </c>
      <c r="I17" s="157" t="s">
        <v>1487</v>
      </c>
      <c r="J17" s="157" t="s">
        <v>1279</v>
      </c>
      <c r="K17" s="157" t="s">
        <v>1279</v>
      </c>
      <c r="L17" s="158"/>
    </row>
    <row r="18" spans="1:12">
      <c r="A18" s="196" t="str">
        <f>[5]封面!$B$6</f>
        <v>华东一区</v>
      </c>
      <c r="B18" s="196" t="str">
        <f>[5]封面!$B$2</f>
        <v>浙江公司</v>
      </c>
      <c r="C18" s="181">
        <v>102</v>
      </c>
      <c r="D18" s="181" t="s">
        <v>191</v>
      </c>
      <c r="E18" s="202" t="s">
        <v>184</v>
      </c>
      <c r="F18" s="201" t="s">
        <v>184</v>
      </c>
      <c r="G18" s="154" t="s">
        <v>11</v>
      </c>
      <c r="H18" s="157" t="s">
        <v>1487</v>
      </c>
      <c r="I18" s="157" t="s">
        <v>1487</v>
      </c>
      <c r="J18" s="157" t="s">
        <v>1279</v>
      </c>
      <c r="K18" s="157" t="s">
        <v>1279</v>
      </c>
      <c r="L18" s="158"/>
    </row>
    <row r="19" ht="52.8" spans="1:12">
      <c r="A19" s="196" t="str">
        <f>[5]封面!$B$6</f>
        <v>华东一区</v>
      </c>
      <c r="B19" s="196" t="str">
        <f>[5]封面!$B$2</f>
        <v>浙江公司</v>
      </c>
      <c r="C19" s="181">
        <v>103</v>
      </c>
      <c r="D19" s="181" t="s">
        <v>182</v>
      </c>
      <c r="E19" s="202" t="s">
        <v>218</v>
      </c>
      <c r="F19" s="201" t="s">
        <v>150</v>
      </c>
      <c r="G19" s="154" t="s">
        <v>11</v>
      </c>
      <c r="H19" s="157" t="s">
        <v>1487</v>
      </c>
      <c r="I19" s="157" t="s">
        <v>1487</v>
      </c>
      <c r="J19" s="157" t="s">
        <v>1279</v>
      </c>
      <c r="K19" s="157" t="s">
        <v>1279</v>
      </c>
      <c r="L19" s="158"/>
    </row>
    <row r="20" ht="52.8" spans="1:12">
      <c r="A20" s="196" t="str">
        <f>[5]封面!$B$6</f>
        <v>华东一区</v>
      </c>
      <c r="B20" s="196" t="str">
        <f>[5]封面!$B$2</f>
        <v>浙江公司</v>
      </c>
      <c r="C20" s="181">
        <v>104</v>
      </c>
      <c r="D20" s="181" t="s">
        <v>182</v>
      </c>
      <c r="E20" s="202" t="s">
        <v>225</v>
      </c>
      <c r="F20" s="201" t="s">
        <v>150</v>
      </c>
      <c r="G20" s="154" t="s">
        <v>11</v>
      </c>
      <c r="H20" s="157" t="s">
        <v>1487</v>
      </c>
      <c r="I20" s="157" t="s">
        <v>1487</v>
      </c>
      <c r="J20" s="157" t="s">
        <v>1279</v>
      </c>
      <c r="K20" s="157" t="s">
        <v>1279</v>
      </c>
      <c r="L20" s="158"/>
    </row>
    <row r="21" ht="52.8" spans="1:12">
      <c r="A21" s="196" t="str">
        <f>[5]封面!$B$6</f>
        <v>华东一区</v>
      </c>
      <c r="B21" s="196" t="str">
        <f>[5]封面!$B$2</f>
        <v>浙江公司</v>
      </c>
      <c r="C21" s="181">
        <v>105</v>
      </c>
      <c r="D21" s="181" t="s">
        <v>182</v>
      </c>
      <c r="E21" s="202" t="s">
        <v>226</v>
      </c>
      <c r="F21" s="201" t="s">
        <v>150</v>
      </c>
      <c r="G21" s="154" t="s">
        <v>11</v>
      </c>
      <c r="H21" s="157" t="s">
        <v>1487</v>
      </c>
      <c r="I21" s="157" t="s">
        <v>1487</v>
      </c>
      <c r="J21" s="157" t="s">
        <v>1279</v>
      </c>
      <c r="K21" s="157" t="s">
        <v>1279</v>
      </c>
      <c r="L21" s="158"/>
    </row>
    <row r="22" ht="52.8" spans="1:12">
      <c r="A22" s="196" t="str">
        <f>[5]封面!$B$6</f>
        <v>华东一区</v>
      </c>
      <c r="B22" s="196" t="str">
        <f>[5]封面!$B$2</f>
        <v>浙江公司</v>
      </c>
      <c r="C22" s="181">
        <v>106</v>
      </c>
      <c r="D22" s="181" t="s">
        <v>182</v>
      </c>
      <c r="E22" s="202" t="s">
        <v>230</v>
      </c>
      <c r="F22" s="201" t="s">
        <v>150</v>
      </c>
      <c r="G22" s="154" t="s">
        <v>11</v>
      </c>
      <c r="H22" s="157" t="s">
        <v>1487</v>
      </c>
      <c r="I22" s="157" t="s">
        <v>1487</v>
      </c>
      <c r="J22" s="157" t="s">
        <v>1279</v>
      </c>
      <c r="K22" s="157" t="s">
        <v>1279</v>
      </c>
      <c r="L22" s="158"/>
    </row>
    <row r="23" ht="52.8" spans="1:12">
      <c r="A23" s="196" t="str">
        <f>[5]封面!$B$6</f>
        <v>华东一区</v>
      </c>
      <c r="B23" s="196" t="str">
        <f>[5]封面!$B$2</f>
        <v>浙江公司</v>
      </c>
      <c r="C23" s="181">
        <v>107</v>
      </c>
      <c r="D23" s="181" t="s">
        <v>182</v>
      </c>
      <c r="E23" s="203" t="s">
        <v>219</v>
      </c>
      <c r="F23" s="201" t="s">
        <v>150</v>
      </c>
      <c r="G23" s="154" t="s">
        <v>11</v>
      </c>
      <c r="H23" s="157" t="s">
        <v>1487</v>
      </c>
      <c r="I23" s="157" t="s">
        <v>1487</v>
      </c>
      <c r="J23" s="157" t="s">
        <v>1279</v>
      </c>
      <c r="K23" s="157" t="s">
        <v>1279</v>
      </c>
      <c r="L23" s="158"/>
    </row>
    <row r="24" spans="1:12">
      <c r="A24" s="196" t="str">
        <f>[5]封面!$B$6</f>
        <v>华东一区</v>
      </c>
      <c r="B24" s="196" t="str">
        <f>[5]封面!$B$2</f>
        <v>浙江公司</v>
      </c>
      <c r="C24" s="181">
        <v>108</v>
      </c>
      <c r="D24" s="181" t="s">
        <v>182</v>
      </c>
      <c r="E24" s="203" t="s">
        <v>231</v>
      </c>
      <c r="F24" s="201" t="s">
        <v>231</v>
      </c>
      <c r="G24" s="154" t="s">
        <v>11</v>
      </c>
      <c r="H24" s="157" t="s">
        <v>1487</v>
      </c>
      <c r="I24" s="157" t="s">
        <v>1487</v>
      </c>
      <c r="J24" s="157" t="s">
        <v>1279</v>
      </c>
      <c r="K24" s="157" t="s">
        <v>1279</v>
      </c>
      <c r="L24" s="158"/>
    </row>
    <row r="25" ht="26.4" spans="1:12">
      <c r="A25" s="196" t="str">
        <f>[5]封面!$B$6</f>
        <v>华东一区</v>
      </c>
      <c r="B25" s="196" t="str">
        <f>[5]封面!$B$2</f>
        <v>浙江公司</v>
      </c>
      <c r="C25" s="181">
        <v>109</v>
      </c>
      <c r="D25" s="181" t="s">
        <v>182</v>
      </c>
      <c r="E25" s="203" t="s">
        <v>1773</v>
      </c>
      <c r="F25" s="201" t="s">
        <v>231</v>
      </c>
      <c r="G25" s="154" t="s">
        <v>11</v>
      </c>
      <c r="H25" s="157" t="s">
        <v>1487</v>
      </c>
      <c r="I25" s="157" t="s">
        <v>1487</v>
      </c>
      <c r="J25" s="157" t="s">
        <v>1279</v>
      </c>
      <c r="K25" s="157" t="s">
        <v>1279</v>
      </c>
      <c r="L25" s="158"/>
    </row>
    <row r="26" spans="1:12">
      <c r="A26" s="196" t="str">
        <f>[5]封面!$B$6</f>
        <v>华东一区</v>
      </c>
      <c r="B26" s="196" t="str">
        <f>[5]封面!$B$2</f>
        <v>浙江公司</v>
      </c>
      <c r="C26" s="181">
        <v>110</v>
      </c>
      <c r="D26" s="181" t="s">
        <v>182</v>
      </c>
      <c r="E26" s="203" t="s">
        <v>1774</v>
      </c>
      <c r="F26" s="201" t="s">
        <v>239</v>
      </c>
      <c r="G26" s="154" t="s">
        <v>11</v>
      </c>
      <c r="H26" s="157" t="s">
        <v>1487</v>
      </c>
      <c r="I26" s="157" t="s">
        <v>1487</v>
      </c>
      <c r="J26" s="157" t="s">
        <v>1279</v>
      </c>
      <c r="K26" s="157" t="s">
        <v>1279</v>
      </c>
      <c r="L26" s="158"/>
    </row>
    <row r="27" ht="26.4" spans="1:12">
      <c r="A27" s="196" t="str">
        <f>[5]封面!$B$6</f>
        <v>华东一区</v>
      </c>
      <c r="B27" s="196" t="str">
        <f>[5]封面!$B$2</f>
        <v>浙江公司</v>
      </c>
      <c r="C27" s="181">
        <v>111</v>
      </c>
      <c r="D27" s="181" t="s">
        <v>182</v>
      </c>
      <c r="E27" s="203" t="s">
        <v>1775</v>
      </c>
      <c r="F27" s="201" t="s">
        <v>282</v>
      </c>
      <c r="G27" s="154" t="s">
        <v>11</v>
      </c>
      <c r="H27" s="157" t="s">
        <v>1487</v>
      </c>
      <c r="I27" s="157" t="s">
        <v>1487</v>
      </c>
      <c r="J27" s="157" t="s">
        <v>1279</v>
      </c>
      <c r="K27" s="157" t="s">
        <v>1279</v>
      </c>
      <c r="L27" s="158"/>
    </row>
    <row r="28" ht="26.4" spans="1:12">
      <c r="A28" s="196" t="str">
        <f>[5]封面!$B$6</f>
        <v>华东一区</v>
      </c>
      <c r="B28" s="196" t="str">
        <f>[5]封面!$B$2</f>
        <v>浙江公司</v>
      </c>
      <c r="C28" s="181">
        <v>112</v>
      </c>
      <c r="D28" s="181" t="s">
        <v>182</v>
      </c>
      <c r="E28" s="203" t="s">
        <v>1776</v>
      </c>
      <c r="F28" s="201" t="s">
        <v>282</v>
      </c>
      <c r="G28" s="154" t="s">
        <v>11</v>
      </c>
      <c r="H28" s="157" t="s">
        <v>1487</v>
      </c>
      <c r="I28" s="157" t="s">
        <v>1487</v>
      </c>
      <c r="J28" s="157" t="s">
        <v>1279</v>
      </c>
      <c r="K28" s="157" t="s">
        <v>1279</v>
      </c>
      <c r="L28" s="158"/>
    </row>
    <row r="29" spans="1:12">
      <c r="A29" s="196" t="str">
        <f>[5]封面!$B$6</f>
        <v>华东一区</v>
      </c>
      <c r="B29" s="196" t="str">
        <f>[5]封面!$B$2</f>
        <v>浙江公司</v>
      </c>
      <c r="C29" s="181">
        <v>113</v>
      </c>
      <c r="D29" s="181" t="s">
        <v>182</v>
      </c>
      <c r="E29" s="203" t="s">
        <v>239</v>
      </c>
      <c r="F29" s="201" t="s">
        <v>239</v>
      </c>
      <c r="G29" s="154" t="s">
        <v>11</v>
      </c>
      <c r="H29" s="157" t="s">
        <v>1487</v>
      </c>
      <c r="I29" s="157" t="s">
        <v>1487</v>
      </c>
      <c r="J29" s="157" t="s">
        <v>1279</v>
      </c>
      <c r="K29" s="157" t="s">
        <v>1279</v>
      </c>
      <c r="L29" s="158"/>
    </row>
    <row r="30" spans="1:12">
      <c r="A30" s="196" t="str">
        <f>[5]封面!$B$6</f>
        <v>华东一区</v>
      </c>
      <c r="B30" s="196" t="str">
        <f>[5]封面!$B$2</f>
        <v>浙江公司</v>
      </c>
      <c r="C30" s="181">
        <v>114</v>
      </c>
      <c r="D30" s="181">
        <v>0</v>
      </c>
      <c r="E30" s="203" t="s">
        <v>94</v>
      </c>
      <c r="F30" s="201">
        <v>0</v>
      </c>
      <c r="G30" s="154" t="s">
        <v>11</v>
      </c>
      <c r="H30" s="157" t="s">
        <v>1487</v>
      </c>
      <c r="I30" s="157" t="s">
        <v>1487</v>
      </c>
      <c r="J30" s="157" t="s">
        <v>1279</v>
      </c>
      <c r="K30" s="157" t="s">
        <v>1279</v>
      </c>
      <c r="L30" s="158"/>
    </row>
    <row r="31" spans="1:12">
      <c r="A31" s="196" t="str">
        <f>[5]封面!$B$6</f>
        <v>华东一区</v>
      </c>
      <c r="B31" s="196" t="str">
        <f>[5]封面!$B$2</f>
        <v>浙江公司</v>
      </c>
      <c r="C31" s="181">
        <v>115</v>
      </c>
      <c r="D31" s="181" t="s">
        <v>182</v>
      </c>
      <c r="E31" s="203" t="s">
        <v>262</v>
      </c>
      <c r="F31" s="201" t="s">
        <v>239</v>
      </c>
      <c r="G31" s="154" t="s">
        <v>11</v>
      </c>
      <c r="H31" s="157" t="s">
        <v>1487</v>
      </c>
      <c r="I31" s="157" t="s">
        <v>1487</v>
      </c>
      <c r="J31" s="157" t="s">
        <v>1279</v>
      </c>
      <c r="K31" s="157" t="s">
        <v>1279</v>
      </c>
      <c r="L31" s="158"/>
    </row>
    <row r="32" spans="1:12">
      <c r="A32" s="196" t="str">
        <f>[5]封面!$B$6</f>
        <v>华东一区</v>
      </c>
      <c r="B32" s="196" t="str">
        <f>[5]封面!$B$2</f>
        <v>浙江公司</v>
      </c>
      <c r="C32" s="181">
        <v>116</v>
      </c>
      <c r="D32" s="181" t="s">
        <v>182</v>
      </c>
      <c r="E32" s="203" t="s">
        <v>1777</v>
      </c>
      <c r="F32" s="201" t="s">
        <v>239</v>
      </c>
      <c r="G32" s="154" t="s">
        <v>11</v>
      </c>
      <c r="H32" s="157" t="s">
        <v>1487</v>
      </c>
      <c r="I32" s="157" t="s">
        <v>1487</v>
      </c>
      <c r="J32" s="157" t="s">
        <v>1279</v>
      </c>
      <c r="K32" s="157" t="s">
        <v>1279</v>
      </c>
      <c r="L32" s="158"/>
    </row>
    <row r="33" spans="1:12">
      <c r="A33" s="196" t="str">
        <f>[5]封面!$B$6</f>
        <v>华东一区</v>
      </c>
      <c r="B33" s="196" t="str">
        <f>[5]封面!$B$2</f>
        <v>浙江公司</v>
      </c>
      <c r="C33" s="181">
        <v>117</v>
      </c>
      <c r="D33" s="181" t="s">
        <v>182</v>
      </c>
      <c r="E33" s="203" t="s">
        <v>285</v>
      </c>
      <c r="F33" s="201" t="s">
        <v>285</v>
      </c>
      <c r="G33" s="154" t="s">
        <v>11</v>
      </c>
      <c r="H33" s="157" t="s">
        <v>1487</v>
      </c>
      <c r="I33" s="157" t="s">
        <v>1487</v>
      </c>
      <c r="J33" s="157" t="s">
        <v>1279</v>
      </c>
      <c r="K33" s="157" t="s">
        <v>1279</v>
      </c>
      <c r="L33" s="158"/>
    </row>
    <row r="34" ht="26.4" spans="1:12">
      <c r="A34" s="196" t="str">
        <f>[5]封面!$B$6</f>
        <v>华东一区</v>
      </c>
      <c r="B34" s="196" t="str">
        <f>[5]封面!$B$2</f>
        <v>浙江公司</v>
      </c>
      <c r="C34" s="181">
        <v>118</v>
      </c>
      <c r="D34" s="181" t="s">
        <v>182</v>
      </c>
      <c r="E34" s="203" t="s">
        <v>1778</v>
      </c>
      <c r="F34" s="201" t="s">
        <v>1778</v>
      </c>
      <c r="G34" s="154" t="s">
        <v>11</v>
      </c>
      <c r="H34" s="157" t="s">
        <v>1487</v>
      </c>
      <c r="I34" s="157" t="s">
        <v>1487</v>
      </c>
      <c r="J34" s="157" t="s">
        <v>1279</v>
      </c>
      <c r="K34" s="157" t="s">
        <v>1279</v>
      </c>
      <c r="L34" s="158"/>
    </row>
    <row r="35" spans="1:12">
      <c r="A35" s="196" t="str">
        <f>[5]封面!$B$6</f>
        <v>华东一区</v>
      </c>
      <c r="B35" s="196" t="str">
        <f>[5]封面!$B$2</f>
        <v>浙江公司</v>
      </c>
      <c r="C35" s="181">
        <v>119</v>
      </c>
      <c r="D35" s="181" t="s">
        <v>182</v>
      </c>
      <c r="E35" s="203" t="s">
        <v>137</v>
      </c>
      <c r="F35" s="201" t="s">
        <v>137</v>
      </c>
      <c r="G35" s="154" t="s">
        <v>11</v>
      </c>
      <c r="H35" s="157" t="s">
        <v>1487</v>
      </c>
      <c r="I35" s="157" t="s">
        <v>1487</v>
      </c>
      <c r="J35" s="157" t="s">
        <v>1279</v>
      </c>
      <c r="K35" s="157" t="s">
        <v>1279</v>
      </c>
      <c r="L35" s="158"/>
    </row>
    <row r="36" spans="1:12">
      <c r="A36" s="196" t="str">
        <f>[5]封面!$B$6</f>
        <v>华东一区</v>
      </c>
      <c r="B36" s="196" t="str">
        <f>[5]封面!$B$2</f>
        <v>浙江公司</v>
      </c>
      <c r="C36" s="181">
        <v>120</v>
      </c>
      <c r="D36" s="181" t="s">
        <v>182</v>
      </c>
      <c r="E36" s="203" t="s">
        <v>1779</v>
      </c>
      <c r="F36" s="201" t="s">
        <v>1779</v>
      </c>
      <c r="G36" s="154" t="s">
        <v>11</v>
      </c>
      <c r="H36" s="157" t="s">
        <v>1487</v>
      </c>
      <c r="I36" s="157" t="s">
        <v>1487</v>
      </c>
      <c r="J36" s="157" t="s">
        <v>1279</v>
      </c>
      <c r="K36" s="157" t="s">
        <v>1279</v>
      </c>
      <c r="L36" s="158"/>
    </row>
    <row r="37" ht="52.8" spans="1:12">
      <c r="A37" s="196" t="str">
        <f>[5]封面!$B$6</f>
        <v>华东一区</v>
      </c>
      <c r="B37" s="196" t="str">
        <f>[5]封面!$B$2</f>
        <v>浙江公司</v>
      </c>
      <c r="C37" s="181">
        <v>121</v>
      </c>
      <c r="D37" s="181" t="s">
        <v>182</v>
      </c>
      <c r="E37" s="204" t="s">
        <v>1766</v>
      </c>
      <c r="F37" s="201" t="s">
        <v>150</v>
      </c>
      <c r="G37" s="154" t="s">
        <v>11</v>
      </c>
      <c r="H37" s="157" t="s">
        <v>1487</v>
      </c>
      <c r="I37" s="157" t="s">
        <v>1487</v>
      </c>
      <c r="J37" s="157" t="s">
        <v>1279</v>
      </c>
      <c r="K37" s="157" t="s">
        <v>1279</v>
      </c>
      <c r="L37" s="158"/>
    </row>
    <row r="38" ht="26.4" spans="1:12">
      <c r="A38" s="196" t="str">
        <f>[5]封面!$B$6</f>
        <v>华东一区</v>
      </c>
      <c r="B38" s="196" t="str">
        <f>[5]封面!$B$2</f>
        <v>浙江公司</v>
      </c>
      <c r="C38" s="181">
        <v>122</v>
      </c>
      <c r="D38" s="181" t="s">
        <v>182</v>
      </c>
      <c r="E38" s="201" t="s">
        <v>1729</v>
      </c>
      <c r="F38" s="201" t="s">
        <v>137</v>
      </c>
      <c r="G38" s="154" t="s">
        <v>11</v>
      </c>
      <c r="H38" s="157" t="s">
        <v>1487</v>
      </c>
      <c r="I38" s="157" t="s">
        <v>1487</v>
      </c>
      <c r="J38" s="157" t="s">
        <v>1279</v>
      </c>
      <c r="K38" s="157" t="s">
        <v>1279</v>
      </c>
      <c r="L38" s="158"/>
    </row>
    <row r="39" ht="26.4" spans="1:12">
      <c r="A39" s="196" t="str">
        <f>[5]封面!$B$6</f>
        <v>华东一区</v>
      </c>
      <c r="B39" s="196" t="str">
        <f>[5]封面!$B$2</f>
        <v>浙江公司</v>
      </c>
      <c r="C39" s="181">
        <v>123</v>
      </c>
      <c r="D39" s="181" t="s">
        <v>182</v>
      </c>
      <c r="E39" s="203" t="s">
        <v>284</v>
      </c>
      <c r="F39" s="201" t="s">
        <v>137</v>
      </c>
      <c r="G39" s="154" t="s">
        <v>11</v>
      </c>
      <c r="H39" s="157" t="s">
        <v>1487</v>
      </c>
      <c r="I39" s="157" t="s">
        <v>1487</v>
      </c>
      <c r="J39" s="157" t="s">
        <v>1279</v>
      </c>
      <c r="K39" s="157" t="s">
        <v>1279</v>
      </c>
      <c r="L39" s="158"/>
    </row>
    <row r="40" spans="1:12">
      <c r="A40" s="196" t="str">
        <f>[5]封面!$B$6</f>
        <v>华东一区</v>
      </c>
      <c r="B40" s="196" t="str">
        <f>[5]封面!$B$2</f>
        <v>浙江公司</v>
      </c>
      <c r="C40" s="181">
        <v>124</v>
      </c>
      <c r="D40" s="181" t="s">
        <v>182</v>
      </c>
      <c r="E40" s="203" t="s">
        <v>264</v>
      </c>
      <c r="F40" s="201" t="s">
        <v>239</v>
      </c>
      <c r="G40" s="154" t="s">
        <v>11</v>
      </c>
      <c r="H40" s="157" t="s">
        <v>1487</v>
      </c>
      <c r="I40" s="157" t="s">
        <v>1487</v>
      </c>
      <c r="J40" s="157" t="s">
        <v>1279</v>
      </c>
      <c r="K40" s="157" t="s">
        <v>1279</v>
      </c>
      <c r="L40" s="158"/>
    </row>
    <row r="41" ht="26.4" spans="1:12">
      <c r="A41" s="196" t="str">
        <f>[5]封面!$B$6</f>
        <v>华东一区</v>
      </c>
      <c r="B41" s="196" t="str">
        <f>[5]封面!$B$2</f>
        <v>浙江公司</v>
      </c>
      <c r="C41" s="181">
        <v>125</v>
      </c>
      <c r="D41" s="181" t="s">
        <v>182</v>
      </c>
      <c r="E41" s="205" t="s">
        <v>1780</v>
      </c>
      <c r="F41" s="201" t="s">
        <v>1780</v>
      </c>
      <c r="G41" s="154" t="s">
        <v>11</v>
      </c>
      <c r="H41" s="157" t="s">
        <v>1487</v>
      </c>
      <c r="I41" s="157" t="s">
        <v>1487</v>
      </c>
      <c r="J41" s="157" t="s">
        <v>1279</v>
      </c>
      <c r="K41" s="157" t="s">
        <v>1279</v>
      </c>
      <c r="L41" s="158"/>
    </row>
    <row r="42" ht="26.4" spans="1:12">
      <c r="A42" s="196" t="str">
        <f>[5]封面!$B$6</f>
        <v>华东一区</v>
      </c>
      <c r="B42" s="196" t="str">
        <f>[5]封面!$B$2</f>
        <v>浙江公司</v>
      </c>
      <c r="C42" s="181">
        <v>126</v>
      </c>
      <c r="D42" s="181" t="s">
        <v>182</v>
      </c>
      <c r="E42" s="206" t="s">
        <v>1781</v>
      </c>
      <c r="F42" s="201" t="s">
        <v>1781</v>
      </c>
      <c r="G42" s="154" t="s">
        <v>11</v>
      </c>
      <c r="H42" s="157" t="s">
        <v>1487</v>
      </c>
      <c r="I42" s="157" t="s">
        <v>1487</v>
      </c>
      <c r="J42" s="157" t="s">
        <v>1279</v>
      </c>
      <c r="K42" s="157" t="s">
        <v>1279</v>
      </c>
      <c r="L42" s="158"/>
    </row>
    <row r="43" spans="1:12">
      <c r="A43" s="196" t="str">
        <f>[5]封面!$B$6</f>
        <v>华东一区</v>
      </c>
      <c r="B43" s="196" t="str">
        <f>[5]封面!$B$2</f>
        <v>浙江公司</v>
      </c>
      <c r="C43" s="181">
        <v>127</v>
      </c>
      <c r="D43" s="181" t="s">
        <v>182</v>
      </c>
      <c r="E43" s="206" t="s">
        <v>253</v>
      </c>
      <c r="F43" s="201" t="s">
        <v>253</v>
      </c>
      <c r="G43" s="154" t="s">
        <v>11</v>
      </c>
      <c r="H43" s="157" t="s">
        <v>1487</v>
      </c>
      <c r="I43" s="157" t="s">
        <v>1487</v>
      </c>
      <c r="J43" s="157" t="s">
        <v>1279</v>
      </c>
      <c r="K43" s="157" t="s">
        <v>1279</v>
      </c>
      <c r="L43" s="158"/>
    </row>
    <row r="44" ht="52.8" spans="1:12">
      <c r="A44" s="196" t="str">
        <f>[5]封面!$B$6</f>
        <v>华东一区</v>
      </c>
      <c r="B44" s="196" t="str">
        <f>[5]封面!$B$2</f>
        <v>浙江公司</v>
      </c>
      <c r="C44" s="181">
        <v>128</v>
      </c>
      <c r="D44" s="181" t="s">
        <v>182</v>
      </c>
      <c r="E44" s="201" t="s">
        <v>1782</v>
      </c>
      <c r="F44" s="201" t="s">
        <v>150</v>
      </c>
      <c r="G44" s="154" t="s">
        <v>11</v>
      </c>
      <c r="H44" s="157" t="s">
        <v>1487</v>
      </c>
      <c r="I44" s="157" t="s">
        <v>1487</v>
      </c>
      <c r="J44" s="157" t="s">
        <v>1279</v>
      </c>
      <c r="K44" s="157" t="s">
        <v>1279</v>
      </c>
      <c r="L44" s="158"/>
    </row>
    <row r="45" ht="52.8" spans="1:12">
      <c r="A45" s="196" t="str">
        <f>[5]封面!$B$6</f>
        <v>华东一区</v>
      </c>
      <c r="B45" s="196" t="str">
        <f>[5]封面!$B$2</f>
        <v>浙江公司</v>
      </c>
      <c r="C45" s="181">
        <v>129</v>
      </c>
      <c r="D45" s="181" t="s">
        <v>182</v>
      </c>
      <c r="E45" s="201" t="s">
        <v>1783</v>
      </c>
      <c r="F45" s="201" t="s">
        <v>150</v>
      </c>
      <c r="G45" s="154" t="s">
        <v>11</v>
      </c>
      <c r="H45" s="157" t="s">
        <v>1487</v>
      </c>
      <c r="I45" s="157" t="s">
        <v>1487</v>
      </c>
      <c r="J45" s="157" t="s">
        <v>1279</v>
      </c>
      <c r="K45" s="157" t="s">
        <v>1279</v>
      </c>
      <c r="L45" s="158"/>
    </row>
    <row r="46" ht="26.4" spans="1:12">
      <c r="A46" s="196" t="str">
        <f>[5]封面!$B$6</f>
        <v>华东一区</v>
      </c>
      <c r="B46" s="196" t="str">
        <f>[5]封面!$B$2</f>
        <v>浙江公司</v>
      </c>
      <c r="C46" s="181">
        <v>130</v>
      </c>
      <c r="D46" s="181" t="s">
        <v>182</v>
      </c>
      <c r="E46" s="203" t="s">
        <v>277</v>
      </c>
      <c r="F46" s="201" t="s">
        <v>137</v>
      </c>
      <c r="G46" s="154" t="s">
        <v>11</v>
      </c>
      <c r="H46" s="157" t="s">
        <v>1487</v>
      </c>
      <c r="I46" s="157" t="s">
        <v>1487</v>
      </c>
      <c r="J46" s="157" t="s">
        <v>1279</v>
      </c>
      <c r="K46" s="157" t="s">
        <v>1279</v>
      </c>
      <c r="L46" s="158"/>
    </row>
    <row r="47" spans="1:12">
      <c r="A47" s="196" t="str">
        <f>[5]封面!$B$6</f>
        <v>华东一区</v>
      </c>
      <c r="B47" s="196" t="str">
        <f>[5]封面!$B$2</f>
        <v>浙江公司</v>
      </c>
      <c r="C47" s="181">
        <v>131</v>
      </c>
      <c r="D47" s="181" t="s">
        <v>182</v>
      </c>
      <c r="E47" s="203" t="s">
        <v>1784</v>
      </c>
      <c r="F47" s="201" t="s">
        <v>137</v>
      </c>
      <c r="G47" s="154" t="s">
        <v>11</v>
      </c>
      <c r="H47" s="157" t="s">
        <v>1487</v>
      </c>
      <c r="I47" s="157" t="s">
        <v>1487</v>
      </c>
      <c r="J47" s="157" t="s">
        <v>1279</v>
      </c>
      <c r="K47" s="157" t="s">
        <v>1279</v>
      </c>
      <c r="L47" s="158"/>
    </row>
    <row r="48" ht="52.8" spans="1:12">
      <c r="A48" s="196" t="str">
        <f>[5]封面!$B$6</f>
        <v>华东一区</v>
      </c>
      <c r="B48" s="196" t="str">
        <f>[5]封面!$B$2</f>
        <v>浙江公司</v>
      </c>
      <c r="C48" s="181">
        <v>132</v>
      </c>
      <c r="D48" s="181" t="s">
        <v>182</v>
      </c>
      <c r="E48" s="203" t="s">
        <v>1785</v>
      </c>
      <c r="F48" s="201" t="s">
        <v>150</v>
      </c>
      <c r="G48" s="154" t="s">
        <v>11</v>
      </c>
      <c r="H48" s="157" t="s">
        <v>1487</v>
      </c>
      <c r="I48" s="157" t="s">
        <v>1487</v>
      </c>
      <c r="J48" s="157" t="s">
        <v>1279</v>
      </c>
      <c r="K48" s="157" t="s">
        <v>1279</v>
      </c>
      <c r="L48" s="158"/>
    </row>
    <row r="49" spans="1:12">
      <c r="A49" s="196" t="str">
        <f>[5]封面!$B$6</f>
        <v>华东一区</v>
      </c>
      <c r="B49" s="196" t="str">
        <f>[5]封面!$B$2</f>
        <v>浙江公司</v>
      </c>
      <c r="C49" s="181">
        <v>133</v>
      </c>
      <c r="D49" s="181" t="s">
        <v>182</v>
      </c>
      <c r="E49" s="203" t="s">
        <v>1786</v>
      </c>
      <c r="F49" s="201" t="s">
        <v>239</v>
      </c>
      <c r="G49" s="154" t="s">
        <v>11</v>
      </c>
      <c r="H49" s="157" t="s">
        <v>1487</v>
      </c>
      <c r="I49" s="157" t="s">
        <v>1487</v>
      </c>
      <c r="J49" s="157" t="s">
        <v>1279</v>
      </c>
      <c r="K49" s="157" t="s">
        <v>1279</v>
      </c>
      <c r="L49" s="158"/>
    </row>
    <row r="50" spans="1:12">
      <c r="A50" s="196" t="str">
        <f>[5]封面!$B$6</f>
        <v>华东一区</v>
      </c>
      <c r="B50" s="196" t="str">
        <f>[5]封面!$B$2</f>
        <v>浙江公司</v>
      </c>
      <c r="C50" s="181">
        <v>134</v>
      </c>
      <c r="D50" s="181" t="s">
        <v>182</v>
      </c>
      <c r="E50" s="203" t="s">
        <v>192</v>
      </c>
      <c r="F50" s="201" t="s">
        <v>239</v>
      </c>
      <c r="G50" s="154" t="s">
        <v>11</v>
      </c>
      <c r="H50" s="157" t="s">
        <v>1487</v>
      </c>
      <c r="I50" s="157" t="s">
        <v>1487</v>
      </c>
      <c r="J50" s="157" t="s">
        <v>1279</v>
      </c>
      <c r="K50" s="157" t="s">
        <v>1279</v>
      </c>
      <c r="L50" s="158"/>
    </row>
    <row r="51" ht="26.4" spans="1:12">
      <c r="A51" s="196" t="str">
        <f>[5]封面!$B$6</f>
        <v>华东一区</v>
      </c>
      <c r="B51" s="196" t="str">
        <f>[5]封面!$B$2</f>
        <v>浙江公司</v>
      </c>
      <c r="C51" s="181">
        <v>135</v>
      </c>
      <c r="D51" s="181" t="s">
        <v>182</v>
      </c>
      <c r="E51" s="203" t="s">
        <v>1787</v>
      </c>
      <c r="F51" s="201" t="s">
        <v>1787</v>
      </c>
      <c r="G51" s="154" t="s">
        <v>11</v>
      </c>
      <c r="H51" s="157" t="s">
        <v>1487</v>
      </c>
      <c r="I51" s="157" t="s">
        <v>1487</v>
      </c>
      <c r="J51" s="157" t="s">
        <v>1279</v>
      </c>
      <c r="K51" s="157" t="s">
        <v>1279</v>
      </c>
      <c r="L51" s="158"/>
    </row>
    <row r="52" ht="52.8" spans="1:12">
      <c r="A52" s="196" t="str">
        <f>[5]封面!$B$6</f>
        <v>华东一区</v>
      </c>
      <c r="B52" s="196" t="str">
        <f>[5]封面!$B$2</f>
        <v>浙江公司</v>
      </c>
      <c r="C52" s="181">
        <v>136</v>
      </c>
      <c r="D52" s="181" t="s">
        <v>182</v>
      </c>
      <c r="E52" s="207" t="s">
        <v>1788</v>
      </c>
      <c r="F52" s="201" t="s">
        <v>150</v>
      </c>
      <c r="G52" s="154" t="s">
        <v>11</v>
      </c>
      <c r="H52" s="157" t="s">
        <v>1487</v>
      </c>
      <c r="I52" s="157" t="s">
        <v>1487</v>
      </c>
      <c r="J52" s="157" t="s">
        <v>1279</v>
      </c>
      <c r="K52" s="157" t="s">
        <v>1279</v>
      </c>
      <c r="L52" s="158"/>
    </row>
    <row r="53" ht="52.8" spans="1:12">
      <c r="A53" s="196" t="str">
        <f>[5]封面!$B$6</f>
        <v>华东一区</v>
      </c>
      <c r="B53" s="196" t="str">
        <f>[5]封面!$B$2</f>
        <v>浙江公司</v>
      </c>
      <c r="C53" s="181">
        <v>137</v>
      </c>
      <c r="D53" s="181" t="s">
        <v>182</v>
      </c>
      <c r="E53" s="207" t="s">
        <v>1789</v>
      </c>
      <c r="F53" s="201" t="s">
        <v>150</v>
      </c>
      <c r="G53" s="154" t="s">
        <v>11</v>
      </c>
      <c r="H53" s="157" t="s">
        <v>1487</v>
      </c>
      <c r="I53" s="157" t="s">
        <v>1487</v>
      </c>
      <c r="J53" s="157" t="s">
        <v>1279</v>
      </c>
      <c r="K53" s="157" t="s">
        <v>1279</v>
      </c>
      <c r="L53" s="158"/>
    </row>
    <row r="54" spans="1:12">
      <c r="A54" s="196" t="str">
        <f>[5]封面!$B$6</f>
        <v>华东一区</v>
      </c>
      <c r="B54" s="196" t="str">
        <f>[5]封面!$B$2</f>
        <v>浙江公司</v>
      </c>
      <c r="C54" s="181">
        <v>138</v>
      </c>
      <c r="D54" s="181" t="s">
        <v>182</v>
      </c>
      <c r="E54" s="207" t="s">
        <v>1790</v>
      </c>
      <c r="F54" s="201" t="s">
        <v>239</v>
      </c>
      <c r="G54" s="154" t="s">
        <v>11</v>
      </c>
      <c r="H54" s="157" t="s">
        <v>1487</v>
      </c>
      <c r="I54" s="157" t="s">
        <v>1487</v>
      </c>
      <c r="J54" s="157" t="s">
        <v>1279</v>
      </c>
      <c r="K54" s="157" t="s">
        <v>1279</v>
      </c>
      <c r="L54" s="158"/>
    </row>
    <row r="55" spans="1:12">
      <c r="A55" s="196" t="str">
        <f>[5]封面!$B$6</f>
        <v>华东一区</v>
      </c>
      <c r="B55" s="196" t="str">
        <f>[5]封面!$B$2</f>
        <v>浙江公司</v>
      </c>
      <c r="C55" s="181" t="s">
        <v>1791</v>
      </c>
      <c r="D55" s="181" t="s">
        <v>191</v>
      </c>
      <c r="E55" s="207" t="s">
        <v>268</v>
      </c>
      <c r="F55" s="201" t="s">
        <v>268</v>
      </c>
      <c r="G55" s="154" t="s">
        <v>11</v>
      </c>
      <c r="H55" s="157" t="s">
        <v>1487</v>
      </c>
      <c r="I55" s="157" t="s">
        <v>1487</v>
      </c>
      <c r="J55" s="157" t="s">
        <v>1279</v>
      </c>
      <c r="K55" s="157" t="s">
        <v>1279</v>
      </c>
      <c r="L55" s="158"/>
    </row>
    <row r="56" spans="1:12">
      <c r="A56" s="196" t="str">
        <f>[5]封面!$B$6</f>
        <v>华东一区</v>
      </c>
      <c r="B56" s="196" t="str">
        <f>[5]封面!$B$2</f>
        <v>浙江公司</v>
      </c>
      <c r="C56" s="181">
        <v>139</v>
      </c>
      <c r="D56" s="181"/>
      <c r="E56" s="208" t="s">
        <v>1418</v>
      </c>
      <c r="F56" s="208"/>
      <c r="G56" s="209" t="s">
        <v>1279</v>
      </c>
      <c r="H56" s="209" t="s">
        <v>1279</v>
      </c>
      <c r="I56" s="209" t="s">
        <v>1279</v>
      </c>
      <c r="J56" s="209" t="s">
        <v>1279</v>
      </c>
      <c r="K56" s="209" t="s">
        <v>1279</v>
      </c>
      <c r="L56" s="158"/>
    </row>
  </sheetData>
  <mergeCells count="16">
    <mergeCell ref="A5:F5"/>
    <mergeCell ref="H7:L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:F4"/>
    <mergeCell ref="G1:L5"/>
  </mergeCells>
  <conditionalFormatting sqref="G11">
    <cfRule type="cellIs" dxfId="0" priority="45" operator="lessThan">
      <formula>0</formula>
    </cfRule>
  </conditionalFormatting>
  <conditionalFormatting sqref="G12">
    <cfRule type="cellIs" dxfId="0" priority="44" operator="lessThan">
      <formula>0</formula>
    </cfRule>
  </conditionalFormatting>
  <conditionalFormatting sqref="G13">
    <cfRule type="cellIs" dxfId="0" priority="43" operator="lessThan">
      <formula>0</formula>
    </cfRule>
  </conditionalFormatting>
  <conditionalFormatting sqref="G14">
    <cfRule type="cellIs" dxfId="0" priority="42" operator="lessThan">
      <formula>0</formula>
    </cfRule>
  </conditionalFormatting>
  <conditionalFormatting sqref="G15">
    <cfRule type="cellIs" dxfId="0" priority="41" operator="lessThan">
      <formula>0</formula>
    </cfRule>
  </conditionalFormatting>
  <conditionalFormatting sqref="G16">
    <cfRule type="cellIs" dxfId="0" priority="40" operator="lessThan">
      <formula>0</formula>
    </cfRule>
  </conditionalFormatting>
  <conditionalFormatting sqref="G17">
    <cfRule type="cellIs" dxfId="0" priority="39" operator="lessThan">
      <formula>0</formula>
    </cfRule>
  </conditionalFormatting>
  <conditionalFormatting sqref="G18">
    <cfRule type="cellIs" dxfId="0" priority="38" operator="lessThan">
      <formula>0</formula>
    </cfRule>
  </conditionalFormatting>
  <conditionalFormatting sqref="G19">
    <cfRule type="cellIs" dxfId="0" priority="37" operator="lessThan">
      <formula>0</formula>
    </cfRule>
  </conditionalFormatting>
  <conditionalFormatting sqref="G20">
    <cfRule type="cellIs" dxfId="0" priority="36" operator="lessThan">
      <formula>0</formula>
    </cfRule>
  </conditionalFormatting>
  <conditionalFormatting sqref="G21">
    <cfRule type="cellIs" dxfId="0" priority="35" operator="lessThan">
      <formula>0</formula>
    </cfRule>
  </conditionalFormatting>
  <conditionalFormatting sqref="G22">
    <cfRule type="cellIs" dxfId="0" priority="34" operator="lessThan">
      <formula>0</formula>
    </cfRule>
  </conditionalFormatting>
  <conditionalFormatting sqref="G23">
    <cfRule type="cellIs" dxfId="0" priority="33" operator="lessThan">
      <formula>0</formula>
    </cfRule>
  </conditionalFormatting>
  <conditionalFormatting sqref="G24">
    <cfRule type="cellIs" dxfId="0" priority="32" operator="lessThan">
      <formula>0</formula>
    </cfRule>
  </conditionalFormatting>
  <conditionalFormatting sqref="G25">
    <cfRule type="cellIs" dxfId="0" priority="31" operator="lessThan">
      <formula>0</formula>
    </cfRule>
  </conditionalFormatting>
  <conditionalFormatting sqref="G26">
    <cfRule type="cellIs" dxfId="0" priority="30" operator="lessThan">
      <formula>0</formula>
    </cfRule>
  </conditionalFormatting>
  <conditionalFormatting sqref="G27">
    <cfRule type="cellIs" dxfId="0" priority="29" operator="lessThan">
      <formula>0</formula>
    </cfRule>
  </conditionalFormatting>
  <conditionalFormatting sqref="G28">
    <cfRule type="cellIs" dxfId="0" priority="28" operator="lessThan">
      <formula>0</formula>
    </cfRule>
  </conditionalFormatting>
  <conditionalFormatting sqref="G29">
    <cfRule type="cellIs" dxfId="0" priority="27" operator="lessThan">
      <formula>0</formula>
    </cfRule>
  </conditionalFormatting>
  <conditionalFormatting sqref="G30">
    <cfRule type="cellIs" dxfId="0" priority="26" operator="lessThan">
      <formula>0</formula>
    </cfRule>
  </conditionalFormatting>
  <conditionalFormatting sqref="G31">
    <cfRule type="cellIs" dxfId="0" priority="25" operator="lessThan">
      <formula>0</formula>
    </cfRule>
  </conditionalFormatting>
  <conditionalFormatting sqref="G32">
    <cfRule type="cellIs" dxfId="0" priority="24" operator="lessThan">
      <formula>0</formula>
    </cfRule>
  </conditionalFormatting>
  <conditionalFormatting sqref="G33">
    <cfRule type="cellIs" dxfId="0" priority="23" operator="lessThan">
      <formula>0</formula>
    </cfRule>
  </conditionalFormatting>
  <conditionalFormatting sqref="G34">
    <cfRule type="cellIs" dxfId="0" priority="22" operator="lessThan">
      <formula>0</formula>
    </cfRule>
  </conditionalFormatting>
  <conditionalFormatting sqref="G35">
    <cfRule type="cellIs" dxfId="0" priority="21" operator="lessThan">
      <formula>0</formula>
    </cfRule>
  </conditionalFormatting>
  <conditionalFormatting sqref="G36">
    <cfRule type="cellIs" dxfId="0" priority="20" operator="lessThan">
      <formula>0</formula>
    </cfRule>
  </conditionalFormatting>
  <conditionalFormatting sqref="G37">
    <cfRule type="cellIs" dxfId="0" priority="19" operator="lessThan">
      <formula>0</formula>
    </cfRule>
  </conditionalFormatting>
  <conditionalFormatting sqref="G38">
    <cfRule type="cellIs" dxfId="0" priority="18" operator="lessThan">
      <formula>0</formula>
    </cfRule>
  </conditionalFormatting>
  <conditionalFormatting sqref="G39">
    <cfRule type="cellIs" dxfId="0" priority="17" operator="lessThan">
      <formula>0</formula>
    </cfRule>
  </conditionalFormatting>
  <conditionalFormatting sqref="G40">
    <cfRule type="cellIs" dxfId="0" priority="16" operator="lessThan">
      <formula>0</formula>
    </cfRule>
  </conditionalFormatting>
  <conditionalFormatting sqref="G41">
    <cfRule type="cellIs" dxfId="0" priority="15" operator="lessThan">
      <formula>0</formula>
    </cfRule>
  </conditionalFormatting>
  <conditionalFormatting sqref="G42">
    <cfRule type="cellIs" dxfId="0" priority="14" operator="lessThan">
      <formula>0</formula>
    </cfRule>
  </conditionalFormatting>
  <conditionalFormatting sqref="G43">
    <cfRule type="cellIs" dxfId="0" priority="13" operator="lessThan">
      <formula>0</formula>
    </cfRule>
  </conditionalFormatting>
  <conditionalFormatting sqref="G44">
    <cfRule type="cellIs" dxfId="0" priority="12" operator="lessThan">
      <formula>0</formula>
    </cfRule>
  </conditionalFormatting>
  <conditionalFormatting sqref="G45">
    <cfRule type="cellIs" dxfId="0" priority="11" operator="lessThan">
      <formula>0</formula>
    </cfRule>
  </conditionalFormatting>
  <conditionalFormatting sqref="G46">
    <cfRule type="cellIs" dxfId="0" priority="10" operator="lessThan">
      <formula>0</formula>
    </cfRule>
  </conditionalFormatting>
  <conditionalFormatting sqref="G47">
    <cfRule type="cellIs" dxfId="0" priority="9" operator="lessThan">
      <formula>0</formula>
    </cfRule>
  </conditionalFormatting>
  <conditionalFormatting sqref="G48">
    <cfRule type="cellIs" dxfId="0" priority="8" operator="lessThan">
      <formula>0</formula>
    </cfRule>
  </conditionalFormatting>
  <conditionalFormatting sqref="G49">
    <cfRule type="cellIs" dxfId="0" priority="7" operator="lessThan">
      <formula>0</formula>
    </cfRule>
  </conditionalFormatting>
  <conditionalFormatting sqref="G50">
    <cfRule type="cellIs" dxfId="0" priority="6" operator="lessThan">
      <formula>0</formula>
    </cfRule>
  </conditionalFormatting>
  <conditionalFormatting sqref="G51">
    <cfRule type="cellIs" dxfId="0" priority="5" operator="lessThan">
      <formula>0</formula>
    </cfRule>
  </conditionalFormatting>
  <conditionalFormatting sqref="G52">
    <cfRule type="cellIs" dxfId="0" priority="4" operator="lessThan">
      <formula>0</formula>
    </cfRule>
  </conditionalFormatting>
  <conditionalFormatting sqref="G53">
    <cfRule type="cellIs" dxfId="0" priority="3" operator="lessThan">
      <formula>0</formula>
    </cfRule>
  </conditionalFormatting>
  <conditionalFormatting sqref="G54">
    <cfRule type="cellIs" dxfId="0" priority="2" operator="lessThan">
      <formula>0</formula>
    </cfRule>
  </conditionalFormatting>
  <conditionalFormatting sqref="G55">
    <cfRule type="cellIs" dxfId="0" priority="1" operator="lessThan">
      <formula>0</formula>
    </cfRule>
  </conditionalFormatting>
  <conditionalFormatting sqref="A11:A56">
    <cfRule type="cellIs" dxfId="0" priority="48" operator="lessThan">
      <formula>0</formula>
    </cfRule>
  </conditionalFormatting>
  <conditionalFormatting sqref="B11:B56">
    <cfRule type="cellIs" dxfId="0" priority="47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pane xSplit="5" ySplit="10" topLeftCell="F11" activePane="bottomRight" state="frozen"/>
      <selection/>
      <selection pane="topRight"/>
      <selection pane="bottomLeft"/>
      <selection pane="bottomRight" activeCell="Q27" sqref="Q27"/>
    </sheetView>
  </sheetViews>
  <sheetFormatPr defaultColWidth="8.88888888888889" defaultRowHeight="14.4"/>
  <sheetData>
    <row r="1" s="55" customFormat="1" ht="19" customHeight="1" spans="1:11">
      <c r="A1" s="61" t="s">
        <v>100</v>
      </c>
      <c r="B1" s="62"/>
      <c r="C1" s="62"/>
      <c r="D1" s="62"/>
      <c r="E1" s="62"/>
      <c r="F1" s="62"/>
      <c r="G1" s="165" t="s">
        <v>1517</v>
      </c>
      <c r="H1" s="166"/>
      <c r="I1" s="166"/>
      <c r="J1" s="166"/>
      <c r="K1" s="167"/>
    </row>
    <row r="2" s="55" customFormat="1" ht="19" customHeight="1" spans="1:11">
      <c r="A2" s="62"/>
      <c r="B2" s="62"/>
      <c r="C2" s="62"/>
      <c r="D2" s="62"/>
      <c r="E2" s="62"/>
      <c r="F2" s="62"/>
      <c r="G2" s="168"/>
      <c r="H2" s="169"/>
      <c r="I2" s="169"/>
      <c r="J2" s="169"/>
      <c r="K2" s="170"/>
    </row>
    <row r="3" s="55" customFormat="1" ht="19" customHeight="1" spans="1:11">
      <c r="A3" s="62"/>
      <c r="B3" s="62"/>
      <c r="C3" s="62"/>
      <c r="D3" s="62"/>
      <c r="E3" s="62"/>
      <c r="F3" s="62"/>
      <c r="G3" s="168"/>
      <c r="H3" s="169"/>
      <c r="I3" s="169"/>
      <c r="J3" s="169"/>
      <c r="K3" s="170"/>
    </row>
    <row r="4" s="55" customFormat="1" ht="19" customHeight="1" spans="1:11">
      <c r="A4" s="62"/>
      <c r="B4" s="62"/>
      <c r="C4" s="62"/>
      <c r="D4" s="62"/>
      <c r="E4" s="62"/>
      <c r="F4" s="62"/>
      <c r="G4" s="168"/>
      <c r="H4" s="169"/>
      <c r="I4" s="169"/>
      <c r="J4" s="169"/>
      <c r="K4" s="170"/>
    </row>
    <row r="5" s="55" customFormat="1" ht="19" customHeight="1" spans="1:11">
      <c r="A5" s="65" t="s">
        <v>1518</v>
      </c>
      <c r="B5" s="65"/>
      <c r="C5" s="65"/>
      <c r="D5" s="65"/>
      <c r="E5" s="65"/>
      <c r="F5" s="65"/>
      <c r="G5" s="171"/>
      <c r="H5" s="172"/>
      <c r="I5" s="172"/>
      <c r="J5" s="172"/>
      <c r="K5" s="173"/>
    </row>
    <row r="6" s="55" customFormat="1" ht="5" customHeight="1" spans="1:11">
      <c r="A6" s="66"/>
      <c r="B6" s="66"/>
      <c r="C6" s="67"/>
      <c r="D6" s="67"/>
      <c r="E6" s="67"/>
      <c r="F6" s="67"/>
      <c r="G6" s="68"/>
      <c r="H6" s="68"/>
      <c r="I6" s="69"/>
    </row>
    <row r="7" s="1" customFormat="1" ht="14" customHeight="1" spans="1:11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21" t="s">
        <v>1505</v>
      </c>
      <c r="I7" s="174"/>
      <c r="J7" s="174"/>
      <c r="K7" s="22"/>
    </row>
    <row r="9" spans="1:11">
      <c r="A9" s="175" t="s">
        <v>103</v>
      </c>
      <c r="B9" s="175" t="s">
        <v>1120</v>
      </c>
      <c r="C9" s="176" t="s">
        <v>0</v>
      </c>
      <c r="D9" s="177" t="s">
        <v>1771</v>
      </c>
      <c r="E9" s="150" t="s">
        <v>117</v>
      </c>
      <c r="F9" s="151" t="s">
        <v>1234</v>
      </c>
      <c r="G9" s="151" t="s">
        <v>1235</v>
      </c>
      <c r="H9" s="151" t="s">
        <v>1236</v>
      </c>
      <c r="I9" s="152" t="s">
        <v>1237</v>
      </c>
      <c r="J9" s="152" t="s">
        <v>1238</v>
      </c>
      <c r="K9" s="152" t="s">
        <v>1522</v>
      </c>
    </row>
    <row r="10" spans="1:11">
      <c r="A10" s="178"/>
      <c r="B10" s="178"/>
      <c r="C10" s="176"/>
      <c r="D10" s="179"/>
      <c r="E10" s="150"/>
      <c r="F10" s="151"/>
      <c r="G10" s="151"/>
      <c r="H10" s="151"/>
      <c r="I10" s="152"/>
      <c r="J10" s="152"/>
      <c r="K10" s="152"/>
    </row>
    <row r="11" spans="1:11">
      <c r="A11" s="180" t="s">
        <v>1128</v>
      </c>
      <c r="B11" s="180" t="s">
        <v>1772</v>
      </c>
      <c r="C11" s="181">
        <v>147</v>
      </c>
      <c r="D11" s="181" t="s">
        <v>1523</v>
      </c>
      <c r="E11" s="182" t="s">
        <v>147</v>
      </c>
      <c r="F11" s="154" t="s">
        <v>11</v>
      </c>
      <c r="G11" s="157" t="s">
        <v>1487</v>
      </c>
      <c r="H11" s="157" t="s">
        <v>1487</v>
      </c>
      <c r="I11" s="157" t="s">
        <v>1279</v>
      </c>
      <c r="J11" s="157" t="s">
        <v>1279</v>
      </c>
      <c r="K11" s="155"/>
    </row>
    <row r="12" ht="26.4" spans="1:11">
      <c r="A12" s="180" t="s">
        <v>1128</v>
      </c>
      <c r="B12" s="180" t="s">
        <v>1772</v>
      </c>
      <c r="C12" s="181">
        <v>148</v>
      </c>
      <c r="D12" s="181" t="s">
        <v>1523</v>
      </c>
      <c r="E12" s="182" t="s">
        <v>159</v>
      </c>
      <c r="F12" s="154" t="s">
        <v>11</v>
      </c>
      <c r="G12" s="157" t="s">
        <v>1487</v>
      </c>
      <c r="H12" s="157" t="s">
        <v>1487</v>
      </c>
      <c r="I12" s="157" t="s">
        <v>1279</v>
      </c>
      <c r="J12" s="157" t="s">
        <v>1279</v>
      </c>
      <c r="K12" s="158"/>
    </row>
    <row r="13" spans="1:11">
      <c r="A13" s="180" t="s">
        <v>1128</v>
      </c>
      <c r="B13" s="180" t="s">
        <v>1772</v>
      </c>
      <c r="C13" s="181">
        <v>149</v>
      </c>
      <c r="D13" s="181" t="s">
        <v>272</v>
      </c>
      <c r="E13" s="183" t="s">
        <v>1792</v>
      </c>
      <c r="F13" s="154" t="s">
        <v>11</v>
      </c>
      <c r="G13" s="157" t="s">
        <v>1487</v>
      </c>
      <c r="H13" s="157" t="s">
        <v>1487</v>
      </c>
      <c r="I13" s="157" t="s">
        <v>1279</v>
      </c>
      <c r="J13" s="157" t="s">
        <v>1279</v>
      </c>
      <c r="K13" s="158"/>
    </row>
    <row r="14" spans="1:11">
      <c r="A14" s="180" t="s">
        <v>1128</v>
      </c>
      <c r="B14" s="180" t="s">
        <v>1772</v>
      </c>
      <c r="C14" s="181">
        <v>150</v>
      </c>
      <c r="D14" s="181" t="s">
        <v>272</v>
      </c>
      <c r="E14" s="184" t="s">
        <v>1793</v>
      </c>
      <c r="F14" s="154" t="s">
        <v>11</v>
      </c>
      <c r="G14" s="157" t="s">
        <v>1487</v>
      </c>
      <c r="H14" s="157" t="s">
        <v>1487</v>
      </c>
      <c r="I14" s="157" t="s">
        <v>1279</v>
      </c>
      <c r="J14" s="157" t="s">
        <v>1279</v>
      </c>
      <c r="K14" s="158"/>
    </row>
    <row r="15" spans="1:11">
      <c r="A15" s="180" t="s">
        <v>1128</v>
      </c>
      <c r="B15" s="180" t="s">
        <v>1772</v>
      </c>
      <c r="C15" s="181">
        <v>151</v>
      </c>
      <c r="D15" s="181" t="s">
        <v>272</v>
      </c>
      <c r="E15" s="185" t="s">
        <v>1794</v>
      </c>
      <c r="F15" s="154" t="s">
        <v>11</v>
      </c>
      <c r="G15" s="157" t="s">
        <v>1487</v>
      </c>
      <c r="H15" s="157" t="s">
        <v>1487</v>
      </c>
      <c r="I15" s="157" t="s">
        <v>1279</v>
      </c>
      <c r="J15" s="157" t="s">
        <v>1279</v>
      </c>
      <c r="K15" s="158"/>
    </row>
    <row r="16" spans="1:11">
      <c r="A16" s="180" t="s">
        <v>1128</v>
      </c>
      <c r="B16" s="180" t="s">
        <v>1772</v>
      </c>
      <c r="C16" s="181">
        <v>152</v>
      </c>
      <c r="D16" s="181" t="s">
        <v>272</v>
      </c>
      <c r="E16" s="182" t="s">
        <v>1795</v>
      </c>
      <c r="F16" s="154" t="s">
        <v>11</v>
      </c>
      <c r="G16" s="157" t="s">
        <v>1487</v>
      </c>
      <c r="H16" s="157" t="s">
        <v>1487</v>
      </c>
      <c r="I16" s="157" t="s">
        <v>1279</v>
      </c>
      <c r="J16" s="157" t="s">
        <v>1279</v>
      </c>
      <c r="K16" s="158"/>
    </row>
    <row r="17" spans="1:11">
      <c r="A17" s="180" t="s">
        <v>1128</v>
      </c>
      <c r="B17" s="180" t="s">
        <v>1772</v>
      </c>
      <c r="C17" s="181">
        <v>153</v>
      </c>
      <c r="D17" s="181" t="s">
        <v>272</v>
      </c>
      <c r="E17" s="186" t="s">
        <v>264</v>
      </c>
      <c r="F17" s="154" t="s">
        <v>11</v>
      </c>
      <c r="G17" s="157" t="s">
        <v>1487</v>
      </c>
      <c r="H17" s="157" t="s">
        <v>1487</v>
      </c>
      <c r="I17" s="157" t="s">
        <v>1279</v>
      </c>
      <c r="J17" s="157" t="s">
        <v>1279</v>
      </c>
      <c r="K17" s="158"/>
    </row>
    <row r="18" spans="1:11">
      <c r="A18" s="187" t="s">
        <v>1128</v>
      </c>
      <c r="B18" s="187" t="s">
        <v>1772</v>
      </c>
      <c r="C18" s="188">
        <v>154</v>
      </c>
      <c r="D18" s="188"/>
      <c r="E18" s="189" t="s">
        <v>1418</v>
      </c>
      <c r="F18" s="154" t="s">
        <v>1279</v>
      </c>
      <c r="G18" s="157" t="s">
        <v>1279</v>
      </c>
      <c r="H18" s="157" t="s">
        <v>1279</v>
      </c>
      <c r="I18" s="157" t="s">
        <v>1279</v>
      </c>
      <c r="J18" s="157" t="s">
        <v>1279</v>
      </c>
      <c r="K18" s="158"/>
    </row>
  </sheetData>
  <mergeCells count="15">
    <mergeCell ref="A5:F5"/>
    <mergeCell ref="H7:K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1:F4"/>
    <mergeCell ref="G1:K5"/>
  </mergeCells>
  <conditionalFormatting sqref="F11">
    <cfRule type="cellIs" dxfId="0" priority="8" operator="lessThan">
      <formula>0</formula>
    </cfRule>
  </conditionalFormatting>
  <conditionalFormatting sqref="F12">
    <cfRule type="cellIs" dxfId="0" priority="7" operator="lessThan">
      <formula>0</formula>
    </cfRule>
  </conditionalFormatting>
  <conditionalFormatting sqref="F13">
    <cfRule type="cellIs" dxfId="0" priority="6" operator="lessThan">
      <formula>0</formula>
    </cfRule>
  </conditionalFormatting>
  <conditionalFormatting sqref="F14">
    <cfRule type="cellIs" dxfId="0" priority="5" operator="lessThan">
      <formula>0</formula>
    </cfRule>
  </conditionalFormatting>
  <conditionalFormatting sqref="F15">
    <cfRule type="cellIs" dxfId="0" priority="4" operator="lessThan">
      <formula>0</formula>
    </cfRule>
  </conditionalFormatting>
  <conditionalFormatting sqref="F16">
    <cfRule type="cellIs" dxfId="0" priority="3" operator="lessThan">
      <formula>0</formula>
    </cfRule>
  </conditionalFormatting>
  <conditionalFormatting sqref="F17">
    <cfRule type="cellIs" dxfId="0" priority="2" operator="lessThan">
      <formula>0</formula>
    </cfRule>
  </conditionalFormatting>
  <conditionalFormatting sqref="F18">
    <cfRule type="cellIs" dxfId="0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5">
    <tabColor theme="8" tint="0.399975585192419"/>
  </sheetPr>
  <dimension ref="A1:H25"/>
  <sheetViews>
    <sheetView showGridLines="0" workbookViewId="0">
      <selection activeCell="N33" sqref="N33"/>
    </sheetView>
  </sheetViews>
  <sheetFormatPr defaultColWidth="9" defaultRowHeight="14.4" outlineLevelCol="7"/>
  <cols>
    <col min="1" max="1" width="20.8148148148148" style="116" customWidth="1"/>
    <col min="2" max="2" width="9.88888888888889" style="116" customWidth="1"/>
    <col min="3" max="3" width="11.6296296296296" style="116" customWidth="1"/>
    <col min="4" max="4" width="9.72222222222222" style="116" customWidth="1"/>
    <col min="5" max="7" width="7.90740740740741" style="116" customWidth="1"/>
    <col min="8" max="16359" width="8.90740740740741" style="113"/>
    <col min="16360" max="16384" width="9" style="113"/>
  </cols>
  <sheetData>
    <row r="1" s="1" customFormat="1" ht="10.8" spans="1:8">
      <c r="A1" s="118" t="s">
        <v>100</v>
      </c>
      <c r="B1" s="119"/>
      <c r="C1" s="120"/>
      <c r="D1" s="7" t="s">
        <v>1734</v>
      </c>
      <c r="E1" s="8"/>
      <c r="F1" s="8"/>
      <c r="G1" s="8"/>
      <c r="H1" s="9"/>
    </row>
    <row r="2" s="1" customFormat="1" ht="10.8" spans="1:8">
      <c r="A2" s="121"/>
      <c r="B2" s="122"/>
      <c r="C2" s="123"/>
      <c r="D2" s="10"/>
      <c r="E2" s="11"/>
      <c r="F2" s="11"/>
      <c r="G2" s="11"/>
      <c r="H2" s="12"/>
    </row>
    <row r="3" s="1" customFormat="1" ht="10.8" spans="1:8">
      <c r="A3" s="121"/>
      <c r="B3" s="122"/>
      <c r="C3" s="123"/>
      <c r="D3" s="10"/>
      <c r="E3" s="11"/>
      <c r="F3" s="11"/>
      <c r="G3" s="11"/>
      <c r="H3" s="12"/>
    </row>
    <row r="4" s="1" customFormat="1" ht="10.8" spans="1:8">
      <c r="A4" s="124"/>
      <c r="B4" s="125"/>
      <c r="C4" s="126"/>
      <c r="D4" s="10"/>
      <c r="E4" s="11"/>
      <c r="F4" s="11"/>
      <c r="G4" s="11"/>
      <c r="H4" s="12"/>
    </row>
    <row r="5" s="1" customFormat="1" ht="10.8" spans="1:8">
      <c r="A5" s="127" t="s">
        <v>1671</v>
      </c>
      <c r="B5" s="128"/>
      <c r="C5" s="129"/>
      <c r="D5" s="14"/>
      <c r="E5" s="15"/>
      <c r="F5" s="15"/>
      <c r="G5" s="15"/>
      <c r="H5" s="16"/>
    </row>
    <row r="6" s="1" customFormat="1" spans="1:8">
      <c r="A6" s="17"/>
      <c r="B6" s="17"/>
      <c r="C6" s="17"/>
      <c r="D6" s="17"/>
      <c r="E6"/>
      <c r="F6"/>
      <c r="G6" s="18"/>
    </row>
    <row r="7" s="1" customFormat="1" ht="10.8" spans="1:8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130" t="s">
        <v>1505</v>
      </c>
    </row>
    <row r="8" s="1" customFormat="1" ht="10.8"/>
    <row r="9" ht="26" customHeight="1" spans="1:8">
      <c r="A9" s="131" t="s">
        <v>1796</v>
      </c>
    </row>
    <row r="10" spans="1:8">
      <c r="A10" s="150" t="s">
        <v>117</v>
      </c>
      <c r="B10" s="151" t="s">
        <v>1234</v>
      </c>
      <c r="C10" s="151" t="s">
        <v>1235</v>
      </c>
      <c r="D10" s="151" t="s">
        <v>1236</v>
      </c>
      <c r="E10" s="152" t="s">
        <v>1237</v>
      </c>
      <c r="F10" s="152" t="s">
        <v>1238</v>
      </c>
      <c r="G10" s="152" t="s">
        <v>1522</v>
      </c>
    </row>
    <row r="11" spans="1:8">
      <c r="A11" s="150"/>
      <c r="B11" s="151"/>
      <c r="C11" s="151"/>
      <c r="D11" s="151"/>
      <c r="E11" s="152"/>
      <c r="F11" s="152"/>
      <c r="G11" s="152"/>
    </row>
    <row r="12" spans="1:8">
      <c r="A12" s="162" t="s">
        <v>1797</v>
      </c>
      <c r="B12" s="154" t="s">
        <v>11</v>
      </c>
      <c r="C12" s="157" t="s">
        <v>1487</v>
      </c>
      <c r="D12" s="157" t="s">
        <v>1487</v>
      </c>
      <c r="E12" s="157" t="s">
        <v>1279</v>
      </c>
      <c r="F12" s="157" t="s">
        <v>1279</v>
      </c>
      <c r="G12" s="155"/>
    </row>
    <row r="13" spans="1:8">
      <c r="A13" s="162" t="s">
        <v>1798</v>
      </c>
      <c r="B13" s="154" t="s">
        <v>11</v>
      </c>
      <c r="C13" s="157" t="s">
        <v>1487</v>
      </c>
      <c r="D13" s="157" t="s">
        <v>1487</v>
      </c>
      <c r="E13" s="157" t="s">
        <v>1279</v>
      </c>
      <c r="F13" s="157" t="s">
        <v>1279</v>
      </c>
      <c r="G13" s="158"/>
    </row>
    <row r="14" spans="1:8">
      <c r="A14" s="162" t="s">
        <v>1799</v>
      </c>
      <c r="B14" s="154" t="s">
        <v>11</v>
      </c>
      <c r="C14" s="157" t="s">
        <v>1487</v>
      </c>
      <c r="D14" s="157" t="s">
        <v>1487</v>
      </c>
      <c r="E14" s="157" t="s">
        <v>1279</v>
      </c>
      <c r="F14" s="157" t="s">
        <v>1279</v>
      </c>
      <c r="G14" s="158"/>
    </row>
    <row r="15" spans="1:8">
      <c r="A15" s="162" t="s">
        <v>1800</v>
      </c>
      <c r="B15" s="154" t="s">
        <v>11</v>
      </c>
      <c r="C15" s="157" t="s">
        <v>1487</v>
      </c>
      <c r="D15" s="157" t="s">
        <v>1487</v>
      </c>
      <c r="E15" s="157" t="s">
        <v>1279</v>
      </c>
      <c r="F15" s="157" t="s">
        <v>1279</v>
      </c>
      <c r="G15" s="158"/>
    </row>
    <row r="16" spans="1:8">
      <c r="A16" s="162" t="s">
        <v>1801</v>
      </c>
      <c r="B16" s="154" t="s">
        <v>11</v>
      </c>
      <c r="C16" s="157" t="s">
        <v>1487</v>
      </c>
      <c r="D16" s="157" t="s">
        <v>1487</v>
      </c>
      <c r="E16" s="157" t="s">
        <v>1279</v>
      </c>
      <c r="F16" s="157" t="s">
        <v>1279</v>
      </c>
      <c r="G16" s="158"/>
    </row>
    <row r="17" spans="1:7">
      <c r="A17" s="162" t="s">
        <v>1802</v>
      </c>
      <c r="B17" s="154" t="s">
        <v>11</v>
      </c>
      <c r="C17" s="157" t="s">
        <v>1487</v>
      </c>
      <c r="D17" s="157" t="s">
        <v>1487</v>
      </c>
      <c r="E17" s="157" t="s">
        <v>1279</v>
      </c>
      <c r="F17" s="157" t="s">
        <v>1279</v>
      </c>
      <c r="G17" s="158"/>
    </row>
    <row r="18" spans="1:7">
      <c r="A18" s="162" t="s">
        <v>1803</v>
      </c>
      <c r="B18" s="154" t="s">
        <v>11</v>
      </c>
      <c r="C18" s="157" t="s">
        <v>1487</v>
      </c>
      <c r="D18" s="157" t="s">
        <v>1487</v>
      </c>
      <c r="E18" s="157" t="s">
        <v>1279</v>
      </c>
      <c r="F18" s="157" t="s">
        <v>1279</v>
      </c>
      <c r="G18" s="158"/>
    </row>
    <row r="19" spans="1:7">
      <c r="A19" s="162" t="s">
        <v>1804</v>
      </c>
      <c r="B19" s="154" t="s">
        <v>11</v>
      </c>
      <c r="C19" s="157" t="s">
        <v>1487</v>
      </c>
      <c r="D19" s="157" t="s">
        <v>1487</v>
      </c>
      <c r="E19" s="157" t="s">
        <v>1279</v>
      </c>
      <c r="F19" s="157" t="s">
        <v>1279</v>
      </c>
      <c r="G19" s="158"/>
    </row>
    <row r="20" spans="1:7">
      <c r="A20" s="162" t="s">
        <v>1805</v>
      </c>
      <c r="B20" s="154" t="s">
        <v>11</v>
      </c>
      <c r="C20" s="157" t="s">
        <v>1487</v>
      </c>
      <c r="D20" s="157" t="s">
        <v>1487</v>
      </c>
      <c r="E20" s="157" t="s">
        <v>1279</v>
      </c>
      <c r="F20" s="157" t="s">
        <v>1279</v>
      </c>
      <c r="G20" s="159"/>
    </row>
    <row r="21" spans="1:7">
      <c r="A21" s="162" t="s">
        <v>1806</v>
      </c>
      <c r="B21" s="154" t="s">
        <v>11</v>
      </c>
      <c r="C21" s="157" t="s">
        <v>1487</v>
      </c>
      <c r="D21" s="157" t="s">
        <v>1487</v>
      </c>
      <c r="E21" s="157" t="s">
        <v>1279</v>
      </c>
      <c r="F21" s="157" t="s">
        <v>1279</v>
      </c>
      <c r="G21" s="159"/>
    </row>
    <row r="22" spans="1:7">
      <c r="A22" s="162" t="s">
        <v>1807</v>
      </c>
      <c r="B22" s="154" t="s">
        <v>11</v>
      </c>
      <c r="C22" s="157" t="s">
        <v>1487</v>
      </c>
      <c r="D22" s="157" t="s">
        <v>1487</v>
      </c>
      <c r="E22" s="157" t="s">
        <v>1279</v>
      </c>
      <c r="F22" s="157" t="s">
        <v>1279</v>
      </c>
      <c r="G22" s="159"/>
    </row>
    <row r="23" spans="1:7">
      <c r="A23" s="162" t="s">
        <v>1808</v>
      </c>
      <c r="B23" s="154" t="s">
        <v>11</v>
      </c>
      <c r="C23" s="157" t="s">
        <v>1487</v>
      </c>
      <c r="D23" s="157" t="s">
        <v>1487</v>
      </c>
      <c r="E23" s="157" t="s">
        <v>1279</v>
      </c>
      <c r="F23" s="157" t="s">
        <v>1279</v>
      </c>
      <c r="G23" s="159"/>
    </row>
    <row r="24" spans="1:7">
      <c r="A24" s="162" t="s">
        <v>1809</v>
      </c>
      <c r="B24" s="154" t="s">
        <v>11</v>
      </c>
      <c r="C24" s="157" t="s">
        <v>1487</v>
      </c>
      <c r="D24" s="157" t="s">
        <v>1487</v>
      </c>
      <c r="E24" s="157" t="s">
        <v>1279</v>
      </c>
      <c r="F24" s="157" t="s">
        <v>1279</v>
      </c>
      <c r="G24" s="159"/>
    </row>
    <row r="25" spans="1:7">
      <c r="A25" s="164" t="s">
        <v>1530</v>
      </c>
      <c r="B25" s="154" t="s">
        <v>1279</v>
      </c>
      <c r="C25" s="154" t="s">
        <v>1279</v>
      </c>
      <c r="D25" s="154" t="s">
        <v>1279</v>
      </c>
      <c r="E25" s="154" t="s">
        <v>1279</v>
      </c>
      <c r="F25" s="154" t="s">
        <v>1279</v>
      </c>
      <c r="G25" s="159"/>
    </row>
  </sheetData>
  <autoFilter xmlns:etc="http://www.wps.cn/officeDocument/2017/etCustomData" ref="A9:G25" etc:filterBottomFollowUsedRange="0">
    <extLst/>
  </autoFilter>
  <mergeCells count="10">
    <mergeCell ref="A5:C5"/>
    <mergeCell ref="A10:A11"/>
    <mergeCell ref="B10:B11"/>
    <mergeCell ref="C10:C11"/>
    <mergeCell ref="D10:D11"/>
    <mergeCell ref="E10:E11"/>
    <mergeCell ref="F10:F11"/>
    <mergeCell ref="G10:G11"/>
    <mergeCell ref="A1:C4"/>
    <mergeCell ref="D1:H5"/>
  </mergeCells>
  <conditionalFormatting sqref="B12">
    <cfRule type="cellIs" dxfId="0" priority="15" operator="lessThan">
      <formula>0</formula>
    </cfRule>
  </conditionalFormatting>
  <conditionalFormatting sqref="B13">
    <cfRule type="cellIs" dxfId="0" priority="3" operator="lessThan">
      <formula>0</formula>
    </cfRule>
  </conditionalFormatting>
  <conditionalFormatting sqref="B14">
    <cfRule type="cellIs" dxfId="0" priority="14" operator="lessThan">
      <formula>0</formula>
    </cfRule>
  </conditionalFormatting>
  <conditionalFormatting sqref="B15">
    <cfRule type="cellIs" dxfId="0" priority="13" operator="lessThan">
      <formula>0</formula>
    </cfRule>
  </conditionalFormatting>
  <conditionalFormatting sqref="B16">
    <cfRule type="cellIs" dxfId="0" priority="12" operator="lessThan">
      <formula>0</formula>
    </cfRule>
  </conditionalFormatting>
  <conditionalFormatting sqref="B17">
    <cfRule type="cellIs" dxfId="0" priority="11" operator="lessThan">
      <formula>0</formula>
    </cfRule>
  </conditionalFormatting>
  <conditionalFormatting sqref="B18">
    <cfRule type="cellIs" dxfId="0" priority="10" operator="lessThan">
      <formula>0</formula>
    </cfRule>
  </conditionalFormatting>
  <conditionalFormatting sqref="B19">
    <cfRule type="cellIs" dxfId="0" priority="9" operator="lessThan">
      <formula>0</formula>
    </cfRule>
  </conditionalFormatting>
  <conditionalFormatting sqref="B20">
    <cfRule type="cellIs" dxfId="0" priority="8" operator="lessThan">
      <formula>0</formula>
    </cfRule>
  </conditionalFormatting>
  <conditionalFormatting sqref="B21">
    <cfRule type="cellIs" dxfId="0" priority="7" operator="lessThan">
      <formula>0</formula>
    </cfRule>
  </conditionalFormatting>
  <conditionalFormatting sqref="B22">
    <cfRule type="cellIs" dxfId="0" priority="6" operator="lessThan">
      <formula>0</formula>
    </cfRule>
  </conditionalFormatting>
  <conditionalFormatting sqref="B23">
    <cfRule type="cellIs" dxfId="0" priority="5" operator="lessThan">
      <formula>0</formula>
    </cfRule>
  </conditionalFormatting>
  <conditionalFormatting sqref="B24">
    <cfRule type="cellIs" dxfId="0" priority="4" operator="lessThan">
      <formula>0</formula>
    </cfRule>
  </conditionalFormatting>
  <conditionalFormatting sqref="B25">
    <cfRule type="cellIs" dxfId="0" priority="2" operator="lessThan">
      <formula>0</formula>
    </cfRule>
  </conditionalFormatting>
  <conditionalFormatting sqref="C25:F25">
    <cfRule type="cellIs" dxfId="0" priority="1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9">
    <tabColor rgb="FFFF0000"/>
  </sheetPr>
  <dimension ref="A1:H22"/>
  <sheetViews>
    <sheetView workbookViewId="0">
      <selection activeCell="P31" sqref="P31"/>
    </sheetView>
  </sheetViews>
  <sheetFormatPr defaultColWidth="8.90740740740741" defaultRowHeight="14.4" outlineLevelCol="7"/>
  <cols>
    <col min="1" max="1" width="13.3611111111111" customWidth="1"/>
    <col min="2" max="2" width="13.7777777777778" customWidth="1"/>
    <col min="4" max="4" width="13.9074074074074" customWidth="1"/>
  </cols>
  <sheetData>
    <row r="1" s="1" customFormat="1" ht="10.8" spans="1:8">
      <c r="A1" s="118" t="s">
        <v>100</v>
      </c>
      <c r="B1" s="119"/>
      <c r="C1" s="120"/>
      <c r="D1" s="7" t="s">
        <v>1734</v>
      </c>
      <c r="E1" s="8"/>
      <c r="F1" s="8"/>
      <c r="G1" s="8"/>
      <c r="H1" s="9"/>
    </row>
    <row r="2" s="1" customFormat="1" ht="10.8" spans="1:8">
      <c r="A2" s="121"/>
      <c r="B2" s="122"/>
      <c r="C2" s="123"/>
      <c r="D2" s="10"/>
      <c r="E2" s="11"/>
      <c r="F2" s="11"/>
      <c r="G2" s="11"/>
      <c r="H2" s="12"/>
    </row>
    <row r="3" s="1" customFormat="1" ht="10.8" spans="1:8">
      <c r="A3" s="121"/>
      <c r="B3" s="122"/>
      <c r="C3" s="123"/>
      <c r="D3" s="10"/>
      <c r="E3" s="11"/>
      <c r="F3" s="11"/>
      <c r="G3" s="11"/>
      <c r="H3" s="12"/>
    </row>
    <row r="4" s="1" customFormat="1" ht="10.8" spans="1:8">
      <c r="A4" s="124"/>
      <c r="B4" s="125"/>
      <c r="C4" s="126"/>
      <c r="D4" s="10"/>
      <c r="E4" s="11"/>
      <c r="F4" s="11"/>
      <c r="G4" s="11"/>
      <c r="H4" s="12"/>
    </row>
    <row r="5" s="1" customFormat="1" ht="10.8" spans="1:8">
      <c r="A5" s="127" t="s">
        <v>1810</v>
      </c>
      <c r="B5" s="128"/>
      <c r="C5" s="129"/>
      <c r="D5" s="14"/>
      <c r="E5" s="15"/>
      <c r="F5" s="15"/>
      <c r="G5" s="15"/>
      <c r="H5" s="16"/>
    </row>
    <row r="6" s="1" customFormat="1" spans="1:8">
      <c r="A6" s="17"/>
      <c r="B6" s="17"/>
      <c r="C6" s="17"/>
      <c r="D6" s="17"/>
      <c r="E6"/>
      <c r="F6"/>
      <c r="G6" s="18"/>
    </row>
    <row r="7" s="1" customFormat="1" ht="10.8" spans="1:8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130" t="s">
        <v>1505</v>
      </c>
    </row>
    <row r="8" s="1" customFormat="1" ht="10.8"/>
    <row r="9" spans="1:8">
      <c r="A9" s="150" t="s">
        <v>117</v>
      </c>
      <c r="B9" s="151" t="s">
        <v>1234</v>
      </c>
      <c r="C9" s="151" t="s">
        <v>1235</v>
      </c>
      <c r="D9" s="151" t="s">
        <v>1236</v>
      </c>
      <c r="E9" s="152" t="s">
        <v>1237</v>
      </c>
      <c r="F9" s="152" t="s">
        <v>1238</v>
      </c>
      <c r="G9" s="152" t="s">
        <v>1522</v>
      </c>
    </row>
    <row r="10" spans="1:8">
      <c r="A10" s="150"/>
      <c r="B10" s="151"/>
      <c r="C10" s="151"/>
      <c r="D10" s="151"/>
      <c r="E10" s="152"/>
      <c r="F10" s="152"/>
      <c r="G10" s="152"/>
    </row>
    <row r="11" spans="1:8">
      <c r="A11" s="162" t="s">
        <v>1811</v>
      </c>
      <c r="B11" s="154" t="s">
        <v>11</v>
      </c>
      <c r="C11" s="157" t="s">
        <v>1487</v>
      </c>
      <c r="D11" s="157" t="s">
        <v>1487</v>
      </c>
      <c r="E11" s="157" t="s">
        <v>1279</v>
      </c>
      <c r="F11" s="157" t="s">
        <v>1279</v>
      </c>
      <c r="G11" s="155"/>
    </row>
    <row r="12" spans="1:8">
      <c r="A12" s="162" t="s">
        <v>1812</v>
      </c>
      <c r="B12" s="154" t="s">
        <v>11</v>
      </c>
      <c r="C12" s="157" t="s">
        <v>1487</v>
      </c>
      <c r="D12" s="157" t="s">
        <v>1487</v>
      </c>
      <c r="E12" s="157" t="s">
        <v>1279</v>
      </c>
      <c r="F12" s="157" t="s">
        <v>1279</v>
      </c>
      <c r="G12" s="158"/>
    </row>
    <row r="13" spans="1:8">
      <c r="A13" s="137" t="s">
        <v>1813</v>
      </c>
      <c r="B13" s="154" t="s">
        <v>11</v>
      </c>
      <c r="C13" s="157" t="s">
        <v>1487</v>
      </c>
      <c r="D13" s="157" t="s">
        <v>1487</v>
      </c>
      <c r="E13" s="157" t="s">
        <v>1279</v>
      </c>
      <c r="F13" s="157" t="s">
        <v>1279</v>
      </c>
      <c r="G13" s="158"/>
    </row>
    <row r="14" spans="1:8">
      <c r="A14" s="137" t="s">
        <v>1814</v>
      </c>
      <c r="B14" s="154" t="s">
        <v>11</v>
      </c>
      <c r="C14" s="157" t="s">
        <v>1487</v>
      </c>
      <c r="D14" s="157" t="s">
        <v>1487</v>
      </c>
      <c r="E14" s="157" t="s">
        <v>1279</v>
      </c>
      <c r="F14" s="157" t="s">
        <v>1279</v>
      </c>
      <c r="G14" s="158"/>
    </row>
    <row r="15" spans="1:8">
      <c r="A15" s="137" t="s">
        <v>1815</v>
      </c>
      <c r="B15" s="154" t="s">
        <v>11</v>
      </c>
      <c r="C15" s="157" t="s">
        <v>1487</v>
      </c>
      <c r="D15" s="157" t="s">
        <v>1487</v>
      </c>
      <c r="E15" s="157" t="s">
        <v>1279</v>
      </c>
      <c r="F15" s="157" t="s">
        <v>1279</v>
      </c>
      <c r="G15" s="158"/>
    </row>
    <row r="16" spans="1:8">
      <c r="A16" s="137" t="s">
        <v>1816</v>
      </c>
      <c r="B16" s="154" t="s">
        <v>11</v>
      </c>
      <c r="C16" s="157" t="s">
        <v>1487</v>
      </c>
      <c r="D16" s="157" t="s">
        <v>1487</v>
      </c>
      <c r="E16" s="157" t="s">
        <v>1279</v>
      </c>
      <c r="F16" s="157" t="s">
        <v>1279</v>
      </c>
      <c r="G16" s="158"/>
    </row>
    <row r="17" spans="1:7">
      <c r="A17" s="163" t="s">
        <v>1335</v>
      </c>
      <c r="B17" s="154" t="s">
        <v>11</v>
      </c>
      <c r="C17" s="157" t="s">
        <v>1487</v>
      </c>
      <c r="D17" s="157" t="s">
        <v>1487</v>
      </c>
      <c r="E17" s="157" t="s">
        <v>1279</v>
      </c>
      <c r="F17" s="157" t="s">
        <v>1279</v>
      </c>
      <c r="G17" s="158"/>
    </row>
    <row r="18" spans="1:7">
      <c r="A18" s="163" t="s">
        <v>1339</v>
      </c>
      <c r="B18" s="154" t="s">
        <v>11</v>
      </c>
      <c r="C18" s="157" t="s">
        <v>1487</v>
      </c>
      <c r="D18" s="157" t="s">
        <v>1487</v>
      </c>
      <c r="E18" s="157" t="s">
        <v>1279</v>
      </c>
      <c r="F18" s="157" t="s">
        <v>1279</v>
      </c>
      <c r="G18" s="158"/>
    </row>
    <row r="19" ht="28.8" spans="1:7">
      <c r="A19" s="163" t="s">
        <v>1817</v>
      </c>
      <c r="B19" s="154" t="s">
        <v>11</v>
      </c>
      <c r="C19" s="157" t="s">
        <v>1487</v>
      </c>
      <c r="D19" s="157" t="s">
        <v>1487</v>
      </c>
      <c r="E19" s="157" t="s">
        <v>1279</v>
      </c>
      <c r="F19" s="157" t="s">
        <v>1279</v>
      </c>
      <c r="G19" s="159"/>
    </row>
    <row r="20" spans="1:7">
      <c r="A20" s="163" t="s">
        <v>1818</v>
      </c>
      <c r="B20" s="154" t="s">
        <v>11</v>
      </c>
      <c r="C20" s="157" t="s">
        <v>1487</v>
      </c>
      <c r="D20" s="157" t="s">
        <v>1487</v>
      </c>
      <c r="E20" s="157" t="s">
        <v>1279</v>
      </c>
      <c r="F20" s="157" t="s">
        <v>1279</v>
      </c>
      <c r="G20" s="159"/>
    </row>
    <row r="21" spans="1:7">
      <c r="A21" s="163" t="s">
        <v>1819</v>
      </c>
      <c r="B21" s="154" t="s">
        <v>11</v>
      </c>
      <c r="C21" s="157" t="s">
        <v>1487</v>
      </c>
      <c r="D21" s="157" t="s">
        <v>1487</v>
      </c>
      <c r="E21" s="157" t="s">
        <v>1279</v>
      </c>
      <c r="F21" s="157" t="s">
        <v>1279</v>
      </c>
      <c r="G21" s="159"/>
    </row>
    <row r="22" spans="1:7">
      <c r="A22" s="163" t="s">
        <v>1820</v>
      </c>
      <c r="B22" s="154" t="s">
        <v>11</v>
      </c>
      <c r="C22" s="157" t="s">
        <v>1487</v>
      </c>
      <c r="D22" s="157" t="s">
        <v>1487</v>
      </c>
      <c r="E22" s="157" t="s">
        <v>1279</v>
      </c>
      <c r="F22" s="157" t="s">
        <v>1279</v>
      </c>
      <c r="G22" s="159"/>
    </row>
  </sheetData>
  <mergeCells count="10">
    <mergeCell ref="A5:C5"/>
    <mergeCell ref="A9:A10"/>
    <mergeCell ref="B9:B10"/>
    <mergeCell ref="C9:C10"/>
    <mergeCell ref="D9:D10"/>
    <mergeCell ref="E9:E10"/>
    <mergeCell ref="F9:F10"/>
    <mergeCell ref="G9:G10"/>
    <mergeCell ref="A1:C4"/>
    <mergeCell ref="D1:H5"/>
  </mergeCells>
  <conditionalFormatting sqref="B11">
    <cfRule type="cellIs" dxfId="0" priority="13" operator="lessThan">
      <formula>0</formula>
    </cfRule>
  </conditionalFormatting>
  <conditionalFormatting sqref="B12">
    <cfRule type="cellIs" dxfId="0" priority="11" operator="lessThan">
      <formula>0</formula>
    </cfRule>
  </conditionalFormatting>
  <conditionalFormatting sqref="B13">
    <cfRule type="cellIs" dxfId="0" priority="10" operator="lessThan">
      <formula>0</formula>
    </cfRule>
  </conditionalFormatting>
  <conditionalFormatting sqref="B14">
    <cfRule type="cellIs" dxfId="0" priority="9" operator="lessThan">
      <formula>0</formula>
    </cfRule>
  </conditionalFormatting>
  <conditionalFormatting sqref="B15">
    <cfRule type="cellIs" dxfId="0" priority="8" operator="lessThan">
      <formula>0</formula>
    </cfRule>
  </conditionalFormatting>
  <conditionalFormatting sqref="B16">
    <cfRule type="cellIs" dxfId="0" priority="7" operator="lessThan">
      <formula>0</formula>
    </cfRule>
  </conditionalFormatting>
  <conditionalFormatting sqref="B17">
    <cfRule type="cellIs" dxfId="0" priority="6" operator="lessThan">
      <formula>0</formula>
    </cfRule>
  </conditionalFormatting>
  <conditionalFormatting sqref="B18">
    <cfRule type="cellIs" dxfId="0" priority="5" operator="lessThan">
      <formula>0</formula>
    </cfRule>
  </conditionalFormatting>
  <conditionalFormatting sqref="B19">
    <cfRule type="cellIs" dxfId="0" priority="4" operator="lessThan">
      <formula>0</formula>
    </cfRule>
  </conditionalFormatting>
  <conditionalFormatting sqref="B20">
    <cfRule type="cellIs" dxfId="0" priority="3" operator="lessThan">
      <formula>0</formula>
    </cfRule>
  </conditionalFormatting>
  <conditionalFormatting sqref="B21">
    <cfRule type="cellIs" dxfId="0" priority="2" operator="lessThan">
      <formula>0</formula>
    </cfRule>
  </conditionalFormatting>
  <conditionalFormatting sqref="B22">
    <cfRule type="cellIs" dxfId="0" priority="1" operator="lessThan">
      <formula>0</formula>
    </cfRule>
  </conditionalFormatting>
  <conditionalFormatting sqref="A13:A22">
    <cfRule type="cellIs" dxfId="0" priority="12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0">
    <tabColor rgb="FFFF0000"/>
  </sheetPr>
  <dimension ref="A1:Q21"/>
  <sheetViews>
    <sheetView zoomScale="85" zoomScaleNormal="85" workbookViewId="0">
      <selection activeCell="U32" sqref="U32"/>
    </sheetView>
  </sheetViews>
  <sheetFormatPr defaultColWidth="8.90740740740741" defaultRowHeight="14.4"/>
  <cols>
    <col min="1" max="1" width="20.0925925925926" customWidth="1"/>
  </cols>
  <sheetData>
    <row r="1" s="1" customFormat="1" ht="16" customHeight="1" spans="1:17">
      <c r="A1" s="118" t="s">
        <v>100</v>
      </c>
      <c r="B1" s="119"/>
      <c r="C1" s="120"/>
      <c r="D1" s="7" t="s">
        <v>1734</v>
      </c>
      <c r="E1" s="8"/>
      <c r="F1" s="8"/>
      <c r="G1" s="8"/>
      <c r="H1" s="9"/>
    </row>
    <row r="2" s="1" customFormat="1" ht="16" customHeight="1" spans="1:17">
      <c r="A2" s="121"/>
      <c r="B2" s="122"/>
      <c r="C2" s="123"/>
      <c r="D2" s="10"/>
      <c r="E2" s="11"/>
      <c r="F2" s="11"/>
      <c r="G2" s="11"/>
      <c r="H2" s="12"/>
    </row>
    <row r="3" s="1" customFormat="1" ht="16" customHeight="1" spans="1:17">
      <c r="A3" s="121"/>
      <c r="B3" s="122"/>
      <c r="C3" s="123"/>
      <c r="D3" s="10"/>
      <c r="E3" s="11"/>
      <c r="F3" s="11"/>
      <c r="G3" s="11"/>
      <c r="H3" s="12"/>
    </row>
    <row r="4" s="1" customFormat="1" ht="16" customHeight="1" spans="1:17">
      <c r="A4" s="124"/>
      <c r="B4" s="125"/>
      <c r="C4" s="126"/>
      <c r="D4" s="10"/>
      <c r="E4" s="11"/>
      <c r="F4" s="11"/>
      <c r="G4" s="11"/>
      <c r="H4" s="12"/>
    </row>
    <row r="5" s="1" customFormat="1" ht="25" customHeight="1" spans="1:17">
      <c r="A5" s="127" t="s">
        <v>1810</v>
      </c>
      <c r="B5" s="128"/>
      <c r="C5" s="129"/>
      <c r="D5" s="14"/>
      <c r="E5" s="15"/>
      <c r="F5" s="15"/>
      <c r="G5" s="15"/>
      <c r="H5" s="16"/>
    </row>
    <row r="6" s="1" customFormat="1" ht="16" customHeight="1" spans="1:17">
      <c r="A6" s="17"/>
      <c r="B6" s="17"/>
      <c r="C6" s="17"/>
      <c r="D6" s="17"/>
      <c r="E6"/>
      <c r="F6"/>
      <c r="G6" s="18"/>
    </row>
    <row r="7" s="1" customFormat="1" ht="28" customHeight="1" spans="1:17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130" t="s">
        <v>1505</v>
      </c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50" t="s">
        <v>117</v>
      </c>
      <c r="B9" s="151" t="s">
        <v>1234</v>
      </c>
      <c r="C9" s="151" t="s">
        <v>1235</v>
      </c>
      <c r="D9" s="151" t="s">
        <v>1236</v>
      </c>
      <c r="E9" s="152" t="s">
        <v>1237</v>
      </c>
      <c r="F9" s="152" t="s">
        <v>1238</v>
      </c>
      <c r="G9" s="152" t="s">
        <v>1522</v>
      </c>
    </row>
    <row r="10" spans="1:17">
      <c r="A10" s="150"/>
      <c r="B10" s="151"/>
      <c r="C10" s="151"/>
      <c r="D10" s="151"/>
      <c r="E10" s="152"/>
      <c r="F10" s="152"/>
      <c r="G10" s="152"/>
    </row>
    <row r="11" spans="1:17">
      <c r="A11" s="153" t="s">
        <v>1821</v>
      </c>
      <c r="B11" s="154" t="s">
        <v>1279</v>
      </c>
      <c r="C11" s="154" t="s">
        <v>1279</v>
      </c>
      <c r="D11" s="154" t="s">
        <v>1279</v>
      </c>
      <c r="E11" s="154" t="s">
        <v>1279</v>
      </c>
      <c r="F11" s="154" t="s">
        <v>1279</v>
      </c>
      <c r="G11" s="155"/>
    </row>
    <row r="12" spans="1:17">
      <c r="A12" s="156" t="s">
        <v>1822</v>
      </c>
      <c r="B12" s="154" t="s">
        <v>11</v>
      </c>
      <c r="C12" s="157" t="s">
        <v>1487</v>
      </c>
      <c r="D12" s="157" t="s">
        <v>1487</v>
      </c>
      <c r="E12" s="157" t="s">
        <v>1279</v>
      </c>
      <c r="F12" s="157" t="s">
        <v>1279</v>
      </c>
      <c r="G12" s="158"/>
    </row>
    <row r="13" spans="1:17">
      <c r="A13" s="159" t="s">
        <v>1823</v>
      </c>
      <c r="B13" s="154" t="s">
        <v>11</v>
      </c>
      <c r="C13" s="157" t="s">
        <v>1487</v>
      </c>
      <c r="D13" s="157" t="s">
        <v>1487</v>
      </c>
      <c r="E13" s="157" t="s">
        <v>1279</v>
      </c>
      <c r="F13" s="157" t="s">
        <v>1279</v>
      </c>
      <c r="G13" s="158"/>
    </row>
    <row r="14" spans="1:17">
      <c r="A14" s="160" t="s">
        <v>1824</v>
      </c>
      <c r="B14" s="154" t="s">
        <v>11</v>
      </c>
      <c r="C14" s="157" t="s">
        <v>1487</v>
      </c>
      <c r="D14" s="157" t="s">
        <v>1487</v>
      </c>
      <c r="E14" s="157" t="s">
        <v>1279</v>
      </c>
      <c r="F14" s="157" t="s">
        <v>1279</v>
      </c>
      <c r="G14" s="158"/>
    </row>
    <row r="15" spans="1:17">
      <c r="A15" s="159" t="s">
        <v>264</v>
      </c>
      <c r="B15" s="154" t="s">
        <v>11</v>
      </c>
      <c r="C15" s="157" t="s">
        <v>1487</v>
      </c>
      <c r="D15" s="157" t="s">
        <v>1487</v>
      </c>
      <c r="E15" s="157" t="s">
        <v>1279</v>
      </c>
      <c r="F15" s="157" t="s">
        <v>1279</v>
      </c>
      <c r="G15" s="158"/>
    </row>
    <row r="16" spans="1:17">
      <c r="A16" s="153" t="s">
        <v>1825</v>
      </c>
      <c r="B16" s="161" t="s">
        <v>1279</v>
      </c>
      <c r="C16" s="161" t="s">
        <v>1279</v>
      </c>
      <c r="D16" s="161" t="s">
        <v>1279</v>
      </c>
      <c r="E16" s="161" t="s">
        <v>1279</v>
      </c>
      <c r="F16" s="161" t="s">
        <v>1279</v>
      </c>
      <c r="G16" s="158"/>
    </row>
    <row r="17" spans="1:7">
      <c r="A17" s="159" t="s">
        <v>1826</v>
      </c>
      <c r="B17" s="154" t="s">
        <v>11</v>
      </c>
      <c r="C17" s="157" t="s">
        <v>1487</v>
      </c>
      <c r="D17" s="157" t="s">
        <v>1487</v>
      </c>
      <c r="E17" s="157" t="s">
        <v>1279</v>
      </c>
      <c r="F17" s="157" t="s">
        <v>1279</v>
      </c>
      <c r="G17" s="158"/>
    </row>
    <row r="18" spans="1:7">
      <c r="A18" s="159" t="s">
        <v>1827</v>
      </c>
      <c r="B18" s="154" t="s">
        <v>11</v>
      </c>
      <c r="C18" s="157" t="s">
        <v>1487</v>
      </c>
      <c r="D18" s="157" t="s">
        <v>1487</v>
      </c>
      <c r="E18" s="157" t="s">
        <v>1279</v>
      </c>
      <c r="F18" s="157" t="s">
        <v>1279</v>
      </c>
      <c r="G18" s="158"/>
    </row>
    <row r="19" spans="1:7">
      <c r="A19" s="159" t="s">
        <v>1828</v>
      </c>
      <c r="B19" s="154" t="s">
        <v>11</v>
      </c>
      <c r="C19" s="157" t="s">
        <v>1487</v>
      </c>
      <c r="D19" s="157" t="s">
        <v>1487</v>
      </c>
      <c r="E19" s="157" t="s">
        <v>1279</v>
      </c>
      <c r="F19" s="157" t="s">
        <v>1279</v>
      </c>
      <c r="G19" s="159"/>
    </row>
    <row r="20" spans="1:7">
      <c r="A20" s="159" t="s">
        <v>1829</v>
      </c>
      <c r="B20" s="154" t="s">
        <v>11</v>
      </c>
      <c r="C20" s="157" t="s">
        <v>1487</v>
      </c>
      <c r="D20" s="157" t="s">
        <v>1487</v>
      </c>
      <c r="E20" s="157" t="s">
        <v>1279</v>
      </c>
      <c r="F20" s="157" t="s">
        <v>1279</v>
      </c>
      <c r="G20" s="159"/>
    </row>
    <row r="21" spans="1:7">
      <c r="A21" s="159" t="s">
        <v>264</v>
      </c>
      <c r="B21" s="154" t="s">
        <v>11</v>
      </c>
      <c r="C21" s="157" t="s">
        <v>1487</v>
      </c>
      <c r="D21" s="157" t="s">
        <v>1487</v>
      </c>
      <c r="E21" s="157" t="s">
        <v>1279</v>
      </c>
      <c r="F21" s="157" t="s">
        <v>1279</v>
      </c>
      <c r="G21" s="159"/>
    </row>
  </sheetData>
  <mergeCells count="10">
    <mergeCell ref="A5:C5"/>
    <mergeCell ref="A9:A10"/>
    <mergeCell ref="B9:B10"/>
    <mergeCell ref="C9:C10"/>
    <mergeCell ref="D9:D10"/>
    <mergeCell ref="E9:E10"/>
    <mergeCell ref="F9:F10"/>
    <mergeCell ref="G9:G10"/>
    <mergeCell ref="A1:C4"/>
    <mergeCell ref="D1:H5"/>
  </mergeCells>
  <conditionalFormatting sqref="B11">
    <cfRule type="cellIs" dxfId="0" priority="16" operator="lessThan">
      <formula>0</formula>
    </cfRule>
  </conditionalFormatting>
  <conditionalFormatting sqref="C11:F11">
    <cfRule type="cellIs" dxfId="0" priority="8" operator="lessThan">
      <formula>0</formula>
    </cfRule>
  </conditionalFormatting>
  <conditionalFormatting sqref="B12">
    <cfRule type="cellIs" dxfId="0" priority="12" operator="lessThan">
      <formula>0</formula>
    </cfRule>
  </conditionalFormatting>
  <conditionalFormatting sqref="B13">
    <cfRule type="cellIs" dxfId="0" priority="11" operator="lessThan">
      <formula>0</formula>
    </cfRule>
  </conditionalFormatting>
  <conditionalFormatting sqref="B14">
    <cfRule type="cellIs" dxfId="0" priority="10" operator="lessThan">
      <formula>0</formula>
    </cfRule>
  </conditionalFormatting>
  <conditionalFormatting sqref="B15">
    <cfRule type="cellIs" dxfId="0" priority="9" operator="lessThan">
      <formula>0</formula>
    </cfRule>
  </conditionalFormatting>
  <conditionalFormatting sqref="B16">
    <cfRule type="cellIs" dxfId="0" priority="7" operator="lessThan">
      <formula>0</formula>
    </cfRule>
  </conditionalFormatting>
  <conditionalFormatting sqref="C16:F16">
    <cfRule type="cellIs" dxfId="0" priority="6" operator="lessThan">
      <formula>0</formula>
    </cfRule>
  </conditionalFormatting>
  <conditionalFormatting sqref="B17">
    <cfRule type="cellIs" dxfId="0" priority="5" operator="lessThan">
      <formula>0</formula>
    </cfRule>
  </conditionalFormatting>
  <conditionalFormatting sqref="B18">
    <cfRule type="cellIs" dxfId="0" priority="4" operator="lessThan">
      <formula>0</formula>
    </cfRule>
  </conditionalFormatting>
  <conditionalFormatting sqref="B19">
    <cfRule type="cellIs" dxfId="0" priority="3" operator="lessThan">
      <formula>0</formula>
    </cfRule>
  </conditionalFormatting>
  <conditionalFormatting sqref="B20">
    <cfRule type="cellIs" dxfId="0" priority="2" operator="lessThan">
      <formula>0</formula>
    </cfRule>
  </conditionalFormatting>
  <conditionalFormatting sqref="B21">
    <cfRule type="cellIs" dxfId="0" priority="1" operator="lessThan">
      <formula>0</formula>
    </cfRule>
  </conditionalFormatting>
  <conditionalFormatting sqref="A13:A15">
    <cfRule type="cellIs" dxfId="0" priority="14" operator="lessThan">
      <formula>0</formula>
    </cfRule>
  </conditionalFormatting>
  <conditionalFormatting sqref="A17:A20">
    <cfRule type="cellIs" dxfId="0" priority="13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6">
    <tabColor theme="8" tint="0.399975585192419"/>
  </sheetPr>
  <dimension ref="A1:AE33"/>
  <sheetViews>
    <sheetView showGridLines="0" zoomScale="80" zoomScaleNormal="80" topLeftCell="A7" workbookViewId="0">
      <selection activeCell="A1" sqref="A1:C4"/>
    </sheetView>
  </sheetViews>
  <sheetFormatPr defaultColWidth="8.90740740740741" defaultRowHeight="14.4"/>
  <cols>
    <col min="1" max="1" width="20.6296296296296" style="115" customWidth="1"/>
    <col min="2" max="3" width="14.0925925925926" style="115" customWidth="1"/>
    <col min="4" max="5" width="6.72222222222222" style="115" customWidth="1"/>
    <col min="6" max="7" width="10.7222222222222" style="115" customWidth="1"/>
    <col min="8" max="17" width="13" style="115" customWidth="1"/>
    <col min="18" max="18" width="14.0925925925926" style="115" customWidth="1"/>
    <col min="19" max="19" width="10.7222222222222" style="116" customWidth="1"/>
    <col min="20" max="20" width="9.62962962962963" style="116" customWidth="1"/>
    <col min="21" max="22" width="10.7222222222222" style="116" customWidth="1"/>
    <col min="23" max="28" width="13" style="116" customWidth="1"/>
    <col min="29" max="30" width="10.7222222222222" style="116" customWidth="1"/>
    <col min="31" max="31" width="14.0925925925926" style="116" customWidth="1"/>
    <col min="32" max="16384" width="8.90740740740741" style="117"/>
  </cols>
  <sheetData>
    <row r="1" s="1" customFormat="1" ht="16" customHeight="1" spans="1:15">
      <c r="A1" s="118" t="s">
        <v>100</v>
      </c>
      <c r="B1" s="119"/>
      <c r="C1" s="120"/>
      <c r="D1" s="7" t="s">
        <v>1734</v>
      </c>
      <c r="E1" s="8"/>
      <c r="F1" s="8"/>
      <c r="G1" s="8"/>
      <c r="H1" s="9"/>
    </row>
    <row r="2" s="1" customFormat="1" ht="16" customHeight="1" spans="1:15">
      <c r="A2" s="121"/>
      <c r="B2" s="122"/>
      <c r="C2" s="123"/>
      <c r="D2" s="10"/>
      <c r="E2" s="11"/>
      <c r="F2" s="11"/>
      <c r="G2" s="11"/>
      <c r="H2" s="12"/>
    </row>
    <row r="3" s="1" customFormat="1" ht="16" customHeight="1" spans="1:15">
      <c r="A3" s="121"/>
      <c r="B3" s="122"/>
      <c r="C3" s="123"/>
      <c r="D3" s="10"/>
      <c r="E3" s="11"/>
      <c r="F3" s="11"/>
      <c r="G3" s="11"/>
      <c r="H3" s="12"/>
    </row>
    <row r="4" s="1" customFormat="1" ht="16" customHeight="1" spans="1:15">
      <c r="A4" s="124"/>
      <c r="B4" s="125"/>
      <c r="C4" s="126"/>
      <c r="D4" s="10"/>
      <c r="E4" s="11"/>
      <c r="F4" s="11"/>
      <c r="G4" s="11"/>
      <c r="H4" s="12"/>
    </row>
    <row r="5" s="1" customFormat="1" ht="25" customHeight="1" spans="1:15">
      <c r="A5" s="127" t="s">
        <v>1810</v>
      </c>
      <c r="B5" s="128"/>
      <c r="C5" s="129"/>
      <c r="D5" s="14"/>
      <c r="E5" s="15"/>
      <c r="F5" s="15"/>
      <c r="G5" s="15"/>
      <c r="H5" s="16"/>
    </row>
    <row r="6" s="1" customFormat="1" ht="16" customHeight="1" spans="1:15">
      <c r="A6" s="17"/>
      <c r="B6" s="17"/>
      <c r="C6" s="17"/>
      <c r="D6" s="17"/>
      <c r="E6"/>
      <c r="F6"/>
      <c r="G6" s="18"/>
    </row>
    <row r="7" s="1" customFormat="1" ht="28" customHeight="1" spans="1:15">
      <c r="A7" s="19" t="s">
        <v>1501</v>
      </c>
      <c r="B7" s="20" t="s">
        <v>1502</v>
      </c>
      <c r="C7" s="19" t="s">
        <v>1120</v>
      </c>
      <c r="D7" s="20" t="s">
        <v>1503</v>
      </c>
      <c r="E7" s="19" t="s">
        <v>1457</v>
      </c>
      <c r="F7" s="20" t="s">
        <v>1483</v>
      </c>
      <c r="G7" s="19" t="s">
        <v>1504</v>
      </c>
      <c r="H7" s="130" t="s">
        <v>1505</v>
      </c>
    </row>
    <row r="8" s="1" customFormat="1" ht="10.8"/>
    <row r="9" s="113" customFormat="1" ht="26" customHeight="1" spans="1:15">
      <c r="A9" s="131" t="s">
        <v>1796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="113" customFormat="1" spans="1:15">
      <c r="A10" s="132" t="s">
        <v>1830</v>
      </c>
      <c r="B10" s="133" t="s">
        <v>1831</v>
      </c>
      <c r="C10" s="134" t="s">
        <v>1832</v>
      </c>
    </row>
    <row r="11" s="113" customFormat="1" spans="1:15">
      <c r="A11" s="132"/>
      <c r="B11" s="135"/>
      <c r="C11" s="134"/>
    </row>
    <row r="12" s="114" customFormat="1" ht="19" customHeight="1" spans="1:15">
      <c r="A12" s="136" t="s">
        <v>1833</v>
      </c>
      <c r="B12" s="137" t="s">
        <v>1834</v>
      </c>
      <c r="C12" s="138" t="s">
        <v>1487</v>
      </c>
    </row>
    <row r="13" s="114" customFormat="1" ht="19" customHeight="1" spans="1:15">
      <c r="A13" s="136"/>
      <c r="B13" s="137" t="s">
        <v>1835</v>
      </c>
      <c r="C13" s="138" t="s">
        <v>1279</v>
      </c>
    </row>
    <row r="14" s="114" customFormat="1" ht="19" customHeight="1" spans="1:15">
      <c r="A14" s="136"/>
      <c r="B14" s="139" t="s">
        <v>1238</v>
      </c>
      <c r="C14" s="138" t="s">
        <v>1279</v>
      </c>
    </row>
    <row r="15" s="114" customFormat="1" ht="19" customHeight="1" spans="1:15">
      <c r="A15" s="137"/>
      <c r="B15" s="139" t="s">
        <v>1836</v>
      </c>
      <c r="C15" s="138" t="s">
        <v>1279</v>
      </c>
    </row>
    <row r="16" s="114" customFormat="1" ht="19" customHeight="1" spans="1:15">
      <c r="A16" s="136" t="s">
        <v>1837</v>
      </c>
      <c r="B16" s="137" t="s">
        <v>1834</v>
      </c>
      <c r="C16" s="138" t="s">
        <v>1487</v>
      </c>
    </row>
    <row r="17" s="114" customFormat="1" ht="19" customHeight="1" spans="1:31">
      <c r="A17" s="136"/>
      <c r="B17" s="137" t="s">
        <v>1835</v>
      </c>
      <c r="C17" s="140" t="s">
        <v>11</v>
      </c>
    </row>
    <row r="18" s="114" customFormat="1" ht="19" customHeight="1" spans="1:31">
      <c r="A18" s="136"/>
      <c r="B18" s="139" t="s">
        <v>1238</v>
      </c>
      <c r="C18" s="138" t="s">
        <v>1279</v>
      </c>
    </row>
    <row r="19" s="114" customFormat="1" ht="19" customHeight="1" spans="1:31">
      <c r="A19" s="137"/>
      <c r="B19" s="139" t="s">
        <v>1836</v>
      </c>
      <c r="C19" s="138" t="s">
        <v>1279</v>
      </c>
    </row>
    <row r="20" s="114" customFormat="1" ht="19" customHeight="1" spans="1:31">
      <c r="A20" s="136" t="s">
        <v>1838</v>
      </c>
      <c r="B20" s="137" t="s">
        <v>1834</v>
      </c>
      <c r="C20" s="138" t="s">
        <v>1487</v>
      </c>
    </row>
    <row r="21" s="114" customFormat="1" ht="19" customHeight="1" spans="1:31">
      <c r="A21" s="136"/>
      <c r="B21" s="137" t="s">
        <v>1835</v>
      </c>
      <c r="C21" s="138" t="s">
        <v>1279</v>
      </c>
    </row>
    <row r="22" s="114" customFormat="1" ht="19" customHeight="1" spans="1:31">
      <c r="A22" s="136"/>
      <c r="B22" s="139" t="s">
        <v>1238</v>
      </c>
      <c r="C22" s="138" t="s">
        <v>1279</v>
      </c>
    </row>
    <row r="23" s="114" customFormat="1" ht="19" customHeight="1" spans="1:31">
      <c r="A23" s="137"/>
      <c r="B23" s="139" t="s">
        <v>1836</v>
      </c>
      <c r="C23" s="138" t="s">
        <v>1279</v>
      </c>
    </row>
    <row r="24" s="114" customFormat="1" ht="19" customHeight="1" spans="1:31">
      <c r="A24" s="136" t="s">
        <v>1839</v>
      </c>
      <c r="B24" s="137" t="s">
        <v>1834</v>
      </c>
      <c r="C24" s="138" t="s">
        <v>1487</v>
      </c>
    </row>
    <row r="25" s="114" customFormat="1" ht="19" customHeight="1" spans="1:31">
      <c r="A25" s="136"/>
      <c r="B25" s="137" t="s">
        <v>1835</v>
      </c>
      <c r="C25" s="140" t="s">
        <v>11</v>
      </c>
    </row>
    <row r="26" s="114" customFormat="1" ht="19" customHeight="1" spans="1:31">
      <c r="A26" s="136"/>
      <c r="B26" s="139" t="s">
        <v>1238</v>
      </c>
      <c r="C26" s="138" t="s">
        <v>1279</v>
      </c>
    </row>
    <row r="27" s="114" customFormat="1" ht="19" customHeight="1" spans="1:31">
      <c r="A27" s="137"/>
      <c r="B27" s="139" t="s">
        <v>1836</v>
      </c>
      <c r="C27" s="138" t="s">
        <v>1279</v>
      </c>
    </row>
    <row r="28" s="114" customFormat="1" ht="19" customHeight="1" spans="1:31">
      <c r="A28" s="136" t="s">
        <v>1530</v>
      </c>
      <c r="B28" s="137" t="s">
        <v>1834</v>
      </c>
      <c r="C28" s="138" t="s">
        <v>1279</v>
      </c>
    </row>
    <row r="29" s="114" customFormat="1" ht="19" customHeight="1" spans="1:31">
      <c r="A29" s="136"/>
      <c r="B29" s="137" t="s">
        <v>1835</v>
      </c>
      <c r="C29" s="138" t="s">
        <v>1279</v>
      </c>
    </row>
    <row r="30" s="114" customFormat="1" ht="19" customHeight="1" spans="1:31">
      <c r="A30" s="136"/>
      <c r="B30" s="139" t="s">
        <v>1238</v>
      </c>
      <c r="C30" s="138" t="s">
        <v>1279</v>
      </c>
    </row>
    <row r="31" s="114" customFormat="1" ht="19" customHeight="1" spans="1:31">
      <c r="A31" s="137"/>
      <c r="B31" s="139" t="s">
        <v>1836</v>
      </c>
      <c r="C31" s="138" t="s">
        <v>1279</v>
      </c>
    </row>
    <row r="32" spans="1:31">
      <c r="A32" s="141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5"/>
      <c r="AD32" s="146" t="s">
        <v>1840</v>
      </c>
      <c r="AE32" s="147" t="s">
        <v>1841</v>
      </c>
    </row>
    <row r="33" spans="1:2">
      <c r="A33" s="148" t="s">
        <v>1842</v>
      </c>
      <c r="B33" s="149"/>
    </row>
  </sheetData>
  <mergeCells count="12">
    <mergeCell ref="A5:C5"/>
    <mergeCell ref="A32:P32"/>
    <mergeCell ref="A10:A11"/>
    <mergeCell ref="A12:A15"/>
    <mergeCell ref="A16:A19"/>
    <mergeCell ref="A20:A23"/>
    <mergeCell ref="A24:A27"/>
    <mergeCell ref="A28:A31"/>
    <mergeCell ref="B10:B11"/>
    <mergeCell ref="C10:C11"/>
    <mergeCell ref="A1:C4"/>
    <mergeCell ref="D1:H5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2">
    <tabColor theme="8" tint="0.399975585192419"/>
  </sheetPr>
  <dimension ref="A1:Q86"/>
  <sheetViews>
    <sheetView showGridLines="0" zoomScale="90" zoomScaleNormal="90" workbookViewId="0">
      <pane xSplit="2" ySplit="10" topLeftCell="C11" activePane="bottomRight" state="frozen"/>
      <selection/>
      <selection pane="topRight"/>
      <selection pane="bottomLeft"/>
      <selection pane="bottomRight" activeCell="M32" sqref="M32"/>
    </sheetView>
  </sheetViews>
  <sheetFormatPr defaultColWidth="9" defaultRowHeight="13.8"/>
  <cols>
    <col min="1" max="1" width="19.0925925925926" style="58" customWidth="1"/>
    <col min="2" max="2" width="36.6296296296296" style="59" customWidth="1"/>
    <col min="3" max="6" width="11.6296296296296" style="60" customWidth="1" outlineLevel="1"/>
    <col min="7" max="7" width="13.1759259259259" style="60" customWidth="1" outlineLevel="1"/>
    <col min="8" max="10" width="11.6296296296296" style="60" customWidth="1" outlineLevel="1"/>
    <col min="11" max="11" width="13.1759259259259" style="60" customWidth="1" outlineLevel="1"/>
    <col min="12" max="12" width="11.6296296296296" style="60" customWidth="1" outlineLevel="1"/>
    <col min="13" max="13" width="13" style="60" customWidth="1" outlineLevel="1"/>
    <col min="14" max="14" width="13.7222222222222" style="60" customWidth="1" outlineLevel="1"/>
    <col min="15" max="15" width="13.1759259259259" style="60" customWidth="1"/>
    <col min="16" max="16384" width="9" style="59"/>
  </cols>
  <sheetData>
    <row r="1" s="55" customFormat="1" ht="19" customHeight="1" spans="1:17">
      <c r="A1" s="61" t="s">
        <v>100</v>
      </c>
      <c r="B1" s="62"/>
      <c r="C1" s="62"/>
      <c r="D1" s="63" t="s">
        <v>1517</v>
      </c>
      <c r="E1" s="64"/>
      <c r="F1" s="64"/>
      <c r="G1" s="64"/>
      <c r="H1" s="64"/>
      <c r="I1" s="64"/>
      <c r="J1" s="64"/>
      <c r="K1" s="64"/>
      <c r="L1" s="64"/>
      <c r="M1" s="64"/>
    </row>
    <row r="2" s="55" customFormat="1" ht="19" customHeight="1" spans="1:17">
      <c r="A2" s="62"/>
      <c r="B2" s="62"/>
      <c r="C2" s="62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="55" customFormat="1" ht="19" customHeight="1" spans="1:17">
      <c r="A3" s="62"/>
      <c r="B3" s="62"/>
      <c r="C3" s="62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="55" customFormat="1" ht="19" customHeight="1" spans="1:17">
      <c r="A4" s="62"/>
      <c r="B4" s="62"/>
      <c r="C4" s="62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="55" customFormat="1" ht="19" customHeight="1" spans="1:17">
      <c r="A5" s="65" t="s">
        <v>1843</v>
      </c>
      <c r="B5" s="65"/>
      <c r="C5" s="65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="55" customFormat="1" ht="14.4" spans="1:17">
      <c r="A6" s="66"/>
      <c r="B6" s="67"/>
      <c r="C6" s="67"/>
      <c r="D6" s="68"/>
      <c r="E6" s="68"/>
      <c r="F6" s="69"/>
      <c r="G6" s="67"/>
    </row>
    <row r="7" s="55" customFormat="1" ht="14.4" spans="1:17">
      <c r="A7" s="70" t="s">
        <v>1501</v>
      </c>
      <c r="B7" s="70" t="s">
        <v>103</v>
      </c>
      <c r="C7" s="65" t="s">
        <v>1503</v>
      </c>
      <c r="D7" s="70" t="s">
        <v>1120</v>
      </c>
      <c r="E7" s="65" t="s">
        <v>1483</v>
      </c>
      <c r="F7" s="70" t="s">
        <v>5</v>
      </c>
      <c r="G7" s="65" t="s">
        <v>1503</v>
      </c>
      <c r="H7" s="70" t="s">
        <v>1844</v>
      </c>
      <c r="I7" s="71" t="s">
        <v>1562</v>
      </c>
      <c r="J7" s="70" t="s">
        <v>1457</v>
      </c>
      <c r="K7" s="65" t="s">
        <v>1483</v>
      </c>
      <c r="L7" s="70" t="s">
        <v>1504</v>
      </c>
      <c r="M7" s="72" t="s">
        <v>1505</v>
      </c>
      <c r="Q7" s="66"/>
    </row>
    <row r="8" s="56" customFormat="1" ht="14.4" spans="1:17">
      <c r="A8" s="73"/>
      <c r="B8" s="74"/>
      <c r="C8" s="75"/>
      <c r="D8" s="76"/>
      <c r="E8" s="77"/>
      <c r="F8" s="78"/>
      <c r="G8" s="60"/>
    </row>
    <row r="9" s="56" customFormat="1" ht="14.4" spans="1:17">
      <c r="A9" s="73"/>
      <c r="B9" s="74"/>
      <c r="C9" s="75"/>
      <c r="D9" s="76"/>
      <c r="E9" s="77"/>
      <c r="F9" s="78"/>
      <c r="G9" s="60"/>
    </row>
    <row r="10" ht="14.4" spans="1:17">
      <c r="A10" s="79" t="s">
        <v>1845</v>
      </c>
      <c r="B10" s="80" t="s">
        <v>1740</v>
      </c>
      <c r="C10" s="44" t="s">
        <v>1234</v>
      </c>
      <c r="D10" s="44" t="s">
        <v>1235</v>
      </c>
      <c r="E10" s="44" t="s">
        <v>1238</v>
      </c>
      <c r="F10" s="44" t="s">
        <v>1522</v>
      </c>
      <c r="I10" s="56"/>
      <c r="J10" s="56"/>
      <c r="K10" s="56"/>
      <c r="L10" s="56"/>
      <c r="M10" s="56"/>
      <c r="N10" s="56"/>
      <c r="O10" s="56"/>
    </row>
    <row r="11" spans="1:17">
      <c r="A11" s="81" t="s">
        <v>1846</v>
      </c>
      <c r="B11" s="82"/>
      <c r="C11" s="83"/>
      <c r="D11" s="84"/>
      <c r="E11" s="85"/>
      <c r="F11" s="86"/>
      <c r="I11" s="56"/>
      <c r="J11" s="56"/>
      <c r="K11" s="56"/>
      <c r="L11" s="56"/>
      <c r="M11" s="56"/>
      <c r="N11" s="56"/>
      <c r="O11" s="56"/>
    </row>
    <row r="12" ht="14.4" spans="1:17">
      <c r="A12" s="87" t="s">
        <v>1847</v>
      </c>
      <c r="B12" s="80" t="s">
        <v>1848</v>
      </c>
      <c r="C12" s="88" t="s">
        <v>11</v>
      </c>
      <c r="D12" s="88" t="s">
        <v>1487</v>
      </c>
      <c r="E12" s="89" t="s">
        <v>1279</v>
      </c>
      <c r="F12" s="86"/>
      <c r="I12" s="56"/>
      <c r="J12" s="56"/>
      <c r="K12" s="56"/>
      <c r="L12" s="56"/>
      <c r="M12" s="56"/>
      <c r="N12" s="56"/>
      <c r="O12" s="56"/>
    </row>
    <row r="13" ht="14.4" spans="1:17">
      <c r="A13" s="90"/>
      <c r="B13" s="80" t="s">
        <v>1849</v>
      </c>
      <c r="C13" s="88" t="s">
        <v>11</v>
      </c>
      <c r="D13" s="88" t="s">
        <v>1487</v>
      </c>
      <c r="E13" s="89" t="s">
        <v>1279</v>
      </c>
      <c r="F13" s="86"/>
      <c r="I13" s="56"/>
      <c r="J13" s="56"/>
      <c r="K13" s="56"/>
      <c r="L13" s="56"/>
      <c r="M13" s="56"/>
      <c r="N13" s="56"/>
      <c r="O13" s="56"/>
    </row>
    <row r="14" ht="14.4" spans="1:17">
      <c r="A14" s="91"/>
      <c r="B14" s="80" t="s">
        <v>1850</v>
      </c>
      <c r="C14" s="88" t="s">
        <v>11</v>
      </c>
      <c r="D14" s="88" t="s">
        <v>1487</v>
      </c>
      <c r="E14" s="89" t="s">
        <v>1279</v>
      </c>
      <c r="F14" s="86"/>
      <c r="I14" s="56"/>
      <c r="J14" s="56"/>
      <c r="K14" s="56"/>
      <c r="L14" s="56"/>
      <c r="M14" s="56"/>
      <c r="N14" s="56"/>
      <c r="O14" s="56"/>
    </row>
    <row r="15" spans="1:17">
      <c r="A15" s="92"/>
      <c r="B15" s="93"/>
      <c r="C15" s="83"/>
      <c r="D15" s="84"/>
      <c r="E15" s="85"/>
      <c r="F15" s="86"/>
      <c r="I15" s="56"/>
      <c r="J15" s="56"/>
      <c r="K15" s="56"/>
      <c r="L15" s="56"/>
      <c r="M15" s="56"/>
      <c r="N15" s="56"/>
      <c r="O15" s="56"/>
    </row>
    <row r="16" ht="14.4" spans="1:17">
      <c r="A16" s="87" t="s">
        <v>1851</v>
      </c>
      <c r="B16" s="80" t="s">
        <v>1852</v>
      </c>
      <c r="C16" s="88" t="s">
        <v>11</v>
      </c>
      <c r="D16" s="88" t="s">
        <v>1487</v>
      </c>
      <c r="E16" s="89" t="s">
        <v>1279</v>
      </c>
      <c r="F16" s="86"/>
      <c r="I16" s="56"/>
      <c r="J16" s="56"/>
      <c r="K16" s="56"/>
      <c r="L16" s="56"/>
      <c r="M16" s="56"/>
      <c r="N16" s="56"/>
      <c r="O16" s="56"/>
    </row>
    <row r="17" ht="14.4" spans="1:15">
      <c r="A17" s="90"/>
      <c r="B17" s="80" t="s">
        <v>1853</v>
      </c>
      <c r="C17" s="88" t="s">
        <v>11</v>
      </c>
      <c r="D17" s="88" t="s">
        <v>1487</v>
      </c>
      <c r="E17" s="89" t="s">
        <v>1279</v>
      </c>
      <c r="F17" s="86"/>
      <c r="I17" s="56"/>
      <c r="J17" s="56"/>
      <c r="K17" s="56"/>
      <c r="L17" s="56"/>
      <c r="M17" s="56"/>
      <c r="N17" s="56"/>
      <c r="O17" s="56"/>
    </row>
    <row r="18" ht="14.4" spans="1:15">
      <c r="A18" s="91"/>
      <c r="B18" s="80" t="s">
        <v>1854</v>
      </c>
      <c r="C18" s="88" t="s">
        <v>11</v>
      </c>
      <c r="D18" s="88" t="s">
        <v>1487</v>
      </c>
      <c r="E18" s="89" t="s">
        <v>1279</v>
      </c>
      <c r="F18" s="86"/>
      <c r="I18" s="56"/>
      <c r="J18" s="56"/>
      <c r="K18" s="56"/>
      <c r="L18" s="56"/>
      <c r="M18" s="56"/>
      <c r="N18" s="56"/>
      <c r="O18" s="56"/>
    </row>
    <row r="19" spans="1:15">
      <c r="A19" s="92"/>
      <c r="B19" s="93"/>
      <c r="C19" s="83"/>
      <c r="D19" s="84"/>
      <c r="E19" s="85"/>
      <c r="F19" s="86"/>
      <c r="I19" s="56"/>
      <c r="J19" s="56"/>
      <c r="K19" s="56"/>
      <c r="L19" s="56"/>
      <c r="M19" s="56"/>
      <c r="N19" s="56"/>
      <c r="O19" s="56"/>
    </row>
    <row r="20" ht="14.4" spans="1:15">
      <c r="A20" s="87" t="s">
        <v>1855</v>
      </c>
      <c r="B20" s="80" t="s">
        <v>1856</v>
      </c>
      <c r="C20" s="88" t="s">
        <v>11</v>
      </c>
      <c r="D20" s="88" t="s">
        <v>1487</v>
      </c>
      <c r="E20" s="89" t="s">
        <v>1279</v>
      </c>
      <c r="F20" s="86"/>
      <c r="I20" s="56"/>
      <c r="J20" s="56"/>
      <c r="K20" s="56"/>
      <c r="L20" s="56"/>
      <c r="M20" s="56"/>
      <c r="N20" s="56"/>
      <c r="O20" s="56"/>
    </row>
    <row r="21" ht="14.4" spans="1:15">
      <c r="A21" s="90"/>
      <c r="B21" s="80" t="s">
        <v>1857</v>
      </c>
      <c r="C21" s="88" t="s">
        <v>11</v>
      </c>
      <c r="D21" s="88" t="s">
        <v>1487</v>
      </c>
      <c r="E21" s="89" t="s">
        <v>1279</v>
      </c>
      <c r="F21" s="86"/>
      <c r="I21" s="56"/>
      <c r="J21" s="56"/>
      <c r="K21" s="56"/>
      <c r="L21" s="56"/>
      <c r="M21" s="56"/>
      <c r="N21" s="56"/>
      <c r="O21" s="56"/>
    </row>
    <row r="22" ht="14.4" spans="1:15">
      <c r="A22" s="91"/>
      <c r="B22" s="80" t="s">
        <v>1858</v>
      </c>
      <c r="C22" s="88" t="s">
        <v>11</v>
      </c>
      <c r="D22" s="88" t="s">
        <v>1487</v>
      </c>
      <c r="E22" s="89" t="s">
        <v>1279</v>
      </c>
      <c r="F22" s="86"/>
      <c r="I22" s="56"/>
      <c r="J22" s="56"/>
      <c r="K22" s="56"/>
      <c r="L22" s="56"/>
      <c r="M22" s="56"/>
      <c r="N22" s="56"/>
      <c r="O22" s="56"/>
    </row>
    <row r="23" spans="1:15">
      <c r="A23" s="92"/>
      <c r="B23" s="93"/>
      <c r="C23" s="83"/>
      <c r="D23" s="84"/>
      <c r="E23" s="85"/>
      <c r="F23" s="86"/>
      <c r="I23" s="56"/>
      <c r="J23" s="56"/>
      <c r="K23" s="56"/>
      <c r="L23" s="56"/>
      <c r="M23" s="56"/>
      <c r="N23" s="56"/>
      <c r="O23" s="56"/>
    </row>
    <row r="24" ht="14.4" spans="1:15">
      <c r="A24" s="87" t="s">
        <v>1859</v>
      </c>
      <c r="B24" s="80" t="s">
        <v>1860</v>
      </c>
      <c r="C24" s="88" t="s">
        <v>11</v>
      </c>
      <c r="D24" s="88" t="s">
        <v>1487</v>
      </c>
      <c r="E24" s="89" t="s">
        <v>1279</v>
      </c>
      <c r="F24" s="86"/>
      <c r="I24" s="56"/>
      <c r="J24" s="56"/>
      <c r="K24" s="56"/>
      <c r="L24" s="56"/>
      <c r="M24" s="56"/>
      <c r="N24" s="56"/>
      <c r="O24" s="56"/>
    </row>
    <row r="25" ht="14.4" spans="1:15">
      <c r="A25" s="90"/>
      <c r="B25" s="80" t="s">
        <v>1861</v>
      </c>
      <c r="C25" s="88" t="s">
        <v>11</v>
      </c>
      <c r="D25" s="88" t="s">
        <v>1487</v>
      </c>
      <c r="E25" s="89" t="s">
        <v>1279</v>
      </c>
      <c r="F25" s="86"/>
      <c r="I25" s="56"/>
      <c r="J25" s="56"/>
      <c r="K25" s="56"/>
      <c r="L25" s="56"/>
      <c r="M25" s="56"/>
      <c r="N25" s="56"/>
      <c r="O25" s="56"/>
    </row>
    <row r="26" ht="14.4" spans="1:15">
      <c r="A26" s="91"/>
      <c r="B26" s="80" t="s">
        <v>1862</v>
      </c>
      <c r="C26" s="88" t="s">
        <v>11</v>
      </c>
      <c r="D26" s="88" t="s">
        <v>1487</v>
      </c>
      <c r="E26" s="89" t="s">
        <v>1279</v>
      </c>
      <c r="F26" s="86"/>
      <c r="I26" s="56"/>
      <c r="J26" s="56"/>
      <c r="K26" s="56"/>
      <c r="L26" s="56"/>
      <c r="M26" s="56"/>
      <c r="N26" s="56"/>
      <c r="O26" s="56"/>
    </row>
    <row r="27" ht="14.4" spans="1:15">
      <c r="A27" s="94" t="s">
        <v>1530</v>
      </c>
      <c r="B27" s="95" t="s">
        <v>1863</v>
      </c>
      <c r="C27" s="88" t="s">
        <v>11</v>
      </c>
      <c r="D27" s="88" t="s">
        <v>1487</v>
      </c>
      <c r="E27" s="89" t="s">
        <v>1279</v>
      </c>
      <c r="F27" s="86"/>
      <c r="I27" s="56"/>
      <c r="J27" s="56"/>
      <c r="K27" s="56"/>
      <c r="L27" s="56"/>
      <c r="M27" s="56"/>
      <c r="N27" s="56"/>
      <c r="O27" s="56"/>
    </row>
    <row r="28" spans="1:15">
      <c r="A28" s="96" t="s">
        <v>1864</v>
      </c>
      <c r="B28" s="97"/>
      <c r="C28" s="83"/>
      <c r="D28" s="84"/>
      <c r="E28" s="85"/>
      <c r="F28" s="86"/>
      <c r="I28" s="56"/>
      <c r="J28" s="56"/>
      <c r="K28" s="56"/>
      <c r="L28" s="56"/>
      <c r="M28" s="56"/>
      <c r="N28" s="56"/>
      <c r="O28" s="56"/>
    </row>
    <row r="29" ht="14.4" spans="1:15">
      <c r="A29" s="92" t="s">
        <v>181</v>
      </c>
      <c r="B29" s="98" t="s">
        <v>1865</v>
      </c>
      <c r="C29" s="88" t="s">
        <v>11</v>
      </c>
      <c r="D29" s="88" t="s">
        <v>1487</v>
      </c>
      <c r="E29" s="89" t="s">
        <v>1279</v>
      </c>
      <c r="F29" s="86"/>
      <c r="I29" s="56"/>
      <c r="J29" s="56"/>
      <c r="K29" s="56"/>
      <c r="L29" s="56"/>
      <c r="M29" s="56"/>
      <c r="N29" s="56"/>
      <c r="O29" s="56"/>
    </row>
    <row r="30" ht="14.4" spans="1:15">
      <c r="A30" s="99" t="s">
        <v>1765</v>
      </c>
      <c r="B30" s="98" t="s">
        <v>1866</v>
      </c>
      <c r="C30" s="88" t="s">
        <v>11</v>
      </c>
      <c r="D30" s="88" t="s">
        <v>1487</v>
      </c>
      <c r="E30" s="89" t="s">
        <v>1279</v>
      </c>
      <c r="F30" s="86"/>
      <c r="I30" s="56"/>
      <c r="J30" s="56"/>
      <c r="K30" s="56"/>
      <c r="L30" s="56"/>
      <c r="M30" s="56"/>
      <c r="N30" s="56"/>
      <c r="O30" s="56"/>
    </row>
    <row r="31" ht="14.4" spans="1:15">
      <c r="A31" s="100" t="s">
        <v>1867</v>
      </c>
      <c r="B31" s="98" t="s">
        <v>1868</v>
      </c>
      <c r="C31" s="88" t="s">
        <v>11</v>
      </c>
      <c r="D31" s="88" t="s">
        <v>1487</v>
      </c>
      <c r="E31" s="89" t="s">
        <v>1279</v>
      </c>
      <c r="F31" s="86"/>
      <c r="I31" s="56"/>
      <c r="J31" s="56"/>
      <c r="K31" s="56"/>
      <c r="L31" s="56"/>
      <c r="M31" s="56"/>
      <c r="N31" s="56"/>
      <c r="O31" s="56"/>
    </row>
    <row r="32" ht="14.4" spans="1:15">
      <c r="A32" s="100" t="s">
        <v>1867</v>
      </c>
      <c r="B32" s="98" t="s">
        <v>1869</v>
      </c>
      <c r="C32" s="88" t="s">
        <v>11</v>
      </c>
      <c r="D32" s="88" t="s">
        <v>1487</v>
      </c>
      <c r="E32" s="89" t="s">
        <v>1279</v>
      </c>
      <c r="F32" s="86"/>
      <c r="I32" s="56"/>
      <c r="J32" s="56"/>
      <c r="K32" s="56"/>
      <c r="L32" s="56"/>
      <c r="M32" s="56"/>
      <c r="N32" s="56"/>
      <c r="O32" s="56"/>
    </row>
    <row r="33" ht="14.4" spans="1:15">
      <c r="A33" s="100" t="s">
        <v>1777</v>
      </c>
      <c r="B33" s="98" t="s">
        <v>1870</v>
      </c>
      <c r="C33" s="88" t="s">
        <v>11</v>
      </c>
      <c r="D33" s="88" t="s">
        <v>1487</v>
      </c>
      <c r="E33" s="89" t="s">
        <v>1279</v>
      </c>
      <c r="F33" s="86"/>
      <c r="I33" s="56"/>
      <c r="J33" s="56"/>
      <c r="K33" s="56"/>
      <c r="L33" s="56"/>
      <c r="M33" s="56"/>
      <c r="N33" s="56"/>
      <c r="O33" s="56"/>
    </row>
    <row r="34" ht="14.4" spans="1:15">
      <c r="A34" s="100" t="s">
        <v>1777</v>
      </c>
      <c r="B34" s="98" t="s">
        <v>1871</v>
      </c>
      <c r="C34" s="88" t="s">
        <v>11</v>
      </c>
      <c r="D34" s="88" t="s">
        <v>1487</v>
      </c>
      <c r="E34" s="89" t="s">
        <v>1279</v>
      </c>
      <c r="F34" s="86"/>
      <c r="I34" s="56"/>
      <c r="J34" s="56"/>
      <c r="K34" s="56"/>
      <c r="L34" s="56"/>
      <c r="M34" s="56"/>
      <c r="N34" s="56"/>
      <c r="O34" s="56"/>
    </row>
    <row r="35" ht="14.4" spans="1:15">
      <c r="A35" s="100" t="s">
        <v>285</v>
      </c>
      <c r="B35" s="98" t="s">
        <v>1721</v>
      </c>
      <c r="C35" s="88" t="s">
        <v>11</v>
      </c>
      <c r="D35" s="88" t="s">
        <v>1487</v>
      </c>
      <c r="E35" s="89" t="s">
        <v>1279</v>
      </c>
      <c r="F35" s="86"/>
      <c r="I35" s="56"/>
      <c r="J35" s="56"/>
      <c r="K35" s="56"/>
      <c r="L35" s="56"/>
      <c r="M35" s="56"/>
      <c r="N35" s="56"/>
      <c r="O35" s="56"/>
    </row>
    <row r="36" ht="14.4" spans="1:15">
      <c r="A36" s="100" t="s">
        <v>285</v>
      </c>
      <c r="B36" s="98" t="s">
        <v>1720</v>
      </c>
      <c r="C36" s="88" t="s">
        <v>11</v>
      </c>
      <c r="D36" s="88" t="s">
        <v>1487</v>
      </c>
      <c r="E36" s="89" t="s">
        <v>1279</v>
      </c>
      <c r="F36" s="86"/>
      <c r="I36" s="56"/>
      <c r="J36" s="56"/>
      <c r="K36" s="56"/>
      <c r="L36" s="56"/>
      <c r="M36" s="56"/>
      <c r="N36" s="56"/>
      <c r="O36" s="56"/>
    </row>
    <row r="37" ht="14.4" spans="1:15">
      <c r="A37" s="100" t="s">
        <v>219</v>
      </c>
      <c r="B37" s="98" t="s">
        <v>1872</v>
      </c>
      <c r="C37" s="88" t="s">
        <v>11</v>
      </c>
      <c r="D37" s="88" t="s">
        <v>1487</v>
      </c>
      <c r="E37" s="89" t="s">
        <v>1279</v>
      </c>
      <c r="F37" s="86"/>
      <c r="I37" s="56"/>
      <c r="J37" s="56"/>
      <c r="K37" s="56"/>
      <c r="L37" s="56"/>
      <c r="M37" s="56"/>
      <c r="N37" s="56"/>
      <c r="O37" s="56"/>
    </row>
    <row r="38" ht="14.4" spans="1:15">
      <c r="A38" s="100" t="s">
        <v>1873</v>
      </c>
      <c r="B38" s="98" t="s">
        <v>1874</v>
      </c>
      <c r="C38" s="88" t="s">
        <v>11</v>
      </c>
      <c r="D38" s="88" t="s">
        <v>1487</v>
      </c>
      <c r="E38" s="89" t="s">
        <v>1279</v>
      </c>
      <c r="F38" s="86"/>
      <c r="I38" s="56"/>
      <c r="J38" s="56"/>
      <c r="K38" s="56"/>
      <c r="L38" s="56"/>
      <c r="M38" s="56"/>
      <c r="N38" s="56"/>
      <c r="O38" s="56"/>
    </row>
    <row r="39" ht="14.4" spans="1:15">
      <c r="A39" s="100" t="s">
        <v>1773</v>
      </c>
      <c r="B39" s="98" t="s">
        <v>1875</v>
      </c>
      <c r="C39" s="88" t="s">
        <v>11</v>
      </c>
      <c r="D39" s="88" t="s">
        <v>1487</v>
      </c>
      <c r="E39" s="89" t="s">
        <v>1279</v>
      </c>
      <c r="F39" s="86"/>
      <c r="I39" s="56"/>
      <c r="J39" s="56"/>
      <c r="K39" s="56"/>
      <c r="L39" s="56"/>
      <c r="M39" s="56"/>
      <c r="N39" s="56"/>
      <c r="O39" s="56"/>
    </row>
    <row r="40" ht="14.4" spans="1:15">
      <c r="A40" s="100" t="s">
        <v>239</v>
      </c>
      <c r="B40" s="98" t="s">
        <v>1876</v>
      </c>
      <c r="C40" s="88" t="s">
        <v>11</v>
      </c>
      <c r="D40" s="88" t="s">
        <v>1487</v>
      </c>
      <c r="E40" s="89" t="s">
        <v>1279</v>
      </c>
      <c r="F40" s="86"/>
      <c r="I40" s="56"/>
      <c r="J40" s="56"/>
      <c r="K40" s="56"/>
      <c r="L40" s="56"/>
      <c r="M40" s="56"/>
      <c r="N40" s="56"/>
      <c r="O40" s="56"/>
    </row>
    <row r="41" ht="14.4" spans="1:15">
      <c r="A41" s="100" t="s">
        <v>192</v>
      </c>
      <c r="B41" s="98" t="s">
        <v>1877</v>
      </c>
      <c r="C41" s="88" t="s">
        <v>11</v>
      </c>
      <c r="D41" s="88" t="s">
        <v>1487</v>
      </c>
      <c r="E41" s="89" t="s">
        <v>1279</v>
      </c>
      <c r="F41" s="86"/>
      <c r="I41" s="56"/>
      <c r="J41" s="56"/>
      <c r="K41" s="56"/>
      <c r="L41" s="56"/>
      <c r="M41" s="56"/>
      <c r="N41" s="56"/>
      <c r="O41" s="56"/>
    </row>
    <row r="42" ht="14.4" spans="1:15">
      <c r="A42" s="100" t="s">
        <v>1878</v>
      </c>
      <c r="B42" s="98" t="s">
        <v>1879</v>
      </c>
      <c r="C42" s="88" t="s">
        <v>11</v>
      </c>
      <c r="D42" s="88" t="s">
        <v>1487</v>
      </c>
      <c r="E42" s="89" t="s">
        <v>1279</v>
      </c>
      <c r="F42" s="86"/>
      <c r="I42" s="56"/>
      <c r="J42" s="56"/>
      <c r="K42" s="56"/>
      <c r="L42" s="56"/>
      <c r="M42" s="56"/>
      <c r="N42" s="56"/>
      <c r="O42" s="56"/>
    </row>
    <row r="43" ht="14.4" spans="1:15">
      <c r="A43" s="100" t="s">
        <v>1878</v>
      </c>
      <c r="B43" s="98" t="s">
        <v>1880</v>
      </c>
      <c r="C43" s="88" t="s">
        <v>11</v>
      </c>
      <c r="D43" s="88" t="s">
        <v>1487</v>
      </c>
      <c r="E43" s="89" t="s">
        <v>1279</v>
      </c>
      <c r="F43" s="86"/>
      <c r="I43" s="56"/>
      <c r="J43" s="56"/>
      <c r="K43" s="56"/>
      <c r="L43" s="56"/>
      <c r="M43" s="56"/>
      <c r="N43" s="56"/>
      <c r="O43" s="56"/>
    </row>
    <row r="44" ht="14.4" spans="1:15">
      <c r="A44" s="100" t="s">
        <v>1878</v>
      </c>
      <c r="B44" s="98" t="s">
        <v>1881</v>
      </c>
      <c r="C44" s="88" t="s">
        <v>11</v>
      </c>
      <c r="D44" s="88" t="s">
        <v>1487</v>
      </c>
      <c r="E44" s="89" t="s">
        <v>1279</v>
      </c>
      <c r="F44" s="86"/>
      <c r="I44" s="56"/>
      <c r="J44" s="56"/>
      <c r="K44" s="56"/>
      <c r="L44" s="56"/>
      <c r="M44" s="56"/>
      <c r="N44" s="56"/>
      <c r="O44" s="56"/>
    </row>
    <row r="45" ht="14.4" spans="1:15">
      <c r="A45" s="100" t="s">
        <v>1878</v>
      </c>
      <c r="B45" s="98" t="s">
        <v>1882</v>
      </c>
      <c r="C45" s="88" t="s">
        <v>11</v>
      </c>
      <c r="D45" s="88" t="s">
        <v>1487</v>
      </c>
      <c r="E45" s="89" t="s">
        <v>1279</v>
      </c>
      <c r="F45" s="86"/>
      <c r="I45" s="56"/>
      <c r="J45" s="56"/>
      <c r="K45" s="56"/>
      <c r="L45" s="56"/>
      <c r="M45" s="56"/>
      <c r="N45" s="56"/>
      <c r="O45" s="56"/>
    </row>
    <row r="46" ht="14.4" spans="1:15">
      <c r="A46" s="100" t="s">
        <v>1878</v>
      </c>
      <c r="B46" s="98" t="s">
        <v>1883</v>
      </c>
      <c r="C46" s="88" t="s">
        <v>11</v>
      </c>
      <c r="D46" s="88" t="s">
        <v>1487</v>
      </c>
      <c r="E46" s="89" t="s">
        <v>1279</v>
      </c>
      <c r="F46" s="86"/>
      <c r="I46" s="56"/>
      <c r="J46" s="56"/>
      <c r="K46" s="56"/>
      <c r="L46" s="56"/>
      <c r="M46" s="56"/>
      <c r="N46" s="56"/>
      <c r="O46" s="56"/>
    </row>
    <row r="47" ht="14.4" spans="1:15">
      <c r="A47" s="100" t="s">
        <v>1878</v>
      </c>
      <c r="B47" s="98" t="s">
        <v>1884</v>
      </c>
      <c r="C47" s="88" t="s">
        <v>11</v>
      </c>
      <c r="D47" s="88" t="s">
        <v>1487</v>
      </c>
      <c r="E47" s="89" t="s">
        <v>1279</v>
      </c>
      <c r="F47" s="86"/>
      <c r="I47" s="56"/>
      <c r="J47" s="56"/>
      <c r="K47" s="56"/>
      <c r="L47" s="56"/>
      <c r="M47" s="56"/>
      <c r="N47" s="56"/>
      <c r="O47" s="56"/>
    </row>
    <row r="48" ht="14.4" spans="1:15">
      <c r="A48" s="100" t="s">
        <v>1878</v>
      </c>
      <c r="B48" s="98" t="s">
        <v>1885</v>
      </c>
      <c r="C48" s="88" t="s">
        <v>11</v>
      </c>
      <c r="D48" s="88" t="s">
        <v>1487</v>
      </c>
      <c r="E48" s="89" t="s">
        <v>1279</v>
      </c>
      <c r="F48" s="86"/>
      <c r="I48" s="56"/>
      <c r="J48" s="56"/>
      <c r="K48" s="56"/>
      <c r="L48" s="56"/>
      <c r="M48" s="56"/>
      <c r="N48" s="56"/>
      <c r="O48" s="56"/>
    </row>
    <row r="49" ht="14.4" spans="1:15">
      <c r="A49" s="100" t="s">
        <v>1878</v>
      </c>
      <c r="B49" s="98" t="s">
        <v>1886</v>
      </c>
      <c r="C49" s="88" t="s">
        <v>11</v>
      </c>
      <c r="D49" s="88" t="s">
        <v>1487</v>
      </c>
      <c r="E49" s="89" t="s">
        <v>1279</v>
      </c>
      <c r="F49" s="86"/>
      <c r="I49" s="56"/>
      <c r="J49" s="56"/>
      <c r="K49" s="56"/>
      <c r="L49" s="56"/>
      <c r="M49" s="56"/>
      <c r="N49" s="56"/>
      <c r="O49" s="56"/>
    </row>
    <row r="50" ht="14.4" spans="1:15">
      <c r="A50" s="100" t="s">
        <v>1878</v>
      </c>
      <c r="B50" s="98" t="s">
        <v>1887</v>
      </c>
      <c r="C50" s="88" t="s">
        <v>11</v>
      </c>
      <c r="D50" s="88" t="s">
        <v>1487</v>
      </c>
      <c r="E50" s="89" t="s">
        <v>1279</v>
      </c>
      <c r="F50" s="86"/>
      <c r="I50" s="56"/>
      <c r="J50" s="56"/>
      <c r="K50" s="56"/>
      <c r="L50" s="56"/>
      <c r="M50" s="56"/>
      <c r="N50" s="56"/>
      <c r="O50" s="56"/>
    </row>
    <row r="51" ht="14.4" spans="1:15">
      <c r="A51" s="100" t="s">
        <v>1878</v>
      </c>
      <c r="B51" s="98" t="s">
        <v>1888</v>
      </c>
      <c r="C51" s="88" t="s">
        <v>11</v>
      </c>
      <c r="D51" s="88" t="s">
        <v>1487</v>
      </c>
      <c r="E51" s="89" t="s">
        <v>1279</v>
      </c>
      <c r="F51" s="86"/>
      <c r="I51" s="56"/>
      <c r="J51" s="56"/>
      <c r="K51" s="56"/>
      <c r="L51" s="56"/>
      <c r="M51" s="56"/>
      <c r="N51" s="56"/>
      <c r="O51" s="56"/>
    </row>
    <row r="52" ht="14.4" spans="1:15">
      <c r="A52" s="100" t="s">
        <v>1878</v>
      </c>
      <c r="B52" s="98" t="s">
        <v>1889</v>
      </c>
      <c r="C52" s="88" t="s">
        <v>11</v>
      </c>
      <c r="D52" s="88" t="s">
        <v>1487</v>
      </c>
      <c r="E52" s="89" t="s">
        <v>1279</v>
      </c>
      <c r="F52" s="86"/>
      <c r="I52" s="56"/>
      <c r="J52" s="56"/>
      <c r="K52" s="56"/>
      <c r="L52" s="56"/>
      <c r="M52" s="56"/>
      <c r="N52" s="56"/>
      <c r="O52" s="56"/>
    </row>
    <row r="53" ht="14.4" spans="1:15">
      <c r="A53" s="100" t="s">
        <v>262</v>
      </c>
      <c r="B53" s="98" t="s">
        <v>1890</v>
      </c>
      <c r="C53" s="88" t="s">
        <v>11</v>
      </c>
      <c r="D53" s="88" t="s">
        <v>1487</v>
      </c>
      <c r="E53" s="89" t="s">
        <v>1279</v>
      </c>
      <c r="F53" s="86"/>
      <c r="I53" s="56"/>
      <c r="J53" s="56"/>
      <c r="K53" s="56"/>
      <c r="L53" s="56"/>
      <c r="M53" s="56"/>
      <c r="N53" s="56"/>
      <c r="O53" s="56"/>
    </row>
    <row r="54" ht="14.4" spans="1:15">
      <c r="A54" s="100" t="s">
        <v>1891</v>
      </c>
      <c r="B54" s="98" t="s">
        <v>1892</v>
      </c>
      <c r="C54" s="88" t="s">
        <v>11</v>
      </c>
      <c r="D54" s="88" t="s">
        <v>1487</v>
      </c>
      <c r="E54" s="89" t="s">
        <v>1279</v>
      </c>
      <c r="F54" s="86"/>
      <c r="I54" s="56"/>
      <c r="J54" s="56"/>
      <c r="K54" s="56"/>
      <c r="L54" s="56"/>
      <c r="M54" s="56"/>
      <c r="N54" s="56"/>
      <c r="O54" s="56"/>
    </row>
    <row r="55" ht="14.4" spans="1:15">
      <c r="A55" s="99" t="s">
        <v>137</v>
      </c>
      <c r="B55" s="98" t="s">
        <v>1893</v>
      </c>
      <c r="C55" s="88" t="s">
        <v>11</v>
      </c>
      <c r="D55" s="88" t="s">
        <v>1487</v>
      </c>
      <c r="E55" s="89" t="s">
        <v>1279</v>
      </c>
      <c r="F55" s="86"/>
      <c r="I55" s="56"/>
      <c r="J55" s="56"/>
      <c r="K55" s="56"/>
      <c r="L55" s="56"/>
      <c r="M55" s="56"/>
      <c r="N55" s="56"/>
      <c r="O55" s="56"/>
    </row>
    <row r="56" ht="14.4" spans="1:15">
      <c r="A56" s="94" t="s">
        <v>1530</v>
      </c>
      <c r="B56" s="101" t="s">
        <v>1894</v>
      </c>
      <c r="C56" s="88" t="s">
        <v>1279</v>
      </c>
      <c r="D56" s="88" t="s">
        <v>1279</v>
      </c>
      <c r="E56" s="88" t="s">
        <v>1279</v>
      </c>
      <c r="F56" s="86"/>
      <c r="I56" s="56"/>
      <c r="J56" s="56"/>
      <c r="K56" s="56"/>
      <c r="L56" s="56"/>
      <c r="M56" s="56"/>
      <c r="N56" s="56"/>
      <c r="O56" s="56"/>
    </row>
    <row r="57" ht="14.4" spans="1:15">
      <c r="A57" s="94" t="s">
        <v>1895</v>
      </c>
      <c r="B57" s="101" t="s">
        <v>1896</v>
      </c>
      <c r="C57" s="88" t="s">
        <v>1279</v>
      </c>
      <c r="D57" s="88" t="s">
        <v>1279</v>
      </c>
      <c r="E57" s="88" t="s">
        <v>1279</v>
      </c>
      <c r="F57" s="86"/>
      <c r="I57" s="56"/>
      <c r="J57" s="56"/>
      <c r="K57" s="56"/>
      <c r="L57" s="56"/>
      <c r="M57" s="56"/>
      <c r="N57" s="56"/>
      <c r="O57" s="56"/>
    </row>
    <row r="58" s="57" customFormat="1" spans="1:15">
      <c r="A58" s="102"/>
      <c r="C58" s="75"/>
      <c r="D58" s="76"/>
      <c r="E58" s="60"/>
      <c r="F58" s="56"/>
      <c r="I58" s="56"/>
      <c r="J58" s="56"/>
      <c r="K58" s="56"/>
      <c r="L58" s="56"/>
      <c r="M58" s="56"/>
      <c r="N58" s="56"/>
      <c r="O58" s="56"/>
    </row>
    <row r="59" s="57" customFormat="1" spans="1:15">
      <c r="A59" s="102"/>
      <c r="C59" s="75"/>
      <c r="D59" s="76"/>
      <c r="E59" s="60"/>
      <c r="F59" s="56"/>
      <c r="I59" s="56"/>
      <c r="J59" s="56"/>
      <c r="K59" s="56"/>
      <c r="L59" s="56"/>
      <c r="M59" s="56"/>
      <c r="N59" s="56"/>
      <c r="O59" s="56"/>
    </row>
    <row r="60" s="57" customFormat="1" ht="14.4" spans="1:15">
      <c r="A60" s="103" t="s">
        <v>1897</v>
      </c>
      <c r="C60" s="75"/>
      <c r="D60" s="76"/>
      <c r="E60" s="60"/>
      <c r="F60" s="56"/>
      <c r="I60" s="56"/>
      <c r="J60" s="56"/>
      <c r="K60" s="56"/>
      <c r="L60" s="56"/>
      <c r="M60" s="56"/>
      <c r="N60" s="56"/>
      <c r="O60" s="56"/>
    </row>
    <row r="61" s="57" customFormat="1" ht="14.4" spans="1:15">
      <c r="A61" s="104"/>
      <c r="B61" s="104" t="s">
        <v>1898</v>
      </c>
      <c r="C61" s="88" t="s">
        <v>11</v>
      </c>
      <c r="D61" s="84"/>
      <c r="E61" s="85"/>
      <c r="F61" s="86"/>
      <c r="I61" s="56"/>
      <c r="J61" s="56"/>
      <c r="K61" s="56"/>
      <c r="L61" s="56"/>
      <c r="M61" s="56"/>
      <c r="N61" s="56"/>
      <c r="O61" s="56"/>
    </row>
    <row r="62" s="57" customFormat="1" ht="14.4" spans="1:15">
      <c r="A62" s="104"/>
      <c r="B62" s="104" t="s">
        <v>1899</v>
      </c>
      <c r="C62" s="88" t="s">
        <v>11</v>
      </c>
      <c r="D62" s="84"/>
      <c r="E62" s="85"/>
      <c r="F62" s="86"/>
      <c r="I62" s="56"/>
      <c r="J62" s="56"/>
      <c r="K62" s="56"/>
      <c r="L62" s="56"/>
      <c r="M62" s="56"/>
      <c r="N62" s="56"/>
      <c r="O62" s="56"/>
    </row>
    <row r="63" s="57" customFormat="1" ht="14.4" spans="1:15">
      <c r="A63" s="104"/>
      <c r="B63" s="104"/>
      <c r="C63" s="83"/>
      <c r="D63" s="84"/>
      <c r="E63" s="85"/>
      <c r="F63" s="86"/>
      <c r="I63" s="56"/>
      <c r="J63" s="56"/>
      <c r="K63" s="56"/>
      <c r="L63" s="56"/>
      <c r="M63" s="56"/>
      <c r="N63" s="56"/>
      <c r="O63" s="56"/>
    </row>
    <row r="64" ht="14.4" spans="1:15">
      <c r="A64" s="104"/>
      <c r="B64" s="104"/>
      <c r="C64" s="83"/>
      <c r="D64" s="84"/>
      <c r="E64" s="85"/>
      <c r="F64" s="86"/>
      <c r="I64" s="56"/>
      <c r="J64" s="56"/>
      <c r="K64" s="56"/>
      <c r="L64" s="56"/>
      <c r="M64" s="56"/>
      <c r="N64" s="56"/>
      <c r="O64" s="56"/>
    </row>
    <row r="65" ht="14.4" spans="1:15">
      <c r="A65" s="104"/>
      <c r="B65" s="104" t="s">
        <v>1530</v>
      </c>
      <c r="C65" s="83"/>
      <c r="D65" s="84"/>
      <c r="E65" s="85"/>
      <c r="F65" s="86"/>
      <c r="I65" s="56"/>
      <c r="J65" s="56"/>
      <c r="K65" s="56"/>
      <c r="L65" s="56"/>
      <c r="M65" s="56"/>
      <c r="N65" s="56"/>
      <c r="O65" s="56"/>
    </row>
    <row r="66" spans="1:15">
      <c r="C66" s="75"/>
      <c r="D66" s="76"/>
      <c r="F66" s="56"/>
      <c r="I66" s="56"/>
      <c r="J66" s="56"/>
      <c r="K66" s="56"/>
      <c r="L66" s="56"/>
      <c r="M66" s="56"/>
      <c r="N66" s="56"/>
      <c r="O66" s="56"/>
    </row>
    <row r="67" spans="1:15">
      <c r="C67" s="75"/>
      <c r="D67" s="76"/>
      <c r="F67" s="56"/>
      <c r="I67" s="56"/>
      <c r="J67" s="56"/>
      <c r="K67" s="56"/>
      <c r="L67" s="56"/>
      <c r="M67" s="56"/>
      <c r="N67" s="56"/>
      <c r="O67" s="56"/>
    </row>
    <row r="68" ht="14.4" spans="1:15">
      <c r="A68" s="103" t="s">
        <v>1900</v>
      </c>
      <c r="B68" s="57"/>
      <c r="C68" s="75"/>
      <c r="D68" s="76"/>
      <c r="F68" s="56"/>
      <c r="I68" s="56"/>
      <c r="J68" s="56"/>
      <c r="K68" s="56"/>
      <c r="L68" s="56"/>
      <c r="M68" s="56"/>
      <c r="N68" s="56"/>
      <c r="O68" s="56"/>
    </row>
    <row r="69" ht="14.4" spans="1:15">
      <c r="A69" s="104" t="s">
        <v>1901</v>
      </c>
      <c r="B69" s="104" t="s">
        <v>1902</v>
      </c>
      <c r="C69" s="88" t="s">
        <v>11</v>
      </c>
      <c r="D69" s="84"/>
      <c r="E69" s="85"/>
      <c r="F69" s="86"/>
      <c r="I69" s="56"/>
      <c r="J69" s="56"/>
      <c r="K69" s="56"/>
      <c r="L69" s="56"/>
      <c r="M69" s="56"/>
      <c r="N69" s="56"/>
      <c r="O69" s="56"/>
    </row>
    <row r="70" ht="14.4" spans="1:15">
      <c r="A70" s="105" t="s">
        <v>1903</v>
      </c>
      <c r="B70" s="106" t="s">
        <v>1904</v>
      </c>
      <c r="C70" s="88" t="s">
        <v>11</v>
      </c>
      <c r="D70" s="84"/>
      <c r="E70" s="85"/>
      <c r="F70" s="86"/>
      <c r="I70" s="56"/>
      <c r="J70" s="56"/>
      <c r="K70" s="56"/>
      <c r="L70" s="56"/>
      <c r="M70" s="56"/>
      <c r="N70" s="56"/>
      <c r="O70" s="56"/>
    </row>
    <row r="71" ht="14.4" spans="1:15">
      <c r="A71" s="105" t="s">
        <v>1905</v>
      </c>
      <c r="B71" s="106"/>
      <c r="C71" s="88" t="s">
        <v>11</v>
      </c>
      <c r="D71" s="84"/>
      <c r="E71" s="85"/>
      <c r="F71" s="86"/>
      <c r="I71" s="56"/>
      <c r="J71" s="56"/>
      <c r="K71" s="56"/>
      <c r="L71" s="56"/>
      <c r="M71" s="56"/>
      <c r="N71" s="56"/>
      <c r="O71" s="56"/>
    </row>
    <row r="72" ht="14.4" spans="1:15">
      <c r="A72" s="105" t="s">
        <v>1906</v>
      </c>
      <c r="B72" s="106"/>
      <c r="C72" s="88" t="s">
        <v>11</v>
      </c>
      <c r="D72" s="84"/>
      <c r="E72" s="85"/>
      <c r="F72" s="86"/>
      <c r="I72" s="56"/>
      <c r="J72" s="56"/>
      <c r="K72" s="56"/>
      <c r="L72" s="56"/>
      <c r="M72" s="56"/>
      <c r="N72" s="56"/>
      <c r="O72" s="56"/>
    </row>
    <row r="73" ht="14.4" spans="1:15">
      <c r="A73" s="105" t="s">
        <v>1907</v>
      </c>
      <c r="B73" s="106" t="s">
        <v>1904</v>
      </c>
      <c r="C73" s="88" t="s">
        <v>11</v>
      </c>
      <c r="D73" s="84"/>
      <c r="E73" s="85"/>
      <c r="F73" s="86"/>
      <c r="I73" s="56"/>
      <c r="J73" s="56"/>
      <c r="K73" s="56"/>
      <c r="L73" s="56"/>
      <c r="M73" s="56"/>
      <c r="N73" s="56"/>
      <c r="O73" s="56"/>
    </row>
    <row r="74" ht="14.4" spans="1:15">
      <c r="A74" s="107" t="s">
        <v>1908</v>
      </c>
      <c r="B74" s="106"/>
      <c r="C74" s="88" t="s">
        <v>11</v>
      </c>
      <c r="D74" s="84"/>
      <c r="E74" s="85"/>
      <c r="F74" s="86"/>
      <c r="I74" s="56"/>
      <c r="J74" s="56"/>
      <c r="K74" s="56"/>
      <c r="L74" s="56"/>
      <c r="M74" s="56"/>
      <c r="N74" s="56"/>
      <c r="O74" s="56"/>
    </row>
    <row r="75" ht="14.4" spans="1:15">
      <c r="A75" s="107" t="s">
        <v>1909</v>
      </c>
      <c r="B75" s="106"/>
      <c r="C75" s="88" t="s">
        <v>11</v>
      </c>
      <c r="D75" s="84"/>
      <c r="E75" s="85"/>
      <c r="F75" s="86"/>
      <c r="I75" s="56"/>
      <c r="J75" s="56"/>
      <c r="K75" s="56"/>
      <c r="L75" s="56"/>
      <c r="M75" s="56"/>
      <c r="N75" s="56"/>
      <c r="O75" s="56"/>
    </row>
    <row r="76" ht="14.4" spans="1:15">
      <c r="A76" s="107" t="s">
        <v>1910</v>
      </c>
      <c r="B76" s="106"/>
      <c r="C76" s="88" t="s">
        <v>11</v>
      </c>
      <c r="D76" s="84"/>
      <c r="E76" s="85"/>
      <c r="F76" s="86"/>
      <c r="I76" s="56"/>
      <c r="J76" s="56"/>
      <c r="K76" s="56"/>
      <c r="L76" s="56"/>
      <c r="M76" s="56"/>
      <c r="N76" s="56"/>
      <c r="O76" s="56"/>
    </row>
    <row r="77" ht="14.4" spans="1:15">
      <c r="A77" s="108" t="s">
        <v>1911</v>
      </c>
      <c r="B77" s="109"/>
      <c r="C77" s="88" t="s">
        <v>11</v>
      </c>
      <c r="D77" s="84"/>
      <c r="E77" s="85"/>
      <c r="F77" s="86"/>
      <c r="I77" s="56"/>
      <c r="J77" s="56"/>
      <c r="K77" s="56"/>
      <c r="L77" s="56"/>
      <c r="M77" s="56"/>
      <c r="N77" s="56"/>
      <c r="O77" s="56"/>
    </row>
    <row r="78" ht="14.4" spans="1:15">
      <c r="A78" s="110" t="s">
        <v>1530</v>
      </c>
      <c r="B78" s="110"/>
      <c r="C78" s="83"/>
      <c r="D78" s="84"/>
      <c r="E78" s="85"/>
      <c r="F78" s="86"/>
      <c r="I78" s="56"/>
      <c r="J78" s="56"/>
      <c r="K78" s="56"/>
      <c r="L78" s="56"/>
      <c r="M78" s="56"/>
      <c r="N78" s="56"/>
      <c r="O78" s="56"/>
    </row>
    <row r="79" ht="13" customHeight="1" spans="1:15">
      <c r="C79" s="75"/>
      <c r="D79" s="76"/>
      <c r="F79" s="56"/>
      <c r="I79" s="56"/>
      <c r="J79" s="56"/>
      <c r="K79" s="56"/>
      <c r="L79" s="56"/>
      <c r="M79" s="56"/>
      <c r="N79" s="56"/>
      <c r="O79" s="56"/>
    </row>
    <row r="80" s="57" customFormat="1" ht="14.4" spans="1:15">
      <c r="A80" s="103" t="s">
        <v>1912</v>
      </c>
      <c r="C80" s="75"/>
      <c r="D80" s="76"/>
      <c r="E80" s="60"/>
      <c r="F80" s="56"/>
      <c r="I80" s="56"/>
      <c r="J80" s="56"/>
      <c r="K80" s="56"/>
      <c r="L80" s="56"/>
      <c r="M80" s="56"/>
      <c r="N80" s="56"/>
      <c r="O80" s="56"/>
    </row>
    <row r="81" s="57" customFormat="1" ht="14.4" spans="1:15">
      <c r="A81" s="104" t="s">
        <v>1913</v>
      </c>
      <c r="B81" s="104"/>
      <c r="C81" s="83"/>
      <c r="D81" s="84"/>
      <c r="E81" s="85"/>
      <c r="F81" s="86"/>
      <c r="I81" s="56"/>
      <c r="J81" s="56"/>
      <c r="K81" s="56"/>
      <c r="L81" s="56"/>
      <c r="M81" s="56"/>
      <c r="N81" s="56"/>
      <c r="O81" s="56"/>
    </row>
    <row r="82" s="57" customFormat="1" ht="14.4" spans="1:15">
      <c r="A82" s="111" t="s">
        <v>1914</v>
      </c>
      <c r="B82" s="104" t="s">
        <v>1915</v>
      </c>
      <c r="C82" s="88" t="s">
        <v>11</v>
      </c>
      <c r="D82" s="88" t="s">
        <v>1487</v>
      </c>
      <c r="E82" s="89" t="s">
        <v>1279</v>
      </c>
      <c r="F82" s="86"/>
      <c r="I82" s="56"/>
      <c r="J82" s="56"/>
      <c r="K82" s="56"/>
      <c r="L82" s="56"/>
      <c r="M82" s="56"/>
      <c r="N82" s="56"/>
      <c r="O82" s="56"/>
    </row>
    <row r="83" s="57" customFormat="1" ht="14.4" spans="1:15">
      <c r="A83" s="112"/>
      <c r="B83" s="104" t="s">
        <v>1916</v>
      </c>
      <c r="C83" s="88" t="s">
        <v>11</v>
      </c>
      <c r="D83" s="88" t="s">
        <v>1487</v>
      </c>
      <c r="E83" s="89" t="s">
        <v>1279</v>
      </c>
      <c r="F83" s="86"/>
      <c r="I83" s="56"/>
      <c r="J83" s="56"/>
      <c r="K83" s="56"/>
      <c r="L83" s="56"/>
      <c r="M83" s="56"/>
      <c r="N83" s="56"/>
      <c r="O83" s="56"/>
    </row>
    <row r="84" s="57" customFormat="1" ht="14.4" spans="1:15">
      <c r="A84" s="112"/>
      <c r="B84" s="104" t="s">
        <v>1917</v>
      </c>
      <c r="C84" s="88" t="s">
        <v>11</v>
      </c>
      <c r="D84" s="88" t="s">
        <v>1487</v>
      </c>
      <c r="E84" s="89" t="s">
        <v>1279</v>
      </c>
      <c r="F84" s="86"/>
      <c r="I84" s="56"/>
      <c r="J84" s="56"/>
      <c r="K84" s="56"/>
      <c r="L84" s="56"/>
      <c r="M84" s="56"/>
      <c r="N84" s="56"/>
      <c r="O84" s="56"/>
    </row>
    <row r="85" ht="14.4" spans="1:15">
      <c r="A85" s="104" t="s">
        <v>1918</v>
      </c>
      <c r="B85" s="104"/>
      <c r="C85" s="83"/>
      <c r="D85" s="84"/>
      <c r="E85" s="85"/>
      <c r="F85" s="86"/>
      <c r="I85" s="56"/>
      <c r="J85" s="56"/>
      <c r="K85" s="56"/>
      <c r="L85" s="56"/>
      <c r="M85" s="56"/>
      <c r="N85" s="56"/>
      <c r="O85" s="56"/>
    </row>
    <row r="86" ht="14.4" spans="1:15">
      <c r="A86" s="104"/>
      <c r="B86" s="104" t="s">
        <v>1530</v>
      </c>
      <c r="C86" s="88" t="s">
        <v>11</v>
      </c>
      <c r="D86" s="88" t="s">
        <v>1487</v>
      </c>
      <c r="E86" s="89" t="s">
        <v>1279</v>
      </c>
      <c r="F86" s="86"/>
      <c r="I86" s="56"/>
      <c r="J86" s="56"/>
      <c r="K86" s="56"/>
      <c r="L86" s="56"/>
      <c r="M86" s="56"/>
      <c r="N86" s="56"/>
      <c r="O86" s="56"/>
    </row>
  </sheetData>
  <mergeCells count="11">
    <mergeCell ref="A5:C5"/>
    <mergeCell ref="A11:B11"/>
    <mergeCell ref="A28:B28"/>
    <mergeCell ref="A78:B78"/>
    <mergeCell ref="A12:A14"/>
    <mergeCell ref="A16:A18"/>
    <mergeCell ref="A20:A22"/>
    <mergeCell ref="A24:A26"/>
    <mergeCell ref="A82:A84"/>
    <mergeCell ref="A1:C4"/>
    <mergeCell ref="D1:M5"/>
  </mergeCells>
  <dataValidations count="1">
    <dataValidation type="list" allowBlank="1" showInputMessage="1" showErrorMessage="1" sqref="D11 D15 D19 D23 D28 D85 D8:D9 D58:D81">
      <formula1>#REF!</formula1>
    </dataValidation>
  </dataValidations>
  <hyperlinks>
    <hyperlink ref="A1" location="目录!A1" display="← 返回目录"/>
  </hyperlinks>
  <pageMargins left="0.7" right="0.7" top="0.75" bottom="0.75" header="0.3" footer="0.3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0">
    <tabColor theme="8" tint="0.399975585192419"/>
  </sheetPr>
  <dimension ref="A1:M23"/>
  <sheetViews>
    <sheetView showGridLines="0" zoomScale="80" zoomScaleNormal="80" workbookViewId="0">
      <selection activeCell="L34" sqref="L34"/>
    </sheetView>
  </sheetViews>
  <sheetFormatPr defaultColWidth="8.62962962962963" defaultRowHeight="13.8"/>
  <cols>
    <col min="1" max="1" width="12.0925925925926" style="2" customWidth="1"/>
    <col min="2" max="2" width="13.6296296296296" style="2" customWidth="1"/>
    <col min="3" max="3" width="16.8148148148148" style="2" customWidth="1"/>
    <col min="4" max="4" width="28.0925925925926" style="2" customWidth="1"/>
    <col min="5" max="5" width="28.5462962962963" style="2" customWidth="1"/>
    <col min="6" max="7" width="13.3611111111111" style="2" customWidth="1"/>
    <col min="8" max="8" width="13.3611111111111" style="3" customWidth="1"/>
    <col min="9" max="10" width="10.6296296296296" style="4"/>
    <col min="11" max="16384" width="8.62962962962963" style="4"/>
  </cols>
  <sheetData>
    <row r="1" s="1" customFormat="1" ht="10.8" spans="1:13">
      <c r="A1" s="5" t="s">
        <v>100</v>
      </c>
      <c r="B1" s="6"/>
      <c r="C1" s="6"/>
      <c r="D1" s="6"/>
      <c r="E1" s="7" t="s">
        <v>1734</v>
      </c>
      <c r="F1" s="8"/>
      <c r="G1" s="8"/>
      <c r="H1" s="8"/>
      <c r="I1" s="8"/>
      <c r="J1" s="8"/>
      <c r="K1" s="8"/>
      <c r="L1" s="8"/>
      <c r="M1" s="9"/>
    </row>
    <row r="2" s="1" customFormat="1" ht="10.8" spans="1:13">
      <c r="A2" s="6"/>
      <c r="B2" s="6"/>
      <c r="C2" s="6"/>
      <c r="D2" s="6"/>
      <c r="E2" s="10"/>
      <c r="F2" s="11"/>
      <c r="G2" s="11"/>
      <c r="H2" s="11"/>
      <c r="I2" s="11"/>
      <c r="J2" s="11"/>
      <c r="K2" s="11"/>
      <c r="L2" s="11"/>
      <c r="M2" s="12"/>
    </row>
    <row r="3" s="1" customFormat="1" ht="10.8" spans="1:13">
      <c r="A3" s="6"/>
      <c r="B3" s="6"/>
      <c r="C3" s="6"/>
      <c r="D3" s="6"/>
      <c r="E3" s="10"/>
      <c r="F3" s="11"/>
      <c r="G3" s="11"/>
      <c r="H3" s="11"/>
      <c r="I3" s="11"/>
      <c r="J3" s="11"/>
      <c r="K3" s="11"/>
      <c r="L3" s="11"/>
      <c r="M3" s="12"/>
    </row>
    <row r="4" s="1" customFormat="1" ht="10.8" spans="1:13">
      <c r="A4" s="6"/>
      <c r="B4" s="6"/>
      <c r="C4" s="6"/>
      <c r="D4" s="6"/>
      <c r="E4" s="10"/>
      <c r="F4" s="11"/>
      <c r="G4" s="11"/>
      <c r="H4" s="11"/>
      <c r="I4" s="11"/>
      <c r="J4" s="11"/>
      <c r="K4" s="11"/>
      <c r="L4" s="11"/>
      <c r="M4" s="12"/>
    </row>
    <row r="5" s="1" customFormat="1" ht="21" customHeight="1" spans="1:13">
      <c r="A5" s="13" t="s">
        <v>1919</v>
      </c>
      <c r="B5" s="13"/>
      <c r="C5" s="13"/>
      <c r="D5" s="13"/>
      <c r="E5" s="14"/>
      <c r="F5" s="15"/>
      <c r="G5" s="15"/>
      <c r="H5" s="15"/>
      <c r="I5" s="15"/>
      <c r="J5" s="15"/>
      <c r="K5" s="15"/>
      <c r="L5" s="15"/>
      <c r="M5" s="16"/>
    </row>
    <row r="6" s="1" customFormat="1" ht="14.4" spans="1:13">
      <c r="A6" s="17"/>
      <c r="B6" s="17"/>
      <c r="C6" s="17"/>
      <c r="D6" s="17"/>
      <c r="E6"/>
      <c r="F6"/>
      <c r="G6" s="18"/>
      <c r="H6" s="17"/>
    </row>
    <row r="7" s="1" customFormat="1" ht="21" customHeight="1" spans="1:13">
      <c r="A7" s="19" t="s">
        <v>1501</v>
      </c>
      <c r="B7" s="20" t="s">
        <v>1502</v>
      </c>
      <c r="C7" s="19" t="s">
        <v>103</v>
      </c>
      <c r="D7" s="20" t="s">
        <v>1503</v>
      </c>
      <c r="E7" s="19" t="s">
        <v>1120</v>
      </c>
      <c r="F7" s="20" t="s">
        <v>1483</v>
      </c>
      <c r="G7" s="19" t="s">
        <v>5</v>
      </c>
      <c r="H7" s="20" t="s">
        <v>1503</v>
      </c>
      <c r="I7" s="19" t="s">
        <v>1457</v>
      </c>
      <c r="J7" s="20" t="s">
        <v>1483</v>
      </c>
      <c r="K7" s="19" t="s">
        <v>1504</v>
      </c>
      <c r="L7" s="21" t="s">
        <v>1505</v>
      </c>
      <c r="M7" s="22"/>
    </row>
    <row r="8" spans="1:13">
      <c r="A8" s="23"/>
      <c r="B8" s="24"/>
      <c r="C8" s="25"/>
      <c r="D8" s="26"/>
      <c r="E8" s="27"/>
      <c r="F8" s="28"/>
      <c r="G8" s="29"/>
      <c r="H8" s="30"/>
    </row>
    <row r="9" ht="20.4" spans="1:13">
      <c r="A9" s="31" t="s">
        <v>1920</v>
      </c>
      <c r="B9" s="32"/>
      <c r="C9" s="33"/>
      <c r="D9" s="34"/>
      <c r="E9" s="35"/>
      <c r="G9" s="36"/>
      <c r="H9" s="37"/>
    </row>
    <row r="10" ht="14.4" spans="1:13">
      <c r="A10" s="38" t="s">
        <v>1921</v>
      </c>
      <c r="B10" s="39"/>
      <c r="C10" s="40"/>
      <c r="D10" s="34"/>
      <c r="E10" s="35"/>
      <c r="F10" s="41"/>
      <c r="G10" s="36"/>
      <c r="H10" s="37"/>
    </row>
    <row r="11" ht="14.4" spans="1:13">
      <c r="A11" s="41" t="s">
        <v>1922</v>
      </c>
      <c r="B11" s="39"/>
      <c r="C11" s="42"/>
      <c r="D11" s="34"/>
      <c r="E11" s="35"/>
      <c r="G11" s="36"/>
      <c r="H11" s="37"/>
    </row>
    <row r="12" ht="14.4" spans="1:13">
      <c r="A12" s="43" t="s">
        <v>1923</v>
      </c>
      <c r="B12" s="39"/>
      <c r="C12" s="42"/>
      <c r="D12" s="34"/>
      <c r="E12" s="35"/>
      <c r="F12" s="35"/>
      <c r="G12" s="36"/>
      <c r="H12" s="37"/>
    </row>
    <row r="13" ht="24" customHeight="1" spans="1:13">
      <c r="A13" s="44" t="s">
        <v>103</v>
      </c>
      <c r="B13" s="44" t="s">
        <v>1120</v>
      </c>
      <c r="C13" s="44" t="s">
        <v>1924</v>
      </c>
      <c r="D13" s="44" t="s">
        <v>1925</v>
      </c>
      <c r="E13" s="44" t="s">
        <v>1926</v>
      </c>
      <c r="F13" s="44" t="s">
        <v>1927</v>
      </c>
      <c r="G13" s="44" t="s">
        <v>1928</v>
      </c>
      <c r="H13" s="44" t="s">
        <v>1234</v>
      </c>
      <c r="I13" s="44" t="s">
        <v>1235</v>
      </c>
      <c r="J13" s="44" t="s">
        <v>1236</v>
      </c>
      <c r="K13" s="44" t="s">
        <v>1237</v>
      </c>
      <c r="L13" s="44" t="s">
        <v>1238</v>
      </c>
      <c r="M13" s="44" t="s">
        <v>1522</v>
      </c>
    </row>
    <row r="14" ht="14.4" spans="1:13">
      <c r="A14" s="45" t="s">
        <v>109</v>
      </c>
      <c r="B14" s="45" t="s">
        <v>174</v>
      </c>
      <c r="C14" s="46" t="s">
        <v>180</v>
      </c>
      <c r="D14" s="47" t="s">
        <v>1385</v>
      </c>
      <c r="E14" s="48" t="s">
        <v>87</v>
      </c>
      <c r="F14" s="49" t="s">
        <v>1792</v>
      </c>
      <c r="G14" s="45" t="s">
        <v>1929</v>
      </c>
      <c r="H14" s="50" t="s">
        <v>11</v>
      </c>
      <c r="I14" s="51" t="s">
        <v>1487</v>
      </c>
      <c r="J14" s="51" t="s">
        <v>1487</v>
      </c>
      <c r="K14" s="51" t="s">
        <v>1279</v>
      </c>
      <c r="L14" s="51" t="s">
        <v>1279</v>
      </c>
      <c r="M14" s="52"/>
    </row>
    <row r="15" ht="14.4" spans="1:13">
      <c r="A15" s="45"/>
      <c r="B15" s="45"/>
      <c r="C15" s="46"/>
      <c r="D15" s="47" t="s">
        <v>1390</v>
      </c>
      <c r="E15" s="48"/>
      <c r="F15" s="49"/>
      <c r="G15" s="45"/>
      <c r="H15" s="50" t="s">
        <v>11</v>
      </c>
      <c r="I15" s="51" t="s">
        <v>1487</v>
      </c>
      <c r="J15" s="51" t="s">
        <v>1487</v>
      </c>
      <c r="K15" s="51" t="s">
        <v>1279</v>
      </c>
      <c r="L15" s="51" t="s">
        <v>1279</v>
      </c>
      <c r="M15" s="52"/>
    </row>
    <row r="16" ht="14.4" spans="1:13">
      <c r="A16" s="45"/>
      <c r="B16" s="45"/>
      <c r="C16" s="46"/>
      <c r="D16" s="47" t="s">
        <v>1394</v>
      </c>
      <c r="E16" s="48"/>
      <c r="F16" s="49"/>
      <c r="G16" s="45"/>
      <c r="H16" s="50" t="s">
        <v>11</v>
      </c>
      <c r="I16" s="51" t="s">
        <v>1487</v>
      </c>
      <c r="J16" s="51" t="s">
        <v>1487</v>
      </c>
      <c r="K16" s="51" t="s">
        <v>1279</v>
      </c>
      <c r="L16" s="51" t="s">
        <v>1279</v>
      </c>
      <c r="M16" s="52"/>
    </row>
    <row r="17" ht="14.4" spans="1:13">
      <c r="A17" s="45"/>
      <c r="B17" s="45"/>
      <c r="C17" s="45"/>
      <c r="D17" s="47" t="s">
        <v>1398</v>
      </c>
      <c r="E17" s="48"/>
      <c r="F17" s="49"/>
      <c r="G17" s="45"/>
      <c r="H17" s="50" t="s">
        <v>11</v>
      </c>
      <c r="I17" s="51" t="s">
        <v>1487</v>
      </c>
      <c r="J17" s="51" t="s">
        <v>1487</v>
      </c>
      <c r="K17" s="51" t="s">
        <v>1279</v>
      </c>
      <c r="L17" s="51" t="s">
        <v>1279</v>
      </c>
      <c r="M17" s="52"/>
    </row>
    <row r="18" ht="14.4" spans="1:13">
      <c r="A18" s="45"/>
      <c r="B18" s="45"/>
      <c r="C18" s="45"/>
      <c r="D18" s="47" t="s">
        <v>1788</v>
      </c>
      <c r="E18" s="48"/>
      <c r="F18" s="49"/>
      <c r="G18" s="45"/>
      <c r="H18" s="50" t="s">
        <v>11</v>
      </c>
      <c r="I18" s="51" t="s">
        <v>1487</v>
      </c>
      <c r="J18" s="51" t="s">
        <v>1487</v>
      </c>
      <c r="K18" s="51" t="s">
        <v>1279</v>
      </c>
      <c r="L18" s="51" t="s">
        <v>1279</v>
      </c>
      <c r="M18" s="52"/>
    </row>
    <row r="19" ht="14.4" spans="1:13">
      <c r="A19" s="45"/>
      <c r="B19" s="45"/>
      <c r="C19" s="45"/>
      <c r="D19" s="47" t="s">
        <v>1789</v>
      </c>
      <c r="E19" s="48"/>
      <c r="F19" s="49"/>
      <c r="G19" s="45"/>
      <c r="H19" s="50" t="s">
        <v>11</v>
      </c>
      <c r="I19" s="51" t="s">
        <v>1487</v>
      </c>
      <c r="J19" s="51" t="s">
        <v>1487</v>
      </c>
      <c r="K19" s="51" t="s">
        <v>1279</v>
      </c>
      <c r="L19" s="51" t="s">
        <v>1279</v>
      </c>
      <c r="M19" s="52"/>
    </row>
    <row r="20" ht="14.4" spans="1:13">
      <c r="A20" s="45"/>
      <c r="B20" s="45"/>
      <c r="C20" s="45"/>
      <c r="D20" s="47" t="s">
        <v>1406</v>
      </c>
      <c r="E20" s="48"/>
      <c r="F20" s="49"/>
      <c r="G20" s="45"/>
      <c r="H20" s="50" t="s">
        <v>11</v>
      </c>
      <c r="I20" s="51" t="s">
        <v>1487</v>
      </c>
      <c r="J20" s="51" t="s">
        <v>1487</v>
      </c>
      <c r="K20" s="51" t="s">
        <v>1279</v>
      </c>
      <c r="L20" s="51" t="s">
        <v>1279</v>
      </c>
      <c r="M20" s="52"/>
    </row>
    <row r="21" spans="1:13">
      <c r="A21" s="47"/>
      <c r="B21" s="47"/>
      <c r="C21" s="47"/>
      <c r="D21" s="47" t="s">
        <v>1410</v>
      </c>
      <c r="E21" s="47"/>
      <c r="F21" s="47"/>
      <c r="G21" s="47"/>
      <c r="H21" s="50" t="s">
        <v>11</v>
      </c>
      <c r="I21" s="51" t="s">
        <v>1487</v>
      </c>
      <c r="J21" s="51" t="s">
        <v>1487</v>
      </c>
      <c r="K21" s="51" t="s">
        <v>1279</v>
      </c>
      <c r="L21" s="51" t="s">
        <v>1279</v>
      </c>
      <c r="M21" s="52"/>
    </row>
    <row r="22" spans="1:13">
      <c r="A22" s="47"/>
      <c r="B22" s="47"/>
      <c r="C22" s="47"/>
      <c r="D22" s="47" t="s">
        <v>1930</v>
      </c>
      <c r="E22" s="47"/>
      <c r="F22" s="47"/>
      <c r="G22" s="47"/>
      <c r="H22" s="50" t="s">
        <v>11</v>
      </c>
      <c r="I22" s="51" t="s">
        <v>1487</v>
      </c>
      <c r="J22" s="51" t="s">
        <v>1487</v>
      </c>
      <c r="K22" s="51" t="s">
        <v>1279</v>
      </c>
      <c r="L22" s="51" t="s">
        <v>1279</v>
      </c>
      <c r="M22" s="52"/>
    </row>
    <row r="23" ht="14.4" spans="1:13">
      <c r="A23" s="47"/>
      <c r="B23" s="47"/>
      <c r="C23" s="47"/>
      <c r="D23" s="53" t="s">
        <v>1530</v>
      </c>
      <c r="E23" s="47"/>
      <c r="F23" s="47"/>
      <c r="G23" s="47"/>
      <c r="H23" s="54" t="s">
        <v>1279</v>
      </c>
      <c r="I23" s="54" t="s">
        <v>1279</v>
      </c>
      <c r="J23" s="54" t="s">
        <v>1279</v>
      </c>
      <c r="K23" s="54" t="s">
        <v>1279</v>
      </c>
      <c r="L23" s="54" t="s">
        <v>1279</v>
      </c>
      <c r="M23" s="52"/>
    </row>
  </sheetData>
  <sheetProtection autoFilter="0"/>
  <autoFilter xmlns:etc="http://www.wps.cn/officeDocument/2017/etCustomData" ref="A13:G23" etc:filterBottomFollowUsedRange="0">
    <extLst/>
  </autoFilter>
  <mergeCells count="4">
    <mergeCell ref="A5:D5"/>
    <mergeCell ref="L7:M7"/>
    <mergeCell ref="A1:D4"/>
    <mergeCell ref="E1:M5"/>
  </mergeCells>
  <dataValidations count="1">
    <dataValidation type="list" allowBlank="1" showInputMessage="1" showErrorMessage="1" sqref="E8 B14:F20">
      <formula1>#REF!</formula1>
    </dataValidation>
  </dataValidations>
  <hyperlinks>
    <hyperlink ref="A1" location="目录!A1" display="← 返回目录"/>
  </hyperlink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目录</vt:lpstr>
      <vt:lpstr>1基础档案</vt:lpstr>
      <vt:lpstr>2物料档案</vt:lpstr>
      <vt:lpstr>3总体指标</vt:lpstr>
      <vt:lpstr>4利润表</vt:lpstr>
      <vt:lpstr>5大类量利（查阅）</vt:lpstr>
      <vt:lpstr>6大类小类量利（查阅）</vt:lpstr>
      <vt:lpstr>7客户产品毛利表（外销）</vt:lpstr>
      <vt:lpstr>8动保产品大类毛利</vt:lpstr>
      <vt:lpstr>9产品生产成本（类别）</vt:lpstr>
      <vt:lpstr>10产品生产成本（品系）</vt:lpstr>
      <vt:lpstr>11包材成本-采购、财务</vt:lpstr>
      <vt:lpstr>12制造费用-生产、财务</vt:lpstr>
      <vt:lpstr>13单吨制费计算表</vt:lpstr>
      <vt:lpstr>14饲料销量-营销部</vt:lpstr>
      <vt:lpstr>15动保销售额-营销部</vt:lpstr>
      <vt:lpstr>16动保发酵料-营销部</vt:lpstr>
      <vt:lpstr>17产品价目折扣表-财务部</vt:lpstr>
      <vt:lpstr>18产量-生产产量填报表</vt:lpstr>
      <vt:lpstr>19填写-配方成本-配方师</vt:lpstr>
      <vt:lpstr>20制造费用-填报生产部</vt:lpstr>
      <vt:lpstr>21人工成本明细-人资</vt:lpstr>
      <vt:lpstr>22销售费用-填报营销部</vt:lpstr>
      <vt:lpstr>23管理费用-职能部门</vt:lpstr>
      <vt:lpstr>24财务费用-财务部</vt:lpstr>
      <vt:lpstr>25营业税金及附加-财务</vt:lpstr>
      <vt:lpstr>26其他业务收支</vt:lpstr>
      <vt:lpstr>27营业外收支</vt:lpstr>
      <vt:lpstr>28所得税-财务</vt:lpstr>
      <vt:lpstr>29养殖基地-明细</vt:lpstr>
      <vt:lpstr>30利润调整明细（填写）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aohua</dc:creator>
  <cp:lastModifiedBy>上善若水</cp:lastModifiedBy>
  <dcterms:created xsi:type="dcterms:W3CDTF">2023-05-12T11:15:00Z</dcterms:created>
  <dcterms:modified xsi:type="dcterms:W3CDTF">2026-04-24T09:13:20Z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DE466A0A97384B1C9741A25386E336E3_13</vt:lpwstr>
  </property>
  <property fmtid="{D5CDD505-2E9C-101B-9397-08002B2CF9AE}" pid="4" name="CalculationRule">
    <vt:i4>0</vt:i4>
  </property>
</Properties>
</file>