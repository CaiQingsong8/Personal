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10295" firstSheet="1" activeTab="8"/>
  </bookViews>
  <sheets>
    <sheet name="数据需求说明" sheetId="8" state="hidden" r:id="rId1"/>
    <sheet name="总览一级页面" sheetId="15" r:id="rId2"/>
    <sheet name="客户分析一级页面" sheetId="3" r:id="rId3"/>
    <sheet name="客户分析二级页面" sheetId="4" r:id="rId4"/>
    <sheet name="大客户目标" sheetId="16" state="hidden" r:id="rId5"/>
    <sheet name="产品分析二级页面" sheetId="1" r:id="rId6"/>
    <sheet name="产品分析三级页面（暂缓）" sheetId="2" state="hidden" r:id="rId7"/>
    <sheet name="毛利分析二级页面 " sheetId="7" r:id="rId8"/>
    <sheet name="毛利分析三级页面 " sheetId="17" r:id="rId9"/>
    <sheet name="大客户排行榜页面" sheetId="5" state="hidden" r:id="rId10"/>
    <sheet name="切片管理" sheetId="11" r:id="rId11"/>
    <sheet name="工作计划" sheetId="9" state="hidden" r:id="rId12"/>
    <sheet name="权限管理" sheetId="10" r:id="rId13"/>
    <sheet name="数据核对" sheetId="12" state="hidden" r:id="rId14"/>
    <sheet name="核对明细表" sheetId="13" state="hidden" r:id="rId15"/>
    <sheet name="角色权限表" sheetId="14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<sst xmlns="http://schemas.openxmlformats.org/spreadsheetml/2006/main" count="1061" uniqueCount="360">
  <si>
    <t>序号</t>
  </si>
  <si>
    <t>数据说明</t>
  </si>
  <si>
    <t>所有销量和毛利数据四舍五入，不保留小数点</t>
  </si>
  <si>
    <t>销量单位默认吨，毛利单位默认万元</t>
  </si>
  <si>
    <t>荆州与江西合并，华南大区合并，大区中的“无”修改为“其他”</t>
  </si>
  <si>
    <t>毛利预算暂时只到产品线维度即可</t>
  </si>
  <si>
    <t>页签与数据需要做权限管理（待补充）</t>
  </si>
  <si>
    <t>客户等级分布（最底部增加一个饼图</t>
  </si>
  <si>
    <t>客户等级</t>
  </si>
  <si>
    <t>总销量</t>
  </si>
  <si>
    <t>S</t>
  </si>
  <si>
    <t>A</t>
  </si>
  <si>
    <t>B</t>
  </si>
  <si>
    <t>C</t>
  </si>
  <si>
    <t>D</t>
  </si>
  <si>
    <t>说明：针对全量客户的总销量等级划分</t>
  </si>
  <si>
    <t>大客户数量达成</t>
  </si>
  <si>
    <t>指纷享系统中标识的大客户</t>
  </si>
  <si>
    <t>确定不变的预算数据</t>
  </si>
  <si>
    <t>增量300吨视为达标</t>
  </si>
  <si>
    <t>类型</t>
  </si>
  <si>
    <t>总提案</t>
  </si>
  <si>
    <t>年度预算（个）</t>
  </si>
  <si>
    <t>达标</t>
  </si>
  <si>
    <t>差距</t>
  </si>
  <si>
    <t>达成率</t>
  </si>
  <si>
    <t>提档大客户</t>
  </si>
  <si>
    <t>随时间变动（分公司维护）</t>
  </si>
  <si>
    <t>新开大客户</t>
  </si>
  <si>
    <t>大客户销量达成</t>
  </si>
  <si>
    <t>年度增量预算</t>
  </si>
  <si>
    <t>同比增量</t>
  </si>
  <si>
    <t>大客户过程指标</t>
  </si>
  <si>
    <t>来自纷享
（按不同的操作角色取数）--待定</t>
  </si>
  <si>
    <t>来自纷享</t>
  </si>
  <si>
    <t>拜访数</t>
  </si>
  <si>
    <t>会议数</t>
  </si>
  <si>
    <t>示范户数</t>
  </si>
  <si>
    <t>大客户销量结构</t>
  </si>
  <si>
    <t>按客户新开和提档的总销量来分布一个饼图</t>
  </si>
  <si>
    <t>大客户模块说明：</t>
  </si>
  <si>
    <t>提档大客户同比增量300吨，新开大客户销量300吨</t>
  </si>
  <si>
    <t>年度预算和年度增量预算固定不变，即永远与年累预算对比差距，取消当月维度</t>
  </si>
  <si>
    <t>区域</t>
  </si>
  <si>
    <t>公司</t>
  </si>
  <si>
    <t>新开增量</t>
  </si>
  <si>
    <t>提档增量</t>
  </si>
  <si>
    <t>增量预算</t>
  </si>
  <si>
    <t>增量达成率</t>
  </si>
  <si>
    <t>总提案数</t>
  </si>
  <si>
    <t>新开数</t>
  </si>
  <si>
    <t>提档数</t>
  </si>
  <si>
    <t>预算数</t>
  </si>
  <si>
    <t>数量达成率</t>
  </si>
  <si>
    <t>取消合计（由于集团目标是500，分公司合计是530，所以不显示合计）</t>
  </si>
  <si>
    <t>华东一区</t>
  </si>
  <si>
    <t>福建</t>
  </si>
  <si>
    <t>唐山</t>
  </si>
  <si>
    <t>惠州</t>
  </si>
  <si>
    <t>浙江</t>
  </si>
  <si>
    <t>华东二区</t>
  </si>
  <si>
    <t>淮安</t>
  </si>
  <si>
    <t>南京</t>
  </si>
  <si>
    <t>泰州</t>
  </si>
  <si>
    <t>华中大区</t>
  </si>
  <si>
    <t>武汉</t>
  </si>
  <si>
    <t>湖南</t>
  </si>
  <si>
    <t>汉南</t>
  </si>
  <si>
    <t>江西</t>
  </si>
  <si>
    <t>荆州</t>
  </si>
  <si>
    <t>益阳</t>
  </si>
  <si>
    <t>洛阳</t>
  </si>
  <si>
    <t>华南大区</t>
  </si>
  <si>
    <t>江门</t>
  </si>
  <si>
    <t>四会</t>
  </si>
  <si>
    <t>广西</t>
  </si>
  <si>
    <t>湛江</t>
  </si>
  <si>
    <t>贵州</t>
  </si>
  <si>
    <t>四川</t>
  </si>
  <si>
    <t>云南</t>
  </si>
  <si>
    <t>海南</t>
  </si>
  <si>
    <t>广澳</t>
  </si>
  <si>
    <t>大区</t>
  </si>
  <si>
    <t>26年考核目标</t>
  </si>
  <si>
    <t>产品线</t>
  </si>
  <si>
    <t>高价值</t>
  </si>
  <si>
    <t>详情按钮在总销量指标模块</t>
  </si>
  <si>
    <t>实际达成</t>
  </si>
  <si>
    <t>预算</t>
  </si>
  <si>
    <t>完成率</t>
  </si>
  <si>
    <t>虾蟹料</t>
  </si>
  <si>
    <t>普鱼料</t>
  </si>
  <si>
    <t>海特料</t>
  </si>
  <si>
    <t>畜禽料</t>
  </si>
  <si>
    <t>...</t>
  </si>
  <si>
    <t>深圳海南</t>
  </si>
  <si>
    <t>反刍事业部</t>
  </si>
  <si>
    <t>甘肃</t>
  </si>
  <si>
    <t>山东</t>
  </si>
  <si>
    <t>洛阳畜禽</t>
  </si>
  <si>
    <t>大类</t>
  </si>
  <si>
    <t>小类</t>
  </si>
  <si>
    <t>虾料</t>
  </si>
  <si>
    <t>虾安康</t>
  </si>
  <si>
    <t>中档南美白对虾料</t>
  </si>
  <si>
    <t>中档斑节虾料</t>
  </si>
  <si>
    <t>虾配合料</t>
  </si>
  <si>
    <t>高档南美白对虾料</t>
  </si>
  <si>
    <t>罗虾料</t>
  </si>
  <si>
    <t>高档斑节虾料</t>
  </si>
  <si>
    <t>普通混养虾料</t>
  </si>
  <si>
    <t>泥鳅料</t>
  </si>
  <si>
    <t>代工-YH</t>
  </si>
  <si>
    <t>草虾料</t>
  </si>
  <si>
    <t>代工-HD</t>
  </si>
  <si>
    <t>低档南美白对虾料</t>
  </si>
  <si>
    <t>代工-BF</t>
  </si>
  <si>
    <t>代工-TBC</t>
  </si>
  <si>
    <t>沉性膨化小龙虾料</t>
  </si>
  <si>
    <t>蟹料</t>
  </si>
  <si>
    <t>颗粒料</t>
  </si>
  <si>
    <t>膨化沉性料</t>
  </si>
  <si>
    <t>功能料</t>
  </si>
  <si>
    <t>生物料</t>
  </si>
  <si>
    <t>通用蟹料</t>
  </si>
  <si>
    <t>普通膨化鱼料</t>
  </si>
  <si>
    <t>沉水鱼料</t>
  </si>
  <si>
    <t>高档膨化鱼料</t>
  </si>
  <si>
    <t>猪饲料</t>
  </si>
  <si>
    <t>浓缩/预混料</t>
  </si>
  <si>
    <t>禽料</t>
  </si>
  <si>
    <t>反刍料</t>
  </si>
  <si>
    <t>区域毛利达成详情</t>
  </si>
  <si>
    <t>毛利实际（万）</t>
  </si>
  <si>
    <t>同期毛利（万）</t>
  </si>
  <si>
    <t>同比（%）</t>
  </si>
  <si>
    <t>毛利预算（万）</t>
  </si>
  <si>
    <t>差距（万）</t>
  </si>
  <si>
    <t>达成率（%）</t>
  </si>
  <si>
    <t>详情按钮在区域线模块</t>
  </si>
  <si>
    <t>高价值毛利达成详情</t>
  </si>
  <si>
    <t>毛利同期（万）</t>
  </si>
  <si>
    <t>详情按钮在高价值模块</t>
  </si>
  <si>
    <t>吨毛利达成详情</t>
  </si>
  <si>
    <t>吨毛利实际（万）</t>
  </si>
  <si>
    <t>吨毛利同期（万）</t>
  </si>
  <si>
    <t>详情按钮在吨毛利模块</t>
  </si>
  <si>
    <t>龙虾料</t>
  </si>
  <si>
    <t>说明：相较第一版，全部添加了公司维度</t>
  </si>
  <si>
    <t>说明：从二级页面中表体的大类点击穿透到三级页面小类，以单个公司的维度撑开</t>
  </si>
  <si>
    <t>—综合排行榜—</t>
  </si>
  <si>
    <t>类型：</t>
  </si>
  <si>
    <t>销量</t>
  </si>
  <si>
    <t>大客户</t>
  </si>
  <si>
    <t>毛利</t>
  </si>
  <si>
    <t>·大区</t>
  </si>
  <si>
    <t>数量排行</t>
  </si>
  <si>
    <t>销量排行（吨）</t>
  </si>
  <si>
    <t>①</t>
  </si>
  <si>
    <t>②</t>
  </si>
  <si>
    <t>③</t>
  </si>
  <si>
    <t>④</t>
  </si>
  <si>
    <t>·公司</t>
  </si>
  <si>
    <t>排行榜说明：</t>
  </si>
  <si>
    <t>销量和毛利保持原方案的设计</t>
  </si>
  <si>
    <t>总览页签跳转销量排行榜</t>
  </si>
  <si>
    <t>大客户页签跳转大客户排行榜</t>
  </si>
  <si>
    <t>产品页签跳转销量排行榜</t>
  </si>
  <si>
    <t>毛利页签跳转毛利排行榜</t>
  </si>
  <si>
    <t>切片管理表</t>
  </si>
  <si>
    <r>
      <rPr>
        <b/>
        <sz val="11"/>
        <color theme="1"/>
        <rFont val="宋体"/>
        <charset val="134"/>
        <scheme val="minor"/>
      </rPr>
      <t>表格说明：</t>
    </r>
    <r>
      <rPr>
        <sz val="11"/>
        <color rgb="FFFF0000"/>
        <rFont val="宋体"/>
        <charset val="134"/>
        <scheme val="minor"/>
      </rPr>
      <t>“√”代表受切片关联，“×”代表不显示该切片或失效</t>
    </r>
  </si>
  <si>
    <t>页签</t>
  </si>
  <si>
    <t>组件</t>
  </si>
  <si>
    <t>置顶切片</t>
  </si>
  <si>
    <t>侧边切片</t>
  </si>
  <si>
    <t>日期</t>
  </si>
  <si>
    <t>当月</t>
  </si>
  <si>
    <t>年累</t>
  </si>
  <si>
    <t>排行</t>
  </si>
  <si>
    <t>总览</t>
  </si>
  <si>
    <t>最新销量</t>
  </si>
  <si>
    <t>√</t>
  </si>
  <si>
    <t>跳转至销量排行页面</t>
  </si>
  <si>
    <t>销量达成</t>
  </si>
  <si>
    <t>毛利达成</t>
  </si>
  <si>
    <t>销量分布-每月</t>
  </si>
  <si>
    <t>客户等级分布</t>
  </si>
  <si>
    <t>大客户分析</t>
  </si>
  <si>
    <t>无效</t>
  </si>
  <si>
    <t>隐藏</t>
  </si>
  <si>
    <t>跳转至大客户排行页面</t>
  </si>
  <si>
    <t>产品分析</t>
  </si>
  <si>
    <t>总销量指标</t>
  </si>
  <si>
    <t>产品线总销量指标</t>
  </si>
  <si>
    <r>
      <rPr>
        <sz val="11"/>
        <color theme="1"/>
        <rFont val="宋体"/>
        <charset val="134"/>
        <scheme val="minor"/>
      </rPr>
      <t>产品线</t>
    </r>
    <r>
      <rPr>
        <b/>
        <u/>
        <sz val="11"/>
        <color rgb="FFFF0000"/>
        <rFont val="宋体"/>
        <charset val="134"/>
        <scheme val="minor"/>
      </rPr>
      <t>高价值</t>
    </r>
    <r>
      <rPr>
        <sz val="11"/>
        <color theme="1"/>
        <rFont val="宋体"/>
        <charset val="134"/>
        <scheme val="minor"/>
      </rPr>
      <t>指标</t>
    </r>
  </si>
  <si>
    <t>销量趋势</t>
  </si>
  <si>
    <t>结构占比</t>
  </si>
  <si>
    <t>毛利分析</t>
  </si>
  <si>
    <t>总毛利达成</t>
  </si>
  <si>
    <t>跳转至毛利排行页面</t>
  </si>
  <si>
    <r>
      <rPr>
        <b/>
        <u/>
        <sz val="11"/>
        <color rgb="FFFF0000"/>
        <rFont val="宋体"/>
        <charset val="134"/>
        <scheme val="minor"/>
      </rPr>
      <t>高价值</t>
    </r>
    <r>
      <rPr>
        <sz val="11"/>
        <color theme="1"/>
        <rFont val="宋体"/>
        <charset val="134"/>
        <scheme val="minor"/>
      </rPr>
      <t>毛利指标</t>
    </r>
  </si>
  <si>
    <t>区域毛利达成</t>
  </si>
  <si>
    <t>产品线毛利达成</t>
  </si>
  <si>
    <t>产品线毛利结构</t>
  </si>
  <si>
    <t>吨毛利达成</t>
  </si>
  <si>
    <t>/</t>
  </si>
  <si>
    <t>客户</t>
  </si>
  <si>
    <t>手机看板研发计划</t>
  </si>
  <si>
    <t>模块</t>
  </si>
  <si>
    <t>任务</t>
  </si>
  <si>
    <t>负责人</t>
  </si>
  <si>
    <t>开始时间</t>
  </si>
  <si>
    <t>天数</t>
  </si>
  <si>
    <t>完成时间</t>
  </si>
  <si>
    <t>数据准备</t>
  </si>
  <si>
    <t>过程指标</t>
  </si>
  <si>
    <t>邢超、蔡青松</t>
  </si>
  <si>
    <t>2</t>
  </si>
  <si>
    <t>3.10</t>
  </si>
  <si>
    <t>毛利预算</t>
  </si>
  <si>
    <t>蔡青松</t>
  </si>
  <si>
    <t>数据应用</t>
  </si>
  <si>
    <t>客户分析</t>
  </si>
  <si>
    <t>3.11</t>
  </si>
  <si>
    <t>3.12</t>
  </si>
  <si>
    <t>3.13</t>
  </si>
  <si>
    <t>排行榜</t>
  </si>
  <si>
    <t>3.16</t>
  </si>
  <si>
    <t>数据校验</t>
  </si>
  <si>
    <t>核对数据</t>
  </si>
  <si>
    <t>邢超、蔡青松、郑世杰</t>
  </si>
  <si>
    <t>3.17</t>
  </si>
  <si>
    <t>角色</t>
  </si>
  <si>
    <t>备注</t>
  </si>
  <si>
    <t>董事长</t>
  </si>
  <si>
    <t>总裁</t>
  </si>
  <si>
    <t>副总裁</t>
  </si>
  <si>
    <t>助理总裁
（非大区总）</t>
  </si>
  <si>
    <t>大区总</t>
  </si>
  <si>
    <t>基地总</t>
  </si>
  <si>
    <t>页签权限</t>
  </si>
  <si>
    <t>当切换区域时，大客户分析页签里的预算、差距和完成率全部显示“-”</t>
  </si>
  <si>
    <t>数据权限</t>
  </si>
  <si>
    <t>集团</t>
  </si>
  <si>
    <t>基地</t>
  </si>
  <si>
    <t>数据核对</t>
  </si>
  <si>
    <t>数据整体说明：</t>
  </si>
  <si>
    <t>【销量和毛利的实际达成】的取数来源：
【销量和毛利的预算】的取数来源：
整体取数准确性：
整体取数周期：
整体数据显示反应速度：</t>
  </si>
  <si>
    <t>组件/页面</t>
  </si>
  <si>
    <t>置顶切片维度</t>
  </si>
  <si>
    <t>侧边切片维度</t>
  </si>
  <si>
    <t>日期（1月-至今）</t>
  </si>
  <si>
    <t>准确性</t>
  </si>
  <si>
    <t>速度</t>
  </si>
  <si>
    <t>总览一级页面</t>
  </si>
  <si>
    <t>总览二级页面</t>
  </si>
  <si>
    <t>区域销量毛利详情</t>
  </si>
  <si>
    <t>产品线销量毛利详情</t>
  </si>
  <si>
    <t>大客户分析一级页面</t>
  </si>
  <si>
    <t>提档总销量：
纷享65303.62，看板63965，差距</t>
  </si>
  <si>
    <t>大客户分析二级页面</t>
  </si>
  <si>
    <t>区域大客户指标详情</t>
  </si>
  <si>
    <t>产品分析一级页面</t>
  </si>
  <si>
    <t>产品分析二级页面</t>
  </si>
  <si>
    <t>产品线大类销量详情</t>
  </si>
  <si>
    <t>毛利分析一级页面</t>
  </si>
  <si>
    <t>毛利分析二级页面</t>
  </si>
  <si>
    <t>产品线毛利达成详情</t>
  </si>
  <si>
    <t>数据项目/字段</t>
  </si>
  <si>
    <t>纷享</t>
  </si>
  <si>
    <t>看板</t>
  </si>
  <si>
    <t>取数逻辑</t>
  </si>
  <si>
    <t>大客户总销量提档</t>
  </si>
  <si>
    <t>大客户总销量新开</t>
  </si>
  <si>
    <t>大客户提案数量提档</t>
  </si>
  <si>
    <t>大客户提案数量新开</t>
  </si>
  <si>
    <t>大客户达标数量新开</t>
  </si>
  <si>
    <t>大客户拜访数</t>
  </si>
  <si>
    <t>？</t>
  </si>
  <si>
    <t>大客户会议数</t>
  </si>
  <si>
    <t>大客户示范户数</t>
  </si>
  <si>
    <r>
      <rPr>
        <sz val="11"/>
        <color theme="1"/>
        <rFont val="宋体"/>
        <charset val="134"/>
        <scheme val="minor"/>
      </rPr>
      <t>客户等级（</t>
    </r>
    <r>
      <rPr>
        <sz val="11"/>
        <color rgb="FFFF0000"/>
        <rFont val="宋体"/>
        <charset val="134"/>
        <scheme val="minor"/>
      </rPr>
      <t>达标大客户结构</t>
    </r>
    <r>
      <rPr>
        <sz val="11"/>
        <color theme="1"/>
        <rFont val="宋体"/>
        <charset val="134"/>
        <scheme val="minor"/>
      </rPr>
      <t>）</t>
    </r>
  </si>
  <si>
    <t>需要加一个达标的条件</t>
  </si>
  <si>
    <t>内容</t>
  </si>
  <si>
    <t>时间</t>
  </si>
  <si>
    <t>大客户分析数据核对</t>
  </si>
  <si>
    <t>毛利数据核对</t>
  </si>
  <si>
    <t>蔡青松、郑世杰</t>
  </si>
  <si>
    <t>UI进度</t>
  </si>
  <si>
    <t>莫砚德、郑世杰</t>
  </si>
  <si>
    <t>权限管理</t>
  </si>
  <si>
    <t>蔡青松、姚雨宏、莫砚德、郑世杰</t>
  </si>
  <si>
    <t>输入</t>
  </si>
  <si>
    <t>输出</t>
  </si>
  <si>
    <t>登录人名称</t>
  </si>
  <si>
    <t>澳华集团_华南大区_湛江</t>
  </si>
  <si>
    <t>ID1</t>
  </si>
  <si>
    <t>ID2</t>
  </si>
  <si>
    <t>序</t>
  </si>
  <si>
    <t>姓名</t>
  </si>
  <si>
    <t>所属公司</t>
  </si>
  <si>
    <t>所属部门</t>
  </si>
  <si>
    <t>华南</t>
  </si>
  <si>
    <t>张斌</t>
  </si>
  <si>
    <t>四会澳华</t>
  </si>
  <si>
    <t>办公室</t>
  </si>
  <si>
    <t>邹峰</t>
  </si>
  <si>
    <t>广西澳华</t>
  </si>
  <si>
    <t>温立旨</t>
  </si>
  <si>
    <t>湛江澳华</t>
  </si>
  <si>
    <t>戴宏</t>
  </si>
  <si>
    <t>贵州澳华</t>
  </si>
  <si>
    <t>罗海</t>
  </si>
  <si>
    <t>云南澳华</t>
  </si>
  <si>
    <t>牟晓龙</t>
  </si>
  <si>
    <t>四川澳华</t>
  </si>
  <si>
    <t>冼华辉</t>
  </si>
  <si>
    <t>深圳海南办公室</t>
  </si>
  <si>
    <t>张哲</t>
  </si>
  <si>
    <t>海南广澳</t>
  </si>
  <si>
    <t>杨孟伯</t>
  </si>
  <si>
    <t>兼江门总经理</t>
  </si>
  <si>
    <t>华中</t>
  </si>
  <si>
    <t>易新文</t>
  </si>
  <si>
    <t>兼武汉总经理</t>
  </si>
  <si>
    <t>付文超</t>
  </si>
  <si>
    <t>荆州事业部</t>
  </si>
  <si>
    <t>荆州办公室</t>
  </si>
  <si>
    <t>李伟</t>
  </si>
  <si>
    <t>汉南澳华</t>
  </si>
  <si>
    <t>谭天柱</t>
  </si>
  <si>
    <t>湖南澳华</t>
  </si>
  <si>
    <t>肖云</t>
  </si>
  <si>
    <t>益阳澳华</t>
  </si>
  <si>
    <t>袁晓红</t>
  </si>
  <si>
    <t>江西澳华</t>
  </si>
  <si>
    <t>伍少华</t>
  </si>
  <si>
    <t>洛阳澳华</t>
  </si>
  <si>
    <t>华东</t>
  </si>
  <si>
    <t>林建好</t>
  </si>
  <si>
    <t>华东大区</t>
  </si>
  <si>
    <t>兼福建总经理</t>
  </si>
  <si>
    <t>丁长云</t>
  </si>
  <si>
    <t>廖俊</t>
  </si>
  <si>
    <t>淮安澳华</t>
  </si>
  <si>
    <t>曹炳元</t>
  </si>
  <si>
    <t>浙江澳华</t>
  </si>
  <si>
    <t>杨先洪</t>
  </si>
  <si>
    <t>惠州澳华</t>
  </si>
  <si>
    <t>程三虎</t>
  </si>
  <si>
    <t>唐山澳华</t>
  </si>
  <si>
    <t>吕赞赞</t>
  </si>
  <si>
    <t>泰州澳华</t>
  </si>
  <si>
    <t>黄晋</t>
  </si>
  <si>
    <t>南京澳华</t>
  </si>
  <si>
    <t>其他</t>
  </si>
  <si>
    <t>卢德</t>
  </si>
  <si>
    <t>兼甘肃总经理</t>
  </si>
  <si>
    <t>韦玉标</t>
  </si>
  <si>
    <t>山东福羊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</si>
</sst>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DBNum2][$-804]General"/>
  </numFmts>
  <fonts count="40">
    <font>
      <sz val="11"/>
      <color theme="1"/>
      <name val="宋体"/>
      <charset val="134"/>
      <scheme val="minor"/>
    </font>
    <font>
      <b/>
      <sz val="9"/>
      <name val="微软雅黑"/>
      <charset val="134"/>
    </font>
    <font>
      <sz val="11"/>
      <name val="宋体"/>
      <charset val="134"/>
      <scheme val="minor"/>
    </font>
    <font>
      <sz val="9"/>
      <name val="微软雅黑"/>
      <charset val="134"/>
    </font>
    <font>
      <sz val="9"/>
      <color rgb="FFFF0000"/>
      <name val="微软雅黑"/>
      <charset val="134"/>
    </font>
    <font>
      <b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i/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b/>
      <u/>
      <sz val="11"/>
      <color rgb="FFFF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indexed="8"/>
      <name val="宋体"/>
      <charset val="134"/>
    </font>
    <font>
      <b/>
      <sz val="11"/>
      <color rgb="FFFF0000"/>
      <name val="宋体"/>
      <charset val="134"/>
      <scheme val="minor"/>
    </font>
    <font>
      <u/>
      <sz val="11"/>
      <color rgb="FF00B0F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FFFFFF"/>
      <name val="微软雅黑"/>
      <charset val="134"/>
    </font>
    <font>
      <b/>
      <sz val="9"/>
      <color rgb="FFFFFFFF"/>
      <name val="微软雅黑"/>
      <charset val="134"/>
    </font>
    <font>
      <sz val="9"/>
      <color rgb="FF333333"/>
      <name val="微软雅黑"/>
      <charset val="134"/>
    </font>
  </fonts>
  <fills count="42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4A90E2"/>
        <bgColor indexed="64"/>
      </patternFill>
    </fill>
  </fills>
  <borders count="28">
    <border>
      <left/>
      <right/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0" fillId="10" borderId="2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3" fillId="0" borderId="21">
      <alignment vertical="center"/>
    </xf>
    <xf numFmtId="0" fontId="24" fillId="0" borderId="21">
      <alignment vertical="center"/>
    </xf>
    <xf numFmtId="0" fontId="25" fillId="0" borderId="22">
      <alignment vertical="center"/>
    </xf>
    <xf numFmtId="0" fontId="25" fillId="0" borderId="0">
      <alignment vertical="center"/>
    </xf>
    <xf numFmtId="0" fontId="26" fillId="11" borderId="23">
      <alignment vertical="center"/>
    </xf>
    <xf numFmtId="0" fontId="27" fillId="12" borderId="24">
      <alignment vertical="center"/>
    </xf>
    <xf numFmtId="0" fontId="28" fillId="12" borderId="23">
      <alignment vertical="center"/>
    </xf>
    <xf numFmtId="0" fontId="29" fillId="13" borderId="25">
      <alignment vertical="center"/>
    </xf>
    <xf numFmtId="0" fontId="30" fillId="0" borderId="26">
      <alignment vertical="center"/>
    </xf>
    <xf numFmtId="0" fontId="31" fillId="0" borderId="27">
      <alignment vertical="center"/>
    </xf>
    <xf numFmtId="0" fontId="32" fillId="14" borderId="0">
      <alignment vertical="center"/>
    </xf>
    <xf numFmtId="0" fontId="33" fillId="15" borderId="0">
      <alignment vertical="center"/>
    </xf>
    <xf numFmtId="0" fontId="34" fillId="16" borderId="0">
      <alignment vertical="center"/>
    </xf>
    <xf numFmtId="0" fontId="35" fillId="17" borderId="0">
      <alignment vertical="center"/>
    </xf>
    <xf numFmtId="0" fontId="36" fillId="18" borderId="0">
      <alignment vertical="center"/>
    </xf>
    <xf numFmtId="0" fontId="36" fillId="19" borderId="0">
      <alignment vertical="center"/>
    </xf>
    <xf numFmtId="0" fontId="35" fillId="20" borderId="0">
      <alignment vertical="center"/>
    </xf>
    <xf numFmtId="0" fontId="35" fillId="21" borderId="0">
      <alignment vertical="center"/>
    </xf>
    <xf numFmtId="0" fontId="36" fillId="22" borderId="0">
      <alignment vertical="center"/>
    </xf>
    <xf numFmtId="0" fontId="36" fillId="23" borderId="0">
      <alignment vertical="center"/>
    </xf>
    <xf numFmtId="0" fontId="35" fillId="24" borderId="0">
      <alignment vertical="center"/>
    </xf>
    <xf numFmtId="0" fontId="35" fillId="25" borderId="0">
      <alignment vertical="center"/>
    </xf>
    <xf numFmtId="0" fontId="36" fillId="26" borderId="0">
      <alignment vertical="center"/>
    </xf>
    <xf numFmtId="0" fontId="36" fillId="27" borderId="0">
      <alignment vertical="center"/>
    </xf>
    <xf numFmtId="0" fontId="35" fillId="28" borderId="0">
      <alignment vertical="center"/>
    </xf>
    <xf numFmtId="0" fontId="35" fillId="29" borderId="0">
      <alignment vertical="center"/>
    </xf>
    <xf numFmtId="0" fontId="36" fillId="30" borderId="0">
      <alignment vertical="center"/>
    </xf>
    <xf numFmtId="0" fontId="36" fillId="31" borderId="0">
      <alignment vertical="center"/>
    </xf>
    <xf numFmtId="0" fontId="35" fillId="32" borderId="0">
      <alignment vertical="center"/>
    </xf>
    <xf numFmtId="0" fontId="35" fillId="33" borderId="0">
      <alignment vertical="center"/>
    </xf>
    <xf numFmtId="0" fontId="36" fillId="34" borderId="0">
      <alignment vertical="center"/>
    </xf>
    <xf numFmtId="0" fontId="36" fillId="35" borderId="0">
      <alignment vertical="center"/>
    </xf>
    <xf numFmtId="0" fontId="35" fillId="36" borderId="0">
      <alignment vertical="center"/>
    </xf>
    <xf numFmtId="0" fontId="35" fillId="37" borderId="0">
      <alignment vertical="center"/>
    </xf>
    <xf numFmtId="0" fontId="36" fillId="38" borderId="0">
      <alignment vertical="center"/>
    </xf>
    <xf numFmtId="0" fontId="36" fillId="39" borderId="0">
      <alignment vertical="center"/>
    </xf>
    <xf numFmtId="0" fontId="35" fillId="40" borderId="0">
      <alignment vertical="center"/>
    </xf>
    <xf numFmtId="0" fontId="37" fillId="41" borderId="3">
      <alignment horizontal="center" vertical="center" wrapText="1"/>
    </xf>
    <xf numFmtId="0" fontId="37" fillId="41" borderId="3">
      <alignment horizontal="center" vertical="center" wrapText="1"/>
    </xf>
    <xf numFmtId="0" fontId="38" fillId="41" borderId="3">
      <alignment horizontal="center" vertical="center" wrapText="1"/>
    </xf>
    <xf numFmtId="0" fontId="38" fillId="41" borderId="3">
      <alignment horizontal="center" vertical="center" wrapText="1"/>
    </xf>
    <xf numFmtId="0" fontId="39" fillId="3" borderId="3">
      <alignment horizontal="center" vertical="center" wrapText="1"/>
    </xf>
  </cellStyleXfs>
  <cellXfs count="120">
    <xf numFmtId="0" fontId="0" fillId="0" borderId="0" xfId="0" applyAlignment="1">
      <alignment vertical="center"/>
    </xf>
    <xf numFmtId="0" fontId="1" fillId="2" borderId="1" xfId="49" applyFont="1" applyFill="1" applyBorder="1" applyAlignment="1">
      <alignment horizontal="center" vertical="center" wrapText="1"/>
    </xf>
    <xf numFmtId="0" fontId="1" fillId="2" borderId="1" xfId="50" applyFont="1" applyFill="1" applyBorder="1">
      <alignment horizontal="center" vertical="center" wrapText="1"/>
    </xf>
    <xf numFmtId="0" fontId="1" fillId="2" borderId="1" xfId="51" applyFont="1" applyFill="1" applyBorder="1">
      <alignment horizontal="center" vertical="center" wrapText="1"/>
    </xf>
    <xf numFmtId="0" fontId="1" fillId="2" borderId="1" xfId="52" applyFont="1" applyFill="1" applyBorder="1">
      <alignment horizontal="center" vertical="center" wrapText="1"/>
    </xf>
    <xf numFmtId="0" fontId="2" fillId="0" borderId="0" xfId="0" applyFont="1" applyAlignment="1">
      <alignment vertical="center"/>
    </xf>
    <xf numFmtId="0" fontId="3" fillId="3" borderId="2" xfId="53" applyFont="1" applyFill="1" applyBorder="1">
      <alignment horizontal="center" vertical="center" wrapText="1"/>
    </xf>
    <xf numFmtId="0" fontId="3" fillId="3" borderId="3" xfId="53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3" xfId="53" applyFont="1" applyFill="1" applyBorder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3" fillId="3" borderId="2" xfId="53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53" applyFont="1" applyFill="1" applyBorder="1">
      <alignment horizontal="center" vertical="center" wrapText="1"/>
    </xf>
    <xf numFmtId="0" fontId="3" fillId="3" borderId="4" xfId="53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6" fillId="4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8" fillId="0" borderId="4" xfId="0" applyFont="1" applyBorder="1" applyAlignment="1">
      <alignment horizontal="left" vertical="center" wrapText="1"/>
    </xf>
    <xf numFmtId="0" fontId="0" fillId="5" borderId="4" xfId="0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10" fillId="4" borderId="0" xfId="0" applyFont="1" applyFill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5" fillId="4" borderId="4" xfId="0" applyFont="1" applyFill="1" applyBorder="1" applyAlignment="1">
      <alignment horizontal="left" vertical="center"/>
    </xf>
    <xf numFmtId="0" fontId="0" fillId="6" borderId="4" xfId="0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9" fontId="0" fillId="0" borderId="0" xfId="0" applyNumberFormat="1" applyAlignment="1">
      <alignment horizontal="center" vertical="center"/>
    </xf>
    <xf numFmtId="9" fontId="0" fillId="8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9" fontId="11" fillId="0" borderId="0" xfId="0" applyNumberFormat="1" applyFont="1" applyAlignment="1">
      <alignment horizontal="center" vertical="center"/>
    </xf>
    <xf numFmtId="9" fontId="11" fillId="0" borderId="15" xfId="0" applyNumberFormat="1" applyFont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5" fillId="5" borderId="0" xfId="0" applyFont="1" applyFill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6" fontId="13" fillId="0" borderId="4" xfId="0" applyNumberFormat="1" applyFont="1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5" fillId="0" borderId="4" xfId="0" applyFont="1" applyBorder="1" applyAlignment="1">
      <alignment horizontal="center" vertical="center"/>
    </xf>
    <xf numFmtId="176" fontId="13" fillId="0" borderId="4" xfId="0" applyNumberFormat="1" applyFont="1" applyFill="1" applyBorder="1" applyAlignment="1">
      <alignment horizontal="center" vertical="center"/>
    </xf>
    <xf numFmtId="43" fontId="0" fillId="0" borderId="0" xfId="0" applyNumberFormat="1" applyAlignment="1">
      <alignment vertical="center"/>
    </xf>
    <xf numFmtId="0" fontId="0" fillId="0" borderId="0" xfId="0">
      <alignment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/>
    </xf>
    <xf numFmtId="0" fontId="0" fillId="5" borderId="0" xfId="0" applyFill="1" applyAlignment="1">
      <alignment vertical="center" wrapText="1"/>
    </xf>
    <xf numFmtId="0" fontId="0" fillId="9" borderId="4" xfId="0" applyFill="1" applyBorder="1" applyAlignment="1">
      <alignment vertical="center"/>
    </xf>
    <xf numFmtId="9" fontId="0" fillId="5" borderId="4" xfId="3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5" fillId="0" borderId="0" xfId="0" applyFont="1" applyBorder="1" applyAlignment="1">
      <alignment vertical="center"/>
    </xf>
    <xf numFmtId="0" fontId="5" fillId="5" borderId="0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9" fontId="0" fillId="0" borderId="0" xfId="3" applyBorder="1" applyAlignment="1">
      <alignment horizontal="left" vertical="center"/>
    </xf>
    <xf numFmtId="0" fontId="12" fillId="0" borderId="0" xfId="0" applyFont="1" applyAlignment="1">
      <alignment vertical="center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2" fillId="5" borderId="0" xfId="0" applyFont="1" applyFill="1" applyAlignment="1">
      <alignment vertical="center"/>
    </xf>
    <xf numFmtId="0" fontId="0" fillId="0" borderId="0" xfId="0" applyFont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0" fillId="0" borderId="0" xfId="0" applyFont="1" applyBorder="1" applyAlignment="1">
      <alignment horizontal="left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6" xfId="49"/>
    <cellStyle name="13" xfId="50"/>
    <cellStyle name="7" xfId="51"/>
    <cellStyle name="1" xfId="52"/>
    <cellStyle name="11" xfId="53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总览一级页面!$E$2</c:f>
              <c:strCache>
                <c:ptCount val="1"/>
                <c:pt idx="0">
                  <c:v>总销量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1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总览一级页面!$D$3:$D$7</c:f>
              <c:strCache>
                <c:ptCount val="5"/>
                <c:pt idx="0">
                  <c:v>S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  <c:pt idx="4">
                  <c:v>D</c:v>
                </c:pt>
              </c:strCache>
            </c:strRef>
          </c:cat>
          <c:val>
            <c:numRef>
              <c:f>总览一级页面!$E$3:$E$7</c:f>
              <c:numCache>
                <c:formatCode>General</c:formatCode>
                <c:ptCount val="5"/>
                <c:pt idx="0">
                  <c:v>10000</c:v>
                </c:pt>
                <c:pt idx="1">
                  <c:v>8000</c:v>
                </c:pt>
                <c:pt idx="2">
                  <c:v>6000</c:v>
                </c:pt>
                <c:pt idx="3">
                  <c:v>7000</c:v>
                </c:pt>
                <c:pt idx="4">
                  <c:v>10000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b7a950d-d3c2-4b4b-9ae9-0dd50af700d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4</xdr:row>
      <xdr:rowOff>120015</xdr:rowOff>
    </xdr:from>
    <xdr:to>
      <xdr:col>2</xdr:col>
      <xdr:colOff>1184275</xdr:colOff>
      <xdr:row>19</xdr:row>
      <xdr:rowOff>120015</xdr:rowOff>
    </xdr:to>
    <xdr:graphicFrame>
      <xdr:nvGraphicFramePr>
        <xdr:cNvPr id="2" name="图表 1"/>
        <xdr:cNvGraphicFramePr/>
      </xdr:nvGraphicFramePr>
      <xdr:xfrm>
        <a:off x="635" y="851535"/>
        <a:ext cx="48234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G6"/>
  <sheetViews>
    <sheetView zoomScale="220" zoomScaleNormal="220" workbookViewId="0">
      <selection activeCell="B2" sqref="B2:G2"/>
    </sheetView>
  </sheetViews>
  <sheetFormatPr defaultColWidth="8.88888888888889" defaultRowHeight="14.4" outlineLevelRow="5" outlineLevelCol="6"/>
  <cols>
    <col min="1" max="1" width="8.88888888888889" style="16"/>
  </cols>
  <sheetData>
    <row r="1" spans="1:7">
      <c r="A1" s="17" t="s">
        <v>0</v>
      </c>
      <c r="B1" s="89" t="s">
        <v>1</v>
      </c>
    </row>
    <row r="2" spans="1:7">
      <c r="A2" s="16">
        <v>1</v>
      </c>
      <c r="B2" s="117" t="s">
        <v>2</v>
      </c>
      <c r="C2" s="117"/>
      <c r="D2" s="117"/>
      <c r="E2" s="117"/>
      <c r="F2" s="117"/>
      <c r="G2" s="117"/>
    </row>
    <row r="3" spans="1:7">
      <c r="A3" s="16">
        <v>2</v>
      </c>
      <c r="B3" t="s">
        <v>3</v>
      </c>
    </row>
    <row r="4" spans="1:7">
      <c r="A4" s="16">
        <v>3</v>
      </c>
      <c r="B4" t="s">
        <v>4</v>
      </c>
    </row>
    <row r="5" spans="1:7">
      <c r="A5" s="16">
        <v>4</v>
      </c>
      <c r="B5" t="s">
        <v>5</v>
      </c>
    </row>
    <row r="6" spans="1:7">
      <c r="A6" s="16">
        <v>5</v>
      </c>
      <c r="B6" t="s">
        <v>6</v>
      </c>
    </row>
  </sheetData>
  <mergeCells count="1">
    <mergeCell ref="B2:G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>
    <tabColor rgb="FFFFFF00"/>
  </sheetPr>
  <dimension ref="A1:L22"/>
  <sheetViews>
    <sheetView zoomScale="115" zoomScaleNormal="115" workbookViewId="0">
      <selection activeCell="E2" sqref="E2:E6"/>
    </sheetView>
  </sheetViews>
  <sheetFormatPr defaultColWidth="9" defaultRowHeight="14.4"/>
  <cols>
    <col min="1" max="1" width="19.6666666666667" customWidth="1"/>
    <col min="2" max="2" width="33.4074074074074" customWidth="1"/>
    <col min="3" max="3" width="27.6666666666667" customWidth="1"/>
    <col min="4" max="4" width="22" customWidth="1"/>
    <col min="5" max="5" width="19.7777777777778" customWidth="1"/>
    <col min="7" max="7" width="12.8888888888889"/>
    <col min="8" max="8" width="50.2222222222222" customWidth="1"/>
  </cols>
  <sheetData>
    <row r="1" spans="1:12">
      <c r="A1" s="75" t="s">
        <v>7</v>
      </c>
      <c r="B1" s="114"/>
      <c r="C1" s="116"/>
      <c r="D1" s="106"/>
      <c r="E1" s="83"/>
    </row>
    <row r="2" spans="1:12">
      <c r="B2" s="107"/>
      <c r="C2" s="107"/>
      <c r="D2" s="107" t="s">
        <v>8</v>
      </c>
      <c r="E2" s="107" t="s">
        <v>9</v>
      </c>
      <c r="F2" s="107"/>
      <c r="G2" s="107"/>
    </row>
    <row r="3" spans="1:12">
      <c r="B3" s="109"/>
      <c r="C3" s="110"/>
      <c r="D3" s="110" t="s">
        <v>10</v>
      </c>
      <c r="E3" s="111">
        <v>10000</v>
      </c>
      <c r="F3" s="111"/>
      <c r="G3" s="112"/>
    </row>
    <row r="4" spans="1:12">
      <c r="B4" s="109"/>
      <c r="C4" s="110"/>
      <c r="D4" s="110" t="s">
        <v>11</v>
      </c>
      <c r="E4" s="111">
        <v>8000</v>
      </c>
      <c r="F4" s="111"/>
      <c r="G4" s="112"/>
    </row>
    <row r="5" spans="1:12">
      <c r="D5" s="5" t="s">
        <v>12</v>
      </c>
      <c r="E5" s="20">
        <v>6000</v>
      </c>
    </row>
    <row r="6" spans="1:12">
      <c r="A6" s="89"/>
      <c r="D6" s="5" t="s">
        <v>13</v>
      </c>
      <c r="E6" s="117">
        <v>7000</v>
      </c>
      <c r="F6" s="89"/>
      <c r="G6" s="89"/>
    </row>
    <row r="7" spans="1:12">
      <c r="B7" s="107"/>
      <c r="C7" s="107"/>
      <c r="D7" s="118" t="s">
        <v>14</v>
      </c>
      <c r="E7" s="119">
        <v>10000</v>
      </c>
      <c r="F7" s="107"/>
      <c r="G7" s="107"/>
    </row>
    <row r="8" spans="1:12">
      <c r="B8" s="109"/>
      <c r="D8" s="111"/>
      <c r="E8" s="111"/>
      <c r="F8" s="111"/>
      <c r="G8" s="112"/>
    </row>
    <row r="9" spans="1:12">
      <c r="B9" s="109"/>
      <c r="C9" s="111"/>
      <c r="D9" s="111"/>
      <c r="E9" s="111"/>
      <c r="F9" s="111"/>
      <c r="G9" s="111"/>
    </row>
    <row r="10" spans="1:12">
      <c r="A10" s="89"/>
    </row>
    <row r="11" spans="1:12">
      <c r="A11" s="89"/>
      <c r="B11" s="113"/>
      <c r="C11" s="83"/>
      <c r="D11" s="83"/>
    </row>
    <row r="12" spans="1:12">
      <c r="B12" s="107"/>
      <c r="C12" s="107"/>
      <c r="D12" s="107"/>
    </row>
    <row r="13" spans="1:12">
      <c r="B13" s="109"/>
      <c r="C13" s="109"/>
      <c r="D13" s="109"/>
    </row>
    <row r="14" spans="1:12">
      <c r="A14" s="89"/>
      <c r="L14" s="89"/>
    </row>
    <row r="15" spans="1:12">
      <c r="A15" s="89"/>
    </row>
    <row r="16" spans="1:12">
      <c r="B16" s="20"/>
      <c r="C16" s="20"/>
      <c r="D16" s="20"/>
      <c r="E16" s="20"/>
      <c r="F16" s="20"/>
      <c r="G16" s="20"/>
    </row>
    <row r="19" spans="1:7">
      <c r="A19" s="106"/>
      <c r="B19" s="83"/>
      <c r="C19" s="83"/>
      <c r="D19" s="83"/>
      <c r="E19" s="83"/>
      <c r="F19" s="83"/>
      <c r="G19" s="83"/>
    </row>
    <row r="20" spans="1:7">
      <c r="A20" s="83"/>
      <c r="B20" s="74"/>
      <c r="C20" s="74"/>
      <c r="D20" s="74"/>
      <c r="E20" s="74"/>
      <c r="F20" s="74"/>
      <c r="G20" s="74"/>
    </row>
    <row r="21" spans="1:7">
      <c r="A21" s="83"/>
      <c r="B21" s="74"/>
      <c r="C21" s="74"/>
      <c r="D21" s="74"/>
      <c r="E21" s="74"/>
      <c r="F21" s="74"/>
      <c r="G21" s="74"/>
    </row>
    <row r="22" spans="1:7">
      <c r="A22" s="83" t="s">
        <v>15</v>
      </c>
    </row>
  </sheetData>
  <mergeCells count="2">
    <mergeCell ref="B20:G20"/>
    <mergeCell ref="B21:G21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rgb="FFFFFF00"/>
  </sheetPr>
  <dimension ref="A1:L21"/>
  <sheetViews>
    <sheetView zoomScale="115" zoomScaleNormal="115" workbookViewId="0">
      <selection activeCell="C2" sqref="C2"/>
    </sheetView>
  </sheetViews>
  <sheetFormatPr defaultColWidth="9" defaultRowHeight="14.4"/>
  <cols>
    <col min="1" max="1" width="16.4444444444444" customWidth="1"/>
    <col min="2" max="2" width="33.4074074074074" customWidth="1"/>
    <col min="3" max="3" width="27.6666666666667" customWidth="1"/>
    <col min="4" max="4" width="22" customWidth="1"/>
    <col min="5" max="5" width="19.7777777777778" customWidth="1"/>
    <col min="7" max="7" width="12.8888888888889"/>
    <col min="8" max="8" width="50.2222222222222" customWidth="1"/>
  </cols>
  <sheetData>
    <row r="1" spans="1:12">
      <c r="A1" s="89" t="s">
        <v>16</v>
      </c>
      <c r="C1" s="83" t="s">
        <v>17</v>
      </c>
      <c r="D1" s="106" t="s">
        <v>18</v>
      </c>
      <c r="E1" s="83" t="s">
        <v>19</v>
      </c>
    </row>
    <row r="2" spans="1:12">
      <c r="B2" s="107" t="s">
        <v>20</v>
      </c>
      <c r="C2" s="108" t="s">
        <v>21</v>
      </c>
      <c r="D2" s="107" t="s">
        <v>22</v>
      </c>
      <c r="E2" s="107" t="s">
        <v>23</v>
      </c>
      <c r="F2" s="107" t="s">
        <v>24</v>
      </c>
      <c r="G2" s="107" t="s">
        <v>25</v>
      </c>
    </row>
    <row r="3" spans="1:12">
      <c r="B3" s="109" t="s">
        <v>26</v>
      </c>
      <c r="C3" s="110" t="s">
        <v>27</v>
      </c>
      <c r="D3" s="110">
        <v>300</v>
      </c>
      <c r="E3" s="111">
        <v>10</v>
      </c>
      <c r="F3" s="111">
        <f t="shared" ref="F3:F8" si="0">D3-E3</f>
        <v>290</v>
      </c>
      <c r="G3" s="112">
        <f t="shared" ref="G3:G8" si="1">E3/D3</f>
        <v>0.0333333333333333</v>
      </c>
    </row>
    <row r="4" spans="1:12">
      <c r="B4" s="109" t="s">
        <v>28</v>
      </c>
      <c r="C4" s="110" t="s">
        <v>27</v>
      </c>
      <c r="D4" s="110">
        <v>200</v>
      </c>
      <c r="E4" s="111">
        <v>10</v>
      </c>
      <c r="F4" s="111">
        <f t="shared" si="0"/>
        <v>190</v>
      </c>
      <c r="G4" s="112">
        <f t="shared" si="1"/>
        <v>0.05</v>
      </c>
    </row>
    <row r="5" spans="1:12">
      <c r="A5" s="89" t="s">
        <v>29</v>
      </c>
    </row>
    <row r="6" spans="1:12">
      <c r="D6" s="106" t="s">
        <v>18</v>
      </c>
      <c r="E6" s="89"/>
      <c r="F6" s="89"/>
      <c r="G6" s="89"/>
    </row>
    <row r="7" spans="1:12">
      <c r="B7" s="107" t="s">
        <v>20</v>
      </c>
      <c r="C7" s="107" t="s">
        <v>9</v>
      </c>
      <c r="D7" s="107" t="s">
        <v>30</v>
      </c>
      <c r="E7" s="107" t="s">
        <v>31</v>
      </c>
      <c r="F7" s="107" t="s">
        <v>24</v>
      </c>
      <c r="G7" s="107" t="s">
        <v>25</v>
      </c>
    </row>
    <row r="8" spans="1:12">
      <c r="B8" s="109" t="s">
        <v>26</v>
      </c>
      <c r="C8">
        <v>3900</v>
      </c>
      <c r="D8" s="111">
        <v>90000</v>
      </c>
      <c r="E8" s="111">
        <v>900</v>
      </c>
      <c r="F8" s="111">
        <f t="shared" si="0"/>
        <v>89100</v>
      </c>
      <c r="G8" s="112">
        <f t="shared" si="1"/>
        <v>0.01</v>
      </c>
    </row>
    <row r="9" spans="1:12">
      <c r="A9" s="89"/>
      <c r="B9" s="109" t="s">
        <v>28</v>
      </c>
      <c r="C9" s="111"/>
      <c r="D9" s="111">
        <v>60000</v>
      </c>
      <c r="E9" s="111"/>
      <c r="F9" s="111"/>
      <c r="G9" s="111"/>
    </row>
    <row r="10" spans="1:12">
      <c r="A10" s="89"/>
      <c r="B10" s="113"/>
      <c r="C10" s="83"/>
      <c r="D10" s="83"/>
    </row>
    <row r="11" ht="28.8" spans="1:12">
      <c r="A11" s="89" t="s">
        <v>32</v>
      </c>
      <c r="B11" s="113" t="s">
        <v>33</v>
      </c>
      <c r="C11" s="83" t="s">
        <v>34</v>
      </c>
      <c r="D11" s="83" t="s">
        <v>34</v>
      </c>
    </row>
    <row r="12" spans="1:12">
      <c r="B12" s="107" t="s">
        <v>35</v>
      </c>
      <c r="C12" s="107" t="s">
        <v>36</v>
      </c>
      <c r="D12" s="107" t="s">
        <v>37</v>
      </c>
    </row>
    <row r="13" spans="1:12">
      <c r="B13" s="109"/>
      <c r="C13" s="109"/>
      <c r="D13" s="109"/>
    </row>
    <row r="14" spans="1:12">
      <c r="A14" s="89"/>
      <c r="L14" s="89"/>
    </row>
    <row r="15" spans="1:12">
      <c r="A15" s="75" t="s">
        <v>38</v>
      </c>
      <c r="B15" s="114"/>
      <c r="C15" s="114"/>
      <c r="D15" s="114"/>
    </row>
    <row r="16" spans="1:12">
      <c r="A16" s="114"/>
      <c r="B16" s="115" t="s">
        <v>39</v>
      </c>
      <c r="C16" s="115"/>
      <c r="D16" s="115"/>
      <c r="E16" s="20"/>
      <c r="F16" s="20"/>
      <c r="G16" s="20"/>
    </row>
    <row r="19" spans="1:7">
      <c r="A19" s="106" t="s">
        <v>40</v>
      </c>
      <c r="B19" s="83"/>
      <c r="C19" s="83"/>
      <c r="D19" s="83"/>
      <c r="E19" s="83"/>
      <c r="F19" s="83"/>
      <c r="G19" s="83"/>
    </row>
    <row r="20" spans="1:7">
      <c r="A20" s="83">
        <v>1</v>
      </c>
      <c r="B20" s="74" t="s">
        <v>41</v>
      </c>
      <c r="C20" s="74"/>
      <c r="D20" s="74"/>
      <c r="E20" s="74"/>
      <c r="F20" s="74"/>
      <c r="G20" s="74"/>
    </row>
    <row r="21" spans="1:7">
      <c r="A21" s="83">
        <v>2</v>
      </c>
      <c r="B21" s="74" t="s">
        <v>42</v>
      </c>
      <c r="C21" s="74"/>
      <c r="D21" s="74"/>
      <c r="E21" s="74"/>
      <c r="F21" s="74"/>
      <c r="G21" s="74"/>
    </row>
  </sheetData>
  <mergeCells count="2">
    <mergeCell ref="B20:G20"/>
    <mergeCell ref="B21:G2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rgb="FFFFFF00"/>
  </sheetPr>
  <dimension ref="A1:M24"/>
  <sheetViews>
    <sheetView zoomScale="115" zoomScaleNormal="115" workbookViewId="0">
      <selection activeCell="M12" sqref="M12"/>
    </sheetView>
  </sheetViews>
  <sheetFormatPr defaultColWidth="8.88888888888889" defaultRowHeight="14.4"/>
  <cols>
    <col min="1" max="1" width="11.8888888888889" style="16" customWidth="1"/>
    <col min="2" max="2" width="8.88888888888889" style="16"/>
    <col min="3" max="3" width="10.8148148148148" style="16" customWidth="1"/>
    <col min="4" max="4" width="9.66666666666667" customWidth="1"/>
    <col min="5" max="5" width="9.66666666666667" style="16" customWidth="1"/>
    <col min="6" max="6" width="9.66666666666667" customWidth="1"/>
    <col min="7" max="7" width="11.8888888888889" customWidth="1"/>
    <col min="8" max="11" width="8.88888888888889" style="16"/>
    <col min="12" max="12" width="11.8888888888889" style="16" customWidth="1"/>
    <col min="13" max="13" width="25.3148148148148" customWidth="1"/>
  </cols>
  <sheetData>
    <row r="1" ht="43.2" spans="1:13">
      <c r="A1" s="56" t="s">
        <v>43</v>
      </c>
      <c r="B1" s="56" t="s">
        <v>44</v>
      </c>
      <c r="C1" s="56" t="s">
        <v>9</v>
      </c>
      <c r="D1" s="56" t="s">
        <v>45</v>
      </c>
      <c r="E1" s="56" t="s">
        <v>46</v>
      </c>
      <c r="F1" s="101" t="s">
        <v>47</v>
      </c>
      <c r="G1" s="101" t="s">
        <v>48</v>
      </c>
      <c r="H1" s="56" t="s">
        <v>49</v>
      </c>
      <c r="I1" s="37" t="s">
        <v>50</v>
      </c>
      <c r="J1" s="37" t="s">
        <v>51</v>
      </c>
      <c r="K1" s="37" t="s">
        <v>52</v>
      </c>
      <c r="L1" s="101" t="s">
        <v>53</v>
      </c>
      <c r="M1" s="102" t="s">
        <v>54</v>
      </c>
    </row>
    <row r="2" spans="1:13">
      <c r="A2" s="88" t="s">
        <v>55</v>
      </c>
      <c r="B2" s="88" t="s">
        <v>56</v>
      </c>
      <c r="C2" s="31">
        <v>30000</v>
      </c>
      <c r="D2" s="80">
        <v>3000</v>
      </c>
      <c r="E2" s="31">
        <v>9000</v>
      </c>
      <c r="F2" s="103">
        <f>K2*300</f>
        <v>13500</v>
      </c>
      <c r="G2" s="104">
        <f>(E2+D2)/F2</f>
        <v>0.888888888888889</v>
      </c>
      <c r="H2" s="31">
        <v>60</v>
      </c>
      <c r="I2" s="105">
        <v>10</v>
      </c>
      <c r="J2" s="105">
        <v>30</v>
      </c>
      <c r="K2" s="37">
        <f>VLOOKUP($B2,大客户目标!$B:$C,2,0)</f>
        <v>45</v>
      </c>
      <c r="L2" s="101"/>
    </row>
    <row r="3" spans="1:13">
      <c r="A3" s="88" t="s">
        <v>55</v>
      </c>
      <c r="B3" s="88" t="s">
        <v>57</v>
      </c>
      <c r="C3" s="31"/>
      <c r="D3" s="80"/>
      <c r="E3" s="31"/>
      <c r="F3" s="103">
        <f t="shared" ref="F3:F24" si="0">K3*300</f>
        <v>4200</v>
      </c>
      <c r="G3" s="103"/>
      <c r="H3" s="31"/>
      <c r="I3" s="105"/>
      <c r="J3" s="105"/>
      <c r="K3" s="37">
        <f>VLOOKUP($B3,大客户目标!$B:$C,2,0)</f>
        <v>14</v>
      </c>
      <c r="L3" s="101"/>
    </row>
    <row r="4" spans="1:13">
      <c r="A4" s="88" t="s">
        <v>55</v>
      </c>
      <c r="B4" s="88" t="s">
        <v>58</v>
      </c>
      <c r="C4" s="31"/>
      <c r="D4" s="80"/>
      <c r="E4" s="31"/>
      <c r="F4" s="103">
        <f t="shared" si="0"/>
        <v>6000</v>
      </c>
      <c r="G4" s="103"/>
      <c r="H4" s="31"/>
      <c r="I4" s="105"/>
      <c r="J4" s="105"/>
      <c r="K4" s="37">
        <f>VLOOKUP($B4,大客户目标!$B:$C,2,0)</f>
        <v>20</v>
      </c>
      <c r="L4" s="101"/>
    </row>
    <row r="5" ht="18.15" customHeight="1" spans="1:13">
      <c r="A5" s="88" t="s">
        <v>55</v>
      </c>
      <c r="B5" s="88" t="s">
        <v>59</v>
      </c>
      <c r="C5" s="31"/>
      <c r="D5" s="80"/>
      <c r="E5" s="31"/>
      <c r="F5" s="103">
        <f t="shared" si="0"/>
        <v>9000</v>
      </c>
      <c r="G5" s="103"/>
      <c r="H5" s="31"/>
      <c r="I5" s="105"/>
      <c r="J5" s="105"/>
      <c r="K5" s="37">
        <f>VLOOKUP($B5,大客户目标!$B:$C,2,0)</f>
        <v>30</v>
      </c>
      <c r="L5" s="101"/>
    </row>
    <row r="6" spans="1:13">
      <c r="A6" s="88" t="s">
        <v>60</v>
      </c>
      <c r="B6" s="88" t="s">
        <v>61</v>
      </c>
      <c r="C6" s="31"/>
      <c r="D6" s="80"/>
      <c r="E6" s="31"/>
      <c r="F6" s="103">
        <f t="shared" si="0"/>
        <v>10500</v>
      </c>
      <c r="G6" s="103"/>
      <c r="H6" s="31"/>
      <c r="I6" s="105"/>
      <c r="J6" s="105"/>
      <c r="K6" s="37">
        <f>VLOOKUP($B6,大客户目标!$B:$C,2,0)</f>
        <v>35</v>
      </c>
      <c r="L6" s="101"/>
    </row>
    <row r="7" spans="1:13">
      <c r="A7" s="88" t="s">
        <v>60</v>
      </c>
      <c r="B7" s="88" t="s">
        <v>62</v>
      </c>
      <c r="C7" s="31"/>
      <c r="D7" s="80"/>
      <c r="E7" s="31"/>
      <c r="F7" s="103">
        <f t="shared" si="0"/>
        <v>3000</v>
      </c>
      <c r="G7" s="103"/>
      <c r="H7" s="31"/>
      <c r="I7" s="105"/>
      <c r="J7" s="105"/>
      <c r="K7" s="37">
        <f>VLOOKUP($B7,大客户目标!$B:$C,2,0)</f>
        <v>10</v>
      </c>
      <c r="L7" s="101"/>
    </row>
    <row r="8" ht="18.15" customHeight="1" spans="1:13">
      <c r="A8" s="88" t="s">
        <v>60</v>
      </c>
      <c r="B8" s="88" t="s">
        <v>63</v>
      </c>
      <c r="C8" s="31"/>
      <c r="D8" s="80"/>
      <c r="E8" s="31"/>
      <c r="F8" s="103">
        <f t="shared" si="0"/>
        <v>10200</v>
      </c>
      <c r="G8" s="103"/>
      <c r="H8" s="31"/>
      <c r="I8" s="105"/>
      <c r="J8" s="105"/>
      <c r="K8" s="37">
        <f>VLOOKUP($B8,大客户目标!$B:$C,2,0)</f>
        <v>34</v>
      </c>
      <c r="L8" s="101"/>
    </row>
    <row r="9" spans="1:13">
      <c r="A9" s="88" t="s">
        <v>64</v>
      </c>
      <c r="B9" s="88" t="s">
        <v>65</v>
      </c>
      <c r="C9" s="31"/>
      <c r="D9" s="80"/>
      <c r="E9" s="31"/>
      <c r="F9" s="103">
        <f t="shared" si="0"/>
        <v>10500</v>
      </c>
      <c r="G9" s="103"/>
      <c r="H9" s="31"/>
      <c r="I9" s="105"/>
      <c r="J9" s="105"/>
      <c r="K9" s="37">
        <f>VLOOKUP($B9,大客户目标!$B:$C,2,0)</f>
        <v>35</v>
      </c>
      <c r="L9" s="101"/>
    </row>
    <row r="10" spans="1:13">
      <c r="A10" s="88" t="s">
        <v>64</v>
      </c>
      <c r="B10" s="88" t="s">
        <v>66</v>
      </c>
      <c r="C10" s="31"/>
      <c r="D10" s="80"/>
      <c r="E10" s="31"/>
      <c r="F10" s="103">
        <f t="shared" si="0"/>
        <v>9000</v>
      </c>
      <c r="G10" s="103"/>
      <c r="H10" s="31"/>
      <c r="I10" s="105"/>
      <c r="J10" s="105"/>
      <c r="K10" s="37">
        <f>VLOOKUP($B10,大客户目标!$B:$C,2,0)</f>
        <v>30</v>
      </c>
      <c r="L10" s="101"/>
    </row>
    <row r="11" spans="1:13">
      <c r="A11" s="88" t="s">
        <v>64</v>
      </c>
      <c r="B11" s="88" t="s">
        <v>67</v>
      </c>
      <c r="C11" s="31"/>
      <c r="D11" s="80"/>
      <c r="E11" s="31"/>
      <c r="F11" s="103">
        <f t="shared" si="0"/>
        <v>8400</v>
      </c>
      <c r="G11" s="103"/>
      <c r="H11" s="31"/>
      <c r="I11" s="105"/>
      <c r="J11" s="105"/>
      <c r="K11" s="37">
        <f>VLOOKUP($B11,大客户目标!$B:$C,2,0)</f>
        <v>28</v>
      </c>
      <c r="L11" s="101"/>
    </row>
    <row r="12" spans="1:13">
      <c r="A12" s="88" t="s">
        <v>64</v>
      </c>
      <c r="B12" s="88" t="s">
        <v>68</v>
      </c>
      <c r="C12" s="31"/>
      <c r="D12" s="80"/>
      <c r="E12" s="31"/>
      <c r="F12" s="103">
        <f t="shared" si="0"/>
        <v>6000</v>
      </c>
      <c r="G12" s="103"/>
      <c r="H12" s="31"/>
      <c r="I12" s="105"/>
      <c r="J12" s="105"/>
      <c r="K12" s="37">
        <f>VLOOKUP($B12,大客户目标!$B:$C,2,0)</f>
        <v>20</v>
      </c>
      <c r="L12" s="101"/>
    </row>
    <row r="13" spans="1:13">
      <c r="A13" s="88" t="s">
        <v>64</v>
      </c>
      <c r="B13" s="88" t="s">
        <v>69</v>
      </c>
      <c r="C13" s="31"/>
      <c r="D13" s="80"/>
      <c r="E13" s="31"/>
      <c r="F13" s="103">
        <f t="shared" si="0"/>
        <v>2400</v>
      </c>
      <c r="G13" s="103"/>
      <c r="H13" s="31"/>
      <c r="I13" s="105"/>
      <c r="J13" s="105"/>
      <c r="K13" s="37">
        <f>VLOOKUP($B13,大客户目标!$B:$C,2,0)</f>
        <v>8</v>
      </c>
      <c r="L13" s="101"/>
    </row>
    <row r="14" spans="1:13">
      <c r="A14" s="88" t="s">
        <v>64</v>
      </c>
      <c r="B14" s="88" t="s">
        <v>70</v>
      </c>
      <c r="C14" s="31"/>
      <c r="D14" s="80"/>
      <c r="E14" s="31"/>
      <c r="F14" s="103">
        <f t="shared" si="0"/>
        <v>1500</v>
      </c>
      <c r="G14" s="103"/>
      <c r="H14" s="31"/>
      <c r="I14" s="105"/>
      <c r="J14" s="105"/>
      <c r="K14" s="37">
        <f>VLOOKUP($B14,大客户目标!$B:$C,2,0)</f>
        <v>5</v>
      </c>
      <c r="L14" s="101"/>
    </row>
    <row r="15" ht="18.15" customHeight="1" spans="1:13">
      <c r="A15" s="88" t="s">
        <v>64</v>
      </c>
      <c r="B15" s="88" t="s">
        <v>71</v>
      </c>
      <c r="C15" s="31"/>
      <c r="D15" s="80"/>
      <c r="E15" s="31"/>
      <c r="F15" s="103">
        <f t="shared" si="0"/>
        <v>4800</v>
      </c>
      <c r="G15" s="103"/>
      <c r="H15" s="31"/>
      <c r="I15" s="105"/>
      <c r="J15" s="105"/>
      <c r="K15" s="37">
        <f>VLOOKUP($B15,大客户目标!$B:$C,2,0)</f>
        <v>16</v>
      </c>
      <c r="L15" s="101"/>
    </row>
    <row r="16" spans="1:13">
      <c r="A16" s="88" t="s">
        <v>72</v>
      </c>
      <c r="B16" s="88" t="s">
        <v>73</v>
      </c>
      <c r="C16" s="31"/>
      <c r="D16" s="80"/>
      <c r="E16" s="31"/>
      <c r="F16" s="103">
        <f t="shared" si="0"/>
        <v>21000</v>
      </c>
      <c r="G16" s="103"/>
      <c r="H16" s="31"/>
      <c r="I16" s="105"/>
      <c r="J16" s="105"/>
      <c r="K16" s="37">
        <f>VLOOKUP($B16,大客户目标!$B:$C,2,0)</f>
        <v>70</v>
      </c>
      <c r="L16" s="101"/>
    </row>
    <row r="17" spans="1:12">
      <c r="A17" s="88" t="s">
        <v>72</v>
      </c>
      <c r="B17" s="88" t="s">
        <v>74</v>
      </c>
      <c r="C17" s="31"/>
      <c r="D17" s="80"/>
      <c r="E17" s="31"/>
      <c r="F17" s="103">
        <f t="shared" si="0"/>
        <v>9600</v>
      </c>
      <c r="G17" s="103"/>
      <c r="H17" s="31"/>
      <c r="I17" s="105"/>
      <c r="J17" s="105"/>
      <c r="K17" s="37">
        <f>VLOOKUP($B17,大客户目标!$B:$C,2,0)</f>
        <v>32</v>
      </c>
      <c r="L17" s="101"/>
    </row>
    <row r="18" spans="1:12">
      <c r="A18" s="88" t="s">
        <v>72</v>
      </c>
      <c r="B18" s="88" t="s">
        <v>75</v>
      </c>
      <c r="C18" s="31"/>
      <c r="D18" s="80"/>
      <c r="E18" s="31"/>
      <c r="F18" s="103">
        <f t="shared" si="0"/>
        <v>13500</v>
      </c>
      <c r="G18" s="103"/>
      <c r="H18" s="31"/>
      <c r="I18" s="105"/>
      <c r="J18" s="105"/>
      <c r="K18" s="37">
        <f>VLOOKUP($B18,大客户目标!$B:$C,2,0)</f>
        <v>45</v>
      </c>
      <c r="L18" s="101"/>
    </row>
    <row r="19" spans="1:12">
      <c r="A19" s="88" t="s">
        <v>72</v>
      </c>
      <c r="B19" s="88" t="s">
        <v>76</v>
      </c>
      <c r="C19" s="31"/>
      <c r="D19" s="80"/>
      <c r="E19" s="31"/>
      <c r="F19" s="103">
        <f t="shared" si="0"/>
        <v>7500</v>
      </c>
      <c r="G19" s="103"/>
      <c r="H19" s="31"/>
      <c r="I19" s="105"/>
      <c r="J19" s="105"/>
      <c r="K19" s="37">
        <f>VLOOKUP($B19,大客户目标!$B:$C,2,0)</f>
        <v>25</v>
      </c>
      <c r="L19" s="101"/>
    </row>
    <row r="20" spans="1:12">
      <c r="A20" s="88" t="s">
        <v>72</v>
      </c>
      <c r="B20" s="88" t="s">
        <v>77</v>
      </c>
      <c r="C20" s="31"/>
      <c r="D20" s="80"/>
      <c r="E20" s="31"/>
      <c r="F20" s="103">
        <f t="shared" si="0"/>
        <v>900</v>
      </c>
      <c r="G20" s="103"/>
      <c r="H20" s="31"/>
      <c r="I20" s="105"/>
      <c r="J20" s="105"/>
      <c r="K20" s="37">
        <f>VLOOKUP($B20,大客户目标!$B:$C,2,0)</f>
        <v>3</v>
      </c>
      <c r="L20" s="101"/>
    </row>
    <row r="21" spans="1:12">
      <c r="A21" s="88" t="s">
        <v>72</v>
      </c>
      <c r="B21" s="88" t="s">
        <v>78</v>
      </c>
      <c r="C21" s="31"/>
      <c r="D21" s="80"/>
      <c r="E21" s="31"/>
      <c r="F21" s="103">
        <f t="shared" si="0"/>
        <v>900</v>
      </c>
      <c r="G21" s="103"/>
      <c r="H21" s="31"/>
      <c r="I21" s="105"/>
      <c r="J21" s="105"/>
      <c r="K21" s="37">
        <f>VLOOKUP($B21,大客户目标!$B:$C,2,0)</f>
        <v>3</v>
      </c>
      <c r="L21" s="101"/>
    </row>
    <row r="22" spans="1:12">
      <c r="A22" s="88" t="s">
        <v>72</v>
      </c>
      <c r="B22" s="88" t="s">
        <v>79</v>
      </c>
      <c r="C22" s="31"/>
      <c r="D22" s="80"/>
      <c r="E22" s="31"/>
      <c r="F22" s="103">
        <f t="shared" si="0"/>
        <v>2100</v>
      </c>
      <c r="G22" s="103"/>
      <c r="H22" s="31"/>
      <c r="I22" s="105"/>
      <c r="J22" s="105"/>
      <c r="K22" s="37">
        <f>VLOOKUP($B22,大客户目标!$B:$C,2,0)</f>
        <v>7</v>
      </c>
      <c r="L22" s="101"/>
    </row>
    <row r="23" spans="1:12">
      <c r="A23" s="88" t="s">
        <v>72</v>
      </c>
      <c r="B23" s="88" t="s">
        <v>80</v>
      </c>
      <c r="C23" s="31"/>
      <c r="D23" s="80"/>
      <c r="E23" s="31"/>
      <c r="F23" s="103">
        <f t="shared" si="0"/>
        <v>3000</v>
      </c>
      <c r="G23" s="103"/>
      <c r="H23" s="31"/>
      <c r="I23" s="105"/>
      <c r="J23" s="105"/>
      <c r="K23" s="37">
        <f>VLOOKUP($B23,大客户目标!$B:$C,2,0)</f>
        <v>10</v>
      </c>
      <c r="L23" s="101"/>
    </row>
    <row r="24" spans="1:12">
      <c r="A24" s="88" t="s">
        <v>72</v>
      </c>
      <c r="B24" s="88" t="s">
        <v>81</v>
      </c>
      <c r="C24" s="31"/>
      <c r="D24" s="80"/>
      <c r="E24" s="31"/>
      <c r="F24" s="103">
        <f t="shared" si="0"/>
        <v>1500</v>
      </c>
      <c r="G24" s="103"/>
      <c r="H24" s="31"/>
      <c r="I24" s="105"/>
      <c r="J24" s="105"/>
      <c r="K24" s="37">
        <f>VLOOKUP($B24,大客户目标!$B:$C,2,0)</f>
        <v>5</v>
      </c>
      <c r="L24" s="101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C24"/>
  <sheetViews>
    <sheetView workbookViewId="0">
      <selection activeCell="B2" sqref="B2:B24"/>
    </sheetView>
  </sheetViews>
  <sheetFormatPr defaultColWidth="8.88888888888889" defaultRowHeight="14.4" outlineLevelCol="2"/>
  <sheetData>
    <row r="1" spans="1:3">
      <c r="A1" s="98" t="s">
        <v>82</v>
      </c>
      <c r="B1" s="98" t="s">
        <v>44</v>
      </c>
      <c r="C1" s="98" t="s">
        <v>83</v>
      </c>
    </row>
    <row r="2" customHeight="1" spans="1:3">
      <c r="A2" s="99" t="s">
        <v>55</v>
      </c>
      <c r="B2" s="99" t="s">
        <v>56</v>
      </c>
      <c r="C2" s="99">
        <v>45</v>
      </c>
    </row>
    <row r="3" spans="1:3">
      <c r="A3" s="99"/>
      <c r="B3" s="99" t="s">
        <v>59</v>
      </c>
      <c r="C3" s="99">
        <v>30</v>
      </c>
    </row>
    <row r="4" spans="1:3">
      <c r="A4" s="99"/>
      <c r="B4" s="99" t="s">
        <v>58</v>
      </c>
      <c r="C4" s="99">
        <v>20</v>
      </c>
    </row>
    <row r="5" spans="1:3">
      <c r="A5" s="99"/>
      <c r="B5" s="99" t="s">
        <v>57</v>
      </c>
      <c r="C5" s="99">
        <v>14</v>
      </c>
    </row>
    <row r="6" customHeight="1" spans="1:3">
      <c r="A6" s="99" t="s">
        <v>60</v>
      </c>
      <c r="B6" s="99" t="s">
        <v>62</v>
      </c>
      <c r="C6" s="99">
        <v>10</v>
      </c>
    </row>
    <row r="7" spans="1:3">
      <c r="A7" s="99"/>
      <c r="B7" s="99" t="s">
        <v>61</v>
      </c>
      <c r="C7" s="99">
        <v>35</v>
      </c>
    </row>
    <row r="8" spans="1:3">
      <c r="A8" s="99"/>
      <c r="B8" s="99" t="s">
        <v>63</v>
      </c>
      <c r="C8" s="99">
        <v>34</v>
      </c>
    </row>
    <row r="9" customHeight="1" spans="1:3">
      <c r="A9" s="100" t="s">
        <v>72</v>
      </c>
      <c r="B9" s="99" t="s">
        <v>73</v>
      </c>
      <c r="C9" s="99">
        <v>70</v>
      </c>
    </row>
    <row r="10" spans="1:3">
      <c r="A10" s="100"/>
      <c r="B10" s="99" t="s">
        <v>81</v>
      </c>
      <c r="C10" s="99">
        <v>5</v>
      </c>
    </row>
    <row r="11" spans="1:3">
      <c r="A11" s="100"/>
      <c r="B11" s="99" t="s">
        <v>74</v>
      </c>
      <c r="C11" s="99">
        <v>32</v>
      </c>
    </row>
    <row r="12" spans="1:3">
      <c r="A12" s="100"/>
      <c r="B12" s="99" t="s">
        <v>76</v>
      </c>
      <c r="C12" s="99">
        <v>25</v>
      </c>
    </row>
    <row r="13" spans="1:3">
      <c r="A13" s="100"/>
      <c r="B13" s="99" t="s">
        <v>75</v>
      </c>
      <c r="C13" s="99">
        <v>45</v>
      </c>
    </row>
    <row r="14" spans="1:3">
      <c r="A14" s="100"/>
      <c r="B14" s="99" t="s">
        <v>77</v>
      </c>
      <c r="C14" s="99">
        <v>3</v>
      </c>
    </row>
    <row r="15" spans="1:3">
      <c r="A15" s="100"/>
      <c r="B15" s="99" t="s">
        <v>79</v>
      </c>
      <c r="C15" s="99">
        <v>7</v>
      </c>
    </row>
    <row r="16" spans="1:3">
      <c r="A16" s="100"/>
      <c r="B16" s="99" t="s">
        <v>78</v>
      </c>
      <c r="C16" s="99">
        <v>3</v>
      </c>
    </row>
    <row r="17" spans="1:3">
      <c r="A17" s="100"/>
      <c r="B17" s="99" t="s">
        <v>80</v>
      </c>
      <c r="C17" s="99">
        <v>10</v>
      </c>
    </row>
    <row r="18" customHeight="1" spans="1:3">
      <c r="A18" s="99" t="s">
        <v>64</v>
      </c>
      <c r="B18" s="99" t="s">
        <v>67</v>
      </c>
      <c r="C18" s="99">
        <v>28</v>
      </c>
    </row>
    <row r="19" spans="1:3">
      <c r="A19" s="99"/>
      <c r="B19" s="99" t="s">
        <v>68</v>
      </c>
      <c r="C19" s="99">
        <v>20</v>
      </c>
    </row>
    <row r="20" spans="1:3">
      <c r="A20" s="99"/>
      <c r="B20" s="99" t="s">
        <v>71</v>
      </c>
      <c r="C20" s="99">
        <v>16</v>
      </c>
    </row>
    <row r="21" spans="1:3">
      <c r="A21" s="99"/>
      <c r="B21" s="99" t="s">
        <v>65</v>
      </c>
      <c r="C21" s="99">
        <v>35</v>
      </c>
    </row>
    <row r="22" spans="1:3">
      <c r="A22" s="99"/>
      <c r="B22" s="99" t="s">
        <v>66</v>
      </c>
      <c r="C22" s="99">
        <v>30</v>
      </c>
    </row>
    <row r="23" spans="1:3">
      <c r="A23" s="99"/>
      <c r="B23" s="99" t="s">
        <v>69</v>
      </c>
      <c r="C23" s="99">
        <v>8</v>
      </c>
    </row>
    <row r="24" spans="1:3">
      <c r="A24" s="99"/>
      <c r="B24" s="99" t="s">
        <v>70</v>
      </c>
      <c r="C24" s="99">
        <v>5</v>
      </c>
    </row>
  </sheetData>
  <mergeCells count="4">
    <mergeCell ref="A2:A5"/>
    <mergeCell ref="A6:A8"/>
    <mergeCell ref="A9:A17"/>
    <mergeCell ref="A18:A24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rgb="FFFFFF00"/>
  </sheetPr>
  <dimension ref="A1:Q33"/>
  <sheetViews>
    <sheetView workbookViewId="0">
      <selection activeCell="N19" sqref="N19"/>
    </sheetView>
  </sheetViews>
  <sheetFormatPr defaultColWidth="9" defaultRowHeight="14.4"/>
  <cols>
    <col min="1" max="1" width="9" style="16"/>
    <col min="2" max="2" width="14.1111111111111" style="16" customWidth="1"/>
    <col min="3" max="10" width="9" style="16"/>
  </cols>
  <sheetData>
    <row r="1" spans="1:17">
      <c r="A1" s="83"/>
      <c r="C1"/>
      <c r="D1"/>
      <c r="E1"/>
      <c r="F1"/>
      <c r="G1"/>
      <c r="H1"/>
      <c r="Q1" s="93"/>
    </row>
    <row r="2" spans="1:17">
      <c r="A2" s="94" t="s">
        <v>43</v>
      </c>
      <c r="B2" s="94" t="s">
        <v>44</v>
      </c>
      <c r="C2" s="94" t="s">
        <v>84</v>
      </c>
      <c r="D2" s="95" t="s">
        <v>9</v>
      </c>
      <c r="E2" s="95"/>
      <c r="F2" s="95"/>
      <c r="G2" s="95"/>
      <c r="H2" s="95" t="s">
        <v>85</v>
      </c>
      <c r="I2" s="95"/>
      <c r="J2" s="95"/>
      <c r="K2" s="95"/>
      <c r="L2" t="s">
        <v>86</v>
      </c>
    </row>
    <row r="3" spans="1:17">
      <c r="A3" s="94"/>
      <c r="B3" s="94"/>
      <c r="C3" s="94"/>
      <c r="D3" s="95" t="s">
        <v>87</v>
      </c>
      <c r="E3" s="95" t="s">
        <v>88</v>
      </c>
      <c r="F3" s="95" t="s">
        <v>24</v>
      </c>
      <c r="G3" s="95" t="s">
        <v>89</v>
      </c>
      <c r="H3" s="95" t="s">
        <v>87</v>
      </c>
      <c r="I3" s="95" t="s">
        <v>88</v>
      </c>
      <c r="J3" s="95" t="s">
        <v>24</v>
      </c>
      <c r="K3" s="95" t="s">
        <v>89</v>
      </c>
    </row>
    <row r="4" spans="1:17">
      <c r="A4" s="85" t="s">
        <v>55</v>
      </c>
      <c r="B4" s="96" t="s">
        <v>56</v>
      </c>
      <c r="C4" s="31" t="s">
        <v>90</v>
      </c>
      <c r="D4" s="31"/>
      <c r="E4" s="31"/>
      <c r="F4" s="31"/>
      <c r="G4" s="31"/>
      <c r="H4" s="31"/>
      <c r="I4" s="31"/>
      <c r="J4" s="31"/>
      <c r="K4" s="80"/>
    </row>
    <row r="5" spans="1:17">
      <c r="A5" s="86"/>
      <c r="B5" s="97"/>
      <c r="C5" s="31" t="s">
        <v>91</v>
      </c>
      <c r="D5" s="31"/>
      <c r="E5" s="31"/>
      <c r="F5" s="31"/>
      <c r="G5" s="31"/>
      <c r="H5" s="31"/>
      <c r="I5" s="31"/>
      <c r="J5" s="31"/>
      <c r="K5" s="80"/>
    </row>
    <row r="6" spans="1:17">
      <c r="A6" s="86"/>
      <c r="B6" s="97"/>
      <c r="C6" s="31" t="s">
        <v>92</v>
      </c>
      <c r="D6" s="31"/>
      <c r="E6" s="31"/>
      <c r="F6" s="31"/>
      <c r="G6" s="31"/>
      <c r="H6" s="31"/>
      <c r="I6" s="31"/>
      <c r="J6" s="31"/>
      <c r="K6" s="80"/>
    </row>
    <row r="7" spans="1:17">
      <c r="A7" s="86"/>
      <c r="B7" s="97"/>
      <c r="C7" s="31" t="s">
        <v>93</v>
      </c>
      <c r="D7" s="31"/>
      <c r="E7" s="31"/>
      <c r="F7" s="31"/>
      <c r="G7" s="31"/>
      <c r="H7" s="31"/>
      <c r="I7" s="31"/>
      <c r="J7" s="31"/>
      <c r="K7" s="80"/>
    </row>
    <row r="8" spans="1:17">
      <c r="A8" s="86"/>
      <c r="B8" s="85" t="s">
        <v>57</v>
      </c>
      <c r="C8" s="31" t="s">
        <v>90</v>
      </c>
      <c r="D8" s="31"/>
      <c r="E8" s="31"/>
      <c r="F8" s="31"/>
      <c r="G8" s="31"/>
      <c r="H8" s="31"/>
      <c r="I8" s="31"/>
      <c r="J8" s="31"/>
      <c r="K8" s="80"/>
    </row>
    <row r="9" spans="1:17">
      <c r="A9" s="86"/>
      <c r="B9" s="86"/>
      <c r="C9" s="31" t="s">
        <v>91</v>
      </c>
      <c r="D9" s="31"/>
      <c r="E9" s="31"/>
      <c r="F9" s="31"/>
      <c r="G9" s="31"/>
      <c r="H9" s="31"/>
      <c r="I9" s="31"/>
      <c r="J9" s="31"/>
      <c r="K9" s="80"/>
    </row>
    <row r="10" spans="1:17">
      <c r="A10" s="86"/>
      <c r="B10" s="86"/>
      <c r="C10" s="31" t="s">
        <v>92</v>
      </c>
      <c r="D10" s="31"/>
      <c r="E10" s="31"/>
      <c r="F10" s="31"/>
      <c r="G10" s="31"/>
      <c r="H10" s="31"/>
      <c r="I10" s="31"/>
      <c r="J10" s="31"/>
      <c r="K10" s="80"/>
    </row>
    <row r="11" spans="1:17">
      <c r="A11" s="86"/>
      <c r="B11" s="86"/>
      <c r="C11" s="31" t="s">
        <v>93</v>
      </c>
      <c r="D11" s="31"/>
      <c r="E11" s="31"/>
      <c r="F11" s="31"/>
      <c r="G11" s="31"/>
      <c r="H11" s="31"/>
      <c r="I11" s="31"/>
      <c r="J11" s="31"/>
      <c r="K11" s="80"/>
    </row>
    <row r="12" spans="1:17">
      <c r="A12" s="88" t="s">
        <v>55</v>
      </c>
      <c r="B12" s="88" t="s">
        <v>58</v>
      </c>
      <c r="C12" s="31" t="s">
        <v>94</v>
      </c>
      <c r="D12" s="31"/>
      <c r="E12" s="31"/>
      <c r="F12" s="31"/>
      <c r="G12" s="31"/>
      <c r="H12" s="31"/>
      <c r="I12" s="31"/>
      <c r="J12" s="31"/>
      <c r="K12" s="80"/>
    </row>
    <row r="13" spans="1:17">
      <c r="A13" s="88" t="s">
        <v>55</v>
      </c>
      <c r="B13" s="88" t="s">
        <v>59</v>
      </c>
      <c r="C13" s="31" t="s">
        <v>94</v>
      </c>
      <c r="D13" s="31"/>
      <c r="E13" s="31"/>
      <c r="F13" s="31"/>
      <c r="G13" s="31"/>
      <c r="H13" s="31"/>
      <c r="I13" s="31"/>
      <c r="J13" s="31"/>
      <c r="K13" s="80"/>
    </row>
    <row r="14" spans="1:17">
      <c r="A14" s="88" t="s">
        <v>60</v>
      </c>
      <c r="B14" s="88" t="s">
        <v>61</v>
      </c>
      <c r="C14" s="31" t="s">
        <v>94</v>
      </c>
      <c r="D14" s="31"/>
      <c r="E14" s="31"/>
      <c r="F14" s="31"/>
      <c r="G14" s="31"/>
      <c r="H14" s="31"/>
      <c r="I14" s="31"/>
      <c r="J14" s="31"/>
      <c r="K14" s="80"/>
    </row>
    <row r="15" spans="1:17">
      <c r="A15" s="88" t="s">
        <v>60</v>
      </c>
      <c r="B15" s="88" t="s">
        <v>62</v>
      </c>
      <c r="C15" s="31" t="s">
        <v>94</v>
      </c>
      <c r="D15" s="31"/>
      <c r="E15" s="31"/>
      <c r="F15" s="31"/>
      <c r="G15" s="31"/>
      <c r="H15" s="31"/>
      <c r="I15" s="31"/>
      <c r="J15" s="31"/>
      <c r="K15" s="80"/>
    </row>
    <row r="16" spans="1:17">
      <c r="A16" s="88" t="s">
        <v>60</v>
      </c>
      <c r="B16" s="88" t="s">
        <v>63</v>
      </c>
      <c r="C16" s="31" t="s">
        <v>94</v>
      </c>
      <c r="D16" s="31"/>
      <c r="E16" s="31"/>
      <c r="F16" s="31"/>
      <c r="G16" s="31"/>
      <c r="H16" s="31"/>
      <c r="I16" s="31"/>
      <c r="J16" s="31"/>
      <c r="K16" s="80"/>
    </row>
    <row r="17" spans="1:11">
      <c r="A17" s="88" t="s">
        <v>64</v>
      </c>
      <c r="B17" s="88" t="s">
        <v>65</v>
      </c>
      <c r="C17" s="31" t="s">
        <v>94</v>
      </c>
      <c r="D17" s="31"/>
      <c r="E17" s="31"/>
      <c r="F17" s="31"/>
      <c r="G17" s="31"/>
      <c r="H17" s="31"/>
      <c r="I17" s="31"/>
      <c r="J17" s="31"/>
      <c r="K17" s="80"/>
    </row>
    <row r="18" spans="1:11">
      <c r="A18" s="88" t="s">
        <v>64</v>
      </c>
      <c r="B18" s="88" t="s">
        <v>66</v>
      </c>
      <c r="C18" s="31" t="s">
        <v>94</v>
      </c>
      <c r="D18" s="31"/>
      <c r="E18" s="31"/>
      <c r="F18" s="31"/>
      <c r="G18" s="31"/>
      <c r="H18" s="31"/>
      <c r="I18" s="31"/>
      <c r="J18" s="31"/>
      <c r="K18" s="80"/>
    </row>
    <row r="19" spans="1:11">
      <c r="A19" s="88" t="s">
        <v>64</v>
      </c>
      <c r="B19" s="88" t="s">
        <v>67</v>
      </c>
      <c r="C19" s="31" t="s">
        <v>94</v>
      </c>
      <c r="D19" s="31"/>
      <c r="E19" s="31"/>
      <c r="F19" s="31"/>
      <c r="G19" s="31"/>
      <c r="H19" s="31"/>
      <c r="I19" s="31"/>
      <c r="J19" s="31"/>
      <c r="K19" s="80"/>
    </row>
    <row r="20" spans="1:11">
      <c r="A20" s="88" t="s">
        <v>64</v>
      </c>
      <c r="B20" s="88" t="s">
        <v>68</v>
      </c>
      <c r="C20" s="31" t="s">
        <v>94</v>
      </c>
      <c r="D20" s="31"/>
      <c r="E20" s="31"/>
      <c r="F20" s="31"/>
      <c r="G20" s="31"/>
      <c r="H20" s="31"/>
      <c r="I20" s="31"/>
      <c r="J20" s="31"/>
      <c r="K20" s="80"/>
    </row>
    <row r="21" spans="1:11">
      <c r="A21" s="88" t="s">
        <v>64</v>
      </c>
      <c r="B21" s="88" t="s">
        <v>70</v>
      </c>
      <c r="C21" s="31" t="s">
        <v>94</v>
      </c>
      <c r="D21" s="31"/>
      <c r="E21" s="31"/>
      <c r="F21" s="31"/>
      <c r="G21" s="31"/>
      <c r="H21" s="31"/>
      <c r="I21" s="31"/>
      <c r="J21" s="31"/>
      <c r="K21" s="80"/>
    </row>
    <row r="22" spans="1:11">
      <c r="A22" s="88" t="s">
        <v>64</v>
      </c>
      <c r="B22" s="88" t="s">
        <v>71</v>
      </c>
      <c r="C22" s="31" t="s">
        <v>94</v>
      </c>
      <c r="D22" s="31"/>
      <c r="E22" s="31"/>
      <c r="F22" s="31"/>
      <c r="G22" s="31"/>
      <c r="H22" s="31"/>
      <c r="I22" s="31"/>
      <c r="J22" s="31"/>
      <c r="K22" s="80"/>
    </row>
    <row r="23" spans="1:11">
      <c r="A23" s="88" t="s">
        <v>72</v>
      </c>
      <c r="B23" s="88" t="s">
        <v>73</v>
      </c>
      <c r="C23" s="31" t="s">
        <v>94</v>
      </c>
      <c r="D23" s="31"/>
      <c r="E23" s="31"/>
      <c r="F23" s="31"/>
      <c r="G23" s="31"/>
      <c r="H23" s="31"/>
      <c r="I23" s="31"/>
      <c r="J23" s="31"/>
      <c r="K23" s="80"/>
    </row>
    <row r="24" spans="1:11">
      <c r="A24" s="88" t="s">
        <v>72</v>
      </c>
      <c r="B24" s="88" t="s">
        <v>74</v>
      </c>
      <c r="C24" s="31" t="s">
        <v>94</v>
      </c>
      <c r="D24" s="31"/>
      <c r="E24" s="31"/>
      <c r="F24" s="31"/>
      <c r="G24" s="31"/>
      <c r="H24" s="31"/>
      <c r="I24" s="31"/>
      <c r="J24" s="31"/>
      <c r="K24" s="80"/>
    </row>
    <row r="25" spans="1:11">
      <c r="A25" s="88" t="s">
        <v>72</v>
      </c>
      <c r="B25" s="88" t="s">
        <v>75</v>
      </c>
      <c r="C25" s="31" t="s">
        <v>94</v>
      </c>
      <c r="D25" s="31"/>
      <c r="E25" s="31"/>
      <c r="F25" s="31"/>
      <c r="G25" s="31"/>
      <c r="H25" s="31"/>
      <c r="I25" s="31"/>
      <c r="J25" s="31"/>
      <c r="K25" s="80"/>
    </row>
    <row r="26" spans="1:11">
      <c r="A26" s="88" t="s">
        <v>72</v>
      </c>
      <c r="B26" s="88" t="s">
        <v>76</v>
      </c>
      <c r="C26" s="31" t="s">
        <v>94</v>
      </c>
      <c r="D26" s="31"/>
      <c r="E26" s="31"/>
      <c r="F26" s="31"/>
      <c r="G26" s="31"/>
      <c r="H26" s="31"/>
      <c r="I26" s="31"/>
      <c r="J26" s="31"/>
      <c r="K26" s="80"/>
    </row>
    <row r="27" spans="1:11">
      <c r="A27" s="88" t="s">
        <v>72</v>
      </c>
      <c r="B27" s="88" t="s">
        <v>77</v>
      </c>
      <c r="C27" s="31" t="s">
        <v>94</v>
      </c>
      <c r="D27" s="31"/>
      <c r="E27" s="31"/>
      <c r="F27" s="31"/>
      <c r="G27" s="31"/>
      <c r="H27" s="31"/>
      <c r="I27" s="31"/>
      <c r="J27" s="31"/>
      <c r="K27" s="80"/>
    </row>
    <row r="28" spans="1:11">
      <c r="A28" s="88" t="s">
        <v>72</v>
      </c>
      <c r="B28" s="88" t="s">
        <v>78</v>
      </c>
      <c r="C28" s="31" t="s">
        <v>94</v>
      </c>
      <c r="D28" s="31"/>
      <c r="E28" s="31"/>
      <c r="F28" s="31"/>
      <c r="G28" s="31"/>
      <c r="H28" s="31"/>
      <c r="I28" s="31"/>
      <c r="J28" s="31"/>
      <c r="K28" s="80"/>
    </row>
    <row r="29" spans="1:11">
      <c r="A29" s="88" t="s">
        <v>72</v>
      </c>
      <c r="B29" s="88" t="s">
        <v>79</v>
      </c>
      <c r="C29" s="31" t="s">
        <v>94</v>
      </c>
      <c r="D29" s="31"/>
      <c r="E29" s="31"/>
      <c r="F29" s="31"/>
      <c r="G29" s="31"/>
      <c r="H29" s="31"/>
      <c r="I29" s="31"/>
      <c r="J29" s="31"/>
      <c r="K29" s="80"/>
    </row>
    <row r="30" spans="1:11">
      <c r="A30" s="88" t="s">
        <v>72</v>
      </c>
      <c r="B30" s="88" t="s">
        <v>95</v>
      </c>
      <c r="C30" s="31" t="s">
        <v>94</v>
      </c>
      <c r="D30" s="31"/>
      <c r="E30" s="31"/>
      <c r="F30" s="31"/>
      <c r="G30" s="31"/>
      <c r="H30" s="31"/>
      <c r="I30" s="31"/>
      <c r="J30" s="31"/>
      <c r="K30" s="80"/>
    </row>
    <row r="31" spans="1:11">
      <c r="A31" s="88" t="s">
        <v>96</v>
      </c>
      <c r="B31" s="88" t="s">
        <v>97</v>
      </c>
      <c r="C31" s="31" t="s">
        <v>94</v>
      </c>
      <c r="D31" s="31"/>
      <c r="E31" s="31"/>
      <c r="F31" s="31"/>
      <c r="G31" s="31"/>
      <c r="H31" s="31"/>
      <c r="I31" s="31"/>
      <c r="J31" s="31"/>
      <c r="K31" s="80"/>
    </row>
    <row r="32" spans="1:11">
      <c r="A32" s="88" t="s">
        <v>96</v>
      </c>
      <c r="B32" s="88" t="s">
        <v>98</v>
      </c>
      <c r="C32" s="31" t="s">
        <v>94</v>
      </c>
      <c r="D32" s="31"/>
      <c r="E32" s="31"/>
      <c r="F32" s="31"/>
      <c r="G32" s="31"/>
      <c r="H32" s="31"/>
      <c r="I32" s="31"/>
      <c r="J32" s="31"/>
      <c r="K32" s="80"/>
    </row>
    <row r="33" spans="1:11">
      <c r="A33" s="88" t="s">
        <v>96</v>
      </c>
      <c r="B33" s="88" t="s">
        <v>99</v>
      </c>
      <c r="C33" s="31" t="s">
        <v>94</v>
      </c>
      <c r="D33" s="31"/>
      <c r="E33" s="31"/>
      <c r="F33" s="31"/>
      <c r="G33" s="31"/>
      <c r="H33" s="31"/>
      <c r="I33" s="31"/>
      <c r="J33" s="31"/>
      <c r="K33" s="80"/>
    </row>
  </sheetData>
  <mergeCells count="8">
    <mergeCell ref="D2:G2"/>
    <mergeCell ref="H2:K2"/>
    <mergeCell ref="A2:A3"/>
    <mergeCell ref="A4:A11"/>
    <mergeCell ref="B2:B3"/>
    <mergeCell ref="B4:B7"/>
    <mergeCell ref="B8:B11"/>
    <mergeCell ref="C2:C3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O32"/>
  <sheetViews>
    <sheetView workbookViewId="0">
      <selection activeCell="B18" sqref="B3:B18"/>
    </sheetView>
  </sheetViews>
  <sheetFormatPr defaultColWidth="9" defaultRowHeight="14.4"/>
  <cols>
    <col min="1" max="1" width="14.1111111111111" customWidth="1"/>
    <col min="2" max="2" width="18.6666666666667" customWidth="1"/>
    <col min="15" max="15" width="14.1111111111111"/>
  </cols>
  <sheetData>
    <row r="1" spans="1:10">
      <c r="A1" s="56" t="s">
        <v>100</v>
      </c>
      <c r="B1" s="56" t="s">
        <v>101</v>
      </c>
      <c r="C1" s="56" t="s">
        <v>9</v>
      </c>
      <c r="D1" s="56"/>
      <c r="E1" s="56"/>
      <c r="F1" s="56"/>
      <c r="G1" s="56" t="s">
        <v>85</v>
      </c>
      <c r="H1" s="56"/>
      <c r="I1" s="56"/>
      <c r="J1" s="56"/>
    </row>
    <row r="2" spans="1:10">
      <c r="A2" s="56"/>
      <c r="B2" s="56"/>
      <c r="C2" s="56" t="s">
        <v>87</v>
      </c>
      <c r="D2" s="56" t="s">
        <v>88</v>
      </c>
      <c r="E2" s="56" t="s">
        <v>24</v>
      </c>
      <c r="F2" s="56" t="s">
        <v>89</v>
      </c>
      <c r="G2" s="56" t="s">
        <v>87</v>
      </c>
      <c r="H2" s="56" t="s">
        <v>88</v>
      </c>
      <c r="I2" s="56" t="s">
        <v>24</v>
      </c>
      <c r="J2" s="56" t="s">
        <v>89</v>
      </c>
    </row>
    <row r="3" spans="1:10">
      <c r="A3" s="31" t="s">
        <v>102</v>
      </c>
      <c r="B3" s="79" t="s">
        <v>103</v>
      </c>
      <c r="C3" s="31"/>
      <c r="D3" s="31"/>
      <c r="E3" s="31"/>
      <c r="F3" s="31"/>
      <c r="G3" s="31"/>
      <c r="H3" s="31"/>
      <c r="I3" s="31"/>
      <c r="J3" s="31"/>
    </row>
    <row r="4" spans="1:10">
      <c r="A4" s="31" t="s">
        <v>102</v>
      </c>
      <c r="B4" s="79" t="s">
        <v>104</v>
      </c>
      <c r="C4" s="31"/>
      <c r="D4" s="31"/>
      <c r="E4" s="31"/>
      <c r="F4" s="31"/>
      <c r="G4" s="31"/>
      <c r="H4" s="31"/>
      <c r="I4" s="31"/>
      <c r="J4" s="31"/>
    </row>
    <row r="5" spans="1:10">
      <c r="A5" s="31" t="s">
        <v>102</v>
      </c>
      <c r="B5" s="79" t="s">
        <v>105</v>
      </c>
      <c r="C5" s="31"/>
      <c r="D5" s="31"/>
      <c r="E5" s="31"/>
      <c r="F5" s="31"/>
      <c r="G5" s="31"/>
      <c r="H5" s="31"/>
      <c r="I5" s="31"/>
      <c r="J5" s="31"/>
    </row>
    <row r="6" spans="1:10">
      <c r="A6" s="31" t="s">
        <v>102</v>
      </c>
      <c r="B6" s="79" t="s">
        <v>106</v>
      </c>
      <c r="C6" s="31"/>
      <c r="D6" s="31"/>
      <c r="E6" s="31"/>
      <c r="F6" s="31"/>
      <c r="G6" s="31"/>
      <c r="H6" s="31"/>
      <c r="I6" s="31"/>
      <c r="J6" s="31"/>
    </row>
    <row r="7" spans="1:10">
      <c r="A7" s="31" t="s">
        <v>102</v>
      </c>
      <c r="B7" s="79" t="s">
        <v>107</v>
      </c>
      <c r="C7" s="31"/>
      <c r="D7" s="31"/>
      <c r="E7" s="31"/>
      <c r="F7" s="31"/>
      <c r="G7" s="31"/>
      <c r="H7" s="31"/>
      <c r="I7" s="31"/>
      <c r="J7" s="31"/>
    </row>
    <row r="8" spans="1:10">
      <c r="A8" s="31" t="s">
        <v>102</v>
      </c>
      <c r="B8" s="79" t="s">
        <v>108</v>
      </c>
      <c r="C8" s="31"/>
      <c r="D8" s="31"/>
      <c r="E8" s="31"/>
      <c r="F8" s="31"/>
      <c r="G8" s="31"/>
      <c r="H8" s="31"/>
      <c r="I8" s="31"/>
      <c r="J8" s="31"/>
    </row>
    <row r="9" spans="1:10">
      <c r="A9" s="31" t="s">
        <v>102</v>
      </c>
      <c r="B9" s="79" t="s">
        <v>109</v>
      </c>
      <c r="C9" s="31"/>
      <c r="D9" s="31"/>
      <c r="E9" s="31"/>
      <c r="F9" s="31"/>
      <c r="G9" s="31"/>
      <c r="H9" s="31"/>
      <c r="I9" s="31"/>
      <c r="J9" s="31"/>
    </row>
    <row r="10" spans="1:10">
      <c r="A10" s="31" t="s">
        <v>102</v>
      </c>
      <c r="B10" s="79" t="s">
        <v>110</v>
      </c>
      <c r="C10" s="31"/>
      <c r="D10" s="31"/>
      <c r="E10" s="31"/>
      <c r="F10" s="31"/>
      <c r="G10" s="31"/>
      <c r="H10" s="31"/>
      <c r="I10" s="31"/>
      <c r="J10" s="31"/>
    </row>
    <row r="11" spans="1:10">
      <c r="A11" s="31" t="s">
        <v>102</v>
      </c>
      <c r="B11" s="79" t="s">
        <v>111</v>
      </c>
      <c r="C11" s="31"/>
      <c r="D11" s="31"/>
      <c r="E11" s="31"/>
      <c r="F11" s="31"/>
      <c r="G11" s="31"/>
      <c r="H11" s="31"/>
      <c r="I11" s="31"/>
      <c r="J11" s="31"/>
    </row>
    <row r="12" spans="1:10">
      <c r="A12" s="31" t="s">
        <v>102</v>
      </c>
      <c r="B12" s="79" t="s">
        <v>112</v>
      </c>
      <c r="C12" s="80"/>
      <c r="D12" s="80"/>
      <c r="E12" s="80"/>
      <c r="F12" s="80"/>
      <c r="G12" s="80"/>
      <c r="H12" s="80"/>
      <c r="I12" s="80"/>
      <c r="J12" s="80"/>
    </row>
    <row r="13" spans="1:10">
      <c r="A13" s="31" t="s">
        <v>102</v>
      </c>
      <c r="B13" s="79" t="s">
        <v>113</v>
      </c>
      <c r="C13" s="80"/>
      <c r="D13" s="80"/>
      <c r="E13" s="80"/>
      <c r="F13" s="80"/>
      <c r="G13" s="80"/>
      <c r="H13" s="80"/>
      <c r="I13" s="80"/>
      <c r="J13" s="80"/>
    </row>
    <row r="14" spans="1:10">
      <c r="A14" s="31" t="s">
        <v>102</v>
      </c>
      <c r="B14" s="79" t="s">
        <v>114</v>
      </c>
      <c r="C14" s="80"/>
      <c r="D14" s="80"/>
      <c r="E14" s="80"/>
      <c r="F14" s="80"/>
      <c r="G14" s="80"/>
      <c r="H14" s="80"/>
      <c r="I14" s="80"/>
      <c r="J14" s="80"/>
    </row>
    <row r="15" spans="1:10">
      <c r="A15" s="31" t="s">
        <v>102</v>
      </c>
      <c r="B15" s="79" t="s">
        <v>115</v>
      </c>
      <c r="C15" s="80"/>
      <c r="D15" s="80"/>
      <c r="E15" s="80"/>
      <c r="F15" s="80"/>
      <c r="G15" s="80"/>
      <c r="H15" s="80"/>
      <c r="I15" s="80"/>
      <c r="J15" s="80"/>
    </row>
    <row r="16" spans="1:10">
      <c r="A16" s="31" t="s">
        <v>102</v>
      </c>
      <c r="B16" s="79" t="s">
        <v>116</v>
      </c>
      <c r="C16" s="80"/>
      <c r="D16" s="80"/>
      <c r="E16" s="80"/>
      <c r="F16" s="80"/>
      <c r="G16" s="80"/>
      <c r="H16" s="80"/>
      <c r="I16" s="80"/>
      <c r="J16" s="80"/>
    </row>
    <row r="17" spans="1:15">
      <c r="A17" s="31" t="s">
        <v>102</v>
      </c>
      <c r="B17" s="79" t="s">
        <v>117</v>
      </c>
      <c r="C17" s="80"/>
      <c r="D17" s="80"/>
      <c r="E17" s="80"/>
      <c r="F17" s="80"/>
      <c r="G17" s="80"/>
      <c r="H17" s="80"/>
      <c r="I17" s="80"/>
      <c r="J17" s="80"/>
    </row>
    <row r="18" spans="1:15">
      <c r="A18" s="31" t="s">
        <v>102</v>
      </c>
      <c r="B18" s="79" t="s">
        <v>118</v>
      </c>
      <c r="C18" s="80"/>
      <c r="D18" s="80"/>
      <c r="E18" s="80"/>
      <c r="F18" s="80"/>
      <c r="G18" s="80"/>
      <c r="H18" s="80"/>
      <c r="I18" s="80"/>
      <c r="J18" s="80"/>
    </row>
    <row r="19" spans="1:15">
      <c r="A19" s="31" t="s">
        <v>119</v>
      </c>
      <c r="B19" s="79" t="s">
        <v>120</v>
      </c>
      <c r="C19" s="80"/>
      <c r="D19" s="80"/>
      <c r="E19" s="80"/>
      <c r="F19" s="80"/>
      <c r="G19" s="80"/>
      <c r="H19" s="80"/>
      <c r="I19" s="80"/>
      <c r="J19" s="80"/>
    </row>
    <row r="20" spans="1:15">
      <c r="A20" s="31" t="s">
        <v>119</v>
      </c>
      <c r="B20" s="79" t="s">
        <v>121</v>
      </c>
      <c r="C20" s="80"/>
      <c r="D20" s="80"/>
      <c r="E20" s="80"/>
      <c r="F20" s="80"/>
      <c r="G20" s="80"/>
      <c r="H20" s="80"/>
      <c r="I20" s="80"/>
      <c r="J20" s="80"/>
    </row>
    <row r="21" spans="1:15">
      <c r="A21" s="31" t="s">
        <v>119</v>
      </c>
      <c r="B21" s="79" t="s">
        <v>122</v>
      </c>
      <c r="C21" s="80"/>
      <c r="D21" s="80"/>
      <c r="E21" s="80"/>
      <c r="F21" s="80"/>
      <c r="G21" s="80"/>
      <c r="H21" s="80"/>
      <c r="I21" s="80"/>
      <c r="J21" s="80"/>
    </row>
    <row r="22" spans="1:15">
      <c r="A22" s="31" t="s">
        <v>119</v>
      </c>
      <c r="B22" s="79" t="s">
        <v>123</v>
      </c>
      <c r="C22" s="80"/>
      <c r="D22" s="80"/>
      <c r="E22" s="80"/>
      <c r="F22" s="80"/>
      <c r="G22" s="80"/>
      <c r="H22" s="80"/>
      <c r="I22" s="80"/>
      <c r="J22" s="80"/>
    </row>
    <row r="23" spans="1:15">
      <c r="A23" s="31" t="s">
        <v>119</v>
      </c>
      <c r="B23" s="79" t="s">
        <v>124</v>
      </c>
      <c r="C23" s="80"/>
      <c r="D23" s="80"/>
      <c r="E23" s="80"/>
      <c r="F23" s="80"/>
      <c r="G23" s="80"/>
      <c r="H23" s="80"/>
      <c r="I23" s="80"/>
      <c r="J23" s="80"/>
    </row>
    <row r="24" spans="1:15">
      <c r="A24" s="91" t="s">
        <v>125</v>
      </c>
      <c r="B24" s="79"/>
      <c r="C24" s="80"/>
      <c r="D24" s="80"/>
      <c r="E24" s="80"/>
      <c r="F24" s="80"/>
      <c r="G24" s="80"/>
      <c r="H24" s="80"/>
      <c r="I24" s="80"/>
      <c r="J24" s="80"/>
    </row>
    <row r="25" spans="1:15">
      <c r="A25" s="91" t="s">
        <v>126</v>
      </c>
      <c r="B25" s="80"/>
      <c r="C25" s="80"/>
      <c r="D25" s="80"/>
      <c r="E25" s="80"/>
      <c r="F25" s="80"/>
      <c r="G25" s="80"/>
      <c r="H25" s="80"/>
      <c r="I25" s="80"/>
      <c r="J25" s="80"/>
    </row>
    <row r="26" spans="1:15">
      <c r="A26" s="91" t="s">
        <v>127</v>
      </c>
      <c r="B26" s="80"/>
      <c r="C26" s="80"/>
      <c r="D26" s="80"/>
      <c r="E26" s="80"/>
      <c r="F26" s="80"/>
      <c r="G26" s="80"/>
      <c r="H26" s="80"/>
      <c r="I26" s="80"/>
      <c r="J26" s="80"/>
    </row>
    <row r="27" spans="1:15">
      <c r="A27" s="91" t="s">
        <v>128</v>
      </c>
      <c r="B27" s="80"/>
      <c r="C27" s="80"/>
      <c r="D27" s="80"/>
      <c r="E27" s="80"/>
      <c r="F27" s="80"/>
      <c r="G27" s="80"/>
      <c r="H27" s="80"/>
      <c r="I27" s="80"/>
      <c r="J27" s="80"/>
    </row>
    <row r="28" spans="1:15">
      <c r="A28" s="91" t="s">
        <v>129</v>
      </c>
      <c r="B28" s="80"/>
      <c r="C28" s="80"/>
      <c r="D28" s="80"/>
      <c r="E28" s="80"/>
      <c r="F28" s="80"/>
      <c r="G28" s="80"/>
      <c r="H28" s="80"/>
      <c r="I28" s="80"/>
      <c r="J28" s="80"/>
    </row>
    <row r="29" spans="1:15">
      <c r="A29" s="91" t="s">
        <v>130</v>
      </c>
      <c r="B29" s="80"/>
      <c r="C29" s="80"/>
      <c r="D29" s="80"/>
      <c r="E29" s="80"/>
      <c r="F29" s="80"/>
      <c r="G29" s="80"/>
      <c r="H29" s="80"/>
      <c r="I29" s="80"/>
      <c r="J29" s="80"/>
    </row>
    <row r="30" spans="1:15">
      <c r="A30" s="91" t="s">
        <v>131</v>
      </c>
      <c r="B30" s="80"/>
      <c r="C30" s="80"/>
      <c r="D30" s="80"/>
      <c r="E30" s="80"/>
      <c r="F30" s="80"/>
      <c r="G30" s="80"/>
      <c r="H30" s="80"/>
      <c r="I30" s="80"/>
      <c r="J30" s="80"/>
    </row>
    <row r="32" spans="1:15">
      <c r="O32" s="92"/>
    </row>
  </sheetData>
  <mergeCells count="4">
    <mergeCell ref="C1:F1"/>
    <mergeCell ref="G1:J1"/>
    <mergeCell ref="A1:A2"/>
    <mergeCell ref="B1:B2"/>
  </mergeCell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tabColor rgb="FFFFFF00"/>
  </sheetPr>
  <dimension ref="A1:K64"/>
  <sheetViews>
    <sheetView topLeftCell="A31" workbookViewId="0">
      <selection activeCell="I53" sqref="I53"/>
    </sheetView>
  </sheetViews>
  <sheetFormatPr defaultColWidth="8.88888888888889" defaultRowHeight="14.4"/>
  <cols>
    <col min="1" max="1" width="20.8611111111111" customWidth="1"/>
    <col min="2" max="2" width="11.8888888888889" style="16" customWidth="1"/>
    <col min="3" max="4" width="17.2222222222222" style="16" customWidth="1"/>
    <col min="5" max="6" width="19.6666666666667" style="16" customWidth="1"/>
    <col min="7" max="7" width="20.1574074074074" style="16" customWidth="1"/>
    <col min="8" max="8" width="19.2037037037037" style="16" customWidth="1"/>
    <col min="9" max="9" width="18.6666666666667" style="16" customWidth="1"/>
    <col min="10" max="10" width="19.6666666666667" customWidth="1"/>
  </cols>
  <sheetData>
    <row r="1" spans="1:11">
      <c r="A1" s="75" t="s">
        <v>132</v>
      </c>
      <c r="C1" s="73"/>
      <c r="D1" s="73"/>
      <c r="E1" s="73"/>
      <c r="F1" s="73"/>
      <c r="G1" s="84"/>
    </row>
    <row r="2" spans="1:11">
      <c r="B2" s="76" t="s">
        <v>43</v>
      </c>
      <c r="C2" s="76" t="s">
        <v>44</v>
      </c>
      <c r="D2" s="76" t="s">
        <v>84</v>
      </c>
      <c r="E2" s="30" t="s">
        <v>133</v>
      </c>
      <c r="F2" s="30" t="s">
        <v>134</v>
      </c>
      <c r="G2" s="30" t="s">
        <v>135</v>
      </c>
      <c r="H2" s="30" t="s">
        <v>136</v>
      </c>
      <c r="I2" s="30" t="s">
        <v>137</v>
      </c>
      <c r="J2" s="30" t="s">
        <v>138</v>
      </c>
      <c r="K2" t="s">
        <v>139</v>
      </c>
    </row>
    <row r="3" spans="1:11">
      <c r="B3" s="85" t="s">
        <v>55</v>
      </c>
      <c r="C3" s="77" t="s">
        <v>56</v>
      </c>
      <c r="D3" s="31" t="s">
        <v>90</v>
      </c>
      <c r="E3" s="31"/>
      <c r="F3" s="31"/>
      <c r="G3" s="31"/>
      <c r="H3" s="31"/>
      <c r="I3" s="31"/>
      <c r="J3" s="31"/>
    </row>
    <row r="4" spans="1:11">
      <c r="B4" s="86"/>
      <c r="C4" s="77"/>
      <c r="D4" s="31" t="s">
        <v>91</v>
      </c>
      <c r="E4" s="31"/>
      <c r="F4" s="31"/>
      <c r="G4" s="31"/>
      <c r="H4" s="31"/>
      <c r="I4" s="31"/>
      <c r="J4" s="31"/>
    </row>
    <row r="5" spans="1:11">
      <c r="B5" s="86"/>
      <c r="C5" s="77"/>
      <c r="D5" s="31" t="s">
        <v>92</v>
      </c>
      <c r="E5" s="31"/>
      <c r="F5" s="31"/>
      <c r="G5" s="31"/>
      <c r="H5" s="31"/>
      <c r="I5" s="31"/>
      <c r="J5" s="31"/>
    </row>
    <row r="6" spans="1:11">
      <c r="B6" s="86"/>
      <c r="C6" s="77"/>
      <c r="D6" s="31" t="s">
        <v>93</v>
      </c>
      <c r="E6" s="31"/>
      <c r="F6" s="31"/>
      <c r="G6" s="31"/>
      <c r="H6" s="31"/>
      <c r="I6" s="31"/>
      <c r="J6" s="31"/>
    </row>
    <row r="7" spans="1:11">
      <c r="B7" s="86"/>
      <c r="C7" s="85" t="s">
        <v>57</v>
      </c>
      <c r="D7" s="31" t="s">
        <v>90</v>
      </c>
      <c r="E7" s="31"/>
      <c r="F7" s="31"/>
      <c r="G7" s="31"/>
      <c r="H7" s="31"/>
      <c r="I7" s="31"/>
      <c r="J7" s="31"/>
    </row>
    <row r="8" spans="1:11">
      <c r="B8" s="86"/>
      <c r="C8" s="86"/>
      <c r="D8" s="31" t="s">
        <v>91</v>
      </c>
      <c r="E8" s="31"/>
      <c r="F8" s="31"/>
      <c r="G8" s="31"/>
      <c r="H8" s="31"/>
      <c r="I8" s="31"/>
      <c r="J8" s="31"/>
    </row>
    <row r="9" spans="1:11">
      <c r="B9" s="86"/>
      <c r="C9" s="86"/>
      <c r="D9" s="31" t="s">
        <v>92</v>
      </c>
      <c r="E9" s="31"/>
      <c r="F9" s="31"/>
      <c r="G9" s="31"/>
      <c r="H9" s="31"/>
      <c r="I9" s="31"/>
      <c r="J9" s="31"/>
    </row>
    <row r="10" spans="1:11">
      <c r="B10" s="87"/>
      <c r="C10" s="87"/>
      <c r="D10" s="31" t="s">
        <v>93</v>
      </c>
      <c r="E10" s="31"/>
      <c r="F10" s="31"/>
      <c r="G10" s="31"/>
      <c r="H10" s="31"/>
      <c r="I10" s="31"/>
      <c r="J10" s="31"/>
    </row>
    <row r="11" spans="1:11">
      <c r="B11" s="88" t="s">
        <v>55</v>
      </c>
      <c r="C11" s="88" t="s">
        <v>58</v>
      </c>
      <c r="D11" s="31" t="s">
        <v>94</v>
      </c>
      <c r="E11" s="31"/>
      <c r="F11" s="31"/>
      <c r="G11" s="31"/>
      <c r="H11" s="31"/>
      <c r="I11" s="31"/>
      <c r="J11" s="31"/>
    </row>
    <row r="12" spans="1:11">
      <c r="B12" s="88" t="s">
        <v>55</v>
      </c>
      <c r="C12" s="88" t="s">
        <v>59</v>
      </c>
      <c r="D12" s="31" t="s">
        <v>94</v>
      </c>
      <c r="E12" s="31"/>
      <c r="F12" s="31"/>
      <c r="G12" s="31"/>
      <c r="H12" s="31"/>
      <c r="I12" s="31"/>
      <c r="J12" s="31"/>
    </row>
    <row r="13" spans="1:11">
      <c r="B13" s="88" t="s">
        <v>60</v>
      </c>
      <c r="C13" s="88" t="s">
        <v>61</v>
      </c>
      <c r="D13" s="31" t="s">
        <v>94</v>
      </c>
      <c r="E13" s="31"/>
      <c r="F13" s="31"/>
      <c r="G13" s="31"/>
      <c r="H13" s="31"/>
      <c r="I13" s="31"/>
      <c r="J13" s="31"/>
    </row>
    <row r="14" spans="1:11">
      <c r="B14" s="88" t="s">
        <v>60</v>
      </c>
      <c r="C14" s="88" t="s">
        <v>62</v>
      </c>
      <c r="D14" s="31" t="s">
        <v>94</v>
      </c>
      <c r="E14" s="31"/>
      <c r="F14" s="31"/>
      <c r="G14" s="31"/>
      <c r="H14" s="31"/>
      <c r="I14" s="31"/>
      <c r="J14" s="31"/>
    </row>
    <row r="15" spans="1:11">
      <c r="B15" s="88" t="s">
        <v>60</v>
      </c>
      <c r="C15" s="88" t="s">
        <v>63</v>
      </c>
      <c r="D15" s="31" t="s">
        <v>94</v>
      </c>
      <c r="E15" s="31"/>
      <c r="F15" s="31"/>
      <c r="G15" s="31"/>
      <c r="H15" s="31"/>
      <c r="I15" s="31"/>
      <c r="J15" s="31"/>
    </row>
    <row r="16" spans="1:11">
      <c r="B16" s="88" t="s">
        <v>64</v>
      </c>
      <c r="C16" s="88" t="s">
        <v>65</v>
      </c>
      <c r="D16" s="31" t="s">
        <v>94</v>
      </c>
      <c r="E16" s="31"/>
      <c r="F16" s="31"/>
      <c r="G16" s="31"/>
      <c r="H16" s="31"/>
      <c r="I16" s="31"/>
      <c r="J16" s="31"/>
    </row>
    <row r="17" spans="2:10">
      <c r="B17" s="88" t="s">
        <v>64</v>
      </c>
      <c r="C17" s="88" t="s">
        <v>66</v>
      </c>
      <c r="D17" s="31" t="s">
        <v>94</v>
      </c>
      <c r="E17" s="31"/>
      <c r="F17" s="31"/>
      <c r="G17" s="31"/>
      <c r="H17" s="31"/>
      <c r="I17" s="31"/>
      <c r="J17" s="31"/>
    </row>
    <row r="18" spans="2:10">
      <c r="B18" s="88" t="s">
        <v>64</v>
      </c>
      <c r="C18" s="88" t="s">
        <v>67</v>
      </c>
      <c r="D18" s="31" t="s">
        <v>94</v>
      </c>
      <c r="E18" s="31"/>
      <c r="F18" s="31"/>
      <c r="G18" s="31"/>
      <c r="H18" s="31"/>
      <c r="I18" s="31"/>
      <c r="J18" s="31"/>
    </row>
    <row r="19" spans="2:10">
      <c r="B19" s="88" t="s">
        <v>64</v>
      </c>
      <c r="C19" s="88" t="s">
        <v>68</v>
      </c>
      <c r="D19" s="31" t="s">
        <v>94</v>
      </c>
      <c r="E19" s="31"/>
      <c r="F19" s="31"/>
      <c r="G19" s="31"/>
      <c r="H19" s="31"/>
      <c r="I19" s="31"/>
      <c r="J19" s="31"/>
    </row>
    <row r="20" spans="2:10">
      <c r="B20" s="88" t="s">
        <v>64</v>
      </c>
      <c r="C20" s="88" t="s">
        <v>70</v>
      </c>
      <c r="D20" s="31" t="s">
        <v>94</v>
      </c>
      <c r="E20" s="31"/>
      <c r="F20" s="31"/>
      <c r="G20" s="31"/>
      <c r="H20" s="31"/>
      <c r="I20" s="31"/>
      <c r="J20" s="31"/>
    </row>
    <row r="21" spans="2:10">
      <c r="B21" s="88" t="s">
        <v>64</v>
      </c>
      <c r="C21" s="88" t="s">
        <v>71</v>
      </c>
      <c r="D21" s="31" t="s">
        <v>94</v>
      </c>
      <c r="E21" s="31"/>
      <c r="F21" s="31"/>
      <c r="G21" s="31"/>
      <c r="H21" s="31"/>
      <c r="I21" s="31"/>
      <c r="J21" s="31"/>
    </row>
    <row r="22" spans="2:10">
      <c r="B22" s="88" t="s">
        <v>72</v>
      </c>
      <c r="C22" s="88" t="s">
        <v>73</v>
      </c>
      <c r="D22" s="31" t="s">
        <v>94</v>
      </c>
      <c r="E22" s="31"/>
      <c r="F22" s="31"/>
      <c r="G22" s="31"/>
      <c r="H22" s="31"/>
      <c r="I22" s="31"/>
      <c r="J22" s="31"/>
    </row>
    <row r="23" spans="2:10">
      <c r="B23" s="88" t="s">
        <v>72</v>
      </c>
      <c r="C23" s="88" t="s">
        <v>74</v>
      </c>
      <c r="D23" s="31" t="s">
        <v>94</v>
      </c>
      <c r="E23" s="31"/>
      <c r="F23" s="31"/>
      <c r="G23" s="31"/>
      <c r="H23" s="31"/>
      <c r="I23" s="31"/>
      <c r="J23" s="31"/>
    </row>
    <row r="24" spans="2:10">
      <c r="B24" s="88" t="s">
        <v>72</v>
      </c>
      <c r="C24" s="88" t="s">
        <v>75</v>
      </c>
      <c r="D24" s="31" t="s">
        <v>94</v>
      </c>
      <c r="E24" s="31"/>
      <c r="F24" s="31"/>
      <c r="G24" s="31"/>
      <c r="H24" s="31"/>
      <c r="I24" s="31"/>
      <c r="J24" s="31"/>
    </row>
    <row r="25" spans="2:10">
      <c r="B25" s="88" t="s">
        <v>72</v>
      </c>
      <c r="C25" s="88" t="s">
        <v>76</v>
      </c>
      <c r="D25" s="31" t="s">
        <v>94</v>
      </c>
      <c r="E25" s="31"/>
      <c r="F25" s="31"/>
      <c r="G25" s="31"/>
      <c r="H25" s="31"/>
      <c r="I25" s="31"/>
      <c r="J25" s="31"/>
    </row>
    <row r="26" spans="2:10">
      <c r="B26" s="88" t="s">
        <v>72</v>
      </c>
      <c r="C26" s="88" t="s">
        <v>77</v>
      </c>
      <c r="D26" s="31" t="s">
        <v>94</v>
      </c>
      <c r="E26" s="31"/>
      <c r="F26" s="31"/>
      <c r="G26" s="31"/>
      <c r="H26" s="31"/>
      <c r="I26" s="31"/>
      <c r="J26" s="31"/>
    </row>
    <row r="27" spans="2:10">
      <c r="B27" s="88" t="s">
        <v>72</v>
      </c>
      <c r="C27" s="88" t="s">
        <v>78</v>
      </c>
      <c r="D27" s="31" t="s">
        <v>94</v>
      </c>
      <c r="E27" s="31"/>
      <c r="F27" s="31"/>
      <c r="G27" s="31"/>
      <c r="H27" s="31"/>
      <c r="I27" s="31"/>
      <c r="J27" s="31"/>
    </row>
    <row r="28" spans="2:10">
      <c r="B28" s="88" t="s">
        <v>72</v>
      </c>
      <c r="C28" s="88" t="s">
        <v>79</v>
      </c>
      <c r="D28" s="31" t="s">
        <v>94</v>
      </c>
      <c r="E28" s="31"/>
      <c r="F28" s="31"/>
      <c r="G28" s="31"/>
      <c r="H28" s="31"/>
      <c r="I28" s="31"/>
      <c r="J28" s="31"/>
    </row>
    <row r="29" spans="2:10">
      <c r="B29" s="88" t="s">
        <v>72</v>
      </c>
      <c r="C29" s="88" t="s">
        <v>95</v>
      </c>
      <c r="D29" s="31" t="s">
        <v>94</v>
      </c>
      <c r="E29" s="31"/>
      <c r="F29" s="31"/>
      <c r="G29" s="31"/>
      <c r="H29" s="31"/>
      <c r="I29" s="31"/>
      <c r="J29" s="31"/>
    </row>
    <row r="30" spans="2:10">
      <c r="B30" s="88" t="s">
        <v>96</v>
      </c>
      <c r="C30" s="88" t="s">
        <v>97</v>
      </c>
      <c r="D30" s="31" t="s">
        <v>94</v>
      </c>
      <c r="E30" s="31"/>
      <c r="F30" s="31"/>
      <c r="G30" s="31"/>
      <c r="H30" s="31"/>
      <c r="I30" s="31"/>
      <c r="J30" s="31"/>
    </row>
    <row r="31" spans="2:10">
      <c r="B31" s="88" t="s">
        <v>96</v>
      </c>
      <c r="C31" s="88" t="s">
        <v>98</v>
      </c>
      <c r="D31" s="31" t="s">
        <v>94</v>
      </c>
      <c r="E31" s="31"/>
      <c r="F31" s="31"/>
      <c r="G31" s="31"/>
      <c r="H31" s="31"/>
      <c r="I31" s="31"/>
      <c r="J31" s="31"/>
    </row>
    <row r="32" spans="2:10">
      <c r="B32" s="88" t="s">
        <v>96</v>
      </c>
      <c r="C32" s="88" t="s">
        <v>99</v>
      </c>
      <c r="D32" s="31" t="s">
        <v>94</v>
      </c>
      <c r="E32" s="31"/>
      <c r="F32" s="31"/>
      <c r="G32" s="31"/>
      <c r="H32" s="31"/>
      <c r="I32" s="31"/>
      <c r="J32" s="31"/>
    </row>
    <row r="33" spans="1:11">
      <c r="A33" s="75" t="s">
        <v>140</v>
      </c>
      <c r="I33"/>
    </row>
    <row r="34" spans="1:11">
      <c r="B34" s="76" t="s">
        <v>43</v>
      </c>
      <c r="C34" s="76" t="s">
        <v>44</v>
      </c>
      <c r="D34" s="76" t="s">
        <v>84</v>
      </c>
      <c r="E34" s="30" t="s">
        <v>133</v>
      </c>
      <c r="F34" s="30" t="s">
        <v>141</v>
      </c>
      <c r="G34" s="30" t="s">
        <v>135</v>
      </c>
      <c r="H34" s="30" t="s">
        <v>136</v>
      </c>
      <c r="I34" s="30" t="s">
        <v>137</v>
      </c>
      <c r="J34" s="30" t="s">
        <v>138</v>
      </c>
      <c r="K34" t="s">
        <v>142</v>
      </c>
    </row>
    <row r="35" customFormat="1" spans="1:11">
      <c r="B35" s="85" t="s">
        <v>55</v>
      </c>
      <c r="C35" s="77" t="s">
        <v>56</v>
      </c>
      <c r="D35" s="31" t="s">
        <v>90</v>
      </c>
      <c r="E35" s="48"/>
      <c r="F35" s="48"/>
      <c r="G35" s="31"/>
      <c r="H35" s="31"/>
      <c r="I35" s="31"/>
      <c r="J35" s="31"/>
    </row>
    <row r="36" customFormat="1" spans="1:11">
      <c r="B36" s="86"/>
      <c r="C36" s="77"/>
      <c r="D36" s="31" t="s">
        <v>91</v>
      </c>
      <c r="E36" s="31"/>
      <c r="F36" s="31"/>
      <c r="G36" s="31"/>
      <c r="H36" s="31"/>
      <c r="I36" s="31"/>
      <c r="J36" s="31"/>
    </row>
    <row r="37" customFormat="1" spans="1:11">
      <c r="B37" s="86"/>
      <c r="C37" s="77"/>
      <c r="D37" s="31" t="s">
        <v>92</v>
      </c>
      <c r="E37" s="31"/>
      <c r="F37" s="31"/>
      <c r="G37" s="31"/>
      <c r="H37" s="31"/>
      <c r="I37" s="31"/>
      <c r="J37" s="31"/>
    </row>
    <row r="38" customFormat="1" spans="1:11">
      <c r="B38" s="86"/>
      <c r="C38" s="77"/>
      <c r="D38" s="31" t="s">
        <v>93</v>
      </c>
      <c r="E38" s="31"/>
      <c r="F38" s="31"/>
      <c r="G38" s="31"/>
      <c r="H38" s="31"/>
      <c r="I38" s="31"/>
      <c r="J38" s="31"/>
    </row>
    <row r="39" customFormat="1" spans="1:11">
      <c r="B39" s="86"/>
      <c r="C39" s="85" t="s">
        <v>57</v>
      </c>
      <c r="D39" s="31" t="s">
        <v>90</v>
      </c>
      <c r="E39" s="31"/>
      <c r="F39" s="31"/>
      <c r="G39" s="31"/>
      <c r="H39" s="31"/>
      <c r="I39" s="31"/>
      <c r="J39" s="31"/>
    </row>
    <row r="40" customFormat="1" spans="1:11">
      <c r="B40" s="86"/>
      <c r="C40" s="86"/>
      <c r="D40" s="31" t="s">
        <v>91</v>
      </c>
      <c r="E40" s="31"/>
      <c r="F40" s="31"/>
      <c r="G40" s="31"/>
      <c r="H40" s="31"/>
      <c r="I40" s="31"/>
      <c r="J40" s="31"/>
    </row>
    <row r="41" customFormat="1" spans="1:11">
      <c r="B41" s="86"/>
      <c r="C41" s="86"/>
      <c r="D41" s="31" t="s">
        <v>92</v>
      </c>
      <c r="E41" s="31"/>
      <c r="F41" s="31"/>
      <c r="G41" s="31"/>
      <c r="H41" s="31"/>
      <c r="I41" s="31"/>
      <c r="J41" s="31"/>
    </row>
    <row r="42" customFormat="1" spans="1:11">
      <c r="B42" s="87"/>
      <c r="C42" s="87"/>
      <c r="D42" s="31" t="s">
        <v>93</v>
      </c>
      <c r="E42" s="31"/>
      <c r="F42" s="31"/>
      <c r="G42" s="31"/>
      <c r="H42" s="31"/>
      <c r="I42" s="31"/>
      <c r="J42" s="31"/>
    </row>
    <row r="43" spans="1:11">
      <c r="A43" s="89"/>
      <c r="B43" s="31"/>
      <c r="C43" s="31"/>
      <c r="D43" s="31"/>
      <c r="E43" s="31"/>
      <c r="F43" s="31"/>
      <c r="G43" s="31"/>
      <c r="H43" s="31"/>
      <c r="I43" s="31"/>
      <c r="J43" s="80"/>
    </row>
    <row r="44" spans="1:11">
      <c r="A44" s="89"/>
      <c r="B44" s="31"/>
      <c r="C44" s="31"/>
      <c r="D44" s="31"/>
      <c r="E44" s="31"/>
      <c r="F44" s="31"/>
      <c r="G44" s="31"/>
      <c r="H44" s="31"/>
      <c r="I44" s="31"/>
      <c r="J44" s="80"/>
    </row>
    <row r="45" spans="1:11">
      <c r="A45" s="89"/>
      <c r="B45" s="31"/>
      <c r="C45" s="31"/>
      <c r="D45" s="31"/>
      <c r="E45" s="31"/>
      <c r="F45" s="31"/>
      <c r="G45" s="31"/>
      <c r="H45" s="31"/>
      <c r="I45" s="31"/>
      <c r="J45" s="80"/>
    </row>
    <row r="46" spans="1:11">
      <c r="A46" s="89"/>
      <c r="B46" s="31"/>
      <c r="C46" s="31"/>
      <c r="D46" s="31"/>
      <c r="E46" s="31"/>
      <c r="F46" s="31"/>
      <c r="G46" s="31"/>
      <c r="H46" s="31"/>
      <c r="I46" s="31"/>
      <c r="J46" s="80"/>
    </row>
    <row r="47" spans="1:11">
      <c r="A47" s="75" t="s">
        <v>143</v>
      </c>
    </row>
    <row r="48" spans="1:11">
      <c r="B48" s="30" t="s">
        <v>43</v>
      </c>
      <c r="C48" s="30" t="s">
        <v>44</v>
      </c>
      <c r="D48" s="30" t="s">
        <v>84</v>
      </c>
      <c r="E48" s="30" t="s">
        <v>100</v>
      </c>
      <c r="F48" s="30" t="s">
        <v>144</v>
      </c>
      <c r="G48" s="30" t="s">
        <v>145</v>
      </c>
      <c r="H48" s="30" t="s">
        <v>135</v>
      </c>
      <c r="I48" t="s">
        <v>146</v>
      </c>
    </row>
    <row r="49" spans="1:9">
      <c r="B49" s="85" t="s">
        <v>55</v>
      </c>
      <c r="C49" s="85" t="s">
        <v>56</v>
      </c>
      <c r="D49" s="78" t="s">
        <v>90</v>
      </c>
      <c r="E49" s="90" t="s">
        <v>102</v>
      </c>
      <c r="F49" s="31"/>
      <c r="G49" s="31"/>
      <c r="H49" s="31"/>
      <c r="I49"/>
    </row>
    <row r="50" spans="1:9">
      <c r="B50" s="86"/>
      <c r="C50" s="86"/>
      <c r="D50" s="81"/>
      <c r="E50" s="90" t="s">
        <v>119</v>
      </c>
      <c r="F50" s="31"/>
      <c r="G50" s="31"/>
      <c r="H50" s="31"/>
      <c r="I50"/>
    </row>
    <row r="51" spans="1:9">
      <c r="B51" s="86"/>
      <c r="C51" s="86"/>
      <c r="D51" s="82"/>
      <c r="E51" s="90" t="s">
        <v>147</v>
      </c>
      <c r="F51" s="31"/>
      <c r="G51" s="31"/>
      <c r="H51" s="31"/>
      <c r="I51"/>
    </row>
    <row r="52" spans="1:9">
      <c r="B52" s="86"/>
      <c r="C52" s="86"/>
      <c r="D52" s="78" t="s">
        <v>91</v>
      </c>
      <c r="E52" s="90" t="s">
        <v>125</v>
      </c>
      <c r="F52" s="31"/>
      <c r="G52" s="31"/>
      <c r="H52" s="31"/>
      <c r="I52"/>
    </row>
    <row r="53" spans="1:9">
      <c r="B53" s="86"/>
      <c r="C53" s="86"/>
      <c r="D53" s="82"/>
      <c r="E53" s="90" t="s">
        <v>126</v>
      </c>
      <c r="F53" s="31"/>
      <c r="G53" s="31"/>
      <c r="H53" s="31"/>
      <c r="I53"/>
    </row>
    <row r="54" spans="1:9">
      <c r="B54" s="86"/>
      <c r="C54" s="86"/>
      <c r="D54" s="31" t="s">
        <v>92</v>
      </c>
      <c r="E54" s="90" t="s">
        <v>92</v>
      </c>
      <c r="F54" s="31"/>
      <c r="G54" s="31"/>
      <c r="H54" s="31"/>
      <c r="I54"/>
    </row>
    <row r="55" spans="1:9">
      <c r="B55" s="86"/>
      <c r="C55" s="86"/>
      <c r="D55" s="78" t="s">
        <v>93</v>
      </c>
      <c r="E55" s="90" t="s">
        <v>128</v>
      </c>
      <c r="F55" s="31"/>
      <c r="G55" s="31"/>
      <c r="H55" s="31"/>
      <c r="I55"/>
    </row>
    <row r="56" spans="1:9">
      <c r="B56" s="86"/>
      <c r="C56" s="86"/>
      <c r="D56" s="81"/>
      <c r="E56" s="90" t="s">
        <v>129</v>
      </c>
      <c r="F56" s="31"/>
      <c r="G56" s="31"/>
      <c r="H56" s="31"/>
      <c r="I56"/>
    </row>
    <row r="57" spans="1:9">
      <c r="B57" s="86"/>
      <c r="C57" s="86"/>
      <c r="D57" s="81"/>
      <c r="E57" s="90" t="s">
        <v>130</v>
      </c>
      <c r="F57" s="31"/>
      <c r="G57" s="31"/>
      <c r="H57" s="31"/>
    </row>
    <row r="58" spans="1:9">
      <c r="B58" s="87"/>
      <c r="C58" s="87"/>
      <c r="D58" s="82"/>
      <c r="E58" s="90" t="s">
        <v>131</v>
      </c>
      <c r="F58" s="31"/>
      <c r="G58" s="31"/>
      <c r="H58" s="31"/>
    </row>
    <row r="59" spans="1:9">
      <c r="B59" s="31"/>
      <c r="C59" s="31"/>
      <c r="D59" s="31"/>
      <c r="E59" s="31"/>
      <c r="F59" s="31"/>
      <c r="G59" s="31"/>
      <c r="H59" s="31"/>
    </row>
    <row r="60" spans="1:9">
      <c r="B60" s="31"/>
      <c r="C60" s="31"/>
      <c r="D60" s="31"/>
      <c r="E60" s="31"/>
      <c r="F60" s="31"/>
      <c r="G60" s="31"/>
      <c r="H60" s="31"/>
    </row>
    <row r="61" spans="1:9">
      <c r="B61" s="31"/>
      <c r="C61" s="31"/>
      <c r="D61" s="31"/>
      <c r="E61" s="31"/>
      <c r="F61" s="31"/>
      <c r="G61" s="31"/>
      <c r="H61" s="31"/>
    </row>
    <row r="62" spans="1:9">
      <c r="B62" s="31"/>
      <c r="C62" s="31"/>
      <c r="D62" s="31"/>
      <c r="E62" s="31"/>
      <c r="F62" s="31"/>
      <c r="G62" s="31"/>
      <c r="H62" s="31"/>
    </row>
    <row r="64" spans="1:9">
      <c r="A64" s="83" t="s">
        <v>148</v>
      </c>
    </row>
  </sheetData>
  <mergeCells count="11">
    <mergeCell ref="B3:B10"/>
    <mergeCell ref="B35:B42"/>
    <mergeCell ref="B49:B58"/>
    <mergeCell ref="C3:C6"/>
    <mergeCell ref="C7:C10"/>
    <mergeCell ref="C35:C38"/>
    <mergeCell ref="C39:C42"/>
    <mergeCell ref="C49:C58"/>
    <mergeCell ref="D49:D51"/>
    <mergeCell ref="D52:D53"/>
    <mergeCell ref="D55:D58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>
    <tabColor rgb="FFFFFF00"/>
  </sheetPr>
  <dimension ref="A1:J19"/>
  <sheetViews>
    <sheetView tabSelected="1" zoomScale="115" zoomScaleNormal="115" workbookViewId="0">
      <selection activeCell="G24" sqref="G24"/>
    </sheetView>
  </sheetViews>
  <sheetFormatPr defaultColWidth="8.88888888888889" defaultRowHeight="14.4"/>
  <cols>
    <col min="1" max="1" width="20.8611111111111" customWidth="1"/>
    <col min="2" max="2" width="11.8888888888889" style="16" customWidth="1"/>
    <col min="3" max="4" width="17.2222222222222" style="16" customWidth="1"/>
    <col min="5" max="6" width="19.6666666666667" style="16" customWidth="1"/>
    <col min="7" max="7" width="20.1574074074074" style="16" customWidth="1"/>
    <col min="8" max="8" width="19.2037037037037" style="16" customWidth="1"/>
    <col min="9" max="9" width="18.6666666666667" style="16" customWidth="1"/>
    <col min="10" max="10" width="19.6666666666667" customWidth="1"/>
  </cols>
  <sheetData>
    <row r="1" spans="1:10">
      <c r="A1" s="75" t="s">
        <v>143</v>
      </c>
    </row>
    <row r="2" spans="1:10">
      <c r="B2" s="30" t="s">
        <v>43</v>
      </c>
      <c r="C2" s="30" t="s">
        <v>44</v>
      </c>
      <c r="D2" s="76" t="s">
        <v>84</v>
      </c>
      <c r="E2" s="30" t="s">
        <v>100</v>
      </c>
      <c r="F2" s="30" t="s">
        <v>101</v>
      </c>
      <c r="G2" s="30" t="s">
        <v>144</v>
      </c>
      <c r="H2" s="30" t="s">
        <v>145</v>
      </c>
      <c r="I2" s="30" t="s">
        <v>135</v>
      </c>
      <c r="J2" t="s">
        <v>146</v>
      </c>
    </row>
    <row r="3" spans="1:10">
      <c r="B3" s="77" t="s">
        <v>55</v>
      </c>
      <c r="C3" s="77" t="s">
        <v>56</v>
      </c>
      <c r="D3" s="78" t="s">
        <v>90</v>
      </c>
      <c r="E3" s="78" t="s">
        <v>102</v>
      </c>
      <c r="F3" s="79" t="s">
        <v>103</v>
      </c>
      <c r="G3" s="31"/>
      <c r="H3" s="31"/>
      <c r="I3" s="80"/>
    </row>
    <row r="4" spans="1:10">
      <c r="B4" s="77"/>
      <c r="C4" s="77"/>
      <c r="D4" s="81"/>
      <c r="E4" s="81"/>
      <c r="F4" s="79" t="s">
        <v>104</v>
      </c>
      <c r="G4" s="31"/>
      <c r="H4" s="31"/>
      <c r="I4" s="80"/>
    </row>
    <row r="5" spans="1:10">
      <c r="B5" s="77"/>
      <c r="C5" s="77"/>
      <c r="D5" s="81"/>
      <c r="E5" s="81"/>
      <c r="F5" s="79" t="s">
        <v>105</v>
      </c>
      <c r="G5" s="31"/>
      <c r="H5" s="31"/>
      <c r="I5" s="80"/>
    </row>
    <row r="6" spans="1:10">
      <c r="B6" s="77"/>
      <c r="C6" s="77"/>
      <c r="D6" s="81"/>
      <c r="E6" s="81"/>
      <c r="F6" s="79" t="s">
        <v>106</v>
      </c>
      <c r="G6" s="31"/>
      <c r="H6" s="31"/>
      <c r="I6" s="80"/>
    </row>
    <row r="7" spans="1:10">
      <c r="B7" s="77"/>
      <c r="C7" s="77"/>
      <c r="D7" s="81"/>
      <c r="E7" s="81"/>
      <c r="F7" s="79" t="s">
        <v>107</v>
      </c>
      <c r="G7" s="31"/>
      <c r="H7" s="31"/>
      <c r="I7" s="80"/>
    </row>
    <row r="8" spans="1:10">
      <c r="B8" s="77"/>
      <c r="C8" s="77"/>
      <c r="D8" s="81"/>
      <c r="E8" s="81"/>
      <c r="F8" s="79" t="s">
        <v>108</v>
      </c>
      <c r="G8" s="31"/>
      <c r="H8" s="31"/>
      <c r="I8" s="80"/>
    </row>
    <row r="9" spans="1:10">
      <c r="B9" s="77"/>
      <c r="C9" s="77"/>
      <c r="D9" s="81"/>
      <c r="E9" s="81"/>
      <c r="F9" s="79" t="s">
        <v>109</v>
      </c>
      <c r="G9" s="31"/>
      <c r="H9" s="31"/>
      <c r="I9" s="80"/>
    </row>
    <row r="10" spans="1:10">
      <c r="B10" s="77"/>
      <c r="C10" s="77"/>
      <c r="D10" s="81"/>
      <c r="E10" s="81"/>
      <c r="F10" s="79" t="s">
        <v>110</v>
      </c>
      <c r="G10" s="31"/>
      <c r="H10" s="31"/>
      <c r="I10" s="80"/>
    </row>
    <row r="11" spans="1:10">
      <c r="B11" s="77"/>
      <c r="C11" s="77"/>
      <c r="D11" s="81"/>
      <c r="E11" s="81"/>
      <c r="F11" s="79" t="s">
        <v>111</v>
      </c>
      <c r="G11" s="31"/>
      <c r="H11" s="31"/>
      <c r="I11" s="31"/>
    </row>
    <row r="12" spans="1:10">
      <c r="B12" s="77"/>
      <c r="C12" s="77"/>
      <c r="D12" s="81"/>
      <c r="E12" s="81"/>
      <c r="F12" s="79" t="s">
        <v>112</v>
      </c>
      <c r="G12" s="31"/>
      <c r="H12" s="31"/>
      <c r="I12" s="31"/>
    </row>
    <row r="13" spans="1:10">
      <c r="B13" s="77"/>
      <c r="C13" s="77"/>
      <c r="D13" s="81"/>
      <c r="E13" s="81"/>
      <c r="F13" s="79" t="s">
        <v>113</v>
      </c>
      <c r="G13" s="31"/>
      <c r="H13" s="31"/>
      <c r="I13" s="31"/>
    </row>
    <row r="14" spans="1:10">
      <c r="B14" s="77"/>
      <c r="C14" s="77"/>
      <c r="D14" s="81"/>
      <c r="E14" s="81"/>
      <c r="F14" s="79" t="s">
        <v>114</v>
      </c>
      <c r="G14" s="31"/>
      <c r="H14" s="31"/>
      <c r="I14" s="31"/>
    </row>
    <row r="15" spans="1:10">
      <c r="B15" s="77"/>
      <c r="C15" s="77"/>
      <c r="D15" s="81"/>
      <c r="E15" s="81"/>
      <c r="F15" s="79" t="s">
        <v>115</v>
      </c>
      <c r="G15" s="31"/>
      <c r="H15" s="31"/>
      <c r="I15" s="31"/>
    </row>
    <row r="16" spans="1:10">
      <c r="B16" s="77"/>
      <c r="C16" s="77"/>
      <c r="D16" s="81"/>
      <c r="E16" s="81"/>
      <c r="F16" s="79" t="s">
        <v>116</v>
      </c>
      <c r="G16" s="31"/>
      <c r="H16" s="31"/>
      <c r="I16" s="31"/>
    </row>
    <row r="17" spans="1:9">
      <c r="B17" s="77"/>
      <c r="C17" s="77"/>
      <c r="D17" s="81"/>
      <c r="E17" s="81"/>
      <c r="F17" s="79" t="s">
        <v>117</v>
      </c>
      <c r="G17" s="31"/>
      <c r="H17" s="31"/>
      <c r="I17" s="31"/>
    </row>
    <row r="18" spans="1:9">
      <c r="B18" s="77"/>
      <c r="C18" s="77"/>
      <c r="D18" s="82"/>
      <c r="E18" s="82"/>
      <c r="F18" s="79" t="s">
        <v>118</v>
      </c>
      <c r="G18" s="31"/>
      <c r="H18" s="31"/>
      <c r="I18" s="31"/>
    </row>
    <row r="19" spans="1:9">
      <c r="A19" s="83" t="s">
        <v>149</v>
      </c>
    </row>
  </sheetData>
  <mergeCells count="4">
    <mergeCell ref="B3:B18"/>
    <mergeCell ref="C3:C18"/>
    <mergeCell ref="D3:D18"/>
    <mergeCell ref="E3:E18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B1:I27"/>
  <sheetViews>
    <sheetView showGridLines="0" zoomScale="160" zoomScaleNormal="160" topLeftCell="A9" workbookViewId="0">
      <selection activeCell="C27" sqref="C27:I27"/>
    </sheetView>
  </sheetViews>
  <sheetFormatPr defaultColWidth="8.88888888888889" defaultRowHeight="14.4"/>
  <cols>
    <col min="1" max="1" width="1.44444444444444" customWidth="1"/>
    <col min="2" max="2" width="11.2222222222222" style="16" customWidth="1"/>
    <col min="3" max="3" width="7.88888888888889" style="16" customWidth="1"/>
    <col min="4" max="4" width="0.666666666666667" style="16" customWidth="1"/>
    <col min="5" max="5" width="7.66666666666667" style="16" customWidth="1"/>
    <col min="6" max="6" width="0.444444444444444" style="16" customWidth="1"/>
    <col min="7" max="7" width="9.66666666666667" style="16" customWidth="1"/>
    <col min="9" max="9" width="8.22222222222222" customWidth="1"/>
    <col min="11" max="11" width="55.4444444444444" customWidth="1"/>
  </cols>
  <sheetData>
    <row r="1" ht="6" customHeight="1"/>
    <row r="2" ht="20" customHeight="1" spans="2:9">
      <c r="B2" s="52" t="s">
        <v>150</v>
      </c>
      <c r="C2" s="53"/>
      <c r="D2" s="53"/>
      <c r="E2" s="53"/>
      <c r="F2" s="53"/>
      <c r="G2" s="53"/>
      <c r="H2" s="53"/>
      <c r="I2" s="54"/>
    </row>
    <row r="3" ht="19" customHeight="1" spans="2:9">
      <c r="B3" s="55" t="s">
        <v>151</v>
      </c>
      <c r="C3" s="31" t="s">
        <v>152</v>
      </c>
      <c r="E3" s="56" t="s">
        <v>153</v>
      </c>
      <c r="G3" s="31" t="s">
        <v>154</v>
      </c>
      <c r="I3" s="57"/>
    </row>
    <row r="4" ht="6" customHeight="1" spans="2:9">
      <c r="B4" s="58"/>
      <c r="C4" s="59"/>
      <c r="D4" s="59"/>
      <c r="E4" s="59"/>
      <c r="F4" s="59"/>
      <c r="G4" s="59"/>
      <c r="H4" s="60"/>
      <c r="I4" s="61"/>
    </row>
    <row r="5" ht="6" customHeight="1" spans="2:9">
      <c r="B5" s="20"/>
    </row>
    <row r="6" ht="19" customHeight="1" spans="2:9">
      <c r="B6" s="62" t="s">
        <v>155</v>
      </c>
      <c r="C6" s="63"/>
      <c r="D6" s="63"/>
      <c r="E6" s="63"/>
      <c r="F6" s="63"/>
      <c r="G6" s="63"/>
      <c r="H6" s="64"/>
      <c r="I6" s="65"/>
    </row>
    <row r="7" spans="2:9">
      <c r="B7" s="55" t="s">
        <v>156</v>
      </c>
      <c r="E7" s="66"/>
      <c r="F7" s="67"/>
      <c r="G7" s="16" t="s">
        <v>157</v>
      </c>
      <c r="H7" s="16"/>
      <c r="I7" s="57"/>
    </row>
    <row r="8" spans="2:9">
      <c r="B8" s="55" t="s">
        <v>55</v>
      </c>
      <c r="C8" s="68">
        <v>10</v>
      </c>
      <c r="D8" s="68"/>
      <c r="E8" s="69" t="s">
        <v>158</v>
      </c>
      <c r="F8" s="67"/>
      <c r="G8" s="16" t="s">
        <v>55</v>
      </c>
      <c r="H8" s="68">
        <v>5000</v>
      </c>
      <c r="I8" s="70" t="s">
        <v>158</v>
      </c>
    </row>
    <row r="9" spans="2:9">
      <c r="B9" s="55" t="s">
        <v>72</v>
      </c>
      <c r="C9" s="68">
        <v>9</v>
      </c>
      <c r="D9" s="68"/>
      <c r="E9" s="69" t="s">
        <v>159</v>
      </c>
      <c r="F9" s="67"/>
      <c r="G9" s="16" t="s">
        <v>64</v>
      </c>
      <c r="H9" s="68">
        <v>4000</v>
      </c>
      <c r="I9" s="70" t="s">
        <v>159</v>
      </c>
    </row>
    <row r="10" spans="2:9">
      <c r="B10" s="55" t="s">
        <v>64</v>
      </c>
      <c r="C10" s="68">
        <v>8</v>
      </c>
      <c r="D10" s="68"/>
      <c r="E10" s="69" t="s">
        <v>160</v>
      </c>
      <c r="F10" s="67"/>
      <c r="G10" s="16" t="s">
        <v>72</v>
      </c>
      <c r="H10" s="68">
        <v>3500</v>
      </c>
      <c r="I10" s="70" t="s">
        <v>160</v>
      </c>
    </row>
    <row r="11" spans="2:9">
      <c r="B11" s="55" t="s">
        <v>60</v>
      </c>
      <c r="C11" s="68">
        <v>5</v>
      </c>
      <c r="D11" s="68"/>
      <c r="E11" s="69" t="s">
        <v>161</v>
      </c>
      <c r="F11" s="71"/>
      <c r="G11" s="16" t="s">
        <v>60</v>
      </c>
      <c r="H11" s="68">
        <v>2500</v>
      </c>
      <c r="I11" s="70" t="s">
        <v>161</v>
      </c>
    </row>
    <row r="12" ht="4" customHeight="1" spans="2:9">
      <c r="B12" s="58"/>
      <c r="C12" s="59"/>
      <c r="D12" s="59"/>
      <c r="E12" s="59"/>
      <c r="F12" s="59"/>
      <c r="G12" s="59"/>
      <c r="H12" s="59"/>
      <c r="I12" s="61"/>
    </row>
    <row r="13" ht="6" customHeight="1" spans="2:9">
      <c r="B13" s="20"/>
    </row>
    <row r="14" ht="21" customHeight="1" spans="2:9">
      <c r="B14" s="62" t="s">
        <v>162</v>
      </c>
      <c r="C14" s="63"/>
      <c r="D14" s="63"/>
      <c r="E14" s="63"/>
      <c r="F14" s="63"/>
      <c r="G14" s="63"/>
      <c r="H14" s="64"/>
      <c r="I14" s="65"/>
    </row>
    <row r="15" spans="2:9">
      <c r="B15" s="55" t="s">
        <v>156</v>
      </c>
      <c r="E15" s="66"/>
      <c r="F15" s="67"/>
      <c r="G15" s="16" t="s">
        <v>157</v>
      </c>
      <c r="H15" s="16"/>
      <c r="I15" s="57"/>
    </row>
    <row r="16" spans="2:9">
      <c r="B16" s="55" t="s">
        <v>56</v>
      </c>
      <c r="C16" s="68">
        <v>5</v>
      </c>
      <c r="D16" s="68"/>
      <c r="E16" s="69" t="s">
        <v>158</v>
      </c>
      <c r="F16" s="67"/>
      <c r="G16" s="16" t="s">
        <v>73</v>
      </c>
      <c r="H16" s="68">
        <v>2000</v>
      </c>
      <c r="I16" s="70" t="s">
        <v>158</v>
      </c>
    </row>
    <row r="17" spans="2:9">
      <c r="B17" s="55" t="s">
        <v>73</v>
      </c>
      <c r="C17" s="68">
        <v>4</v>
      </c>
      <c r="D17" s="68"/>
      <c r="E17" s="69" t="s">
        <v>159</v>
      </c>
      <c r="F17" s="67"/>
      <c r="G17" s="16" t="s">
        <v>56</v>
      </c>
      <c r="H17" s="68">
        <v>1800</v>
      </c>
      <c r="I17" s="70" t="s">
        <v>159</v>
      </c>
    </row>
    <row r="18" spans="2:9">
      <c r="B18" s="55" t="s">
        <v>76</v>
      </c>
      <c r="C18" s="68">
        <v>3</v>
      </c>
      <c r="D18" s="68"/>
      <c r="E18" s="69" t="s">
        <v>160</v>
      </c>
      <c r="F18" s="67"/>
      <c r="G18" s="16" t="s">
        <v>59</v>
      </c>
      <c r="H18" s="68">
        <v>1200</v>
      </c>
      <c r="I18" s="70" t="s">
        <v>160</v>
      </c>
    </row>
    <row r="19" spans="2:9">
      <c r="B19" s="55" t="s">
        <v>59</v>
      </c>
      <c r="C19" s="68">
        <v>2</v>
      </c>
      <c r="D19" s="68"/>
      <c r="E19" s="69" t="s">
        <v>161</v>
      </c>
      <c r="F19" s="71"/>
      <c r="G19" s="16" t="s">
        <v>76</v>
      </c>
      <c r="H19" s="68">
        <v>950</v>
      </c>
      <c r="I19" s="70" t="s">
        <v>161</v>
      </c>
    </row>
    <row r="20" spans="2:9">
      <c r="B20" s="55" t="s">
        <v>94</v>
      </c>
      <c r="C20" s="16" t="s">
        <v>94</v>
      </c>
      <c r="E20" s="16" t="s">
        <v>94</v>
      </c>
      <c r="G20" s="16" t="s">
        <v>94</v>
      </c>
      <c r="H20" s="16" t="s">
        <v>94</v>
      </c>
      <c r="I20" s="72" t="s">
        <v>94</v>
      </c>
    </row>
    <row r="21" ht="4" customHeight="1" spans="2:9">
      <c r="B21" s="58"/>
      <c r="C21" s="59"/>
      <c r="D21" s="59"/>
      <c r="E21" s="59"/>
      <c r="F21" s="59"/>
      <c r="G21" s="59"/>
      <c r="H21" s="60"/>
      <c r="I21" s="61"/>
    </row>
    <row r="23" spans="2:9">
      <c r="B23" s="73" t="s">
        <v>163</v>
      </c>
      <c r="C23" s="74" t="s">
        <v>164</v>
      </c>
      <c r="D23" s="74"/>
      <c r="E23" s="74"/>
      <c r="F23" s="74"/>
      <c r="G23" s="74"/>
      <c r="H23" s="74"/>
      <c r="I23" s="74"/>
    </row>
    <row r="24" spans="2:9">
      <c r="C24" s="74" t="s">
        <v>165</v>
      </c>
      <c r="D24" s="74"/>
      <c r="E24" s="74"/>
      <c r="F24" s="74"/>
      <c r="G24" s="74"/>
      <c r="H24" s="74"/>
      <c r="I24" s="74"/>
    </row>
    <row r="25" spans="2:9">
      <c r="C25" s="74" t="s">
        <v>166</v>
      </c>
      <c r="D25" s="74"/>
      <c r="E25" s="74"/>
      <c r="F25" s="74"/>
      <c r="G25" s="74"/>
      <c r="H25" s="74"/>
      <c r="I25" s="74"/>
    </row>
    <row r="26" spans="2:9">
      <c r="C26" s="74" t="s">
        <v>167</v>
      </c>
      <c r="D26" s="74"/>
      <c r="E26" s="74"/>
      <c r="F26" s="74"/>
      <c r="G26" s="74"/>
      <c r="H26" s="74"/>
      <c r="I26" s="74"/>
    </row>
    <row r="27" spans="2:9">
      <c r="C27" s="74" t="s">
        <v>168</v>
      </c>
      <c r="D27" s="74"/>
      <c r="E27" s="74"/>
      <c r="F27" s="74"/>
      <c r="G27" s="74"/>
      <c r="H27" s="74"/>
      <c r="I27" s="74"/>
    </row>
  </sheetData>
  <mergeCells count="10">
    <mergeCell ref="B2:I2"/>
    <mergeCell ref="B7:C7"/>
    <mergeCell ref="G7:H7"/>
    <mergeCell ref="B15:C15"/>
    <mergeCell ref="G15:H15"/>
    <mergeCell ref="C23:I23"/>
    <mergeCell ref="C24:I24"/>
    <mergeCell ref="C25:I25"/>
    <mergeCell ref="C26:I26"/>
    <mergeCell ref="C27:I27"/>
  </mergeCells>
  <conditionalFormatting sqref="H8:H11">
    <cfRule type="dataBar" priority="4">
      <dataBar>
        <cfvo type="min"/>
        <cfvo type="max"/>
        <color theme="7"/>
      </dataBar>
      <extLst>
        <ext xmlns:x14="http://schemas.microsoft.com/office/spreadsheetml/2009/9/main" uri="{B025F937-C7B1-47D3-B67F-A62EFF666E3E}">
          <x14:id>{0a626edf-1e9f-418a-9dea-40f66cb92a25}</x14:id>
        </ext>
      </extLst>
    </cfRule>
  </conditionalFormatting>
  <conditionalFormatting sqref="H16:H19">
    <cfRule type="dataBar" priority="1">
      <dataBar>
        <cfvo type="min"/>
        <cfvo type="max"/>
        <color theme="7"/>
      </dataBar>
      <extLst>
        <ext xmlns:x14="http://schemas.microsoft.com/office/spreadsheetml/2009/9/main" uri="{B025F937-C7B1-47D3-B67F-A62EFF666E3E}">
          <x14:id>{0332eb4f-e4cb-4ba2-93ae-ce76c3adc136}</x14:id>
        </ext>
      </extLst>
    </cfRule>
  </conditionalFormatting>
  <conditionalFormatting sqref="C8:D11">
    <cfRule type="dataBar" priority="5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{bc841364-34e1-4eb8-9ff3-f688a5f36dc7}</x14:id>
        </ext>
      </extLst>
    </cfRule>
  </conditionalFormatting>
  <conditionalFormatting sqref="C16:D19">
    <cfRule type="dataBar" priority="3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{a6957e19-0edd-4a31-871d-1e06e222a0ba}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a626edf-1e9f-418a-9dea-40f66cb92a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H8:H11</xm:sqref>
        </x14:conditionalFormatting>
        <x14:conditionalFormatting xmlns:xm="http://schemas.microsoft.com/office/excel/2006/main">
          <x14:cfRule type="dataBar" id="{0332eb4f-e4cb-4ba2-93ae-ce76c3adc1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H16:H19</xm:sqref>
        </x14:conditionalFormatting>
        <x14:conditionalFormatting xmlns:xm="http://schemas.microsoft.com/office/excel/2006/main">
          <x14:cfRule type="dataBar" id="{bc841364-34e1-4eb8-9ff3-f688a5f36d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C8:D11</xm:sqref>
        </x14:conditionalFormatting>
        <x14:conditionalFormatting xmlns:xm="http://schemas.microsoft.com/office/excel/2006/main">
          <x14:cfRule type="dataBar" id="{a6957e19-0edd-4a31-871d-1e06e222a0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C16:D19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>
    <tabColor rgb="FFFFFF00"/>
  </sheetPr>
  <dimension ref="A1:H28"/>
  <sheetViews>
    <sheetView workbookViewId="0">
      <selection activeCell="I31" sqref="I31"/>
    </sheetView>
  </sheetViews>
  <sheetFormatPr defaultColWidth="8.88888888888889" defaultRowHeight="14.4" outlineLevelCol="7"/>
  <cols>
    <col min="1" max="1" width="11.8888888888889" style="16" customWidth="1"/>
    <col min="2" max="2" width="18.6666666666667" style="16" customWidth="1"/>
    <col min="3" max="5" width="8.88888888888889" style="16"/>
    <col min="6" max="6" width="12.7777777777778" style="16" customWidth="1"/>
    <col min="7" max="7" width="12.8888888888889" style="16" customWidth="1"/>
    <col min="8" max="8" width="20.8888888888889" style="16" customWidth="1"/>
  </cols>
  <sheetData>
    <row r="1" ht="17.4" spans="1:8">
      <c r="A1" s="49" t="s">
        <v>169</v>
      </c>
      <c r="B1" s="49"/>
      <c r="C1" s="49"/>
      <c r="D1" s="49"/>
      <c r="E1" s="49"/>
      <c r="F1" s="49"/>
      <c r="G1" s="49"/>
      <c r="H1" s="49"/>
    </row>
    <row r="2" spans="1:8">
      <c r="A2" s="50" t="s">
        <v>170</v>
      </c>
      <c r="B2" s="50"/>
      <c r="C2" s="50"/>
      <c r="D2" s="50"/>
      <c r="E2" s="50"/>
      <c r="F2" s="50"/>
      <c r="G2" s="50"/>
      <c r="H2" s="50"/>
    </row>
    <row r="3" spans="1:8">
      <c r="A3" s="27" t="s">
        <v>171</v>
      </c>
      <c r="B3" s="27" t="s">
        <v>172</v>
      </c>
      <c r="C3" s="27" t="s">
        <v>173</v>
      </c>
      <c r="D3" s="27"/>
      <c r="E3" s="27"/>
      <c r="F3" s="27" t="s">
        <v>174</v>
      </c>
      <c r="G3" s="27"/>
      <c r="H3" s="27"/>
    </row>
    <row r="4" spans="1:8">
      <c r="A4" s="27"/>
      <c r="B4" s="27"/>
      <c r="C4" s="27" t="s">
        <v>175</v>
      </c>
      <c r="D4" s="27" t="s">
        <v>84</v>
      </c>
      <c r="E4" s="27" t="s">
        <v>43</v>
      </c>
      <c r="F4" s="27" t="s">
        <v>176</v>
      </c>
      <c r="G4" s="27" t="s">
        <v>177</v>
      </c>
      <c r="H4" s="27" t="s">
        <v>178</v>
      </c>
    </row>
    <row r="5" spans="1:8">
      <c r="A5" s="31" t="s">
        <v>179</v>
      </c>
      <c r="B5" s="31" t="s">
        <v>180</v>
      </c>
      <c r="C5" s="31" t="s">
        <v>181</v>
      </c>
      <c r="D5" s="31" t="s">
        <v>181</v>
      </c>
      <c r="E5" s="31" t="s">
        <v>181</v>
      </c>
      <c r="F5" s="31" t="s">
        <v>181</v>
      </c>
      <c r="G5" s="31" t="s">
        <v>181</v>
      </c>
      <c r="H5" s="46" t="s">
        <v>182</v>
      </c>
    </row>
    <row r="6" spans="1:8">
      <c r="A6" s="31" t="s">
        <v>179</v>
      </c>
      <c r="B6" s="31" t="s">
        <v>183</v>
      </c>
      <c r="C6" s="31" t="s">
        <v>181</v>
      </c>
      <c r="D6" s="31" t="s">
        <v>181</v>
      </c>
      <c r="E6" s="31" t="s">
        <v>181</v>
      </c>
      <c r="F6" s="31" t="s">
        <v>181</v>
      </c>
      <c r="G6" s="31" t="s">
        <v>181</v>
      </c>
      <c r="H6" s="47"/>
    </row>
    <row r="7" spans="1:8">
      <c r="A7" s="31" t="s">
        <v>179</v>
      </c>
      <c r="B7" s="31" t="s">
        <v>184</v>
      </c>
      <c r="C7" s="31" t="s">
        <v>181</v>
      </c>
      <c r="D7" s="31" t="s">
        <v>181</v>
      </c>
      <c r="E7" s="31" t="s">
        <v>181</v>
      </c>
      <c r="F7" s="31" t="s">
        <v>181</v>
      </c>
      <c r="G7" s="31" t="s">
        <v>181</v>
      </c>
      <c r="H7" s="47"/>
    </row>
    <row r="8" spans="1:8">
      <c r="A8" s="31" t="s">
        <v>179</v>
      </c>
      <c r="B8" s="31" t="s">
        <v>84</v>
      </c>
      <c r="C8" s="31" t="s">
        <v>181</v>
      </c>
      <c r="D8" s="31" t="s">
        <v>181</v>
      </c>
      <c r="E8" s="31" t="s">
        <v>181</v>
      </c>
      <c r="F8" s="31" t="s">
        <v>181</v>
      </c>
      <c r="G8" s="31" t="s">
        <v>181</v>
      </c>
      <c r="H8" s="47"/>
    </row>
    <row r="9" ht="15" customHeight="1" spans="1:8">
      <c r="A9" s="31" t="s">
        <v>179</v>
      </c>
      <c r="B9" s="31" t="s">
        <v>185</v>
      </c>
      <c r="C9" s="31" t="s">
        <v>181</v>
      </c>
      <c r="D9" s="31" t="s">
        <v>181</v>
      </c>
      <c r="E9" s="31" t="s">
        <v>181</v>
      </c>
      <c r="F9" s="31" t="s">
        <v>181</v>
      </c>
      <c r="G9" s="31" t="s">
        <v>181</v>
      </c>
      <c r="H9" s="47"/>
    </row>
    <row r="10" spans="1:8">
      <c r="A10" s="37" t="s">
        <v>179</v>
      </c>
      <c r="B10" s="37" t="s">
        <v>186</v>
      </c>
      <c r="C10" s="31" t="s">
        <v>181</v>
      </c>
      <c r="D10" s="31" t="s">
        <v>181</v>
      </c>
      <c r="E10" s="31" t="s">
        <v>181</v>
      </c>
      <c r="F10" s="31" t="s">
        <v>181</v>
      </c>
      <c r="G10" s="31" t="s">
        <v>181</v>
      </c>
      <c r="H10" s="47"/>
    </row>
    <row r="11" spans="1:8">
      <c r="A11" s="31" t="s">
        <v>187</v>
      </c>
      <c r="B11" s="31" t="s">
        <v>29</v>
      </c>
      <c r="C11" s="31" t="s">
        <v>181</v>
      </c>
      <c r="D11" s="51" t="s">
        <v>188</v>
      </c>
      <c r="E11" s="31" t="s">
        <v>181</v>
      </c>
      <c r="F11" s="51" t="s">
        <v>189</v>
      </c>
      <c r="G11" s="31" t="s">
        <v>181</v>
      </c>
      <c r="H11" s="46" t="s">
        <v>190</v>
      </c>
    </row>
    <row r="12" spans="1:8">
      <c r="A12" s="31" t="s">
        <v>187</v>
      </c>
      <c r="B12" s="31" t="s">
        <v>16</v>
      </c>
      <c r="C12" s="31" t="s">
        <v>181</v>
      </c>
      <c r="D12" s="51" t="s">
        <v>188</v>
      </c>
      <c r="E12" s="31" t="s">
        <v>181</v>
      </c>
      <c r="F12" s="51" t="s">
        <v>189</v>
      </c>
      <c r="G12" s="31" t="s">
        <v>181</v>
      </c>
      <c r="H12" s="47"/>
    </row>
    <row r="13" spans="1:8">
      <c r="A13" s="31" t="s">
        <v>187</v>
      </c>
      <c r="B13" s="31" t="s">
        <v>32</v>
      </c>
      <c r="C13" s="31" t="s">
        <v>181</v>
      </c>
      <c r="D13" s="51" t="s">
        <v>188</v>
      </c>
      <c r="E13" s="31" t="s">
        <v>181</v>
      </c>
      <c r="F13" s="51" t="s">
        <v>189</v>
      </c>
      <c r="G13" s="31" t="s">
        <v>181</v>
      </c>
      <c r="H13" s="47"/>
    </row>
    <row r="14" spans="1:8">
      <c r="A14" s="37" t="s">
        <v>187</v>
      </c>
      <c r="B14" s="37" t="s">
        <v>38</v>
      </c>
      <c r="C14" s="31" t="s">
        <v>181</v>
      </c>
      <c r="D14" s="51" t="s">
        <v>188</v>
      </c>
      <c r="E14" s="31" t="s">
        <v>181</v>
      </c>
      <c r="F14" s="51" t="s">
        <v>189</v>
      </c>
      <c r="G14" s="31" t="s">
        <v>181</v>
      </c>
      <c r="H14" s="48"/>
    </row>
    <row r="15" spans="1:8">
      <c r="A15" s="31" t="s">
        <v>191</v>
      </c>
      <c r="B15" s="31" t="s">
        <v>192</v>
      </c>
      <c r="C15" s="31" t="s">
        <v>181</v>
      </c>
      <c r="D15" s="31" t="s">
        <v>181</v>
      </c>
      <c r="E15" s="31" t="s">
        <v>181</v>
      </c>
      <c r="F15" s="31" t="s">
        <v>181</v>
      </c>
      <c r="G15" s="31" t="s">
        <v>181</v>
      </c>
      <c r="H15" s="46" t="s">
        <v>182</v>
      </c>
    </row>
    <row r="16" spans="1:8">
      <c r="A16" s="31" t="s">
        <v>191</v>
      </c>
      <c r="B16" s="31" t="s">
        <v>193</v>
      </c>
      <c r="C16" s="31" t="s">
        <v>181</v>
      </c>
      <c r="D16" s="31" t="s">
        <v>181</v>
      </c>
      <c r="E16" s="31" t="s">
        <v>181</v>
      </c>
      <c r="F16" s="31" t="s">
        <v>181</v>
      </c>
      <c r="G16" s="31" t="s">
        <v>181</v>
      </c>
      <c r="H16" s="47"/>
    </row>
    <row r="17" spans="1:8">
      <c r="A17" s="31" t="s">
        <v>191</v>
      </c>
      <c r="B17" s="38" t="s">
        <v>194</v>
      </c>
      <c r="C17" s="31" t="s">
        <v>181</v>
      </c>
      <c r="D17" s="31" t="s">
        <v>181</v>
      </c>
      <c r="E17" s="31" t="s">
        <v>181</v>
      </c>
      <c r="F17" s="31" t="s">
        <v>181</v>
      </c>
      <c r="G17" s="31" t="s">
        <v>181</v>
      </c>
      <c r="H17" s="47"/>
    </row>
    <row r="18" spans="1:8">
      <c r="A18" s="31" t="s">
        <v>191</v>
      </c>
      <c r="B18" s="31" t="s">
        <v>195</v>
      </c>
      <c r="C18" s="31" t="s">
        <v>181</v>
      </c>
      <c r="D18" s="31" t="s">
        <v>181</v>
      </c>
      <c r="E18" s="31" t="s">
        <v>181</v>
      </c>
      <c r="F18" s="31" t="s">
        <v>181</v>
      </c>
      <c r="G18" s="31" t="s">
        <v>181</v>
      </c>
      <c r="H18" s="47"/>
    </row>
    <row r="19" spans="1:8">
      <c r="A19" s="31" t="s">
        <v>191</v>
      </c>
      <c r="B19" s="31" t="s">
        <v>196</v>
      </c>
      <c r="C19" s="31" t="s">
        <v>181</v>
      </c>
      <c r="D19" s="31" t="s">
        <v>181</v>
      </c>
      <c r="E19" s="31" t="s">
        <v>181</v>
      </c>
      <c r="F19" s="31" t="s">
        <v>181</v>
      </c>
      <c r="G19" s="31" t="s">
        <v>181</v>
      </c>
      <c r="H19" s="48"/>
    </row>
    <row r="20" spans="1:8">
      <c r="A20" s="31" t="s">
        <v>197</v>
      </c>
      <c r="B20" s="31" t="s">
        <v>198</v>
      </c>
      <c r="C20" s="31" t="s">
        <v>181</v>
      </c>
      <c r="D20" s="31" t="s">
        <v>181</v>
      </c>
      <c r="E20" s="31" t="s">
        <v>181</v>
      </c>
      <c r="F20" s="31" t="s">
        <v>181</v>
      </c>
      <c r="G20" s="31" t="s">
        <v>181</v>
      </c>
      <c r="H20" s="46" t="s">
        <v>199</v>
      </c>
    </row>
    <row r="21" spans="1:8">
      <c r="A21" s="31" t="s">
        <v>197</v>
      </c>
      <c r="B21" s="39" t="s">
        <v>200</v>
      </c>
      <c r="C21" s="31" t="s">
        <v>181</v>
      </c>
      <c r="D21" s="31" t="s">
        <v>181</v>
      </c>
      <c r="E21" s="31" t="s">
        <v>181</v>
      </c>
      <c r="F21" s="31" t="s">
        <v>181</v>
      </c>
      <c r="G21" s="31" t="s">
        <v>181</v>
      </c>
      <c r="H21" s="47"/>
    </row>
    <row r="22" spans="1:8">
      <c r="A22" s="31" t="s">
        <v>197</v>
      </c>
      <c r="B22" s="31" t="s">
        <v>201</v>
      </c>
      <c r="C22" s="31" t="s">
        <v>181</v>
      </c>
      <c r="D22" s="31" t="s">
        <v>181</v>
      </c>
      <c r="E22" s="31" t="s">
        <v>181</v>
      </c>
      <c r="F22" s="31" t="s">
        <v>181</v>
      </c>
      <c r="G22" s="31" t="s">
        <v>181</v>
      </c>
      <c r="H22" s="47"/>
    </row>
    <row r="23" spans="1:8">
      <c r="A23" s="31" t="s">
        <v>197</v>
      </c>
      <c r="B23" s="31" t="s">
        <v>202</v>
      </c>
      <c r="C23" s="31" t="s">
        <v>181</v>
      </c>
      <c r="D23" s="31" t="s">
        <v>181</v>
      </c>
      <c r="E23" s="31" t="s">
        <v>181</v>
      </c>
      <c r="F23" s="31" t="s">
        <v>181</v>
      </c>
      <c r="G23" s="31" t="s">
        <v>181</v>
      </c>
      <c r="H23" s="47"/>
    </row>
    <row r="24" spans="1:8">
      <c r="A24" s="31" t="s">
        <v>197</v>
      </c>
      <c r="B24" s="31" t="s">
        <v>203</v>
      </c>
      <c r="C24" s="31" t="s">
        <v>181</v>
      </c>
      <c r="D24" s="31" t="s">
        <v>181</v>
      </c>
      <c r="E24" s="31" t="s">
        <v>181</v>
      </c>
      <c r="F24" s="31" t="s">
        <v>181</v>
      </c>
      <c r="G24" s="31" t="s">
        <v>181</v>
      </c>
      <c r="H24" s="47"/>
    </row>
    <row r="25" spans="1:8">
      <c r="A25" s="31" t="s">
        <v>197</v>
      </c>
      <c r="B25" s="31" t="s">
        <v>204</v>
      </c>
      <c r="C25" s="31" t="s">
        <v>181</v>
      </c>
      <c r="D25" s="31" t="s">
        <v>181</v>
      </c>
      <c r="E25" s="31" t="s">
        <v>181</v>
      </c>
      <c r="F25" s="31" t="s">
        <v>181</v>
      </c>
      <c r="G25" s="31" t="s">
        <v>181</v>
      </c>
      <c r="H25" s="48"/>
    </row>
    <row r="26" spans="1:8">
      <c r="A26" s="31" t="s">
        <v>178</v>
      </c>
      <c r="B26" s="31" t="s">
        <v>152</v>
      </c>
      <c r="C26" s="51" t="s">
        <v>188</v>
      </c>
      <c r="D26" s="51" t="s">
        <v>188</v>
      </c>
      <c r="E26" s="51" t="s">
        <v>188</v>
      </c>
      <c r="F26" s="31" t="s">
        <v>181</v>
      </c>
      <c r="G26" s="31" t="s">
        <v>181</v>
      </c>
      <c r="H26" s="46" t="s">
        <v>205</v>
      </c>
    </row>
    <row r="27" spans="1:8">
      <c r="A27" s="31" t="s">
        <v>178</v>
      </c>
      <c r="B27" s="31" t="s">
        <v>206</v>
      </c>
      <c r="C27" s="51" t="s">
        <v>188</v>
      </c>
      <c r="D27" s="51" t="s">
        <v>188</v>
      </c>
      <c r="E27" s="51" t="s">
        <v>188</v>
      </c>
      <c r="F27" s="31" t="s">
        <v>181</v>
      </c>
      <c r="G27" s="31" t="s">
        <v>181</v>
      </c>
      <c r="H27" s="47"/>
    </row>
    <row r="28" spans="1:8">
      <c r="A28" s="31" t="s">
        <v>178</v>
      </c>
      <c r="B28" s="31" t="s">
        <v>154</v>
      </c>
      <c r="C28" s="51" t="s">
        <v>188</v>
      </c>
      <c r="D28" s="51" t="s">
        <v>188</v>
      </c>
      <c r="E28" s="51" t="s">
        <v>188</v>
      </c>
      <c r="F28" s="31" t="s">
        <v>181</v>
      </c>
      <c r="G28" s="31" t="s">
        <v>181</v>
      </c>
      <c r="H28" s="48"/>
    </row>
  </sheetData>
  <mergeCells count="11">
    <mergeCell ref="A1:H1"/>
    <mergeCell ref="A2:H2"/>
    <mergeCell ref="C3:E3"/>
    <mergeCell ref="F3:H3"/>
    <mergeCell ref="A3:A4"/>
    <mergeCell ref="B3:B4"/>
    <mergeCell ref="H5:H10"/>
    <mergeCell ref="H11:H14"/>
    <mergeCell ref="H15:H19"/>
    <mergeCell ref="H20:H25"/>
    <mergeCell ref="H26:H28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F9"/>
  <sheetViews>
    <sheetView workbookViewId="0">
      <selection activeCell="C14" sqref="C14"/>
    </sheetView>
  </sheetViews>
  <sheetFormatPr defaultColWidth="8.88888888888889" defaultRowHeight="14.4" outlineLevelCol="5"/>
  <cols>
    <col min="1" max="1" width="13.5555555555556" style="16" customWidth="1"/>
    <col min="2" max="2" width="14.1111111111111" style="16" customWidth="1"/>
    <col min="3" max="3" width="23.1111111111111" style="16" customWidth="1"/>
    <col min="4" max="4" width="14.1111111111111" style="16" customWidth="1"/>
    <col min="5" max="5" width="8.55555555555556" style="16" customWidth="1"/>
    <col min="6" max="6" width="14" style="16" customWidth="1"/>
  </cols>
  <sheetData>
    <row r="1" ht="18" customHeight="1" spans="1:6">
      <c r="A1" s="42" t="s">
        <v>207</v>
      </c>
      <c r="B1" s="42"/>
      <c r="C1" s="42"/>
      <c r="D1" s="42"/>
      <c r="E1" s="42"/>
      <c r="F1" s="42"/>
    </row>
    <row r="2" ht="20" customHeight="1" spans="1:6">
      <c r="A2" s="27" t="s">
        <v>208</v>
      </c>
      <c r="B2" s="27" t="s">
        <v>209</v>
      </c>
      <c r="C2" s="27" t="s">
        <v>210</v>
      </c>
      <c r="D2" s="27" t="s">
        <v>211</v>
      </c>
      <c r="E2" s="27" t="s">
        <v>212</v>
      </c>
      <c r="F2" s="27" t="s">
        <v>213</v>
      </c>
    </row>
    <row r="3" ht="22" customHeight="1" spans="1:6">
      <c r="A3" s="31" t="s">
        <v>214</v>
      </c>
      <c r="B3" s="31" t="s">
        <v>215</v>
      </c>
      <c r="C3" s="31" t="s">
        <v>216</v>
      </c>
      <c r="D3" s="31">
        <v>3.9</v>
      </c>
      <c r="E3" s="43" t="s">
        <v>217</v>
      </c>
      <c r="F3" s="44" t="s">
        <v>218</v>
      </c>
    </row>
    <row r="4" ht="22" customHeight="1" spans="1:6">
      <c r="A4" s="31"/>
      <c r="B4" s="31" t="s">
        <v>219</v>
      </c>
      <c r="C4" s="31" t="s">
        <v>220</v>
      </c>
      <c r="D4" s="31"/>
      <c r="E4" s="43"/>
      <c r="F4" s="45"/>
    </row>
    <row r="5" ht="22" customHeight="1" spans="1:6">
      <c r="A5" s="46" t="s">
        <v>221</v>
      </c>
      <c r="B5" s="31" t="s">
        <v>222</v>
      </c>
      <c r="C5" s="31" t="s">
        <v>216</v>
      </c>
      <c r="D5" s="43" t="s">
        <v>223</v>
      </c>
      <c r="E5" s="31">
        <v>1</v>
      </c>
      <c r="F5" s="43" t="s">
        <v>223</v>
      </c>
    </row>
    <row r="6" ht="22" customHeight="1" spans="1:6">
      <c r="A6" s="47"/>
      <c r="B6" s="31" t="s">
        <v>191</v>
      </c>
      <c r="C6" s="31" t="s">
        <v>216</v>
      </c>
      <c r="D6" s="43" t="s">
        <v>224</v>
      </c>
      <c r="E6" s="31">
        <v>1</v>
      </c>
      <c r="F6" s="43" t="s">
        <v>224</v>
      </c>
    </row>
    <row r="7" ht="22" customHeight="1" spans="1:6">
      <c r="A7" s="47"/>
      <c r="B7" s="31" t="s">
        <v>197</v>
      </c>
      <c r="C7" s="31" t="s">
        <v>216</v>
      </c>
      <c r="D7" s="43" t="s">
        <v>225</v>
      </c>
      <c r="E7" s="31">
        <v>1</v>
      </c>
      <c r="F7" s="43" t="s">
        <v>225</v>
      </c>
    </row>
    <row r="8" ht="22" customHeight="1" spans="1:6">
      <c r="A8" s="48"/>
      <c r="B8" s="31" t="s">
        <v>226</v>
      </c>
      <c r="C8" s="31" t="s">
        <v>216</v>
      </c>
      <c r="D8" s="43" t="s">
        <v>227</v>
      </c>
      <c r="E8" s="31">
        <v>1</v>
      </c>
      <c r="F8" s="43" t="s">
        <v>227</v>
      </c>
    </row>
    <row r="9" ht="22" customHeight="1" spans="1:6">
      <c r="A9" s="31" t="s">
        <v>228</v>
      </c>
      <c r="B9" s="31" t="s">
        <v>229</v>
      </c>
      <c r="C9" s="31" t="s">
        <v>230</v>
      </c>
      <c r="D9" s="43" t="s">
        <v>231</v>
      </c>
      <c r="E9" s="31">
        <v>3</v>
      </c>
      <c r="F9" s="31">
        <v>3.19</v>
      </c>
    </row>
  </sheetData>
  <mergeCells count="6">
    <mergeCell ref="A1:F1"/>
    <mergeCell ref="A3:A4"/>
    <mergeCell ref="A5:A8"/>
    <mergeCell ref="D3:D4"/>
    <mergeCell ref="E3:E4"/>
    <mergeCell ref="F3:F4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I8"/>
  <sheetViews>
    <sheetView workbookViewId="0">
      <selection activeCell="T10" sqref="T10"/>
    </sheetView>
  </sheetViews>
  <sheetFormatPr defaultColWidth="8.88888888888889" defaultRowHeight="14.4" outlineLevelRow="7"/>
  <cols>
    <col min="1" max="1" width="9.66666666666667" style="16" customWidth="1"/>
    <col min="2" max="2" width="11.8888888888889" style="16" customWidth="1"/>
    <col min="3" max="5" width="11.1111111111111" style="16" customWidth="1"/>
    <col min="6" max="6" width="13.4444444444444" style="16" customWidth="1"/>
    <col min="7" max="8" width="11.1111111111111" style="16" customWidth="1"/>
    <col min="9" max="9" width="14" customWidth="1"/>
  </cols>
  <sheetData>
    <row r="1" spans="1:9">
      <c r="A1" s="27" t="s">
        <v>20</v>
      </c>
      <c r="B1" s="27" t="s">
        <v>208</v>
      </c>
      <c r="C1" s="27" t="s">
        <v>232</v>
      </c>
      <c r="D1" s="27"/>
      <c r="E1" s="27"/>
      <c r="F1" s="27"/>
      <c r="G1" s="27"/>
      <c r="H1" s="27"/>
      <c r="I1" s="27" t="s">
        <v>233</v>
      </c>
    </row>
    <row r="2" ht="28.8" spans="1:9">
      <c r="A2" s="27"/>
      <c r="B2" s="27"/>
      <c r="C2" s="27" t="s">
        <v>234</v>
      </c>
      <c r="D2" s="27" t="s">
        <v>235</v>
      </c>
      <c r="E2" s="27" t="s">
        <v>236</v>
      </c>
      <c r="F2" s="40" t="s">
        <v>237</v>
      </c>
      <c r="G2" s="27" t="s">
        <v>238</v>
      </c>
      <c r="H2" s="27" t="s">
        <v>239</v>
      </c>
      <c r="I2" s="27"/>
    </row>
    <row r="3" spans="1:9">
      <c r="A3" s="31" t="s">
        <v>240</v>
      </c>
      <c r="B3" s="31" t="s">
        <v>179</v>
      </c>
      <c r="C3" s="31" t="s">
        <v>181</v>
      </c>
      <c r="D3" s="31" t="s">
        <v>181</v>
      </c>
      <c r="E3" s="31" t="s">
        <v>181</v>
      </c>
      <c r="F3" s="31" t="s">
        <v>181</v>
      </c>
      <c r="G3" s="31" t="s">
        <v>181</v>
      </c>
      <c r="H3" s="31" t="s">
        <v>181</v>
      </c>
      <c r="I3" s="41" t="s">
        <v>241</v>
      </c>
    </row>
    <row r="4" spans="1:9">
      <c r="A4" s="31" t="s">
        <v>240</v>
      </c>
      <c r="B4" s="31" t="s">
        <v>187</v>
      </c>
      <c r="C4" s="31" t="s">
        <v>181</v>
      </c>
      <c r="D4" s="31" t="s">
        <v>181</v>
      </c>
      <c r="E4" s="31" t="s">
        <v>181</v>
      </c>
      <c r="F4" s="31" t="s">
        <v>181</v>
      </c>
      <c r="G4" s="31" t="s">
        <v>181</v>
      </c>
      <c r="H4" s="31" t="s">
        <v>181</v>
      </c>
      <c r="I4" s="41"/>
    </row>
    <row r="5" spans="1:9">
      <c r="A5" s="31" t="s">
        <v>240</v>
      </c>
      <c r="B5" s="31" t="s">
        <v>191</v>
      </c>
      <c r="C5" s="31" t="s">
        <v>181</v>
      </c>
      <c r="D5" s="31" t="s">
        <v>181</v>
      </c>
      <c r="E5" s="31" t="s">
        <v>181</v>
      </c>
      <c r="F5" s="31" t="s">
        <v>181</v>
      </c>
      <c r="G5" s="31" t="s">
        <v>181</v>
      </c>
      <c r="H5" s="31" t="s">
        <v>181</v>
      </c>
      <c r="I5" s="41"/>
    </row>
    <row r="6" spans="1:9">
      <c r="A6" s="31" t="s">
        <v>240</v>
      </c>
      <c r="B6" s="31" t="s">
        <v>197</v>
      </c>
      <c r="C6" s="31" t="s">
        <v>181</v>
      </c>
      <c r="D6" s="31" t="s">
        <v>181</v>
      </c>
      <c r="E6" s="31" t="s">
        <v>181</v>
      </c>
      <c r="F6" s="31" t="s">
        <v>181</v>
      </c>
      <c r="G6" s="31" t="s">
        <v>181</v>
      </c>
      <c r="H6" s="31" t="s">
        <v>181</v>
      </c>
      <c r="I6" s="41"/>
    </row>
    <row r="7" spans="1:9">
      <c r="A7" s="31" t="s">
        <v>240</v>
      </c>
      <c r="B7" s="31" t="s">
        <v>178</v>
      </c>
      <c r="C7" s="31" t="s">
        <v>181</v>
      </c>
      <c r="D7" s="31" t="s">
        <v>181</v>
      </c>
      <c r="E7" s="31" t="s">
        <v>181</v>
      </c>
      <c r="F7" s="31" t="s">
        <v>181</v>
      </c>
      <c r="G7" s="31" t="s">
        <v>181</v>
      </c>
      <c r="H7" s="31" t="s">
        <v>181</v>
      </c>
      <c r="I7" s="41"/>
    </row>
    <row r="8" spans="1:9">
      <c r="A8" s="31" t="s">
        <v>242</v>
      </c>
      <c r="B8" s="31"/>
      <c r="C8" s="31" t="s">
        <v>243</v>
      </c>
      <c r="D8" s="31" t="s">
        <v>243</v>
      </c>
      <c r="E8" s="31" t="s">
        <v>243</v>
      </c>
      <c r="F8" s="31" t="s">
        <v>243</v>
      </c>
      <c r="G8" s="31" t="s">
        <v>82</v>
      </c>
      <c r="H8" s="31" t="s">
        <v>244</v>
      </c>
      <c r="I8" s="41"/>
    </row>
  </sheetData>
  <mergeCells count="6">
    <mergeCell ref="C1:H1"/>
    <mergeCell ref="A8:B8"/>
    <mergeCell ref="A1:A2"/>
    <mergeCell ref="B1:B2"/>
    <mergeCell ref="I1:I2"/>
    <mergeCell ref="I3:I8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L36"/>
  <sheetViews>
    <sheetView topLeftCell="A7" workbookViewId="0">
      <selection activeCell="C13" sqref="C13"/>
    </sheetView>
  </sheetViews>
  <sheetFormatPr defaultColWidth="8.88888888888889" defaultRowHeight="14.4"/>
  <cols>
    <col min="1" max="1" width="20.8888888888889" style="16" customWidth="1"/>
    <col min="2" max="2" width="25.4444444444444" style="16" customWidth="1"/>
    <col min="3" max="3" width="19.8888888888889" style="16" customWidth="1"/>
    <col min="4" max="12" width="10" style="16" customWidth="1"/>
    <col min="13" max="13" width="44.2222222222222" customWidth="1"/>
  </cols>
  <sheetData>
    <row r="1" ht="17.4" spans="1:12">
      <c r="A1" s="21" t="s">
        <v>245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ht="90" customHeight="1" spans="1:12">
      <c r="A2" s="22" t="s">
        <v>246</v>
      </c>
      <c r="B2" s="23" t="s">
        <v>247</v>
      </c>
      <c r="C2" s="24"/>
      <c r="D2" s="24"/>
      <c r="E2" s="24"/>
      <c r="F2" s="24"/>
      <c r="G2" s="24"/>
      <c r="H2" s="24"/>
      <c r="I2" s="24"/>
      <c r="J2" s="24"/>
      <c r="K2" s="24"/>
      <c r="L2" s="25"/>
    </row>
    <row r="3" spans="1:12">
      <c r="A3" s="26" t="s">
        <v>171</v>
      </c>
      <c r="B3" s="27" t="s">
        <v>248</v>
      </c>
      <c r="C3" s="27" t="s">
        <v>249</v>
      </c>
      <c r="D3" s="27"/>
      <c r="E3" s="27"/>
      <c r="F3" s="27"/>
      <c r="G3" s="27"/>
      <c r="H3" s="27"/>
      <c r="I3" s="27" t="s">
        <v>250</v>
      </c>
      <c r="J3" s="27"/>
      <c r="K3" s="27"/>
      <c r="L3" s="27"/>
    </row>
    <row r="4" spans="1:12">
      <c r="A4" s="28"/>
      <c r="B4" s="27"/>
      <c r="C4" s="27" t="s">
        <v>251</v>
      </c>
      <c r="D4" s="27"/>
      <c r="E4" s="27" t="s">
        <v>84</v>
      </c>
      <c r="F4" s="27"/>
      <c r="G4" s="27" t="s">
        <v>43</v>
      </c>
      <c r="H4" s="27"/>
      <c r="I4" s="27" t="s">
        <v>176</v>
      </c>
      <c r="J4" s="27"/>
      <c r="K4" s="27" t="s">
        <v>177</v>
      </c>
      <c r="L4" s="27" t="s">
        <v>177</v>
      </c>
    </row>
    <row r="5" spans="1:12">
      <c r="A5" s="29"/>
      <c r="B5" s="27"/>
      <c r="C5" s="30" t="s">
        <v>252</v>
      </c>
      <c r="D5" s="30" t="s">
        <v>253</v>
      </c>
      <c r="E5" s="30" t="s">
        <v>252</v>
      </c>
      <c r="F5" s="30" t="s">
        <v>253</v>
      </c>
      <c r="G5" s="30" t="s">
        <v>252</v>
      </c>
      <c r="H5" s="30" t="s">
        <v>253</v>
      </c>
      <c r="I5" s="30" t="s">
        <v>252</v>
      </c>
      <c r="J5" s="30" t="s">
        <v>253</v>
      </c>
      <c r="K5" s="30" t="s">
        <v>252</v>
      </c>
      <c r="L5" s="30" t="s">
        <v>253</v>
      </c>
    </row>
    <row r="6" spans="1:12">
      <c r="A6" s="31" t="s">
        <v>254</v>
      </c>
      <c r="B6" s="31" t="s">
        <v>180</v>
      </c>
      <c r="C6" s="31"/>
      <c r="D6" s="31"/>
      <c r="E6" s="31"/>
      <c r="F6" s="31"/>
      <c r="G6" s="31"/>
      <c r="H6" s="31"/>
      <c r="I6" s="31"/>
      <c r="J6" s="31"/>
      <c r="K6" s="31"/>
      <c r="L6" s="31"/>
    </row>
    <row r="7" spans="1:12">
      <c r="A7" s="31" t="s">
        <v>254</v>
      </c>
      <c r="B7" s="31" t="s">
        <v>183</v>
      </c>
      <c r="C7" s="31"/>
      <c r="D7" s="31"/>
      <c r="E7" s="31"/>
      <c r="F7" s="31"/>
      <c r="G7" s="31"/>
      <c r="H7" s="31"/>
      <c r="I7" s="31"/>
      <c r="J7" s="31"/>
      <c r="K7" s="31"/>
      <c r="L7" s="31"/>
    </row>
    <row r="8" spans="1:12">
      <c r="A8" s="31" t="s">
        <v>254</v>
      </c>
      <c r="B8" s="31" t="s">
        <v>184</v>
      </c>
      <c r="C8" s="31"/>
      <c r="D8" s="31"/>
      <c r="E8" s="31"/>
      <c r="F8" s="31"/>
      <c r="G8" s="31"/>
      <c r="H8" s="31"/>
      <c r="I8" s="31"/>
      <c r="J8" s="31"/>
      <c r="K8" s="31"/>
      <c r="L8" s="31"/>
    </row>
    <row r="9" spans="1:12">
      <c r="A9" s="31" t="s">
        <v>254</v>
      </c>
      <c r="B9" s="31" t="s">
        <v>84</v>
      </c>
      <c r="C9" s="31"/>
      <c r="D9" s="31"/>
      <c r="E9" s="31"/>
      <c r="F9" s="31"/>
      <c r="G9" s="31"/>
      <c r="H9" s="31"/>
      <c r="I9" s="31"/>
      <c r="J9" s="31"/>
      <c r="K9" s="31"/>
      <c r="L9" s="31"/>
    </row>
    <row r="10" ht="15" customHeight="1" spans="1:12">
      <c r="A10" s="31" t="s">
        <v>254</v>
      </c>
      <c r="B10" s="31" t="s">
        <v>185</v>
      </c>
      <c r="C10" s="31"/>
      <c r="D10" s="31"/>
      <c r="E10" s="31"/>
      <c r="F10" s="31"/>
      <c r="G10" s="31"/>
      <c r="H10" s="31"/>
      <c r="I10" s="31"/>
      <c r="J10" s="31"/>
      <c r="K10" s="31"/>
      <c r="L10" s="31"/>
    </row>
    <row r="11" spans="1:12">
      <c r="A11" s="32" t="s">
        <v>255</v>
      </c>
      <c r="B11" s="32" t="s">
        <v>256</v>
      </c>
      <c r="C11" s="33"/>
      <c r="D11" s="34"/>
      <c r="E11" s="34"/>
      <c r="F11" s="34"/>
      <c r="G11" s="34"/>
      <c r="H11" s="34"/>
      <c r="I11" s="34"/>
      <c r="J11" s="34"/>
      <c r="K11" s="34"/>
      <c r="L11" s="35"/>
    </row>
    <row r="12" spans="1:12">
      <c r="A12" s="32" t="s">
        <v>255</v>
      </c>
      <c r="B12" s="32" t="s">
        <v>257</v>
      </c>
      <c r="C12" s="33"/>
      <c r="D12" s="34"/>
      <c r="E12" s="34"/>
      <c r="F12" s="34"/>
      <c r="G12" s="34"/>
      <c r="H12" s="34"/>
      <c r="I12" s="34"/>
      <c r="J12" s="34"/>
      <c r="K12" s="34"/>
      <c r="L12" s="35"/>
    </row>
    <row r="13" ht="28.8" spans="1:12">
      <c r="A13" s="31" t="s">
        <v>258</v>
      </c>
      <c r="B13" s="31" t="s">
        <v>29</v>
      </c>
      <c r="C13" s="36" t="s">
        <v>259</v>
      </c>
      <c r="D13" s="31"/>
      <c r="E13" s="37" t="s">
        <v>205</v>
      </c>
      <c r="F13" s="37" t="s">
        <v>205</v>
      </c>
      <c r="G13" s="31"/>
      <c r="H13" s="31"/>
      <c r="I13" s="37" t="s">
        <v>205</v>
      </c>
      <c r="J13" s="37" t="s">
        <v>205</v>
      </c>
      <c r="K13" s="37" t="s">
        <v>205</v>
      </c>
      <c r="L13" s="37" t="s">
        <v>205</v>
      </c>
    </row>
    <row r="14" spans="1:12">
      <c r="A14" s="31" t="s">
        <v>258</v>
      </c>
      <c r="B14" s="31" t="s">
        <v>16</v>
      </c>
      <c r="C14" s="31"/>
      <c r="D14" s="31"/>
      <c r="E14" s="37" t="s">
        <v>205</v>
      </c>
      <c r="F14" s="37" t="s">
        <v>205</v>
      </c>
      <c r="G14" s="31"/>
      <c r="H14" s="31"/>
      <c r="I14" s="37" t="s">
        <v>205</v>
      </c>
      <c r="J14" s="37" t="s">
        <v>205</v>
      </c>
      <c r="K14" s="37" t="s">
        <v>205</v>
      </c>
      <c r="L14" s="37" t="s">
        <v>205</v>
      </c>
    </row>
    <row r="15" spans="1:12">
      <c r="A15" s="31" t="s">
        <v>258</v>
      </c>
      <c r="B15" s="31" t="s">
        <v>32</v>
      </c>
      <c r="C15" s="31"/>
      <c r="D15" s="31"/>
      <c r="E15" s="37" t="s">
        <v>205</v>
      </c>
      <c r="F15" s="37" t="s">
        <v>205</v>
      </c>
      <c r="G15" s="31"/>
      <c r="H15" s="31"/>
      <c r="I15" s="37" t="s">
        <v>205</v>
      </c>
      <c r="J15" s="37" t="s">
        <v>205</v>
      </c>
      <c r="K15" s="37" t="s">
        <v>205</v>
      </c>
      <c r="L15" s="37" t="s">
        <v>205</v>
      </c>
    </row>
    <row r="16" spans="1:12">
      <c r="A16" s="31" t="s">
        <v>258</v>
      </c>
      <c r="B16" s="31" t="s">
        <v>8</v>
      </c>
      <c r="C16" s="31"/>
      <c r="D16" s="31"/>
      <c r="E16" s="37" t="s">
        <v>205</v>
      </c>
      <c r="F16" s="37" t="s">
        <v>205</v>
      </c>
      <c r="G16" s="31"/>
      <c r="H16" s="31"/>
      <c r="I16" s="37" t="s">
        <v>205</v>
      </c>
      <c r="J16" s="37" t="s">
        <v>205</v>
      </c>
      <c r="K16" s="37" t="s">
        <v>205</v>
      </c>
      <c r="L16" s="37" t="s">
        <v>205</v>
      </c>
    </row>
    <row r="17" spans="1:12">
      <c r="A17" s="32" t="s">
        <v>260</v>
      </c>
      <c r="B17" s="32" t="s">
        <v>261</v>
      </c>
      <c r="C17" s="33"/>
      <c r="D17" s="34"/>
      <c r="E17" s="34"/>
      <c r="F17" s="34"/>
      <c r="G17" s="34"/>
      <c r="H17" s="34"/>
      <c r="I17" s="34"/>
      <c r="J17" s="34"/>
      <c r="K17" s="34"/>
      <c r="L17" s="35"/>
    </row>
    <row r="18" spans="1:12">
      <c r="A18" s="31" t="s">
        <v>262</v>
      </c>
      <c r="B18" s="31" t="s">
        <v>192</v>
      </c>
      <c r="C18" s="31"/>
      <c r="D18" s="31"/>
      <c r="E18" s="31"/>
      <c r="F18" s="31"/>
      <c r="G18" s="31"/>
      <c r="H18" s="31"/>
      <c r="I18" s="31"/>
      <c r="J18" s="31"/>
      <c r="K18" s="31"/>
      <c r="L18" s="31"/>
    </row>
    <row r="19" spans="1:12">
      <c r="A19" s="31" t="s">
        <v>262</v>
      </c>
      <c r="B19" s="31" t="s">
        <v>193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</row>
    <row r="20" spans="1:12">
      <c r="A20" s="31" t="s">
        <v>262</v>
      </c>
      <c r="B20" s="38" t="s">
        <v>194</v>
      </c>
      <c r="C20" s="31"/>
      <c r="D20" s="31"/>
      <c r="E20" s="31"/>
      <c r="F20" s="31"/>
      <c r="G20" s="31"/>
      <c r="H20" s="31"/>
      <c r="I20" s="31"/>
      <c r="J20" s="31"/>
      <c r="K20" s="31"/>
      <c r="L20" s="31"/>
    </row>
    <row r="21" spans="1:12">
      <c r="A21" s="31" t="s">
        <v>262</v>
      </c>
      <c r="B21" s="31" t="s">
        <v>195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</row>
    <row r="22" spans="1:12">
      <c r="A22" s="31" t="s">
        <v>262</v>
      </c>
      <c r="B22" s="31" t="s">
        <v>196</v>
      </c>
      <c r="C22" s="31"/>
      <c r="D22" s="31"/>
      <c r="E22" s="31"/>
      <c r="F22" s="31"/>
      <c r="G22" s="31"/>
      <c r="H22" s="31"/>
      <c r="I22" s="31"/>
      <c r="J22" s="31"/>
      <c r="K22" s="31"/>
      <c r="L22" s="31"/>
    </row>
    <row r="23" spans="1:12">
      <c r="A23" s="32" t="s">
        <v>263</v>
      </c>
      <c r="B23" s="32" t="s">
        <v>264</v>
      </c>
      <c r="C23" s="33"/>
      <c r="D23" s="34"/>
      <c r="E23" s="34"/>
      <c r="F23" s="34"/>
      <c r="G23" s="34"/>
      <c r="H23" s="34"/>
      <c r="I23" s="34"/>
      <c r="J23" s="34"/>
      <c r="K23" s="34"/>
      <c r="L23" s="35"/>
    </row>
    <row r="24" spans="1:12">
      <c r="A24" s="31" t="s">
        <v>265</v>
      </c>
      <c r="B24" s="31" t="s">
        <v>198</v>
      </c>
      <c r="C24" s="31"/>
      <c r="D24" s="31"/>
      <c r="E24" s="31"/>
      <c r="F24" s="31"/>
      <c r="G24" s="31"/>
      <c r="H24" s="31"/>
      <c r="I24" s="31"/>
      <c r="J24" s="31"/>
      <c r="K24" s="31"/>
      <c r="L24" s="31"/>
    </row>
    <row r="25" spans="1:12">
      <c r="A25" s="31" t="s">
        <v>265</v>
      </c>
      <c r="B25" s="39" t="s">
        <v>200</v>
      </c>
      <c r="C25" s="31"/>
      <c r="D25" s="31"/>
      <c r="E25" s="31"/>
      <c r="F25" s="31"/>
      <c r="G25" s="31"/>
      <c r="H25" s="31"/>
      <c r="I25" s="31"/>
      <c r="J25" s="31"/>
      <c r="K25" s="31"/>
      <c r="L25" s="31"/>
    </row>
    <row r="26" spans="1:12">
      <c r="A26" s="31" t="s">
        <v>265</v>
      </c>
      <c r="B26" s="31" t="s">
        <v>201</v>
      </c>
      <c r="C26" s="31"/>
      <c r="D26" s="31"/>
      <c r="E26" s="31"/>
      <c r="F26" s="31"/>
      <c r="G26" s="31"/>
      <c r="H26" s="31"/>
      <c r="I26" s="31"/>
      <c r="J26" s="31"/>
      <c r="K26" s="31"/>
      <c r="L26" s="31"/>
    </row>
    <row r="27" spans="1:12">
      <c r="A27" s="31" t="s">
        <v>265</v>
      </c>
      <c r="B27" s="31" t="s">
        <v>202</v>
      </c>
      <c r="C27" s="31"/>
      <c r="D27" s="31"/>
      <c r="E27" s="31"/>
      <c r="F27" s="31"/>
      <c r="G27" s="31"/>
      <c r="H27" s="31"/>
      <c r="I27" s="31"/>
      <c r="J27" s="31"/>
      <c r="K27" s="31"/>
      <c r="L27" s="31"/>
    </row>
    <row r="28" spans="1:12">
      <c r="A28" s="31" t="s">
        <v>265</v>
      </c>
      <c r="B28" s="31" t="s">
        <v>203</v>
      </c>
      <c r="C28" s="31"/>
      <c r="D28" s="31"/>
      <c r="E28" s="31"/>
      <c r="F28" s="31"/>
      <c r="G28" s="31"/>
      <c r="H28" s="31"/>
      <c r="I28" s="31"/>
      <c r="J28" s="31"/>
      <c r="K28" s="31"/>
      <c r="L28" s="31"/>
    </row>
    <row r="29" spans="1:12">
      <c r="A29" s="31" t="s">
        <v>265</v>
      </c>
      <c r="B29" s="31" t="s">
        <v>204</v>
      </c>
      <c r="C29" s="31"/>
      <c r="D29" s="31"/>
      <c r="E29" s="31"/>
      <c r="F29" s="31"/>
      <c r="G29" s="31"/>
      <c r="H29" s="31"/>
      <c r="I29" s="31"/>
      <c r="J29" s="31"/>
      <c r="K29" s="31"/>
      <c r="L29" s="31"/>
    </row>
    <row r="30" spans="1:12">
      <c r="A30" s="32" t="s">
        <v>266</v>
      </c>
      <c r="B30" s="32" t="s">
        <v>132</v>
      </c>
      <c r="C30" s="33"/>
      <c r="D30" s="34"/>
      <c r="E30" s="34"/>
      <c r="F30" s="34"/>
      <c r="G30" s="34"/>
      <c r="H30" s="34"/>
      <c r="I30" s="34"/>
      <c r="J30" s="34"/>
      <c r="K30" s="34"/>
      <c r="L30" s="35"/>
    </row>
    <row r="31" spans="1:12">
      <c r="A31" s="32" t="s">
        <v>266</v>
      </c>
      <c r="B31" s="32" t="s">
        <v>267</v>
      </c>
      <c r="C31" s="33"/>
      <c r="D31" s="34"/>
      <c r="E31" s="34"/>
      <c r="F31" s="34"/>
      <c r="G31" s="34"/>
      <c r="H31" s="34"/>
      <c r="I31" s="34"/>
      <c r="J31" s="34"/>
      <c r="K31" s="34"/>
      <c r="L31" s="35"/>
    </row>
    <row r="32" spans="1:12">
      <c r="A32" s="32" t="s">
        <v>266</v>
      </c>
      <c r="B32" s="32" t="s">
        <v>140</v>
      </c>
      <c r="C32" s="33"/>
      <c r="D32" s="34"/>
      <c r="E32" s="34"/>
      <c r="F32" s="34"/>
      <c r="G32" s="34"/>
      <c r="H32" s="34"/>
      <c r="I32" s="34"/>
      <c r="J32" s="34"/>
      <c r="K32" s="34"/>
      <c r="L32" s="35"/>
    </row>
    <row r="33" spans="1:12">
      <c r="A33" s="32" t="s">
        <v>266</v>
      </c>
      <c r="B33" s="32" t="s">
        <v>143</v>
      </c>
      <c r="C33" s="33"/>
      <c r="D33" s="34"/>
      <c r="E33" s="34"/>
      <c r="F33" s="34"/>
      <c r="G33" s="34"/>
      <c r="H33" s="34"/>
      <c r="I33" s="34"/>
      <c r="J33" s="34"/>
      <c r="K33" s="34"/>
      <c r="L33" s="35"/>
    </row>
    <row r="34" spans="1:12">
      <c r="A34" s="31" t="s">
        <v>178</v>
      </c>
      <c r="B34" s="31" t="s">
        <v>152</v>
      </c>
      <c r="C34" s="37" t="s">
        <v>205</v>
      </c>
      <c r="D34" s="37" t="s">
        <v>205</v>
      </c>
      <c r="E34" s="37" t="s">
        <v>205</v>
      </c>
      <c r="F34" s="37" t="s">
        <v>205</v>
      </c>
      <c r="G34" s="37" t="s">
        <v>205</v>
      </c>
      <c r="H34" s="37" t="s">
        <v>205</v>
      </c>
      <c r="I34" s="31"/>
      <c r="J34" s="31"/>
      <c r="K34" s="31"/>
      <c r="L34" s="31"/>
    </row>
    <row r="35" spans="1:12">
      <c r="A35" s="31" t="s">
        <v>178</v>
      </c>
      <c r="B35" s="31" t="s">
        <v>206</v>
      </c>
      <c r="C35" s="37" t="s">
        <v>205</v>
      </c>
      <c r="D35" s="37" t="s">
        <v>205</v>
      </c>
      <c r="E35" s="37" t="s">
        <v>205</v>
      </c>
      <c r="F35" s="37" t="s">
        <v>205</v>
      </c>
      <c r="G35" s="37" t="s">
        <v>205</v>
      </c>
      <c r="H35" s="37" t="s">
        <v>205</v>
      </c>
      <c r="I35" s="31"/>
      <c r="J35" s="31"/>
      <c r="K35" s="31"/>
      <c r="L35" s="31"/>
    </row>
    <row r="36" spans="1:12">
      <c r="A36" s="31" t="s">
        <v>178</v>
      </c>
      <c r="B36" s="31" t="s">
        <v>154</v>
      </c>
      <c r="C36" s="37" t="s">
        <v>205</v>
      </c>
      <c r="D36" s="37" t="s">
        <v>205</v>
      </c>
      <c r="E36" s="37" t="s">
        <v>205</v>
      </c>
      <c r="F36" s="37" t="s">
        <v>205</v>
      </c>
      <c r="G36" s="37" t="s">
        <v>205</v>
      </c>
      <c r="H36" s="37" t="s">
        <v>205</v>
      </c>
      <c r="I36" s="31"/>
      <c r="J36" s="31"/>
      <c r="K36" s="31"/>
      <c r="L36" s="31"/>
    </row>
  </sheetData>
  <mergeCells count="19">
    <mergeCell ref="A1:L1"/>
    <mergeCell ref="B2:L2"/>
    <mergeCell ref="C3:H3"/>
    <mergeCell ref="I3:L3"/>
    <mergeCell ref="C4:D4"/>
    <mergeCell ref="E4:F4"/>
    <mergeCell ref="G4:H4"/>
    <mergeCell ref="I4:J4"/>
    <mergeCell ref="K4:L4"/>
    <mergeCell ref="C11:L11"/>
    <mergeCell ref="C12:L12"/>
    <mergeCell ref="C17:L17"/>
    <mergeCell ref="C23:L23"/>
    <mergeCell ref="C30:L30"/>
    <mergeCell ref="C31:L31"/>
    <mergeCell ref="C32:L32"/>
    <mergeCell ref="C33:L33"/>
    <mergeCell ref="A3:A5"/>
    <mergeCell ref="B3:B5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F31"/>
  <sheetViews>
    <sheetView zoomScale="130" zoomScaleNormal="130" workbookViewId="0">
      <selection activeCell="G13" sqref="G13"/>
    </sheetView>
  </sheetViews>
  <sheetFormatPr defaultColWidth="8.88888888888889" defaultRowHeight="14.4" outlineLevelCol="5"/>
  <cols>
    <col min="1" max="1" width="24.8888888888889" style="16" customWidth="1"/>
    <col min="2" max="2" width="34.4444444444444" style="16" customWidth="1"/>
    <col min="3" max="3" width="9.66666666666667" style="16"/>
    <col min="4" max="4" width="8.88888888888889" style="16"/>
    <col min="5" max="5" width="9.66666666666667" style="16"/>
    <col min="6" max="6" width="12.5648148148148" customWidth="1"/>
  </cols>
  <sheetData>
    <row r="1" spans="1:6">
      <c r="A1" s="17" t="s">
        <v>171</v>
      </c>
      <c r="B1" s="17" t="s">
        <v>268</v>
      </c>
      <c r="C1" s="17" t="s">
        <v>269</v>
      </c>
      <c r="D1" s="17" t="s">
        <v>270</v>
      </c>
      <c r="E1" s="17" t="s">
        <v>24</v>
      </c>
      <c r="F1" s="17" t="s">
        <v>271</v>
      </c>
    </row>
    <row r="2" spans="1:6">
      <c r="A2" s="16" t="s">
        <v>187</v>
      </c>
      <c r="B2" s="16" t="s">
        <v>272</v>
      </c>
      <c r="C2" s="16">
        <v>65303.62</v>
      </c>
      <c r="D2" s="16">
        <v>63965</v>
      </c>
      <c r="E2" s="16">
        <f>D2-C2</f>
        <v>-1338.62</v>
      </c>
    </row>
    <row r="3" spans="1:6">
      <c r="A3" s="16" t="s">
        <v>187</v>
      </c>
      <c r="B3" s="16" t="s">
        <v>273</v>
      </c>
      <c r="C3" s="16">
        <v>9714.6</v>
      </c>
      <c r="D3" s="16">
        <v>9617</v>
      </c>
      <c r="E3" s="16">
        <f>D3-C3</f>
        <v>-97.6000000000004</v>
      </c>
    </row>
    <row r="4" spans="1:6">
      <c r="A4" s="16" t="s">
        <v>187</v>
      </c>
      <c r="B4" s="16" t="s">
        <v>274</v>
      </c>
      <c r="C4" s="16">
        <v>1063</v>
      </c>
      <c r="D4" s="16">
        <v>970</v>
      </c>
      <c r="E4" s="16">
        <f>D4-C4</f>
        <v>-93</v>
      </c>
    </row>
    <row r="5" spans="1:6">
      <c r="A5" s="16" t="s">
        <v>187</v>
      </c>
      <c r="B5" s="16" t="s">
        <v>275</v>
      </c>
      <c r="C5" s="16">
        <v>678</v>
      </c>
      <c r="D5" s="16">
        <v>416</v>
      </c>
      <c r="E5" s="16">
        <f>D5-C5</f>
        <v>-262</v>
      </c>
    </row>
    <row r="6" spans="1:6">
      <c r="A6" s="16" t="s">
        <v>187</v>
      </c>
      <c r="B6" s="16" t="s">
        <v>276</v>
      </c>
      <c r="C6" s="16">
        <v>4</v>
      </c>
      <c r="D6" s="16">
        <v>5</v>
      </c>
      <c r="E6" s="16">
        <f>D6-C6</f>
        <v>1</v>
      </c>
    </row>
    <row r="7" spans="1:6">
      <c r="A7" s="16" t="s">
        <v>187</v>
      </c>
      <c r="B7" s="16" t="s">
        <v>277</v>
      </c>
      <c r="C7" s="16" t="s">
        <v>278</v>
      </c>
      <c r="D7" s="16">
        <v>21022</v>
      </c>
    </row>
    <row r="8" spans="1:6">
      <c r="A8" s="16" t="s">
        <v>187</v>
      </c>
      <c r="B8" s="16" t="s">
        <v>279</v>
      </c>
      <c r="C8" s="16" t="s">
        <v>278</v>
      </c>
      <c r="D8" s="16">
        <v>283</v>
      </c>
    </row>
    <row r="9" spans="1:6">
      <c r="A9" s="16" t="s">
        <v>187</v>
      </c>
      <c r="B9" s="16" t="s">
        <v>280</v>
      </c>
      <c r="C9" s="16">
        <v>178</v>
      </c>
      <c r="D9" s="16">
        <v>278</v>
      </c>
      <c r="E9" s="16">
        <f>D9-C9</f>
        <v>100</v>
      </c>
    </row>
    <row r="10" ht="28.8" spans="1:6">
      <c r="A10" s="16" t="s">
        <v>187</v>
      </c>
      <c r="B10" s="18" t="s">
        <v>281</v>
      </c>
      <c r="F10" s="19" t="s">
        <v>282</v>
      </c>
    </row>
    <row r="15" spans="1:6">
      <c r="A15" s="17" t="s">
        <v>283</v>
      </c>
      <c r="B15" s="17" t="s">
        <v>210</v>
      </c>
      <c r="C15" s="17" t="s">
        <v>284</v>
      </c>
    </row>
    <row r="16" spans="1:6">
      <c r="A16" s="20" t="s">
        <v>285</v>
      </c>
      <c r="B16" s="20" t="s">
        <v>230</v>
      </c>
    </row>
    <row r="17" spans="1:4">
      <c r="A17" s="20" t="s">
        <v>286</v>
      </c>
      <c r="B17" s="20" t="s">
        <v>287</v>
      </c>
    </row>
    <row r="18" spans="1:4">
      <c r="A18" s="20" t="s">
        <v>288</v>
      </c>
      <c r="B18" s="20" t="s">
        <v>289</v>
      </c>
    </row>
    <row r="19" spans="1:4">
      <c r="A19" s="20" t="s">
        <v>290</v>
      </c>
      <c r="B19" s="20" t="s">
        <v>291</v>
      </c>
    </row>
    <row r="20" spans="1:4">
      <c r="A20" s="20"/>
    </row>
    <row r="23" spans="1:4">
      <c r="A23" s="17" t="s">
        <v>292</v>
      </c>
      <c r="C23" s="17" t="s">
        <v>293</v>
      </c>
    </row>
    <row r="24" spans="1:4">
      <c r="A24" s="16" t="s">
        <v>294</v>
      </c>
    </row>
    <row r="25" spans="1:4">
      <c r="A25" s="16" t="s">
        <v>232</v>
      </c>
      <c r="B25" s="16" t="s">
        <v>243</v>
      </c>
    </row>
    <row r="26" spans="1:4">
      <c r="B26" s="16" t="s">
        <v>82</v>
      </c>
    </row>
    <row r="27" spans="1:4">
      <c r="B27" s="16" t="s">
        <v>44</v>
      </c>
    </row>
    <row r="28" spans="1:4">
      <c r="B28" s="16" t="s">
        <v>295</v>
      </c>
    </row>
    <row r="30" spans="1:4">
      <c r="C30" s="16" t="s">
        <v>73</v>
      </c>
      <c r="D30" s="16" t="s">
        <v>296</v>
      </c>
    </row>
    <row r="31" spans="1:4">
      <c r="C31" s="16" t="s">
        <v>76</v>
      </c>
      <c r="D31" s="16" t="s">
        <v>297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F27"/>
  <sheetViews>
    <sheetView workbookViewId="0">
      <selection activeCell="A12" sqref="$A12:$XFD12"/>
    </sheetView>
  </sheetViews>
  <sheetFormatPr defaultColWidth="8.88888888888889" defaultRowHeight="14.4" outlineLevelCol="5"/>
  <cols>
    <col min="4" max="4" width="11.4444444444444" customWidth="1"/>
    <col min="5" max="5" width="12.5555555555556" customWidth="1"/>
    <col min="6" max="6" width="20.8888888888889" customWidth="1"/>
  </cols>
  <sheetData>
    <row r="1" spans="1:6">
      <c r="A1" s="1" t="s">
        <v>298</v>
      </c>
      <c r="B1" s="1" t="s">
        <v>82</v>
      </c>
      <c r="C1" s="2" t="s">
        <v>299</v>
      </c>
      <c r="D1" s="3" t="s">
        <v>300</v>
      </c>
      <c r="E1" s="4" t="s">
        <v>301</v>
      </c>
      <c r="F1" s="5"/>
    </row>
    <row r="2" spans="1:6">
      <c r="A2" s="6">
        <v>1</v>
      </c>
      <c r="B2" s="7" t="s">
        <v>302</v>
      </c>
      <c r="C2" s="8" t="s">
        <v>303</v>
      </c>
      <c r="D2" s="8" t="s">
        <v>304</v>
      </c>
      <c r="E2" s="8" t="s">
        <v>305</v>
      </c>
      <c r="F2" s="5"/>
    </row>
    <row r="3" spans="1:6">
      <c r="A3" s="6">
        <v>2</v>
      </c>
      <c r="B3" s="7"/>
      <c r="C3" s="8" t="s">
        <v>306</v>
      </c>
      <c r="D3" s="8" t="s">
        <v>307</v>
      </c>
      <c r="E3" s="8" t="s">
        <v>305</v>
      </c>
      <c r="F3" s="5"/>
    </row>
    <row r="4" spans="1:6">
      <c r="A4" s="6">
        <v>3</v>
      </c>
      <c r="B4" s="7"/>
      <c r="C4" s="8" t="s">
        <v>308</v>
      </c>
      <c r="D4" s="8" t="s">
        <v>309</v>
      </c>
      <c r="E4" s="8" t="s">
        <v>305</v>
      </c>
      <c r="F4" s="5"/>
    </row>
    <row r="5" spans="1:6">
      <c r="A5" s="6">
        <v>4</v>
      </c>
      <c r="B5" s="7"/>
      <c r="C5" s="8" t="s">
        <v>310</v>
      </c>
      <c r="D5" s="8" t="s">
        <v>311</v>
      </c>
      <c r="E5" s="8" t="s">
        <v>305</v>
      </c>
      <c r="F5" s="5"/>
    </row>
    <row r="6" spans="1:6">
      <c r="A6" s="6">
        <v>5</v>
      </c>
      <c r="B6" s="7"/>
      <c r="C6" s="8" t="s">
        <v>312</v>
      </c>
      <c r="D6" s="8" t="s">
        <v>313</v>
      </c>
      <c r="E6" s="8" t="s">
        <v>305</v>
      </c>
      <c r="F6" s="5"/>
    </row>
    <row r="7" spans="1:6">
      <c r="A7" s="6">
        <v>6</v>
      </c>
      <c r="B7" s="7"/>
      <c r="C7" s="8" t="s">
        <v>314</v>
      </c>
      <c r="D7" s="8" t="s">
        <v>315</v>
      </c>
      <c r="E7" s="8" t="s">
        <v>305</v>
      </c>
      <c r="F7" s="5"/>
    </row>
    <row r="8" spans="1:6">
      <c r="A8" s="6">
        <v>7</v>
      </c>
      <c r="B8" s="9"/>
      <c r="C8" s="8" t="s">
        <v>316</v>
      </c>
      <c r="D8" s="8" t="s">
        <v>95</v>
      </c>
      <c r="E8" s="8" t="s">
        <v>317</v>
      </c>
      <c r="F8" s="5"/>
    </row>
    <row r="9" spans="1:6">
      <c r="A9" s="6"/>
      <c r="B9" s="7"/>
      <c r="C9" s="10" t="s">
        <v>318</v>
      </c>
      <c r="D9" s="10" t="s">
        <v>319</v>
      </c>
      <c r="E9" s="8"/>
      <c r="F9" s="5"/>
    </row>
    <row r="10" spans="1:6">
      <c r="A10" s="6">
        <v>8</v>
      </c>
      <c r="B10" s="7"/>
      <c r="C10" s="8" t="s">
        <v>320</v>
      </c>
      <c r="D10" s="8" t="s">
        <v>72</v>
      </c>
      <c r="E10" s="8" t="s">
        <v>305</v>
      </c>
      <c r="F10" s="5" t="s">
        <v>321</v>
      </c>
    </row>
    <row r="11" spans="1:6">
      <c r="A11" s="6">
        <v>9</v>
      </c>
      <c r="B11" s="7" t="s">
        <v>322</v>
      </c>
      <c r="C11" s="8" t="s">
        <v>323</v>
      </c>
      <c r="D11" s="8" t="s">
        <v>64</v>
      </c>
      <c r="E11" s="8" t="s">
        <v>305</v>
      </c>
      <c r="F11" s="5" t="s">
        <v>324</v>
      </c>
    </row>
    <row r="12" spans="1:6">
      <c r="A12" s="6">
        <v>10</v>
      </c>
      <c r="B12" s="7"/>
      <c r="C12" s="8" t="s">
        <v>325</v>
      </c>
      <c r="D12" s="8" t="s">
        <v>326</v>
      </c>
      <c r="E12" s="8" t="s">
        <v>327</v>
      </c>
      <c r="F12" s="5"/>
    </row>
    <row r="13" spans="1:6">
      <c r="A13" s="6">
        <v>11</v>
      </c>
      <c r="B13" s="7"/>
      <c r="C13" s="8" t="s">
        <v>328</v>
      </c>
      <c r="D13" s="8" t="s">
        <v>329</v>
      </c>
      <c r="E13" s="8" t="s">
        <v>305</v>
      </c>
      <c r="F13" s="5"/>
    </row>
    <row r="14" spans="1:6">
      <c r="A14" s="6">
        <v>12</v>
      </c>
      <c r="B14" s="7"/>
      <c r="C14" s="8" t="s">
        <v>330</v>
      </c>
      <c r="D14" s="8" t="s">
        <v>331</v>
      </c>
      <c r="E14" s="8" t="s">
        <v>305</v>
      </c>
      <c r="F14" s="5"/>
    </row>
    <row r="15" spans="1:6">
      <c r="A15" s="6">
        <v>13</v>
      </c>
      <c r="B15" s="7"/>
      <c r="C15" s="8" t="s">
        <v>332</v>
      </c>
      <c r="D15" s="8" t="s">
        <v>333</v>
      </c>
      <c r="E15" s="8" t="s">
        <v>305</v>
      </c>
      <c r="F15" s="5"/>
    </row>
    <row r="16" spans="1:6">
      <c r="A16" s="6">
        <v>14</v>
      </c>
      <c r="B16" s="7"/>
      <c r="C16" s="8" t="s">
        <v>334</v>
      </c>
      <c r="D16" s="8" t="s">
        <v>335</v>
      </c>
      <c r="E16" s="8" t="s">
        <v>305</v>
      </c>
      <c r="F16" s="5"/>
    </row>
    <row r="17" spans="1:6">
      <c r="A17" s="6">
        <v>15</v>
      </c>
      <c r="B17" s="7"/>
      <c r="C17" s="8" t="s">
        <v>336</v>
      </c>
      <c r="D17" s="8" t="s">
        <v>337</v>
      </c>
      <c r="E17" s="8" t="s">
        <v>305</v>
      </c>
      <c r="F17" s="5"/>
    </row>
    <row r="18" spans="1:6">
      <c r="A18" s="6">
        <v>16</v>
      </c>
      <c r="B18" s="7" t="s">
        <v>338</v>
      </c>
      <c r="C18" s="8" t="s">
        <v>339</v>
      </c>
      <c r="D18" s="8" t="s">
        <v>340</v>
      </c>
      <c r="E18" s="8" t="s">
        <v>305</v>
      </c>
      <c r="F18" s="5" t="s">
        <v>341</v>
      </c>
    </row>
    <row r="19" spans="1:6">
      <c r="A19" s="6">
        <v>17</v>
      </c>
      <c r="B19" s="7"/>
      <c r="C19" s="8" t="s">
        <v>342</v>
      </c>
      <c r="D19" s="8" t="s">
        <v>60</v>
      </c>
      <c r="E19" s="8" t="s">
        <v>305</v>
      </c>
      <c r="F19" s="5"/>
    </row>
    <row r="20" spans="1:6">
      <c r="A20" s="6">
        <v>18</v>
      </c>
      <c r="B20" s="7"/>
      <c r="C20" s="8" t="s">
        <v>343</v>
      </c>
      <c r="D20" s="8" t="s">
        <v>344</v>
      </c>
      <c r="E20" s="8" t="s">
        <v>305</v>
      </c>
      <c r="F20" s="5"/>
    </row>
    <row r="21" spans="1:6">
      <c r="A21" s="6">
        <v>19</v>
      </c>
      <c r="B21" s="7"/>
      <c r="C21" s="8" t="s">
        <v>345</v>
      </c>
      <c r="D21" s="8" t="s">
        <v>346</v>
      </c>
      <c r="E21" s="8" t="s">
        <v>305</v>
      </c>
      <c r="F21" s="5"/>
    </row>
    <row r="22" spans="1:6">
      <c r="A22" s="6">
        <v>20</v>
      </c>
      <c r="B22" s="7"/>
      <c r="C22" s="8" t="s">
        <v>347</v>
      </c>
      <c r="D22" s="8" t="s">
        <v>348</v>
      </c>
      <c r="E22" s="8" t="s">
        <v>305</v>
      </c>
      <c r="F22" s="5"/>
    </row>
    <row r="23" spans="1:6">
      <c r="A23" s="6">
        <v>21</v>
      </c>
      <c r="B23" s="7"/>
      <c r="C23" s="8" t="s">
        <v>349</v>
      </c>
      <c r="D23" s="8" t="s">
        <v>350</v>
      </c>
      <c r="E23" s="8" t="s">
        <v>305</v>
      </c>
      <c r="F23" s="5"/>
    </row>
    <row r="24" spans="1:6">
      <c r="A24" s="6">
        <v>22</v>
      </c>
      <c r="B24" s="7"/>
      <c r="C24" s="8" t="s">
        <v>351</v>
      </c>
      <c r="D24" s="8" t="s">
        <v>352</v>
      </c>
      <c r="E24" s="8" t="s">
        <v>305</v>
      </c>
      <c r="F24" s="5"/>
    </row>
    <row r="25" spans="1:6">
      <c r="A25" s="6">
        <v>23</v>
      </c>
      <c r="B25" s="11"/>
      <c r="C25" s="12" t="s">
        <v>353</v>
      </c>
      <c r="D25" s="12" t="s">
        <v>354</v>
      </c>
      <c r="E25" s="12" t="s">
        <v>305</v>
      </c>
      <c r="F25" s="5"/>
    </row>
    <row r="26" spans="1:6">
      <c r="A26" s="13">
        <v>26</v>
      </c>
      <c r="B26" s="14" t="s">
        <v>355</v>
      </c>
      <c r="C26" s="15" t="s">
        <v>356</v>
      </c>
      <c r="D26" s="15" t="s">
        <v>96</v>
      </c>
      <c r="E26" s="15" t="s">
        <v>305</v>
      </c>
      <c r="F26" s="5" t="s">
        <v>357</v>
      </c>
    </row>
    <row r="27" spans="1:6">
      <c r="A27" s="13">
        <v>27</v>
      </c>
      <c r="B27" s="14"/>
      <c r="C27" s="15" t="s">
        <v>358</v>
      </c>
      <c r="D27" s="15" t="s">
        <v>359</v>
      </c>
      <c r="E27" s="15" t="s">
        <v>305</v>
      </c>
      <c r="F27" s="5"/>
    </row>
  </sheetData>
  <mergeCells count="4">
    <mergeCell ref="B2:B10"/>
    <mergeCell ref="B11:B17"/>
    <mergeCell ref="B18:B25"/>
    <mergeCell ref="B26:B2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数据需求说明</vt:lpstr>
      <vt:lpstr>总览一级页面</vt:lpstr>
      <vt:lpstr>客户分析一级页面</vt:lpstr>
      <vt:lpstr>客户分析二级页面</vt:lpstr>
      <vt:lpstr>大客户目标</vt:lpstr>
      <vt:lpstr>产品分析二级页面</vt:lpstr>
      <vt:lpstr>产品分析三级页面（暂缓）</vt:lpstr>
      <vt:lpstr>毛利分析二级页面 </vt:lpstr>
      <vt:lpstr>毛利分析三级页面 </vt:lpstr>
      <vt:lpstr>大客户排行榜页面</vt:lpstr>
      <vt:lpstr>切片管理</vt:lpstr>
      <vt:lpstr>工作计划</vt:lpstr>
      <vt:lpstr>权限管理</vt:lpstr>
      <vt:lpstr>数据核对</vt:lpstr>
      <vt:lpstr>核对明细表</vt:lpstr>
      <vt:lpstr>角色权限表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Aohua</cp:lastModifiedBy>
  <dcterms:created xsi:type="dcterms:W3CDTF">2023-05-12T11:15:00Z</dcterms:created>
  <dcterms:modified xsi:type="dcterms:W3CDTF">2026-03-20T09:26:20Z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69DDD0598421490793CC20BDCA4A0FBE_12</vt:lpwstr>
  </property>
  <property fmtid="{D5CDD505-2E9C-101B-9397-08002B2CF9AE}" pid="4" name="CalculationRule">
    <vt:i4>0</vt:i4>
  </property>
</Properties>
</file>