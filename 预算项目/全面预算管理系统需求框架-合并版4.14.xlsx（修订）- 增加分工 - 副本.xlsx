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075" tabRatio="946"/>
  </bookViews>
  <sheets>
    <sheet name="目录" sheetId="171" r:id="rId1"/>
    <sheet name="总体指标" sheetId="5" r:id="rId2"/>
    <sheet name="年度利润表" sheetId="6" r:id="rId3"/>
    <sheet name="月度利润表" sheetId="7" r:id="rId4"/>
    <sheet name="产线贡献表" sheetId="11" r:id="rId5"/>
    <sheet name="人效表" sheetId="79" r:id="rId6"/>
    <sheet name="基础档案" sheetId="12" r:id="rId7"/>
    <sheet name="物料档案" sheetId="13" r:id="rId8"/>
    <sheet name="A5 表样-聚焦镇量利（查阅）" sheetId="8" r:id="rId9"/>
    <sheet name="A6 表样-大类量利（查阅）" sheetId="9" r:id="rId10"/>
    <sheet name="A7 大类小类量利（查阅）" sheetId="10" r:id="rId11"/>
    <sheet name="新增-产品系列配销差及吨毛利（查阅）" sheetId="106" r:id="rId12"/>
    <sheet name="A9-表样-客户产品毛利表（外销）" sheetId="78" r:id="rId13"/>
    <sheet name="A9-表样-客户产品毛利表（内销）" sheetId="80" r:id="rId14"/>
    <sheet name="查阅-产品生产成本" sheetId="117" r:id="rId15"/>
    <sheet name=" 单吨制造费用-生产、财务-查阅" sheetId="91" r:id="rId16"/>
    <sheet name="查阅-动保产品大类毛利" sheetId="110" r:id="rId17"/>
    <sheet name="查阅-动保产品大类毛利 (分月)" sheetId="112" r:id="rId18"/>
    <sheet name="查阅-动保产品公司毛利（分月）" sheetId="113" r:id="rId19"/>
    <sheet name="查阅-动保产品毛利表（明细）" sheetId="111" r:id="rId20"/>
    <sheet name="填写-饲料销量-营销部" sheetId="82" r:id="rId21"/>
    <sheet name="填写-动保销售额-营销部" sheetId="85" r:id="rId22"/>
    <sheet name="填写-动保发酵料-营销部" sheetId="104" r:id="rId23"/>
    <sheet name="填写-动保销售额（除发酵料）删除-动保公司填写" sheetId="115" r:id="rId24"/>
    <sheet name="填写-动保销量（发酵料）删除--动保公司填写" sheetId="116" r:id="rId25"/>
    <sheet name="填写-动保成本（除发酵料）--动保公司填写" sheetId="108" r:id="rId26"/>
    <sheet name="填写-动保成本（发酵料）--动保公司填写" sheetId="109" r:id="rId27"/>
    <sheet name="填写-内部代工（需求方）-营业部" sheetId="105" r:id="rId28"/>
    <sheet name="填写-内部代工（生产方）-财务" sheetId="103" r:id="rId29"/>
    <sheet name="填写-产品价目表-财务部" sheetId="87" r:id="rId30"/>
    <sheet name="填写-配方成本-配方师" sheetId="89" r:id="rId31"/>
    <sheet name="填写-产品折扣-财务部" sheetId="88" r:id="rId32"/>
    <sheet name="填写-包材成本-采购、财务" sheetId="90" r:id="rId33"/>
    <sheet name="填写-主要原料价格-采购" sheetId="148" r:id="rId34"/>
    <sheet name="表3 产量-生产产量填报表" sheetId="149" r:id="rId35"/>
    <sheet name="表3 产量-汇总表（按大类）" sheetId="150" r:id="rId36"/>
    <sheet name="制造费用-填报生产部" sheetId="151" r:id="rId37"/>
    <sheet name="单吨制费计算表" sheetId="152" r:id="rId38"/>
    <sheet name="表4.1 人员定编表（四定表）明细- 人资" sheetId="121" r:id="rId39"/>
    <sheet name="人工成本明细-人资" sheetId="122" r:id="rId40"/>
    <sheet name="表7 表样-销费" sheetId="40" r:id="rId41"/>
    <sheet name="表7.1 表样-销费科目明细" sheetId="41" r:id="rId42"/>
    <sheet name="填写-职工福利费" sheetId="101" r:id="rId43"/>
    <sheet name="填写-销售推广费 (广告)" sheetId="97" r:id="rId44"/>
    <sheet name="填写-业务招待费" sheetId="92" r:id="rId45"/>
    <sheet name="填写-销售推广费 (物资推广) " sheetId="99" r:id="rId46"/>
    <sheet name="填写-会务费" sheetId="96" r:id="rId47"/>
    <sheet name="填写-其他销售费用-财务" sheetId="100" r:id="rId48"/>
    <sheet name="A8 表样-管费汇总-财务" sheetId="123" r:id="rId49"/>
    <sheet name="A8-1 表样-管费明细-财务" sheetId="124" r:id="rId50"/>
    <sheet name="管-职工福利费-人资" sheetId="126" r:id="rId51"/>
    <sheet name="管-差旅费-各部门" sheetId="127" r:id="rId52"/>
    <sheet name="管-业务招待费-各部门" sheetId="129" r:id="rId53"/>
    <sheet name="管-专业及政府费用-各部门" sheetId="130" r:id="rId54"/>
    <sheet name="管-员工培训" sheetId="131" r:id="rId55"/>
    <sheet name="管-招聘费用" sheetId="132" r:id="rId56"/>
    <sheet name="管-办公费用" sheetId="133" r:id="rId57"/>
    <sheet name="管-维修费" sheetId="134" r:id="rId58"/>
    <sheet name="管-房屋租金" sheetId="135" r:id="rId59"/>
    <sheet name="管-水电" sheetId="136" r:id="rId60"/>
    <sheet name="管-检测费" sheetId="137" r:id="rId61"/>
    <sheet name="管-运输费" sheetId="138" r:id="rId62"/>
    <sheet name="管-会务费" sheetId="139" r:id="rId63"/>
    <sheet name="管-公车费用" sheetId="140" r:id="rId64"/>
    <sheet name="管-其他管理费用" sheetId="142" r:id="rId65"/>
    <sheet name="专项激励-填报-各部门" sheetId="147" r:id="rId66"/>
    <sheet name="A9 表样-财务费用汇总-财务" sheetId="172" r:id="rId67"/>
    <sheet name="营业税金及附加-财务" sheetId="118" r:id="rId68"/>
    <sheet name="其他业务收支" sheetId="153" r:id="rId69"/>
    <sheet name="营业外收支" sheetId="154" r:id="rId70"/>
    <sheet name="所得税-财务" sheetId="119" r:id="rId71"/>
    <sheet name="特殊考核调整总数" sheetId="143" r:id="rId72"/>
    <sheet name="利润调整明细（填写）" sheetId="144" r:id="rId73"/>
    <sheet name="养殖基地汇总-查询" sheetId="145" r:id="rId74"/>
    <sheet name="填写-养殖基地-明细" sheetId="146" r:id="rId75"/>
    <sheet name="固定资产折旧费汇总-查询" sheetId="155" r:id="rId76"/>
    <sheet name="固定资产折旧费明细-查询表" sheetId="157" r:id="rId77"/>
    <sheet name="新增固定资产填报表(填报）各部门" sheetId="156" r:id="rId78"/>
    <sheet name="新增无形资产填报表(填报）财务部，信息部" sheetId="173" r:id="rId79"/>
    <sheet name="无形资产摊销汇总-查询" sheetId="175" r:id="rId80"/>
    <sheet name="无形资产摊销费明细-查询表" sheetId="174" r:id="rId81"/>
    <sheet name="查阅-公司（聚焦镇、大客户）汇总" sheetId="166" r:id="rId82"/>
    <sheet name="查阅-各产线汇总" sheetId="167" r:id="rId83"/>
    <sheet name="填写-公司汇总表" sheetId="168" r:id="rId84"/>
    <sheet name="饲料资金预算--查询表（财务部）" sheetId="169" r:id="rId85"/>
    <sheet name="填写-动保资金预算填报表-业务员" sheetId="170" r:id="rId86"/>
    <sheet name="填写-饲料资金预算填报表-业务员" sheetId="176" r:id="rId87"/>
  </sheets>
  <externalReferences>
    <externalReference r:id="rId88"/>
    <externalReference r:id="rId89"/>
    <externalReference r:id="rId90"/>
    <externalReference r:id="rId91"/>
  </externalReferences>
  <definedNames>
    <definedName name="_xlnm._FilterDatabase" localSheetId="0" hidden="1">目录!$A$1:$K$87</definedName>
    <definedName name="_xlnm._FilterDatabase" localSheetId="34" hidden="1">'表3 产量-生产产量填报表'!$A$10:$AC$21</definedName>
    <definedName name="_xlnm._FilterDatabase" localSheetId="38" hidden="1">'表4.1 人员定编表（四定表）明细- 人资'!$D$9:$D$139</definedName>
    <definedName name="_xlnm._FilterDatabase" localSheetId="48" hidden="1">'A8 表样-管费汇总-财务'!$A$9:$AA$34</definedName>
    <definedName name="_xlnm._FilterDatabase" localSheetId="67" hidden="1">'营业税金及附加-财务'!$A$9:$O$31</definedName>
    <definedName name="_xlnm._FilterDatabase" localSheetId="72" hidden="1">'利润调整明细（填写）'!$A$13:$G$24</definedName>
    <definedName name="_B471721" localSheetId="39">#REF!</definedName>
    <definedName name="_B471721">#REF!</definedName>
    <definedName name="_Fill" localSheetId="48" hidden="1">#REF!</definedName>
    <definedName name="_Fill" localSheetId="49" hidden="1">#REF!</definedName>
    <definedName name="_Fill" localSheetId="35" hidden="1">#REF!</definedName>
    <definedName name="_Fill" localSheetId="34" hidden="1">#REF!</definedName>
    <definedName name="_Fill" localSheetId="38" hidden="1">#REF!</definedName>
    <definedName name="_Fill" localSheetId="37" hidden="1">#REF!</definedName>
    <definedName name="_Fill" localSheetId="75" hidden="1">#REF!</definedName>
    <definedName name="_Fill" localSheetId="76" hidden="1">#REF!</definedName>
    <definedName name="_Fill" localSheetId="56" hidden="1">#REF!</definedName>
    <definedName name="_Fill" localSheetId="51" hidden="1">#REF!</definedName>
    <definedName name="_Fill" localSheetId="58" hidden="1">#REF!</definedName>
    <definedName name="_Fill" localSheetId="63" hidden="1">#REF!</definedName>
    <definedName name="_Fill" localSheetId="62" hidden="1">#REF!</definedName>
    <definedName name="_Fill" localSheetId="60" hidden="1">#REF!</definedName>
    <definedName name="_Fill" localSheetId="64" hidden="1">#REF!</definedName>
    <definedName name="_Fill" localSheetId="59" hidden="1">#REF!</definedName>
    <definedName name="_Fill" localSheetId="57" hidden="1">#REF!</definedName>
    <definedName name="_Fill" localSheetId="52" hidden="1">#REF!</definedName>
    <definedName name="_Fill" localSheetId="54" hidden="1">#REF!</definedName>
    <definedName name="_Fill" localSheetId="61" hidden="1">#REF!</definedName>
    <definedName name="_Fill" localSheetId="55" hidden="1">#REF!</definedName>
    <definedName name="_Fill" localSheetId="50" hidden="1">#REF!</definedName>
    <definedName name="_Fill" localSheetId="53" hidden="1">#REF!</definedName>
    <definedName name="_Fill" localSheetId="72" hidden="1">#REF!</definedName>
    <definedName name="_Fill" localSheetId="68" hidden="1">#REF!</definedName>
    <definedName name="_Fill" localSheetId="39" hidden="1">#REF!</definedName>
    <definedName name="_Fill" localSheetId="70" hidden="1">#REF!</definedName>
    <definedName name="_Fill" localSheetId="71" hidden="1">#REF!</definedName>
    <definedName name="_Fill" localSheetId="74" hidden="1">#REF!</definedName>
    <definedName name="_Fill" localSheetId="33" hidden="1">#REF!</definedName>
    <definedName name="_Fill" localSheetId="77" hidden="1">#REF!</definedName>
    <definedName name="_Fill" localSheetId="73" hidden="1">#REF!</definedName>
    <definedName name="_Fill" localSheetId="67" hidden="1">#REF!</definedName>
    <definedName name="_Fill" localSheetId="69" hidden="1">#REF!</definedName>
    <definedName name="_Fill" localSheetId="36" hidden="1">#REF!</definedName>
    <definedName name="_Fill" localSheetId="65" hidden="1">#REF!</definedName>
    <definedName name="_Fill" hidden="1">#REF!</definedName>
    <definedName name="_xlnm._FilterDatabase" localSheetId="49" hidden="1">'A8-1 表样-管费明细-财务'!$A$9:$AA$34</definedName>
    <definedName name="_xlnm._FilterDatabase" localSheetId="35" hidden="1">'表3 产量-汇总表（按大类）'!$A$9:$O$13</definedName>
    <definedName name="_xlnm._FilterDatabase" localSheetId="39" hidden="1">'人工成本明细-人资'!$A$12:$IT$61</definedName>
    <definedName name="_xlnm._FilterDatabase" localSheetId="84" hidden="1">'饲料资金预算--查询表（财务部）'!$A$12:$AY$12</definedName>
    <definedName name="A" localSheetId="48">#REF!</definedName>
    <definedName name="A" localSheetId="49">#REF!</definedName>
    <definedName name="A" localSheetId="35">#REF!</definedName>
    <definedName name="A" localSheetId="34">#REF!</definedName>
    <definedName name="A" localSheetId="38">#REF!</definedName>
    <definedName name="A" localSheetId="37">#REF!</definedName>
    <definedName name="A" localSheetId="75">#REF!</definedName>
    <definedName name="A" localSheetId="76">#REF!</definedName>
    <definedName name="A" localSheetId="56">#REF!</definedName>
    <definedName name="A" localSheetId="51">#REF!</definedName>
    <definedName name="A" localSheetId="58">#REF!</definedName>
    <definedName name="A" localSheetId="63">#REF!</definedName>
    <definedName name="A" localSheetId="62">#REF!</definedName>
    <definedName name="A" localSheetId="60">#REF!</definedName>
    <definedName name="A" localSheetId="64">#REF!</definedName>
    <definedName name="A" localSheetId="59">#REF!</definedName>
    <definedName name="A" localSheetId="57">#REF!</definedName>
    <definedName name="A" localSheetId="52">#REF!</definedName>
    <definedName name="A" localSheetId="54">#REF!</definedName>
    <definedName name="A" localSheetId="61">#REF!</definedName>
    <definedName name="A" localSheetId="55">#REF!</definedName>
    <definedName name="A" localSheetId="50">#REF!</definedName>
    <definedName name="A" localSheetId="53">#REF!</definedName>
    <definedName name="A" localSheetId="72">#REF!</definedName>
    <definedName name="A" localSheetId="68">#REF!</definedName>
    <definedName name="A" localSheetId="39">#REF!</definedName>
    <definedName name="A" localSheetId="70">#REF!</definedName>
    <definedName name="A" localSheetId="71">#REF!</definedName>
    <definedName name="A" localSheetId="74">#REF!</definedName>
    <definedName name="A" localSheetId="33">#REF!</definedName>
    <definedName name="A" localSheetId="77">#REF!</definedName>
    <definedName name="A" localSheetId="73">#REF!</definedName>
    <definedName name="A" localSheetId="67">#REF!</definedName>
    <definedName name="A" localSheetId="69">#REF!</definedName>
    <definedName name="A" localSheetId="36">#REF!</definedName>
    <definedName name="A" localSheetId="65">#REF!</definedName>
    <definedName name="A">#REF!</definedName>
    <definedName name="ACCT_AJE1" localSheetId="39" hidden="1">#REF!</definedName>
    <definedName name="ACCT_AJE1" hidden="1">#REF!</definedName>
    <definedName name="combo_1_1_data" localSheetId="39">#REF!</definedName>
    <definedName name="combo_1_1_data">#REF!</definedName>
    <definedName name="CompanyType" localSheetId="39">#REF!</definedName>
    <definedName name="CompanyType">#REF!</definedName>
    <definedName name="dadadadadad" localSheetId="39">#REF!</definedName>
    <definedName name="dadadadadad">#REF!</definedName>
    <definedName name="Database" localSheetId="48" hidden="1">#REF!</definedName>
    <definedName name="Database" localSheetId="49" hidden="1">#REF!</definedName>
    <definedName name="Database" localSheetId="35" hidden="1">#REF!</definedName>
    <definedName name="Database" localSheetId="34" hidden="1">#REF!</definedName>
    <definedName name="Database" localSheetId="38" hidden="1">#REF!</definedName>
    <definedName name="Database" localSheetId="37" hidden="1">#REF!</definedName>
    <definedName name="Database" localSheetId="75" hidden="1">#REF!</definedName>
    <definedName name="Database" localSheetId="76" hidden="1">#REF!</definedName>
    <definedName name="Database" localSheetId="56" hidden="1">#REF!</definedName>
    <definedName name="Database" localSheetId="51" hidden="1">#REF!</definedName>
    <definedName name="Database" localSheetId="58" hidden="1">#REF!</definedName>
    <definedName name="Database" localSheetId="63" hidden="1">#REF!</definedName>
    <definedName name="Database" localSheetId="62" hidden="1">#REF!</definedName>
    <definedName name="Database" localSheetId="60" hidden="1">#REF!</definedName>
    <definedName name="Database" localSheetId="64" hidden="1">#REF!</definedName>
    <definedName name="Database" localSheetId="59" hidden="1">#REF!</definedName>
    <definedName name="Database" localSheetId="57" hidden="1">#REF!</definedName>
    <definedName name="Database" localSheetId="52" hidden="1">#REF!</definedName>
    <definedName name="Database" localSheetId="54" hidden="1">#REF!</definedName>
    <definedName name="Database" localSheetId="61" hidden="1">#REF!</definedName>
    <definedName name="Database" localSheetId="55" hidden="1">#REF!</definedName>
    <definedName name="Database" localSheetId="50" hidden="1">#REF!</definedName>
    <definedName name="Database" localSheetId="53" hidden="1">#REF!</definedName>
    <definedName name="Database" localSheetId="72" hidden="1">#REF!</definedName>
    <definedName name="Database" localSheetId="68" hidden="1">#REF!</definedName>
    <definedName name="Database" localSheetId="39" hidden="1">#REF!</definedName>
    <definedName name="Database" localSheetId="70" hidden="1">#REF!</definedName>
    <definedName name="Database" localSheetId="71" hidden="1">#REF!</definedName>
    <definedName name="Database" localSheetId="74" hidden="1">#REF!</definedName>
    <definedName name="Database" localSheetId="33" hidden="1">#REF!</definedName>
    <definedName name="Database" localSheetId="77" hidden="1">#REF!</definedName>
    <definedName name="Database" localSheetId="73" hidden="1">#REF!</definedName>
    <definedName name="Database" localSheetId="67" hidden="1">#REF!</definedName>
    <definedName name="Database" localSheetId="69" hidden="1">#REF!</definedName>
    <definedName name="Database" localSheetId="36" hidden="1">#REF!</definedName>
    <definedName name="Database" localSheetId="65" hidden="1">#REF!</definedName>
    <definedName name="Database" hidden="1">#REF!</definedName>
    <definedName name="date" localSheetId="39">#REF!</definedName>
    <definedName name="date">#REF!</definedName>
    <definedName name="didi" localSheetId="35">#REF!</definedName>
    <definedName name="didi" localSheetId="34">#REF!</definedName>
    <definedName name="didi" localSheetId="37">#REF!</definedName>
    <definedName name="didi" localSheetId="75">#REF!</definedName>
    <definedName name="didi" localSheetId="76">#REF!</definedName>
    <definedName name="didi" localSheetId="72">#REF!</definedName>
    <definedName name="didi" localSheetId="68">#REF!</definedName>
    <definedName name="didi" localSheetId="39">#REF!</definedName>
    <definedName name="didi" localSheetId="74">#REF!</definedName>
    <definedName name="didi" localSheetId="33">#REF!</definedName>
    <definedName name="didi" localSheetId="77">#REF!</definedName>
    <definedName name="didi" localSheetId="73">#REF!</definedName>
    <definedName name="didi" localSheetId="69">#REF!</definedName>
    <definedName name="didi" localSheetId="36">#REF!</definedName>
    <definedName name="didi">#REF!</definedName>
    <definedName name="DSFD" localSheetId="39">#REF!</definedName>
    <definedName name="DSFD">#REF!</definedName>
    <definedName name="HTML_CodePage" hidden="1">936</definedName>
    <definedName name="HTML_Control" localSheetId="35" hidden="1">{"'消耗表4'!$A$1:$E$7"}</definedName>
    <definedName name="HTML_Control" localSheetId="34" hidden="1">{"'消耗表4'!$A$1:$E$7"}</definedName>
    <definedName name="HTML_Control" localSheetId="38" hidden="1">{"'消耗表4'!$A$1:$E$7"}</definedName>
    <definedName name="HTML_Control" hidden="1">{"'消耗表4'!$A$1:$E$7"}</definedName>
    <definedName name="HTML_Description" hidden="1">""</definedName>
    <definedName name="HTML_Email" hidden="1">""</definedName>
    <definedName name="HTML_Header" hidden="1">"消耗表4"</definedName>
    <definedName name="HTML_LastUpdate" hidden="1">"02-5-27"</definedName>
    <definedName name="HTML_LineAfter" hidden="1">FALSE</definedName>
    <definedName name="HTML_LineBefore" hidden="1">FALSE</definedName>
    <definedName name="HTML_Name" hidden="1">"siid"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"材料总表200425"</definedName>
    <definedName name="Kemu1" localSheetId="39">INDIRECT("目录!$B$2:$B$"&amp;COUNTA(#REF!))</definedName>
    <definedName name="Kemu1">INDIRECT("目录!$B$2:$B$"&amp;COUNTA(#REF!))</definedName>
    <definedName name="_xlnm.Print_Area" localSheetId="35" hidden="1">#REF!</definedName>
    <definedName name="_xlnm.Print_Area" localSheetId="34" hidden="1">#REF!</definedName>
    <definedName name="_xlnm.Print_Area" localSheetId="37" hidden="1">#REF!</definedName>
    <definedName name="_xlnm.Print_Area" localSheetId="75" hidden="1">#REF!</definedName>
    <definedName name="_xlnm.Print_Area" localSheetId="76" hidden="1">#REF!</definedName>
    <definedName name="_xlnm.Print_Area" localSheetId="72" hidden="1">#REF!</definedName>
    <definedName name="_xlnm.Print_Area" localSheetId="68" hidden="1">#REF!</definedName>
    <definedName name="_xlnm.Print_Area" localSheetId="39" hidden="1">#REF!</definedName>
    <definedName name="_xlnm.Print_Area" localSheetId="74" hidden="1">#REF!</definedName>
    <definedName name="_xlnm.Print_Area" localSheetId="33" hidden="1">#REF!</definedName>
    <definedName name="_xlnm.Print_Area" localSheetId="77" hidden="1">#REF!</definedName>
    <definedName name="_xlnm.Print_Area" localSheetId="73" hidden="1">#REF!</definedName>
    <definedName name="_xlnm.Print_Area" localSheetId="69" hidden="1">#REF!</definedName>
    <definedName name="_xlnm.Print_Area" localSheetId="36" hidden="1">#REF!</definedName>
    <definedName name="_xlnm.Print_Area" hidden="1">#REF!</definedName>
    <definedName name="Print_Area_MI" localSheetId="35">#REF!</definedName>
    <definedName name="Print_Area_MI" localSheetId="34">#REF!</definedName>
    <definedName name="Print_Area_MI" localSheetId="37">#REF!</definedName>
    <definedName name="Print_Area_MI" localSheetId="75">#REF!</definedName>
    <definedName name="Print_Area_MI" localSheetId="76">#REF!</definedName>
    <definedName name="Print_Area_MI" localSheetId="72">#REF!</definedName>
    <definedName name="Print_Area_MI" localSheetId="68">#REF!</definedName>
    <definedName name="Print_Area_MI" localSheetId="39">#REF!</definedName>
    <definedName name="Print_Area_MI" localSheetId="74">#REF!</definedName>
    <definedName name="Print_Area_MI" localSheetId="33">#REF!</definedName>
    <definedName name="Print_Area_MI" localSheetId="77">#REF!</definedName>
    <definedName name="Print_Area_MI" localSheetId="73">#REF!</definedName>
    <definedName name="Print_Area_MI" localSheetId="69">#REF!</definedName>
    <definedName name="Print_Area_MI" localSheetId="36">#REF!</definedName>
    <definedName name="Print_Area_MI">#REF!</definedName>
    <definedName name="select" localSheetId="35">#REF!</definedName>
    <definedName name="select" localSheetId="34">#REF!</definedName>
    <definedName name="select" localSheetId="37">#REF!</definedName>
    <definedName name="select" localSheetId="75">#REF!</definedName>
    <definedName name="select" localSheetId="76">#REF!</definedName>
    <definedName name="select" localSheetId="72">#REF!</definedName>
    <definedName name="select" localSheetId="68">#REF!</definedName>
    <definedName name="select" localSheetId="39">#REF!</definedName>
    <definedName name="select" localSheetId="74">#REF!</definedName>
    <definedName name="select" localSheetId="33">#REF!</definedName>
    <definedName name="select" localSheetId="77">#REF!</definedName>
    <definedName name="select" localSheetId="73">#REF!</definedName>
    <definedName name="select" localSheetId="69">#REF!</definedName>
    <definedName name="select" localSheetId="36">#REF!</definedName>
    <definedName name="select">#REF!</definedName>
    <definedName name="Sheet_AcctClass" localSheetId="39" hidden="1">#REF!</definedName>
    <definedName name="Sheet_AcctClass" hidden="1">#REF!</definedName>
    <definedName name="Sheet_AjeProof" localSheetId="39" hidden="1">#REF!</definedName>
    <definedName name="Sheet_AjeProof" hidden="1">#REF!</definedName>
    <definedName name="Sheet_AjeSatus" localSheetId="39" hidden="1">#REF!</definedName>
    <definedName name="Sheet_AjeSatus" hidden="1">#REF!</definedName>
    <definedName name="Sheet_ConTrialbal" localSheetId="39">#REF!</definedName>
    <definedName name="Sheet_ConTrialbal">#REF!</definedName>
    <definedName name="Sheet_Items" localSheetId="39" hidden="1">#REF!</definedName>
    <definedName name="Sheet_Items" hidden="1">#REF!</definedName>
    <definedName name="Sheet_Items2" localSheetId="39" hidden="1">#REF!</definedName>
    <definedName name="Sheet_Items2" hidden="1">#REF!</definedName>
    <definedName name="Sheet_MisstaCause" localSheetId="39" hidden="1">#REF!</definedName>
    <definedName name="Sheet_MisstaCause" hidden="1">#REF!</definedName>
    <definedName name="Sheet_MisstaType" localSheetId="39" hidden="1">#REF!</definedName>
    <definedName name="Sheet_MisstaType" hidden="1">#REF!</definedName>
    <definedName name="TM1REBUILDOPTION">1</definedName>
    <definedName name="啊" localSheetId="35">#REF!</definedName>
    <definedName name="啊" localSheetId="34">#REF!</definedName>
    <definedName name="啊" localSheetId="37">#REF!</definedName>
    <definedName name="啊" localSheetId="75">#REF!</definedName>
    <definedName name="啊" localSheetId="76">#REF!</definedName>
    <definedName name="啊" localSheetId="72">#REF!</definedName>
    <definedName name="啊" localSheetId="68">#REF!</definedName>
    <definedName name="啊" localSheetId="39">#REF!</definedName>
    <definedName name="啊" localSheetId="74">#REF!</definedName>
    <definedName name="啊" localSheetId="33">#REF!</definedName>
    <definedName name="啊" localSheetId="77">#REF!</definedName>
    <definedName name="啊" localSheetId="73">#REF!</definedName>
    <definedName name="啊" localSheetId="69">#REF!</definedName>
    <definedName name="啊" localSheetId="36">#REF!</definedName>
    <definedName name="啊">#REF!</definedName>
    <definedName name="澳保" localSheetId="72">#REF!</definedName>
    <definedName name="澳保" localSheetId="39">#REF!</definedName>
    <definedName name="澳保" localSheetId="74">#REF!</definedName>
    <definedName name="澳保" localSheetId="73">#REF!</definedName>
    <definedName name="澳保">#REF!</definedName>
    <definedName name="部门" localSheetId="39">OFFSET(#REF!,1,,COUNTA(#REF!))</definedName>
    <definedName name="部门">OFFSET(#REF!,1,,COUNTA(#REF!))</definedName>
    <definedName name="仓库选择" localSheetId="39">#REF!</definedName>
    <definedName name="仓库选择">#REF!</definedName>
    <definedName name="操作序列">[1]公式下拉表辅助!$F$4:$F$6</definedName>
    <definedName name="产品大类" localSheetId="48">#REF!</definedName>
    <definedName name="产品大类" localSheetId="49">#REF!</definedName>
    <definedName name="产品大类" localSheetId="35">#REF!</definedName>
    <definedName name="产品大类" localSheetId="34">#REF!</definedName>
    <definedName name="产品大类" localSheetId="38">#REF!</definedName>
    <definedName name="产品大类" localSheetId="37">#REF!</definedName>
    <definedName name="产品大类" localSheetId="75">#REF!</definedName>
    <definedName name="产品大类" localSheetId="76">#REF!</definedName>
    <definedName name="产品大类" localSheetId="56">#REF!</definedName>
    <definedName name="产品大类" localSheetId="51">#REF!</definedName>
    <definedName name="产品大类" localSheetId="58">#REF!</definedName>
    <definedName name="产品大类" localSheetId="63">#REF!</definedName>
    <definedName name="产品大类" localSheetId="62">#REF!</definedName>
    <definedName name="产品大类" localSheetId="60">#REF!</definedName>
    <definedName name="产品大类" localSheetId="64">#REF!</definedName>
    <definedName name="产品大类" localSheetId="59">#REF!</definedName>
    <definedName name="产品大类" localSheetId="57">#REF!</definedName>
    <definedName name="产品大类" localSheetId="52">#REF!</definedName>
    <definedName name="产品大类" localSheetId="54">#REF!</definedName>
    <definedName name="产品大类" localSheetId="61">#REF!</definedName>
    <definedName name="产品大类" localSheetId="55">#REF!</definedName>
    <definedName name="产品大类" localSheetId="50">#REF!</definedName>
    <definedName name="产品大类" localSheetId="53">#REF!</definedName>
    <definedName name="产品大类" localSheetId="72">#REF!</definedName>
    <definedName name="产品大类" localSheetId="68">#REF!</definedName>
    <definedName name="产品大类" localSheetId="39">#REF!</definedName>
    <definedName name="产品大类" localSheetId="70">#REF!</definedName>
    <definedName name="产品大类" localSheetId="71">#REF!</definedName>
    <definedName name="产品大类" localSheetId="74">#REF!</definedName>
    <definedName name="产品大类" localSheetId="33">#REF!</definedName>
    <definedName name="产品大类" localSheetId="77">#REF!</definedName>
    <definedName name="产品大类" localSheetId="73">#REF!</definedName>
    <definedName name="产品大类" localSheetId="67">#REF!</definedName>
    <definedName name="产品大类" localSheetId="69">#REF!</definedName>
    <definedName name="产品大类" localSheetId="36">#REF!</definedName>
    <definedName name="产品大类" localSheetId="65">#REF!</definedName>
    <definedName name="产品大类">#REF!</definedName>
    <definedName name="产品大类1" localSheetId="39">#REF!</definedName>
    <definedName name="产品大类1">#REF!</definedName>
    <definedName name="沉水鱼料" localSheetId="39">#REF!</definedName>
    <definedName name="沉水鱼料">#REF!</definedName>
    <definedName name="成本计算单_汇总显示_" localSheetId="39">#REF!</definedName>
    <definedName name="成本计算单_汇总显示_">#REF!</definedName>
    <definedName name="出貨明細" localSheetId="35" hidden="1">{"'消耗表4'!$A$1:$E$7"}</definedName>
    <definedName name="出貨明細" localSheetId="34" hidden="1">{"'消耗表4'!$A$1:$E$7"}</definedName>
    <definedName name="出貨明細" localSheetId="38" hidden="1">{"'消耗表4'!$A$1:$E$7"}</definedName>
    <definedName name="出貨明細" hidden="1">{"'消耗表4'!$A$1:$E$7"}</definedName>
    <definedName name="出貨通知單" localSheetId="35" hidden="1">{"'消耗表4'!$A$1:$E$7"}</definedName>
    <definedName name="出貨通知單" localSheetId="34" hidden="1">{"'消耗表4'!$A$1:$E$7"}</definedName>
    <definedName name="出貨通知單" localSheetId="38" hidden="1">{"'消耗表4'!$A$1:$E$7"}</definedName>
    <definedName name="出貨通知單" hidden="1">{"'消耗表4'!$A$1:$E$7"}</definedName>
    <definedName name="畜禽料">'饲料资金预算--查询表（财务部）'!$BE$11:$BE$25</definedName>
    <definedName name="大区" localSheetId="39">#REF!</definedName>
    <definedName name="大区">#REF!</definedName>
    <definedName name="高档膨化鱼料" localSheetId="39">#REF!</definedName>
    <definedName name="高档膨化鱼料">#REF!</definedName>
    <definedName name="公司" localSheetId="39">OFFSET(#REF!,1,,COUNTA(#REF!))</definedName>
    <definedName name="公司">OFFSET(#REF!,1,,COUNTA(#REF!))</definedName>
    <definedName name="管理序列">[1]公式下拉表辅助!$B$4:$B$6</definedName>
    <definedName name="哈哈" localSheetId="39">#REF!</definedName>
    <definedName name="哈哈">#REF!</definedName>
    <definedName name="海特料">'饲料资金预算--查询表（财务部）'!$BC$11:$BC$25</definedName>
    <definedName name="华东" localSheetId="72">#REF!</definedName>
    <definedName name="华东" localSheetId="39">#REF!</definedName>
    <definedName name="华东" localSheetId="74">#REF!</definedName>
    <definedName name="华东" localSheetId="73">#REF!</definedName>
    <definedName name="华东">#REF!</definedName>
    <definedName name="华东区" localSheetId="35">#REF!</definedName>
    <definedName name="华东区" localSheetId="34">#REF!</definedName>
    <definedName name="华东区" localSheetId="37">#REF!</definedName>
    <definedName name="华东区" localSheetId="75">#REF!</definedName>
    <definedName name="华东区" localSheetId="76">#REF!</definedName>
    <definedName name="华东区" localSheetId="72">#REF!</definedName>
    <definedName name="华东区" localSheetId="68">#REF!</definedName>
    <definedName name="华东区" localSheetId="39">#REF!</definedName>
    <definedName name="华东区" localSheetId="74">#REF!</definedName>
    <definedName name="华东区" localSheetId="33">#REF!</definedName>
    <definedName name="华东区" localSheetId="77">#REF!</definedName>
    <definedName name="华东区" localSheetId="73">#REF!</definedName>
    <definedName name="华东区" localSheetId="69">#REF!</definedName>
    <definedName name="华东区" localSheetId="36">#REF!</definedName>
    <definedName name="华东区">#REF!</definedName>
    <definedName name="华南" localSheetId="72">#REF!</definedName>
    <definedName name="华南" localSheetId="39">#REF!</definedName>
    <definedName name="华南" localSheetId="74">#REF!</definedName>
    <definedName name="华南" localSheetId="73">#REF!</definedName>
    <definedName name="华南">#REF!</definedName>
    <definedName name="华南区" localSheetId="35">#REF!</definedName>
    <definedName name="华南区" localSheetId="34">#REF!</definedName>
    <definedName name="华南区" localSheetId="37">#REF!</definedName>
    <definedName name="华南区" localSheetId="75">#REF!</definedName>
    <definedName name="华南区" localSheetId="76">#REF!</definedName>
    <definedName name="华南区" localSheetId="72">#REF!</definedName>
    <definedName name="华南区" localSheetId="68">#REF!</definedName>
    <definedName name="华南区" localSheetId="39">#REF!</definedName>
    <definedName name="华南区" localSheetId="74">#REF!</definedName>
    <definedName name="华南区" localSheetId="33">#REF!</definedName>
    <definedName name="华南区" localSheetId="77">#REF!</definedName>
    <definedName name="华南区" localSheetId="73">#REF!</definedName>
    <definedName name="华南区" localSheetId="69">#REF!</definedName>
    <definedName name="华南区" localSheetId="36">#REF!</definedName>
    <definedName name="华南区">#REF!</definedName>
    <definedName name="华中" localSheetId="72">#REF!</definedName>
    <definedName name="华中" localSheetId="39">#REF!</definedName>
    <definedName name="华中" localSheetId="74">#REF!</definedName>
    <definedName name="华中" localSheetId="73">#REF!</definedName>
    <definedName name="华中">#REF!</definedName>
    <definedName name="华中区" localSheetId="35">#REF!</definedName>
    <definedName name="华中区" localSheetId="34">#REF!</definedName>
    <definedName name="华中区" localSheetId="37">#REF!</definedName>
    <definedName name="华中区" localSheetId="75">#REF!</definedName>
    <definedName name="华中区" localSheetId="76">#REF!</definedName>
    <definedName name="华中区" localSheetId="72">#REF!</definedName>
    <definedName name="华中区" localSheetId="68">#REF!</definedName>
    <definedName name="华中区" localSheetId="39">#REF!</definedName>
    <definedName name="华中区" localSheetId="74">#REF!</definedName>
    <definedName name="华中区" localSheetId="33">#REF!</definedName>
    <definedName name="华中区" localSheetId="77">#REF!</definedName>
    <definedName name="华中区" localSheetId="73">#REF!</definedName>
    <definedName name="华中区" localSheetId="69">#REF!</definedName>
    <definedName name="华中区" localSheetId="36">#REF!</definedName>
    <definedName name="华中区">#REF!</definedName>
    <definedName name="经营完成表" localSheetId="35" hidden="1">#REF!</definedName>
    <definedName name="经营完成表" localSheetId="34" hidden="1">#REF!</definedName>
    <definedName name="经营完成表" localSheetId="37" hidden="1">#REF!</definedName>
    <definedName name="经营完成表" localSheetId="75" hidden="1">#REF!</definedName>
    <definedName name="经营完成表" localSheetId="76" hidden="1">#REF!</definedName>
    <definedName name="经营完成表" localSheetId="72" hidden="1">#REF!</definedName>
    <definedName name="经营完成表" localSheetId="68" hidden="1">#REF!</definedName>
    <definedName name="经营完成表" localSheetId="39" hidden="1">#REF!</definedName>
    <definedName name="经营完成表" localSheetId="74" hidden="1">#REF!</definedName>
    <definedName name="经营完成表" localSheetId="33" hidden="1">#REF!</definedName>
    <definedName name="经营完成表" localSheetId="77" hidden="1">#REF!</definedName>
    <definedName name="经营完成表" localSheetId="73" hidden="1">#REF!</definedName>
    <definedName name="经营完成表" localSheetId="69" hidden="1">#REF!</definedName>
    <definedName name="经营完成表" localSheetId="36" hidden="1">#REF!</definedName>
    <definedName name="经营完成表" hidden="1">#REF!</definedName>
    <definedName name="客户类别" localSheetId="35">#REF!</definedName>
    <definedName name="客户类别" localSheetId="34">#REF!</definedName>
    <definedName name="客户类别" localSheetId="38">#REF!</definedName>
    <definedName name="客户类别" localSheetId="37">#REF!</definedName>
    <definedName name="客户类别" localSheetId="75">#REF!</definedName>
    <definedName name="客户类别" localSheetId="76">#REF!</definedName>
    <definedName name="客户类别" localSheetId="72">#REF!</definedName>
    <definedName name="客户类别" localSheetId="68">#REF!</definedName>
    <definedName name="客户类别" localSheetId="39">#REF!</definedName>
    <definedName name="客户类别" localSheetId="33">#REF!</definedName>
    <definedName name="客户类别" localSheetId="77">#REF!</definedName>
    <definedName name="客户类别" localSheetId="69">#REF!</definedName>
    <definedName name="客户类别" localSheetId="36">#REF!</definedName>
    <definedName name="客户类别">#REF!</definedName>
    <definedName name="客户性质" localSheetId="35">#REF!</definedName>
    <definedName name="客户性质" localSheetId="34">#REF!</definedName>
    <definedName name="客户性质" localSheetId="38">#REF!</definedName>
    <definedName name="客户性质" localSheetId="37">#REF!</definedName>
    <definedName name="客户性质" localSheetId="75">#REF!</definedName>
    <definedName name="客户性质" localSheetId="76">#REF!</definedName>
    <definedName name="客户性质" localSheetId="72">#REF!</definedName>
    <definedName name="客户性质" localSheetId="68">#REF!</definedName>
    <definedName name="客户性质" localSheetId="39">#REF!</definedName>
    <definedName name="客户性质" localSheetId="33">#REF!</definedName>
    <definedName name="客户性质" localSheetId="77">#REF!</definedName>
    <definedName name="客户性质" localSheetId="69">#REF!</definedName>
    <definedName name="客户性质" localSheetId="36">#REF!</definedName>
    <definedName name="客户性质">#REF!</definedName>
    <definedName name="浓缩" localSheetId="39">#REF!</definedName>
    <definedName name="浓缩">#REF!</definedName>
    <definedName name="普通膨化鱼料" localSheetId="39">#REF!</definedName>
    <definedName name="普通膨化鱼料">#REF!</definedName>
    <definedName name="普鱼料">'饲料资金预算--查询表（财务部）'!$BD$11:$BD$25</definedName>
    <definedName name="期初" localSheetId="35" hidden="1">{"'消耗表4'!$A$1:$E$7"}</definedName>
    <definedName name="期初" localSheetId="34" hidden="1">{"'消耗表4'!$A$1:$E$7"}</definedName>
    <definedName name="期初" localSheetId="38" hidden="1">{"'消耗表4'!$A$1:$E$7"}</definedName>
    <definedName name="期初" hidden="1">{"'消耗表4'!$A$1:$E$7"}</definedName>
    <definedName name="其他区" localSheetId="35">#REF!</definedName>
    <definedName name="其他区" localSheetId="34">#REF!</definedName>
    <definedName name="其他区" localSheetId="37">#REF!</definedName>
    <definedName name="其他区" localSheetId="75">#REF!</definedName>
    <definedName name="其他区" localSheetId="76">#REF!</definedName>
    <definedName name="其他区" localSheetId="72">#REF!</definedName>
    <definedName name="其他区" localSheetId="68">#REF!</definedName>
    <definedName name="其他区" localSheetId="39">#REF!</definedName>
    <definedName name="其他区" localSheetId="74">#REF!</definedName>
    <definedName name="其他区" localSheetId="33">#REF!</definedName>
    <definedName name="其他区" localSheetId="77">#REF!</definedName>
    <definedName name="其他区" localSheetId="73">#REF!</definedName>
    <definedName name="其他区" localSheetId="69">#REF!</definedName>
    <definedName name="其他区" localSheetId="36">#REF!</definedName>
    <definedName name="其他区">#REF!</definedName>
    <definedName name="区域" localSheetId="72">#REF!</definedName>
    <definedName name="区域" localSheetId="39">#REF!</definedName>
    <definedName name="区域" localSheetId="74">#REF!</definedName>
    <definedName name="区域" localSheetId="73">#REF!</definedName>
    <definedName name="区域">#REF!</definedName>
    <definedName name="生产领料汇总表" localSheetId="39">#REF!</definedName>
    <definedName name="生产领料汇总表">#REF!</definedName>
    <definedName name="伟凝" localSheetId="72">#REF!</definedName>
    <definedName name="伟凝" localSheetId="39">#REF!</definedName>
    <definedName name="伟凝" localSheetId="74">#REF!</definedName>
    <definedName name="伟凝" localSheetId="73">#REF!</definedName>
    <definedName name="伟凝">#REF!</definedName>
    <definedName name="西南区" localSheetId="39">#REF!</definedName>
    <definedName name="西南区">#REF!</definedName>
    <definedName name="虾料" localSheetId="39">#REF!</definedName>
    <definedName name="虾料">#REF!</definedName>
    <definedName name="虾蟹料">'饲料资金预算--查询表（财务部）'!$BB$11:$BB$25</definedName>
    <definedName name="蟹料" localSheetId="39">#REF!</definedName>
    <definedName name="蟹料">#REF!</definedName>
    <definedName name="研发序列">[2]公式下拉表辅助!$D$4:$D$6</definedName>
    <definedName name="应会" localSheetId="35">#REF!</definedName>
    <definedName name="应会" localSheetId="34">#REF!</definedName>
    <definedName name="应会" localSheetId="37">#REF!</definedName>
    <definedName name="应会" localSheetId="75">#REF!</definedName>
    <definedName name="应会" localSheetId="76">#REF!</definedName>
    <definedName name="应会" localSheetId="72">#REF!</definedName>
    <definedName name="应会" localSheetId="68">#REF!</definedName>
    <definedName name="应会" localSheetId="39">#REF!</definedName>
    <definedName name="应会" localSheetId="74">#REF!</definedName>
    <definedName name="应会" localSheetId="33">#REF!</definedName>
    <definedName name="应会" localSheetId="77">#REF!</definedName>
    <definedName name="应会" localSheetId="73">#REF!</definedName>
    <definedName name="应会" localSheetId="69">#REF!</definedName>
    <definedName name="应会" localSheetId="36">#REF!</definedName>
    <definedName name="应会">#REF!</definedName>
    <definedName name="员工类型" localSheetId="39">OFFSET(#REF!,1,,COUNTA(#REF!))</definedName>
    <definedName name="员工类型">OFFSET(#REF!,1,,COUNTA(#REF!))</definedName>
    <definedName name="原本" localSheetId="72">#REF!</definedName>
    <definedName name="原本" localSheetId="39">#REF!</definedName>
    <definedName name="原本" localSheetId="74">#REF!</definedName>
    <definedName name="原本" localSheetId="73">#REF!</definedName>
    <definedName name="原本">#REF!</definedName>
    <definedName name="原材料" localSheetId="39">#REF!</definedName>
    <definedName name="原材料">#REF!</definedName>
    <definedName name="月份" localSheetId="48">#REF!</definedName>
    <definedName name="月份" localSheetId="49">#REF!</definedName>
    <definedName name="月份" localSheetId="35">#REF!</definedName>
    <definedName name="月份" localSheetId="34">#REF!</definedName>
    <definedName name="月份" localSheetId="38">#REF!</definedName>
    <definedName name="月份" localSheetId="37">#REF!</definedName>
    <definedName name="月份" localSheetId="75">#REF!</definedName>
    <definedName name="月份" localSheetId="76">#REF!</definedName>
    <definedName name="月份" localSheetId="56">#REF!</definedName>
    <definedName name="月份" localSheetId="51">#REF!</definedName>
    <definedName name="月份" localSheetId="58">#REF!</definedName>
    <definedName name="月份" localSheetId="63">#REF!</definedName>
    <definedName name="月份" localSheetId="62">#REF!</definedName>
    <definedName name="月份" localSheetId="60">#REF!</definedName>
    <definedName name="月份" localSheetId="64">#REF!</definedName>
    <definedName name="月份" localSheetId="59">#REF!</definedName>
    <definedName name="月份" localSheetId="57">#REF!</definedName>
    <definedName name="月份" localSheetId="52">#REF!</definedName>
    <definedName name="月份" localSheetId="54">#REF!</definedName>
    <definedName name="月份" localSheetId="61">#REF!</definedName>
    <definedName name="月份" localSheetId="55">#REF!</definedName>
    <definedName name="月份" localSheetId="50">#REF!</definedName>
    <definedName name="月份" localSheetId="53">#REF!</definedName>
    <definedName name="月份" localSheetId="72">#REF!</definedName>
    <definedName name="月份" localSheetId="68">#REF!</definedName>
    <definedName name="月份" localSheetId="39">#REF!</definedName>
    <definedName name="月份" localSheetId="70">#REF!</definedName>
    <definedName name="月份" localSheetId="71">#REF!</definedName>
    <definedName name="月份" localSheetId="74">#REF!</definedName>
    <definedName name="月份" localSheetId="33">#REF!</definedName>
    <definedName name="月份" localSheetId="77">#REF!</definedName>
    <definedName name="月份" localSheetId="73">#REF!</definedName>
    <definedName name="月份" localSheetId="67">#REF!</definedName>
    <definedName name="月份" localSheetId="69">#REF!</definedName>
    <definedName name="月份" localSheetId="36">#REF!</definedName>
    <definedName name="月份" localSheetId="65">#REF!</definedName>
    <definedName name="月份">#REF!</definedName>
    <definedName name="越南" localSheetId="72">#REF!</definedName>
    <definedName name="越南" localSheetId="39">#REF!</definedName>
    <definedName name="越南" localSheetId="74">#REF!</definedName>
    <definedName name="越南" localSheetId="73">#REF!</definedName>
    <definedName name="越南">#REF!</definedName>
    <definedName name="证件类型" localSheetId="39">#REF!</definedName>
    <definedName name="证件类型">#REF!</definedName>
    <definedName name="证照类型" localSheetId="39">#REF!</definedName>
    <definedName name="证照类型">#REF!</definedName>
    <definedName name="主销品种" localSheetId="39">#REF!</definedName>
    <definedName name="主销品种">#REF!</definedName>
    <definedName name="主营料种" localSheetId="35">#REF!</definedName>
    <definedName name="主营料种" localSheetId="34">#REF!</definedName>
    <definedName name="主营料种" localSheetId="38">#REF!</definedName>
    <definedName name="主营料种" localSheetId="37">#REF!</definedName>
    <definedName name="主营料种" localSheetId="75">#REF!</definedName>
    <definedName name="主营料种" localSheetId="76">#REF!</definedName>
    <definedName name="主营料种" localSheetId="72">#REF!</definedName>
    <definedName name="主营料种" localSheetId="68">#REF!</definedName>
    <definedName name="主营料种" localSheetId="39">#REF!</definedName>
    <definedName name="主营料种" localSheetId="33">#REF!</definedName>
    <definedName name="主营料种" localSheetId="77">#REF!</definedName>
    <definedName name="主营料种" localSheetId="69">#REF!</definedName>
    <definedName name="主营料种" localSheetId="36">#REF!</definedName>
    <definedName name="主营料种">#REF!</definedName>
    <definedName name="专业序列">[1]公式下拉表辅助!$E$4:$E$6</definedName>
    <definedName name="状态" localSheetId="39">OFFSET(#REF!,1,,COUNTA(#REF!))</definedName>
    <definedName name="状态">OFFSET(#REF!,1,,COUNTA(#REF!))</definedName>
    <definedName name="总部" localSheetId="72">#REF!</definedName>
    <definedName name="总部" localSheetId="39">#REF!</definedName>
    <definedName name="总部" localSheetId="74">#REF!</definedName>
    <definedName name="总部" localSheetId="73">#REF!</definedName>
    <definedName name="总部">#REF!</definedName>
    <definedName name="鑽頭成品" localSheetId="35" hidden="1">{"'消耗表4'!$A$1:$E$7"}</definedName>
    <definedName name="鑽頭成品" localSheetId="34" hidden="1">{"'消耗表4'!$A$1:$E$7"}</definedName>
    <definedName name="鑽頭成品" localSheetId="38" hidden="1">{"'消耗表4'!$A$1:$E$7"}</definedName>
    <definedName name="鑽頭成品" hidden="1">{"'消耗表4'!$A$1:$E$7"}</definedName>
    <definedName name="전" localSheetId="35">#REF!</definedName>
    <definedName name="전" localSheetId="34">#REF!</definedName>
    <definedName name="전" localSheetId="37">#REF!</definedName>
    <definedName name="전" localSheetId="75">#REF!</definedName>
    <definedName name="전" localSheetId="76">#REF!</definedName>
    <definedName name="전" localSheetId="72">#REF!</definedName>
    <definedName name="전" localSheetId="68">#REF!</definedName>
    <definedName name="전" localSheetId="39">#REF!</definedName>
    <definedName name="전" localSheetId="74">#REF!</definedName>
    <definedName name="전" localSheetId="33">#REF!</definedName>
    <definedName name="전" localSheetId="77">#REF!</definedName>
    <definedName name="전" localSheetId="73">#REF!</definedName>
    <definedName name="전" localSheetId="69">#REF!</definedName>
    <definedName name="전" localSheetId="36">#REF!</definedName>
    <definedName name="전">#REF!</definedName>
    <definedName name="주택사업본부" localSheetId="35">#REF!</definedName>
    <definedName name="주택사업본부" localSheetId="34">#REF!</definedName>
    <definedName name="주택사업본부" localSheetId="37">#REF!</definedName>
    <definedName name="주택사업본부" localSheetId="75">#REF!</definedName>
    <definedName name="주택사업본부" localSheetId="76">#REF!</definedName>
    <definedName name="주택사업본부" localSheetId="72">#REF!</definedName>
    <definedName name="주택사업본부" localSheetId="68">#REF!</definedName>
    <definedName name="주택사업본부" localSheetId="39">#REF!</definedName>
    <definedName name="주택사업본부" localSheetId="74">#REF!</definedName>
    <definedName name="주택사업본부" localSheetId="33">#REF!</definedName>
    <definedName name="주택사업본부" localSheetId="77">#REF!</definedName>
    <definedName name="주택사업본부" localSheetId="73">#REF!</definedName>
    <definedName name="주택사업본부" localSheetId="69">#REF!</definedName>
    <definedName name="주택사업본부" localSheetId="36">#REF!</definedName>
    <definedName name="주택사업본부">#REF!</definedName>
    <definedName name="철구사업본부" localSheetId="35">#REF!</definedName>
    <definedName name="철구사업본부" localSheetId="34">#REF!</definedName>
    <definedName name="철구사업본부" localSheetId="37">#REF!</definedName>
    <definedName name="철구사업본부" localSheetId="75">#REF!</definedName>
    <definedName name="철구사업본부" localSheetId="76">#REF!</definedName>
    <definedName name="철구사업본부" localSheetId="72">#REF!</definedName>
    <definedName name="철구사업본부" localSheetId="68">#REF!</definedName>
    <definedName name="철구사업본부" localSheetId="39">#REF!</definedName>
    <definedName name="철구사업본부" localSheetId="74">#REF!</definedName>
    <definedName name="철구사업본부" localSheetId="33">#REF!</definedName>
    <definedName name="철구사업본부" localSheetId="77">#REF!</definedName>
    <definedName name="철구사업본부" localSheetId="73">#REF!</definedName>
    <definedName name="철구사업본부" localSheetId="69">#REF!</definedName>
    <definedName name="철구사업본부" localSheetId="36">#REF!</definedName>
    <definedName name="철구사업본부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aohua</author>
    <author>Admin</author>
  </authors>
  <commentList>
    <comment ref="D15" authorId="0">
      <text>
        <r>
          <rPr>
            <b/>
            <sz val="9"/>
            <rFont val="宋体"/>
            <charset val="134"/>
          </rPr>
          <t>2025年新增</t>
        </r>
      </text>
    </comment>
    <comment ref="E58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财务预算表制造费用无成长分享，对应归类到工资和薪金类</t>
        </r>
      </text>
    </comment>
  </commentList>
</comments>
</file>

<file path=xl/comments2.xml><?xml version="1.0" encoding="utf-8"?>
<comments xmlns="http://schemas.openxmlformats.org/spreadsheetml/2006/main">
  <authors>
    <author>谭源欣</author>
    <author>邓喆</author>
  </authors>
  <commentList>
    <comment ref="A13" authorId="0">
      <text>
        <r>
          <rPr>
            <sz val="9"/>
            <rFont val="宋体"/>
            <charset val="134"/>
          </rPr>
          <t>需根据C列利润中心所属大区填列</t>
        </r>
      </text>
    </comment>
    <comment ref="F13" authorId="1">
      <text>
        <r>
          <rPr>
            <b/>
            <sz val="9"/>
            <rFont val="宋体"/>
            <charset val="134"/>
          </rPr>
          <t>邓喆:</t>
        </r>
        <r>
          <rPr>
            <sz val="9"/>
            <rFont val="宋体"/>
            <charset val="134"/>
          </rPr>
          <t xml:space="preserve">
调整科目为“管理费用”或“销售费用”时必填</t>
        </r>
      </text>
    </comment>
    <comment ref="G13" authorId="0">
      <text>
        <r>
          <rPr>
            <sz val="10"/>
            <rFont val="宋体"/>
            <charset val="134"/>
          </rPr>
          <t>针对调整项目进行详细业务说明:如代付某高管年终奖。</t>
        </r>
      </text>
    </comment>
  </commentList>
</comments>
</file>

<file path=xl/comments3.xml><?xml version="1.0" encoding="utf-8"?>
<comments xmlns="http://schemas.openxmlformats.org/spreadsheetml/2006/main">
  <authors>
    <author>aohua</author>
  </authors>
  <commentList>
    <comment ref="I49" authorId="0">
      <text>
        <r>
          <rPr>
            <b/>
            <sz val="9"/>
            <rFont val="宋体"/>
            <charset val="134"/>
          </rPr>
          <t>aohua:</t>
        </r>
        <r>
          <rPr>
            <sz val="9"/>
            <rFont val="宋体"/>
            <charset val="134"/>
          </rPr>
          <t xml:space="preserve">
鳜鱼，27年3月出鱼</t>
        </r>
      </text>
    </comment>
    <comment ref="L49" authorId="0">
      <text>
        <r>
          <rPr>
            <sz val="9"/>
            <rFont val="宋体"/>
            <charset val="134"/>
          </rPr>
          <t>反季节加州鲈 27年7月份出鱼</t>
        </r>
      </text>
    </comment>
  </commentList>
</comments>
</file>

<file path=xl/sharedStrings.xml><?xml version="1.0" encoding="utf-8"?>
<sst xmlns="http://schemas.openxmlformats.org/spreadsheetml/2006/main" count="23770" uniqueCount="2390">
  <si>
    <t>序号</t>
  </si>
  <si>
    <t>预算模块</t>
  </si>
  <si>
    <t>工作表名称</t>
  </si>
  <si>
    <t>报表内容</t>
  </si>
  <si>
    <t>报表类型</t>
  </si>
  <si>
    <t>部门</t>
  </si>
  <si>
    <t>顺序</t>
  </si>
  <si>
    <t>填写顺序</t>
  </si>
  <si>
    <t>填写依赖</t>
  </si>
  <si>
    <t>负责人</t>
  </si>
  <si>
    <t>经营指标</t>
  </si>
  <si>
    <t>总体指标</t>
  </si>
  <si>
    <t>查阅</t>
  </si>
  <si>
    <t>黎星宇</t>
  </si>
  <si>
    <t>查询表需要--集团，大区汇总</t>
  </si>
  <si>
    <t>营业收入（分内外销、产品系列）、营业成本（生产成本、销售成本、配方成本）、税金及附加、销售费用、管理费用、财务费用、营业外收支、所得税、利润总额、净利润</t>
  </si>
  <si>
    <t>利润表</t>
  </si>
  <si>
    <t>年度利润表</t>
  </si>
  <si>
    <t>年度指标</t>
  </si>
  <si>
    <t>月度利润表</t>
  </si>
  <si>
    <t>月度指标</t>
  </si>
  <si>
    <t>产线贡献</t>
  </si>
  <si>
    <t>产线贡献表</t>
  </si>
  <si>
    <t>邵苑君</t>
  </si>
  <si>
    <t>人效</t>
  </si>
  <si>
    <t>人效表</t>
  </si>
  <si>
    <t>预算主数据</t>
  </si>
  <si>
    <t>基础档案</t>
  </si>
  <si>
    <t>基础资料</t>
  </si>
  <si>
    <t>填写</t>
  </si>
  <si>
    <t>物料档案</t>
  </si>
  <si>
    <t>销量毛利</t>
  </si>
  <si>
    <t>A5 表样-聚焦镇量利（查阅）</t>
  </si>
  <si>
    <t>聚焦镇指标</t>
  </si>
  <si>
    <t>A6 表样-大类量利（查阅）</t>
  </si>
  <si>
    <t>大类指标</t>
  </si>
  <si>
    <t>A7 大类小类量利（查阅）</t>
  </si>
  <si>
    <t>小类指标</t>
  </si>
  <si>
    <t>新增-产品系列配销差及吨毛利（查阅）</t>
  </si>
  <si>
    <t>配销差吨毛利</t>
  </si>
  <si>
    <t>A9-表样-客户产品毛利表（外销）</t>
  </si>
  <si>
    <t>毛利表（外销）</t>
  </si>
  <si>
    <t>A9-表样-客户产品毛利表（内销）</t>
  </si>
  <si>
    <t>毛利表（内销）</t>
  </si>
  <si>
    <t>查阅-产品生产成本</t>
  </si>
  <si>
    <t>生产成本</t>
  </si>
  <si>
    <t>制造费用</t>
  </si>
  <si>
    <r>
      <rPr>
        <sz val="11"/>
        <color rgb="FF0000FF"/>
        <rFont val="宋体"/>
        <charset val="134"/>
        <scheme val="minor"/>
      </rPr>
      <t>查阅-</t>
    </r>
    <r>
      <rPr>
        <u/>
        <sz val="11"/>
        <color rgb="FF0000FF"/>
        <rFont val="宋体"/>
        <charset val="134"/>
        <scheme val="minor"/>
      </rPr>
      <t>单吨制造费用-生产、财务</t>
    </r>
  </si>
  <si>
    <t>财务</t>
  </si>
  <si>
    <t>依赖产量（评审后）2</t>
  </si>
  <si>
    <t>查阅-动保产品大类毛利</t>
  </si>
  <si>
    <t>动保毛利</t>
  </si>
  <si>
    <t>查阅-动保产品大类毛利 (分月)</t>
  </si>
  <si>
    <t>动保大类毛利</t>
  </si>
  <si>
    <t>查阅-动保产品公司毛利（分月）</t>
  </si>
  <si>
    <t>动保公司毛利</t>
  </si>
  <si>
    <t>查阅-动保产品毛利表（明细）</t>
  </si>
  <si>
    <t>动保产品毛利</t>
  </si>
  <si>
    <t>销量</t>
  </si>
  <si>
    <t>填写-饲料销量-营销部</t>
  </si>
  <si>
    <t>饲料销量</t>
  </si>
  <si>
    <t>营销部（填）/营业部（审）</t>
  </si>
  <si>
    <t>动保销售额</t>
  </si>
  <si>
    <t>填写-动保销售额-营销部</t>
  </si>
  <si>
    <t>填写-动保发酵料-营销部</t>
  </si>
  <si>
    <t>填写-动保销售额（除发酵料）-动保公司填写</t>
  </si>
  <si>
    <t>应该可以与21合并，单位选择不一样</t>
  </si>
  <si>
    <t>填写-动保销量（发酵料）--动保公司填写</t>
  </si>
  <si>
    <t>动保销量</t>
  </si>
  <si>
    <t>应该可以与22合并，单位选择不一样</t>
  </si>
  <si>
    <t>动保成本</t>
  </si>
  <si>
    <t>填写-动保成本（除发酵料）--动保公司填写</t>
  </si>
  <si>
    <t>依赖销量（评审后）1</t>
  </si>
  <si>
    <t>填写-动保成本（发酵料）--动保公司填写</t>
  </si>
  <si>
    <t>代工</t>
  </si>
  <si>
    <t>填写-内部代工（需求方）-营业部</t>
  </si>
  <si>
    <t>内部代工</t>
  </si>
  <si>
    <t>营业部/财务（代）</t>
  </si>
  <si>
    <t>依赖销量1（销量评审后）</t>
  </si>
  <si>
    <t>填写-内部代工（生产方）-财务</t>
  </si>
  <si>
    <t>产品价格</t>
  </si>
  <si>
    <t>填写-产品价目表-财务部</t>
  </si>
  <si>
    <t>产品价目表</t>
  </si>
  <si>
    <t>配方成本</t>
  </si>
  <si>
    <t>填写-配方成本-配方师</t>
  </si>
  <si>
    <t>产品线（填）/财务（审）或（代）</t>
  </si>
  <si>
    <t>产品折扣</t>
  </si>
  <si>
    <t>填写-产品折扣-财务部</t>
  </si>
  <si>
    <t>包材成本</t>
  </si>
  <si>
    <t>填写-包材成本-采购、财务</t>
  </si>
  <si>
    <t>采购包材成本</t>
  </si>
  <si>
    <t>原料采购</t>
  </si>
  <si>
    <t>填写-主要原料价格-采购</t>
  </si>
  <si>
    <t>采购原料价格</t>
  </si>
  <si>
    <t>采购</t>
  </si>
  <si>
    <t>产量</t>
  </si>
  <si>
    <t>表3 产量-生产产量填报表</t>
  </si>
  <si>
    <t>生产产量</t>
  </si>
  <si>
    <t>生产</t>
  </si>
  <si>
    <t>表3 产量-汇总表（按大类）</t>
  </si>
  <si>
    <r>
      <rPr>
        <sz val="11"/>
        <color rgb="FF0000FF"/>
        <rFont val="宋体"/>
        <charset val="134"/>
        <scheme val="minor"/>
      </rPr>
      <t>生产</t>
    </r>
    <r>
      <rPr>
        <u/>
        <sz val="11"/>
        <color rgb="FF0000FF"/>
        <rFont val="宋体"/>
        <charset val="134"/>
        <scheme val="minor"/>
      </rPr>
      <t>产量</t>
    </r>
  </si>
  <si>
    <t>制造费用-填报生产部</t>
  </si>
  <si>
    <r>
      <rPr>
        <u/>
        <sz val="11"/>
        <color rgb="FF0000FF"/>
        <rFont val="宋体"/>
        <charset val="134"/>
        <scheme val="minor"/>
      </rPr>
      <t>制造</t>
    </r>
    <r>
      <rPr>
        <sz val="11"/>
        <color rgb="FF0000FF"/>
        <rFont val="宋体"/>
        <charset val="134"/>
        <scheme val="minor"/>
      </rPr>
      <t>费用</t>
    </r>
  </si>
  <si>
    <t>单吨制费计算表</t>
  </si>
  <si>
    <t>人员编制</t>
  </si>
  <si>
    <t>表4.1 人员定编表（四定表）明细- 人资</t>
  </si>
  <si>
    <t>人资报表</t>
  </si>
  <si>
    <t>人资</t>
  </si>
  <si>
    <t>依赖销量产量（评审后）1、2</t>
  </si>
  <si>
    <t>朱勇金</t>
  </si>
  <si>
    <t>人员费用</t>
  </si>
  <si>
    <t>人工成本明细-人资</t>
  </si>
  <si>
    <r>
      <rPr>
        <u/>
        <sz val="11"/>
        <color rgb="FF0000FF"/>
        <rFont val="宋体"/>
        <charset val="134"/>
        <scheme val="minor"/>
      </rPr>
      <t>人资</t>
    </r>
    <r>
      <rPr>
        <sz val="11"/>
        <color rgb="FF0000FF"/>
        <rFont val="宋体"/>
        <charset val="134"/>
        <scheme val="minor"/>
      </rPr>
      <t>报表</t>
    </r>
  </si>
  <si>
    <t>依赖销量产量（评审后）1、2/依赖人员定编表</t>
  </si>
  <si>
    <t>表7 表样-销费</t>
  </si>
  <si>
    <t>销售费用</t>
  </si>
  <si>
    <t>表7.1 表样-销费科目明细</t>
  </si>
  <si>
    <t>填写-职工福利费</t>
  </si>
  <si>
    <t>依赖销量（评审后）1/依赖人员定编表</t>
  </si>
  <si>
    <t>填写-销售推广费 (广告)</t>
  </si>
  <si>
    <t>营销部</t>
  </si>
  <si>
    <t>填写-业务招待费</t>
  </si>
  <si>
    <t xml:space="preserve">填写-销售推广费 (物资推广) </t>
  </si>
  <si>
    <t>填写-会务费</t>
  </si>
  <si>
    <t>填写-其他销售费用-财务</t>
  </si>
  <si>
    <t>A8 表样-管费汇总-财务</t>
  </si>
  <si>
    <t>管理费用</t>
  </si>
  <si>
    <t>A8-1 表样-管费明细-财务</t>
  </si>
  <si>
    <t>管-职工福利费-人资</t>
  </si>
  <si>
    <t>依赖人员定编表</t>
  </si>
  <si>
    <t>管-差旅费-各部门</t>
  </si>
  <si>
    <t>各部门</t>
  </si>
  <si>
    <t>管-业务招待费-各部门</t>
  </si>
  <si>
    <t>管-专业及政府费用-各部门</t>
  </si>
  <si>
    <t>财务/研究院</t>
  </si>
  <si>
    <t>管-员工培训</t>
  </si>
  <si>
    <t>管-招聘费用</t>
  </si>
  <si>
    <t>管-办公费用</t>
  </si>
  <si>
    <t>管-维修费</t>
  </si>
  <si>
    <t>行政（人资代）</t>
  </si>
  <si>
    <t>管-房屋租金</t>
  </si>
  <si>
    <t>管-水电</t>
  </si>
  <si>
    <t>管-检测费</t>
  </si>
  <si>
    <t>管-运输费</t>
  </si>
  <si>
    <t>管-会务费</t>
  </si>
  <si>
    <t>管-公车费用</t>
  </si>
  <si>
    <t>管-其他管理费用</t>
  </si>
  <si>
    <t>专项激励-填报-各部门</t>
  </si>
  <si>
    <t>专项激励</t>
  </si>
  <si>
    <t>各部门（填）/人资（审）</t>
  </si>
  <si>
    <t>税金</t>
  </si>
  <si>
    <t>营业税金及附加-财务</t>
  </si>
  <si>
    <t>其他业务收支</t>
  </si>
  <si>
    <t>营业外收支</t>
  </si>
  <si>
    <t>所得税-财务</t>
  </si>
  <si>
    <t>所得税</t>
  </si>
  <si>
    <t>考核调整</t>
  </si>
  <si>
    <t>特殊考核调整总数</t>
  </si>
  <si>
    <t>特殊考核调整</t>
  </si>
  <si>
    <t>利润调整明细（填写）</t>
  </si>
  <si>
    <t>养殖基地汇总-查询</t>
  </si>
  <si>
    <t>养殖预算</t>
  </si>
  <si>
    <t>研发费用</t>
  </si>
  <si>
    <t>填写-养殖基地-明细</t>
  </si>
  <si>
    <t>研究院</t>
  </si>
  <si>
    <t>固定资产折旧费汇总-查询</t>
  </si>
  <si>
    <t>折旧费</t>
  </si>
  <si>
    <t>固定资产</t>
  </si>
  <si>
    <t>新增固定资产填报表(填报）各部门</t>
  </si>
  <si>
    <t>固定资产折旧费明细-查询表</t>
  </si>
  <si>
    <t>查阅-公司（聚焦镇、大客户）汇总</t>
  </si>
  <si>
    <t>资金报表</t>
  </si>
  <si>
    <t>查阅-各产线汇总</t>
  </si>
  <si>
    <t>饲料资金预算--查询表（财务部）</t>
  </si>
  <si>
    <t>填写-公司汇总表</t>
  </si>
  <si>
    <t>填写-饲料资金预算填报表</t>
  </si>
  <si>
    <t>营销部（填）/财务（审）</t>
  </si>
  <si>
    <t>填写-动保资金预算填报表</t>
  </si>
  <si>
    <t>财务费用</t>
  </si>
  <si>
    <t>A9 表样-财务费用汇总-财务</t>
  </si>
  <si>
    <t>无形资产</t>
  </si>
  <si>
    <t>新增无形资产填报表(填报）财务部，信息部</t>
  </si>
  <si>
    <t>摊销费</t>
  </si>
  <si>
    <t>无形资产摊销查询</t>
  </si>
  <si>
    <t>无形资产摊销费查询</t>
  </si>
  <si>
    <t>← 返回目录</t>
  </si>
  <si>
    <t>财务指标审核表</t>
  </si>
  <si>
    <t>大区</t>
  </si>
  <si>
    <t>公司</t>
  </si>
  <si>
    <t>指标</t>
  </si>
  <si>
    <t>2026年预算</t>
  </si>
  <si>
    <t>2025年全年</t>
  </si>
  <si>
    <t>2024年全年</t>
  </si>
  <si>
    <t>预算增长额</t>
  </si>
  <si>
    <t>预算增长率</t>
  </si>
  <si>
    <t>异常数据说明</t>
  </si>
  <si>
    <t>华东一区</t>
  </si>
  <si>
    <t>福建公司</t>
  </si>
  <si>
    <t>外销销量(万吨）</t>
  </si>
  <si>
    <t>计算</t>
  </si>
  <si>
    <t>本表计算</t>
  </si>
  <si>
    <t>单位填写</t>
  </si>
  <si>
    <t>主营业务收入(万元）</t>
  </si>
  <si>
    <t>毛利(万元）</t>
  </si>
  <si>
    <t>毛利率</t>
  </si>
  <si>
    <t>NC利润</t>
  </si>
  <si>
    <t>考核利润(万元）</t>
  </si>
  <si>
    <t>其他业务利润(万元）</t>
  </si>
  <si>
    <t>销售E值(万元）</t>
  </si>
  <si>
    <t>管理E值(万元）</t>
  </si>
  <si>
    <t>销售人数</t>
  </si>
  <si>
    <t>管理人数</t>
  </si>
  <si>
    <t>生产人数</t>
  </si>
  <si>
    <t>人均销量(吨/人)</t>
  </si>
  <si>
    <t>单吨销售费用(元/吨）</t>
  </si>
  <si>
    <t>销售费用率</t>
  </si>
  <si>
    <t>管理费用率</t>
  </si>
  <si>
    <t>销售E/M值</t>
  </si>
  <si>
    <t>管理E/M值</t>
  </si>
  <si>
    <t>说明：所有指标同比偏差±30%以上，请填报人员必须说明原因，财务复核其合理性。</t>
  </si>
  <si>
    <t>报表项目</t>
  </si>
  <si>
    <t>科目名称</t>
  </si>
  <si>
    <t>同比额</t>
  </si>
  <si>
    <t>同比率</t>
  </si>
  <si>
    <t>异常说明</t>
  </si>
  <si>
    <t>损益总表</t>
  </si>
  <si>
    <t>销售量</t>
  </si>
  <si>
    <t>标题</t>
  </si>
  <si>
    <t>普通膨化鱼料</t>
  </si>
  <si>
    <t>高档膨化鱼料</t>
  </si>
  <si>
    <t>沉水鱼料</t>
  </si>
  <si>
    <t>虾料</t>
  </si>
  <si>
    <t>A1</t>
  </si>
  <si>
    <t>龙虾料</t>
  </si>
  <si>
    <t>蟹料</t>
  </si>
  <si>
    <t>浓缩/预混料</t>
  </si>
  <si>
    <t>猪饲料</t>
  </si>
  <si>
    <t>禽料</t>
  </si>
  <si>
    <t>反刍料</t>
  </si>
  <si>
    <t>销售量合计(吨)</t>
  </si>
  <si>
    <t>一、主营业务收入</t>
  </si>
  <si>
    <t>减：主营业务成本</t>
  </si>
  <si>
    <t>二、毛利</t>
  </si>
  <si>
    <t>加：其它业务收入（代加工收入净额）</t>
  </si>
  <si>
    <t>减：其它业务成本（代加工成本）</t>
  </si>
  <si>
    <t>加：其它业务收入（外卖原料收益）</t>
  </si>
  <si>
    <t>减：其它业务成本（外卖原料收益）</t>
  </si>
  <si>
    <t>加：其它业务利润（废旧物资收益）</t>
  </si>
  <si>
    <t>加：其他业务收入（其他）</t>
  </si>
  <si>
    <t>减：税金及附加</t>
  </si>
  <si>
    <t xml:space="preserve">   其中：研发费用</t>
  </si>
  <si>
    <t>暂时不用</t>
  </si>
  <si>
    <t xml:space="preserve">   其中：利息费用</t>
  </si>
  <si>
    <t xml:space="preserve">         利息收入</t>
  </si>
  <si>
    <t>信用减值损失</t>
  </si>
  <si>
    <t>资产减值损失</t>
  </si>
  <si>
    <t>加：公允价值变动收益</t>
  </si>
  <si>
    <t>加：投资收益</t>
  </si>
  <si>
    <t>其中：对联营企业和合营企业的投资收益</t>
  </si>
  <si>
    <t>加：资产处置收益</t>
  </si>
  <si>
    <t>加：其他收益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</si>
  <si>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</si>
  <si>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</si>
  <si>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</si>
  <si>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</si>
  <si>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</si>
  <si>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</si>
  <si>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服务中心费用</t>
  </si>
  <si>
    <t>考核调整事项</t>
  </si>
  <si>
    <t>服务中心费用NC入账额对冲</t>
  </si>
  <si>
    <t>资金占用费-应收</t>
  </si>
  <si>
    <t>资金占用费-应付</t>
  </si>
  <si>
    <t>大区费用分摊</t>
  </si>
  <si>
    <t>大区费用NC入账额对冲</t>
  </si>
  <si>
    <t>代偿逾期费用</t>
  </si>
  <si>
    <t>兄弟公司间的原料买卖收益</t>
  </si>
  <si>
    <t xml:space="preserve"> 合计</t>
  </si>
  <si>
    <t>待定</t>
  </si>
  <si>
    <t>项目</t>
  </si>
  <si>
    <t>行号</t>
  </si>
  <si>
    <t>2025年实际数</t>
  </si>
  <si>
    <t>合计</t>
  </si>
  <si>
    <t>海特料</t>
  </si>
  <si>
    <t>2024年实际数</t>
  </si>
  <si>
    <t>定规则</t>
  </si>
  <si>
    <t>产品线</t>
  </si>
  <si>
    <t>26年预算值</t>
  </si>
  <si>
    <t>同比</t>
  </si>
  <si>
    <t>25年实际值</t>
  </si>
  <si>
    <t>毛利</t>
  </si>
  <si>
    <t>非人员费用</t>
  </si>
  <si>
    <t>总销售费用</t>
  </si>
  <si>
    <t>销售贡献</t>
  </si>
  <si>
    <t>人均贡献</t>
  </si>
  <si>
    <t>人均销量</t>
  </si>
  <si>
    <t>人均毛利</t>
  </si>
  <si>
    <t>虾蟹线</t>
  </si>
  <si>
    <t>海特线</t>
  </si>
  <si>
    <t>鱼料线</t>
  </si>
  <si>
    <t>畜禽线</t>
  </si>
  <si>
    <t>产线</t>
  </si>
  <si>
    <t>人数</t>
  </si>
  <si>
    <t>25年</t>
  </si>
  <si>
    <t>26年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</si>
  <si>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</si>
  <si>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</si>
  <si>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</si>
  <si>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</si>
  <si>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</si>
  <si>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</si>
  <si>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</si>
  <si>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</si>
  <si>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</si>
  <si>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</si>
  <si>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</si>
  <si>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</si>
  <si>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整体</t>
  </si>
  <si>
    <t>普鱼线</t>
  </si>
  <si>
    <t>反刍线</t>
  </si>
  <si>
    <t>返回目录</t>
  </si>
  <si>
    <t>还原</t>
  </si>
  <si>
    <t>子公司</t>
  </si>
  <si>
    <t>财务对接人</t>
  </si>
  <si>
    <t>性质</t>
  </si>
  <si>
    <t>客户性质</t>
  </si>
  <si>
    <t>产品大类</t>
  </si>
  <si>
    <t>华东区</t>
  </si>
  <si>
    <t>华南区</t>
  </si>
  <si>
    <t>华中区</t>
  </si>
  <si>
    <t>其他区</t>
  </si>
  <si>
    <t>月份</t>
  </si>
  <si>
    <t>客户类别</t>
  </si>
  <si>
    <t>主营料种</t>
  </si>
  <si>
    <t>科目</t>
  </si>
  <si>
    <t>科目说明</t>
  </si>
  <si>
    <t>费用类别</t>
  </si>
  <si>
    <t>明细类别</t>
  </si>
  <si>
    <t>福建</t>
  </si>
  <si>
    <t>毕昌</t>
  </si>
  <si>
    <t>基地公司</t>
  </si>
  <si>
    <t>老客户</t>
  </si>
  <si>
    <t>目录!A1</t>
  </si>
  <si>
    <t>江门生物</t>
  </si>
  <si>
    <t>武汉</t>
  </si>
  <si>
    <t>原本</t>
  </si>
  <si>
    <t>新客户</t>
  </si>
  <si>
    <t>经销商</t>
  </si>
  <si>
    <t>分类</t>
  </si>
  <si>
    <t>分解科目</t>
  </si>
  <si>
    <t>530104\研发支出\租赁费</t>
  </si>
  <si>
    <t>浙江</t>
  </si>
  <si>
    <t>高海菊</t>
  </si>
  <si>
    <t>四会</t>
  </si>
  <si>
    <t>汉南</t>
  </si>
  <si>
    <t>越南</t>
  </si>
  <si>
    <t>直销户</t>
  </si>
  <si>
    <t>销售吨数</t>
  </si>
  <si>
    <t>变动成本</t>
  </si>
  <si>
    <t>53010201\研发支出\人员人工\工资</t>
  </si>
  <si>
    <t>人工薪酬（工资、五险一金）</t>
  </si>
  <si>
    <t>唐山</t>
  </si>
  <si>
    <t>梁文雅</t>
  </si>
  <si>
    <t>玉林</t>
  </si>
  <si>
    <t>荆州</t>
  </si>
  <si>
    <t>澳保</t>
  </si>
  <si>
    <t>代工客户</t>
  </si>
  <si>
    <t>销售标准吨数</t>
  </si>
  <si>
    <t>提成奖励</t>
  </si>
  <si>
    <t>53010202\研发支出\人员人工\绩效工资</t>
  </si>
  <si>
    <t>惠州</t>
  </si>
  <si>
    <t>王虎伟</t>
  </si>
  <si>
    <t>广西</t>
  </si>
  <si>
    <t>江西</t>
  </si>
  <si>
    <t>伟凝</t>
  </si>
  <si>
    <t>年终提成</t>
  </si>
  <si>
    <t>530124\研发支出\水电物业费</t>
  </si>
  <si>
    <t>能耗</t>
  </si>
  <si>
    <t>淮安</t>
  </si>
  <si>
    <t>曹杰</t>
  </si>
  <si>
    <t>澳源</t>
  </si>
  <si>
    <t>贵州</t>
  </si>
  <si>
    <t>池州</t>
  </si>
  <si>
    <t>总部</t>
  </si>
  <si>
    <t>工资和薪金</t>
  </si>
  <si>
    <t>固定</t>
  </si>
  <si>
    <t>人力费用（固定工资、五险一金、职工福利）</t>
  </si>
  <si>
    <t>成长分享</t>
  </si>
  <si>
    <t>53010204\研发支出\人员人工\公积金</t>
  </si>
  <si>
    <t>泰州</t>
  </si>
  <si>
    <t>豆业晶</t>
  </si>
  <si>
    <t>海南</t>
  </si>
  <si>
    <t>洛阳水产</t>
  </si>
  <si>
    <t>变动</t>
  </si>
  <si>
    <t>运输费</t>
  </si>
  <si>
    <t>5301020501\研发支出\人员人工\社保\养老保险</t>
  </si>
  <si>
    <t>南京</t>
  </si>
  <si>
    <t>郭良</t>
  </si>
  <si>
    <t>大粤西</t>
  </si>
  <si>
    <t>洛阳陕西</t>
  </si>
  <si>
    <t>技术服务费</t>
  </si>
  <si>
    <t>5301020502\研发支出\人员人工\社保\医疗保险</t>
  </si>
  <si>
    <t>邓洪才</t>
  </si>
  <si>
    <t>湛江</t>
  </si>
  <si>
    <t>洛阳畜禽</t>
  </si>
  <si>
    <t>固定成本</t>
  </si>
  <si>
    <t>5301020503\研发支出\人员人工\社保\工伤保险</t>
  </si>
  <si>
    <t>张裕华</t>
  </si>
  <si>
    <t>江苏</t>
  </si>
  <si>
    <t>四川</t>
  </si>
  <si>
    <t>湖南</t>
  </si>
  <si>
    <t>劳务费</t>
  </si>
  <si>
    <t>5301020504\研发支出\人员人工\社保\失业保险</t>
  </si>
  <si>
    <t>龙玉杰</t>
  </si>
  <si>
    <t>云南</t>
  </si>
  <si>
    <t>湖南澳源</t>
  </si>
  <si>
    <t>浓缩预混料</t>
  </si>
  <si>
    <t>社保费</t>
  </si>
  <si>
    <t>差旅费</t>
  </si>
  <si>
    <t>5301020505\研发支出\人员人工\社保\生育医疗</t>
  </si>
  <si>
    <t>李小婷</t>
  </si>
  <si>
    <t>销售公司</t>
  </si>
  <si>
    <t>岳阳</t>
  </si>
  <si>
    <t>动保</t>
  </si>
  <si>
    <t>住房公积金</t>
  </si>
  <si>
    <t>车辆使用费</t>
  </si>
  <si>
    <t>530125\研发支出\成长分享</t>
  </si>
  <si>
    <t>蒙鸿娟</t>
  </si>
  <si>
    <t>益阳</t>
  </si>
  <si>
    <t>职工福利金</t>
  </si>
  <si>
    <t>应酬费</t>
  </si>
  <si>
    <t>530103\研发支出\折旧费</t>
  </si>
  <si>
    <t>石玉琴</t>
  </si>
  <si>
    <t>衡阳</t>
  </si>
  <si>
    <t>全年</t>
  </si>
  <si>
    <t>差旅补助</t>
  </si>
  <si>
    <t>推广、会务</t>
  </si>
  <si>
    <t>530101\研发支出\直接材料及燃动力</t>
  </si>
  <si>
    <t>办公费用</t>
  </si>
  <si>
    <t>曾君</t>
  </si>
  <si>
    <t>固定资产折旧费</t>
  </si>
  <si>
    <t>530111\研发支出\车辆使用费</t>
  </si>
  <si>
    <t>何栩童</t>
  </si>
  <si>
    <t>事业部</t>
  </si>
  <si>
    <t>诉讼费</t>
  </si>
  <si>
    <t>53010203\研发支出\人员人工\奖金</t>
  </si>
  <si>
    <t>蒋晓玲</t>
  </si>
  <si>
    <t>530122\研发支出\办公费</t>
  </si>
  <si>
    <t>余俊</t>
  </si>
  <si>
    <t>销售推广费</t>
  </si>
  <si>
    <t>530109\研发支出\技术服务费</t>
  </si>
  <si>
    <t>孙子明</t>
  </si>
  <si>
    <t>会务费</t>
  </si>
  <si>
    <t>530108\研发支出\差旅费</t>
  </si>
  <si>
    <t>卞淑芬</t>
  </si>
  <si>
    <t>530121\研发支出\业务招待费</t>
  </si>
  <si>
    <t>韩玉可</t>
  </si>
  <si>
    <t>中转仓储费</t>
  </si>
  <si>
    <t>530119\研发支出\职工福利费</t>
  </si>
  <si>
    <t>变动费用</t>
  </si>
  <si>
    <t>530123\研发支出\维护费</t>
  </si>
  <si>
    <t>维修费</t>
  </si>
  <si>
    <t>郭佳</t>
  </si>
  <si>
    <t>其他</t>
  </si>
  <si>
    <t>530116\研发支出\外聘劳务费</t>
  </si>
  <si>
    <t>罗燕红</t>
  </si>
  <si>
    <t>运输费（对内）</t>
  </si>
  <si>
    <t>股份支付</t>
  </si>
  <si>
    <t>530117\研发支出\购置费及检验费</t>
  </si>
  <si>
    <t>肖阿林</t>
  </si>
  <si>
    <t>办公费</t>
  </si>
  <si>
    <t>固定费用</t>
  </si>
  <si>
    <t>530112\研发支出\会务费</t>
  </si>
  <si>
    <t>路鑫</t>
  </si>
  <si>
    <t>530126\研发支出\运输费</t>
  </si>
  <si>
    <t>陈小冰</t>
  </si>
  <si>
    <t>使用权资产折旧费</t>
  </si>
  <si>
    <t>530120\研发支出\使用权资产折旧费</t>
  </si>
  <si>
    <t>陈晓佳</t>
  </si>
  <si>
    <t>530113\研发支出\知识产权费</t>
  </si>
  <si>
    <t>无形资产摊销费</t>
  </si>
  <si>
    <t>培训招聘费</t>
  </si>
  <si>
    <t>530115\研发支出\长期待摊费用摊销</t>
  </si>
  <si>
    <t>长期待摊费用摊销</t>
  </si>
  <si>
    <t>水电费</t>
  </si>
  <si>
    <t>530118\研发支出\设计制定费及试验费</t>
  </si>
  <si>
    <t>所属公司</t>
  </si>
  <si>
    <t>启用状态</t>
  </si>
  <si>
    <t>物料编码</t>
  </si>
  <si>
    <t>物料名称</t>
  </si>
  <si>
    <t>大类</t>
  </si>
  <si>
    <t>小类</t>
  </si>
  <si>
    <t>5+2分类</t>
  </si>
  <si>
    <t>助记码</t>
  </si>
  <si>
    <t>产品系列</t>
  </si>
  <si>
    <t>湖南澳华农牧科技有限公司</t>
  </si>
  <si>
    <t>已启用</t>
  </si>
  <si>
    <t>2201020561</t>
  </si>
  <si>
    <t>花鲢1号Φ1.0</t>
  </si>
  <si>
    <t>鳙鱼料</t>
  </si>
  <si>
    <t>WUH1-HL1-1.0</t>
  </si>
  <si>
    <t>花鲢1号</t>
  </si>
  <si>
    <t>Φ</t>
  </si>
  <si>
    <t>2201020564</t>
  </si>
  <si>
    <t>贵妃宝Φ5.0</t>
  </si>
  <si>
    <t>草鱼料</t>
  </si>
  <si>
    <t>鱼安康系列-草鱼安康</t>
  </si>
  <si>
    <t>WUH1-GFB-5.0</t>
  </si>
  <si>
    <t>贵妃宝</t>
  </si>
  <si>
    <t>2201020566</t>
  </si>
  <si>
    <t>草鱼安康Φ2.0</t>
  </si>
  <si>
    <t>WUH1-CYAK-2.0</t>
  </si>
  <si>
    <t>草鱼安康</t>
  </si>
  <si>
    <t>2201020567</t>
  </si>
  <si>
    <t>草鱼安康Φ3.0</t>
  </si>
  <si>
    <t>WUH1-CYAK-3.0</t>
  </si>
  <si>
    <t>2201020569</t>
  </si>
  <si>
    <t>淡水鱼1号料Φ2.0</t>
  </si>
  <si>
    <t>WUH1-DSY1-2.0</t>
  </si>
  <si>
    <t>淡水鱼1号料</t>
  </si>
  <si>
    <t>2201020570</t>
  </si>
  <si>
    <t>淡水鱼1号料Φ3.0</t>
  </si>
  <si>
    <t>WUH1-DSY1-3.0</t>
  </si>
  <si>
    <t>已停用</t>
  </si>
  <si>
    <t>2201020571</t>
  </si>
  <si>
    <t>淡水鱼1号料Φ5.0</t>
  </si>
  <si>
    <t>WUH1-DSY1-5.0</t>
  </si>
  <si>
    <t>2201020576</t>
  </si>
  <si>
    <t>冬藏宝Φ3.0</t>
  </si>
  <si>
    <t>四季料</t>
  </si>
  <si>
    <t>WUH1-DSDCB-3.0</t>
  </si>
  <si>
    <t>冬藏宝</t>
  </si>
  <si>
    <t>2201020582</t>
  </si>
  <si>
    <t>混养2号Φ3.0</t>
  </si>
  <si>
    <t>WUH1-HY2-3.0</t>
  </si>
  <si>
    <t>混养2号</t>
  </si>
  <si>
    <t>2201020316</t>
  </si>
  <si>
    <t>驯化宝Φ2.0</t>
  </si>
  <si>
    <t>无</t>
  </si>
  <si>
    <t>HUN1-XHB-2.0</t>
  </si>
  <si>
    <t>驯化宝</t>
  </si>
  <si>
    <t>2201020317</t>
  </si>
  <si>
    <t>驯化宝Φ3.0</t>
  </si>
  <si>
    <t>HUN1-XHB-3.0</t>
  </si>
  <si>
    <t>2201020322</t>
  </si>
  <si>
    <t>HUN1-DCB-3.0</t>
  </si>
  <si>
    <t>2201020327</t>
  </si>
  <si>
    <t>膨化混养1号Φ3.0</t>
  </si>
  <si>
    <t>HUN1-PHHY1-3.0</t>
  </si>
  <si>
    <t>膨化混养1号</t>
  </si>
  <si>
    <t>2201050001</t>
  </si>
  <si>
    <t>叉尾鮰2号Φ2.0</t>
  </si>
  <si>
    <t>叉尾鮰料</t>
  </si>
  <si>
    <t>ZJ1-CWH2-2.0</t>
  </si>
  <si>
    <t>叉尾鮰2号</t>
  </si>
  <si>
    <t>2201050002</t>
  </si>
  <si>
    <t>叉尾鮰2号Φ3.0</t>
  </si>
  <si>
    <t>ZJ1-CWH2-3.0</t>
  </si>
  <si>
    <t>2201050008</t>
  </si>
  <si>
    <t>特种鱼苗料Φ1.0</t>
  </si>
  <si>
    <t>鱼苗料</t>
  </si>
  <si>
    <t>WUH1-TZYML-1.0</t>
  </si>
  <si>
    <t>特种鱼苗料</t>
  </si>
  <si>
    <t>2201050009</t>
  </si>
  <si>
    <t>翘嘴安康Φ2.0</t>
  </si>
  <si>
    <t>翘嘴料</t>
  </si>
  <si>
    <t>海特料-翘嘴安康</t>
  </si>
  <si>
    <t>WUH1-QZAK-2.0</t>
  </si>
  <si>
    <t>翘嘴安康</t>
  </si>
  <si>
    <t>2201050010</t>
  </si>
  <si>
    <t>翘嘴安康Φ3.0</t>
  </si>
  <si>
    <t>WUH1-QZAK-3.0</t>
  </si>
  <si>
    <t>2201050011</t>
  </si>
  <si>
    <t>翘嘴安康Φ5.0</t>
  </si>
  <si>
    <t>WUH1-QZAK-5.0</t>
  </si>
  <si>
    <t>2201050012</t>
  </si>
  <si>
    <t>鲌鱼2号Φ2.0</t>
  </si>
  <si>
    <t>WUH1-BY2H-2.0</t>
  </si>
  <si>
    <t>鲌鱼2号</t>
  </si>
  <si>
    <t>2201050013</t>
  </si>
  <si>
    <t>鲌鱼2号Φ3.0</t>
  </si>
  <si>
    <t>WUH1-BY2H-3.0</t>
  </si>
  <si>
    <t>2201050014</t>
  </si>
  <si>
    <t>鲌鱼2号Φ5.0</t>
  </si>
  <si>
    <t>WUH1-BY2H-5.0</t>
  </si>
  <si>
    <t>2201020584</t>
  </si>
  <si>
    <t>渔家旺Φ2.0</t>
  </si>
  <si>
    <t>WUH1-YJW-2.0</t>
  </si>
  <si>
    <t>渔家旺</t>
  </si>
  <si>
    <t>2201020585</t>
  </si>
  <si>
    <t>渔家旺Φ3.0</t>
  </si>
  <si>
    <t>WUH1-YJW-3.0</t>
  </si>
  <si>
    <t>2201020587</t>
  </si>
  <si>
    <t>WUH1-XHB-2.0</t>
  </si>
  <si>
    <t>2201020588</t>
  </si>
  <si>
    <t>WUH1-XHB-3.0</t>
  </si>
  <si>
    <t>2201020596</t>
  </si>
  <si>
    <t>淡水肝肠安康Ⅱ型Φ2.0</t>
  </si>
  <si>
    <t>功能料</t>
  </si>
  <si>
    <t>功能料系列-肝肠安康</t>
  </si>
  <si>
    <t>WUH1-DSGCAKⅡ-2.0</t>
  </si>
  <si>
    <t>淡水肝肠安康Ⅱ型</t>
  </si>
  <si>
    <t>2201020698</t>
  </si>
  <si>
    <t>贵妃宝Φ3.0</t>
  </si>
  <si>
    <t>WUH1-GFB-3.0</t>
  </si>
  <si>
    <t>2201020722</t>
  </si>
  <si>
    <t>贵妃宝Φ2.0</t>
  </si>
  <si>
    <t>WUH1-GFB-2.0</t>
  </si>
  <si>
    <t>2201100091</t>
  </si>
  <si>
    <t>叉尾鮰3号Φ2.0</t>
  </si>
  <si>
    <t>WUH1-CWH3-2.0</t>
  </si>
  <si>
    <t>叉尾鮰3号</t>
  </si>
  <si>
    <t>2201100092</t>
  </si>
  <si>
    <t>叉尾鮰3号Φ3.0</t>
  </si>
  <si>
    <t>WUH1-CWH3-3.0</t>
  </si>
  <si>
    <t>2201100093</t>
  </si>
  <si>
    <t>叉尾鮰3号Φ5.0</t>
  </si>
  <si>
    <t>WUH1-CWH3-5.0</t>
  </si>
  <si>
    <t>2201100097</t>
  </si>
  <si>
    <t>叉尾安康Φ2.0</t>
  </si>
  <si>
    <t>鱼安康系列-叉尾安康</t>
  </si>
  <si>
    <t>WUH1-CWAK-2.0</t>
  </si>
  <si>
    <t>叉尾安康</t>
  </si>
  <si>
    <t>2201100098</t>
  </si>
  <si>
    <t>叉尾安康Φ3.0</t>
  </si>
  <si>
    <t>WUH1-CWAK-3.0</t>
  </si>
  <si>
    <t>2201100099</t>
  </si>
  <si>
    <t>叉尾安康Φ5.0</t>
  </si>
  <si>
    <t>WUH1-CWAK-5.0</t>
  </si>
  <si>
    <t>2202010176</t>
  </si>
  <si>
    <t>青蛙1号AΦ1.5</t>
  </si>
  <si>
    <t>蛙料</t>
  </si>
  <si>
    <t>WUH1-QW1A-1.5</t>
  </si>
  <si>
    <t>青蛙1号A</t>
  </si>
  <si>
    <t>2202010179</t>
  </si>
  <si>
    <t>蛙粉A料Φ粉</t>
  </si>
  <si>
    <t>WUH18-WFA-F</t>
  </si>
  <si>
    <t>蛙粉A料</t>
  </si>
  <si>
    <t>2202010183</t>
  </si>
  <si>
    <t>青蛙1号Φ1.5</t>
  </si>
  <si>
    <t>WUH18-QW1-1.5</t>
  </si>
  <si>
    <t>青蛙1号</t>
  </si>
  <si>
    <t>2202010184</t>
  </si>
  <si>
    <t>青蛙2号Φ2.0</t>
  </si>
  <si>
    <t>WUH18-QW2-2.0</t>
  </si>
  <si>
    <t>青蛙2号</t>
  </si>
  <si>
    <t>2202010185</t>
  </si>
  <si>
    <t>青蛙3号Φ3.0</t>
  </si>
  <si>
    <t>WUH18-QW3-3.0</t>
  </si>
  <si>
    <t>青蛙3号</t>
  </si>
  <si>
    <t>2202010187</t>
  </si>
  <si>
    <t>WUH18-QW1A-1.5</t>
  </si>
  <si>
    <t>2202010188</t>
  </si>
  <si>
    <t>青蛙2号AΦ2.0</t>
  </si>
  <si>
    <t>WUH18-QW2A-2.0</t>
  </si>
  <si>
    <t>青蛙2号A</t>
  </si>
  <si>
    <t>2202010189</t>
  </si>
  <si>
    <t>青蛙3号AΦ3.0</t>
  </si>
  <si>
    <t>WUH18-QW3A-3.0</t>
  </si>
  <si>
    <t>青蛙3号A</t>
  </si>
  <si>
    <t>2202010195</t>
  </si>
  <si>
    <t>8822Φ2.0</t>
  </si>
  <si>
    <t>WUH2-8822-2.0</t>
  </si>
  <si>
    <t>8822</t>
  </si>
  <si>
    <t>2202010196</t>
  </si>
  <si>
    <t>8823Φ3.0</t>
  </si>
  <si>
    <t>WUH2-8823-3.0</t>
  </si>
  <si>
    <t>8823</t>
  </si>
  <si>
    <t>2202010198</t>
  </si>
  <si>
    <t>8811Φ1.5</t>
  </si>
  <si>
    <t>WUH2-8811-1.5</t>
  </si>
  <si>
    <t>8811</t>
  </si>
  <si>
    <t>2202010199</t>
  </si>
  <si>
    <t>8812Φ2.0</t>
  </si>
  <si>
    <t>WUH2-8812-2.0</t>
  </si>
  <si>
    <t>8812</t>
  </si>
  <si>
    <t>2202010200</t>
  </si>
  <si>
    <t>8813Φ3.0</t>
  </si>
  <si>
    <t>WUH2-8813-3.0</t>
  </si>
  <si>
    <t>8813</t>
  </si>
  <si>
    <t>2202010252</t>
  </si>
  <si>
    <t>8868Φ2.0</t>
  </si>
  <si>
    <t>海特料-蛙料</t>
  </si>
  <si>
    <t>WUH2-8868-2.0</t>
  </si>
  <si>
    <t>8868</t>
  </si>
  <si>
    <t>2202010253</t>
  </si>
  <si>
    <t>8878Φ3.0</t>
  </si>
  <si>
    <t>WUH2-8878-3.0</t>
  </si>
  <si>
    <t>8878</t>
  </si>
  <si>
    <t>2202010254</t>
  </si>
  <si>
    <t>8828Φ3.0</t>
  </si>
  <si>
    <t>WUH2-8828-3.0</t>
  </si>
  <si>
    <t>8828</t>
  </si>
  <si>
    <t>2201110012</t>
  </si>
  <si>
    <t>鱼康宝Φ2.0</t>
  </si>
  <si>
    <t>生物料</t>
  </si>
  <si>
    <t>WUH1-YKB-2.0</t>
  </si>
  <si>
    <t>鱼康宝</t>
  </si>
  <si>
    <t>2201110013</t>
  </si>
  <si>
    <t>鱼康宝Φ3.0</t>
  </si>
  <si>
    <t>WUH1-YKB-3.0</t>
  </si>
  <si>
    <t>2202010058</t>
  </si>
  <si>
    <t>牛蛙3号Φ3.0</t>
  </si>
  <si>
    <t>牛蛙料</t>
  </si>
  <si>
    <t>HUN1-NW3-3.0</t>
  </si>
  <si>
    <t>牛蛙3号</t>
  </si>
  <si>
    <t>2202010059</t>
  </si>
  <si>
    <t>牛蛙4号Φ4.0</t>
  </si>
  <si>
    <t>HUN1-NW4-4.0</t>
  </si>
  <si>
    <t>牛蛙4号</t>
  </si>
  <si>
    <t>2202010060</t>
  </si>
  <si>
    <t>牛蛙5号Φ5.0</t>
  </si>
  <si>
    <t>HUN1-NW5-5.0</t>
  </si>
  <si>
    <t>牛蛙5号</t>
  </si>
  <si>
    <t>2202010062</t>
  </si>
  <si>
    <t>青蛙料2号AΦ2.0</t>
  </si>
  <si>
    <t>青蛙料</t>
  </si>
  <si>
    <t>HUN18-QW2A-2.0</t>
  </si>
  <si>
    <t>青蛙料2号A</t>
  </si>
  <si>
    <t>2202010087</t>
  </si>
  <si>
    <t>青蛙料3号AΦ3.0</t>
  </si>
  <si>
    <t>HUN18-QW3A-3.0</t>
  </si>
  <si>
    <t>青蛙料3号A</t>
  </si>
  <si>
    <t>2202010110</t>
  </si>
  <si>
    <t>蛙料0号Φ1.0</t>
  </si>
  <si>
    <t>HUN18-WL0-1.0</t>
  </si>
  <si>
    <t>蛙料0号</t>
  </si>
  <si>
    <t>2202010112</t>
  </si>
  <si>
    <t>青蛙料1号AΦ1.5</t>
  </si>
  <si>
    <t>HUN18-QWL1A-1.5</t>
  </si>
  <si>
    <t>青蛙料1号A</t>
  </si>
  <si>
    <t>2202010168</t>
  </si>
  <si>
    <t>WUH1-WFA-F</t>
  </si>
  <si>
    <t>2202030176</t>
  </si>
  <si>
    <t>铂金加州鲈安康0号Φ1.0</t>
  </si>
  <si>
    <t>加州鲈鱼料</t>
  </si>
  <si>
    <t>海特料-铂金版加州安康</t>
  </si>
  <si>
    <t>WUH1-BJJZLAK0-1.0</t>
  </si>
  <si>
    <t>铂金加州鲈安康0号</t>
  </si>
  <si>
    <t>2202030178</t>
  </si>
  <si>
    <t>鱼宝宝Φ0.3</t>
  </si>
  <si>
    <t>海特料-加州鲈料</t>
  </si>
  <si>
    <t>WUH1-YBB-0.3</t>
  </si>
  <si>
    <t>鱼宝宝</t>
  </si>
  <si>
    <t>2202030181</t>
  </si>
  <si>
    <t>铂金加州鲈安康1号Φ1.5</t>
  </si>
  <si>
    <t>WUH1-BJJZLAK1-1.5</t>
  </si>
  <si>
    <t>铂金加州鲈安康1号</t>
  </si>
  <si>
    <t>2202040020</t>
  </si>
  <si>
    <t>黄颡鱼A料1号Φ1.5</t>
  </si>
  <si>
    <t>黄颡鱼料</t>
  </si>
  <si>
    <t>ZJ1-HSYA1-1.5</t>
  </si>
  <si>
    <t>黄颡鱼A料1号</t>
  </si>
  <si>
    <t>2202040046</t>
  </si>
  <si>
    <t>黄颡安康Φ2.0</t>
  </si>
  <si>
    <t>海特料-黄颡安康</t>
  </si>
  <si>
    <t>ZJ1-HSAK-2.0</t>
  </si>
  <si>
    <t>黄颡安康</t>
  </si>
  <si>
    <t>2202040102</t>
  </si>
  <si>
    <t>黄颡安康Φ1.5</t>
  </si>
  <si>
    <t>WUH1-HSAK-1.5</t>
  </si>
  <si>
    <t>2202040103</t>
  </si>
  <si>
    <t>WUH1-HSAK-2.0</t>
  </si>
  <si>
    <t>2202040104</t>
  </si>
  <si>
    <t>黄颡鱼1号Φ1.5</t>
  </si>
  <si>
    <t>WUH1-HSY1-1.5</t>
  </si>
  <si>
    <t>黄颡鱼1号</t>
  </si>
  <si>
    <t>2202040105</t>
  </si>
  <si>
    <t>黄颡鱼1号Φ2.0</t>
  </si>
  <si>
    <t>WUH1-HSY1-2.0</t>
  </si>
  <si>
    <t>2202040107</t>
  </si>
  <si>
    <t>黄颡鱼冬藏宝Φ1.5</t>
  </si>
  <si>
    <t>WUH1-HSDCB-1.5</t>
  </si>
  <si>
    <t>黄颡鱼冬藏宝</t>
  </si>
  <si>
    <t>2202040108</t>
  </si>
  <si>
    <t>黄颡鱼冬藏宝Φ2.0</t>
  </si>
  <si>
    <t>WUH1-HSDCB-2.0</t>
  </si>
  <si>
    <t>2202040113</t>
  </si>
  <si>
    <t>黄颡鱼料Φ粉</t>
  </si>
  <si>
    <t>ZJ1-HSYL-F</t>
  </si>
  <si>
    <t>2202030008</t>
  </si>
  <si>
    <t>加州安康2号Φ2.0</t>
  </si>
  <si>
    <t>海特料-加州安康</t>
  </si>
  <si>
    <t>JM1-JZAK2-2.0</t>
  </si>
  <si>
    <t>加州安康2号</t>
  </si>
  <si>
    <t>2202040128</t>
  </si>
  <si>
    <t>铂金黄颡安康Φ1.5</t>
  </si>
  <si>
    <t>WUH1-BJHSAK-1.5</t>
  </si>
  <si>
    <t>铂金黄颡安康</t>
  </si>
  <si>
    <t>2202040129</t>
  </si>
  <si>
    <t>铂金黄颡安康Φ2.0</t>
  </si>
  <si>
    <t>WUH1-BJHSAK-2.0</t>
  </si>
  <si>
    <t>2202040140</t>
  </si>
  <si>
    <t>铂金黄颡安康Φ1.0</t>
  </si>
  <si>
    <t>WUH1-BJHSAK-1.0</t>
  </si>
  <si>
    <t>2202030081</t>
  </si>
  <si>
    <t>鱼宝宝Φ0.5</t>
  </si>
  <si>
    <t>JM1-YBB-0.5</t>
  </si>
  <si>
    <t>2202030124</t>
  </si>
  <si>
    <t>加州鲈安康3号Φ3.0</t>
  </si>
  <si>
    <t>海特料-加州鲈安康</t>
  </si>
  <si>
    <t>WUH1-JZLAK3-3.0</t>
  </si>
  <si>
    <t>加州鲈安康3号</t>
  </si>
  <si>
    <t>2202030125</t>
  </si>
  <si>
    <t>加州鲈安康4号Φ4.0</t>
  </si>
  <si>
    <t>WUH1-JZLAK4-4.0</t>
  </si>
  <si>
    <t>加州鲈安康4号</t>
  </si>
  <si>
    <t>2202030126</t>
  </si>
  <si>
    <t>加州鲈安康5号Φ5.0</t>
  </si>
  <si>
    <t>WUH1-JZLAK5-5.0</t>
  </si>
  <si>
    <t>加州鲈安康5号</t>
  </si>
  <si>
    <t>2202030127</t>
  </si>
  <si>
    <t>加州鲈安康6号Φ6.0</t>
  </si>
  <si>
    <t>WUH1-JZLAK6-6.0</t>
  </si>
  <si>
    <t>加州鲈安康6号</t>
  </si>
  <si>
    <t>2202030128</t>
  </si>
  <si>
    <t>加州鲈安康7号Φ7.0</t>
  </si>
  <si>
    <t>WUH1-JZLAK7-7.0</t>
  </si>
  <si>
    <t>加州鲈安康7号</t>
  </si>
  <si>
    <t>2202030130</t>
  </si>
  <si>
    <t>铂金加州鲈安康1号Φ1.0</t>
  </si>
  <si>
    <t>WUH1-BJJZLAK1-1.0</t>
  </si>
  <si>
    <t>2202030131</t>
  </si>
  <si>
    <t>铂金加州鲈安康2号Φ2.0</t>
  </si>
  <si>
    <t>WUH1-BJJZLAK2-2.0</t>
  </si>
  <si>
    <t>铂金加州鲈安康2号</t>
  </si>
  <si>
    <t>2202030132</t>
  </si>
  <si>
    <t>铂金加州鲈安康3号Φ3.0</t>
  </si>
  <si>
    <t>WUH1-BJJZLAK3-3.0</t>
  </si>
  <si>
    <t>铂金加州鲈安康3号</t>
  </si>
  <si>
    <t>2202030133</t>
  </si>
  <si>
    <t>铂金加州鲈安康4号Φ4.0</t>
  </si>
  <si>
    <t>WUH1-BJJZLAK4-4.0</t>
  </si>
  <si>
    <t>铂金加州鲈安康4号</t>
  </si>
  <si>
    <t>2202030134</t>
  </si>
  <si>
    <t>铂金加州鲈安康5号Φ5.0</t>
  </si>
  <si>
    <t>WUH1-BJJZLAK5-5.0</t>
  </si>
  <si>
    <t>铂金加州鲈安康5号</t>
  </si>
  <si>
    <t>2202030135</t>
  </si>
  <si>
    <t>铂金加州鲈安康6号Φ6.0</t>
  </si>
  <si>
    <t>WUH1-BJJZLAK6-6.0</t>
  </si>
  <si>
    <t>铂金加州鲈安康6号</t>
  </si>
  <si>
    <t>2202030136</t>
  </si>
  <si>
    <t>铂金加州鲈安康7号Φ7.0</t>
  </si>
  <si>
    <t>WUH1-BJJZLAK7-7.0</t>
  </si>
  <si>
    <t>铂金加州鲈安康7号</t>
  </si>
  <si>
    <t>2202080006</t>
  </si>
  <si>
    <t>黄鳝鱼1号Φ1.5</t>
  </si>
  <si>
    <t>黄鳝鱼料</t>
  </si>
  <si>
    <t>WUH1-HSHY1-1.5</t>
  </si>
  <si>
    <t>黄鳝鱼1号</t>
  </si>
  <si>
    <t>2202330032</t>
  </si>
  <si>
    <t>牛蛙0号Φ1.0</t>
  </si>
  <si>
    <t>HUN1-NW0-1.0</t>
  </si>
  <si>
    <t>牛蛙0号</t>
  </si>
  <si>
    <t>2202330033</t>
  </si>
  <si>
    <t>牛蛙1号Φ1.5</t>
  </si>
  <si>
    <t>HUN1-NW1-1.5</t>
  </si>
  <si>
    <t>牛蛙1号</t>
  </si>
  <si>
    <t>2202330034</t>
  </si>
  <si>
    <t>牛蛙2号Φ2.0</t>
  </si>
  <si>
    <t>HUN1-NW2-2.0</t>
  </si>
  <si>
    <t>牛蛙2号</t>
  </si>
  <si>
    <t>2202130015</t>
  </si>
  <si>
    <t>优力肽Φ2.0</t>
  </si>
  <si>
    <t>WUH1-YLT-2.0</t>
  </si>
  <si>
    <t>优力肽</t>
  </si>
  <si>
    <t>2203030052</t>
  </si>
  <si>
    <t>鳊鱼专用料621Φ2.0</t>
  </si>
  <si>
    <t>鳊鱼料</t>
  </si>
  <si>
    <t>WUH1-621-2.0</t>
  </si>
  <si>
    <t>鳊鱼专用料621</t>
  </si>
  <si>
    <t>2203030053</t>
  </si>
  <si>
    <t>鳊鱼专用料621Φ2.5</t>
  </si>
  <si>
    <t>WUH1-621-2.5</t>
  </si>
  <si>
    <t>2203030054</t>
  </si>
  <si>
    <t>鳊鱼专用料621Φ3.0</t>
  </si>
  <si>
    <t>WUH1-621-3.0</t>
  </si>
  <si>
    <t>2203040028</t>
  </si>
  <si>
    <t>膨化混养1号Φ2.0</t>
  </si>
  <si>
    <t>HUN1-PHHY1-2.0</t>
  </si>
  <si>
    <t>2203010205</t>
  </si>
  <si>
    <t>混养鱼料610Φ小碎</t>
  </si>
  <si>
    <t>WUH1-610-XS</t>
  </si>
  <si>
    <t>混养鱼料610</t>
  </si>
  <si>
    <t>2203010206</t>
  </si>
  <si>
    <t>混养鱼料610Φ大碎</t>
  </si>
  <si>
    <t>WUH1-610-DS</t>
  </si>
  <si>
    <t>2203010207</t>
  </si>
  <si>
    <t>混养鱼料610Φ1.5</t>
  </si>
  <si>
    <t>WUH1-610-1.5</t>
  </si>
  <si>
    <t>2203010208</t>
  </si>
  <si>
    <t>混养鱼料610Φ2.0</t>
  </si>
  <si>
    <t>WUH1-610-2.0</t>
  </si>
  <si>
    <t>2203010209</t>
  </si>
  <si>
    <t>混养鱼料610Φ2.5</t>
  </si>
  <si>
    <t>WUH1-610-2.5</t>
  </si>
  <si>
    <t>2203010210</t>
  </si>
  <si>
    <t>混养鱼料610Φ3.0</t>
  </si>
  <si>
    <t>WUH1-610-3.0</t>
  </si>
  <si>
    <t>2203010211</t>
  </si>
  <si>
    <t>混养鱼料610Φ4.0</t>
  </si>
  <si>
    <t>WUH1-610-4.0</t>
  </si>
  <si>
    <t>2203010218</t>
  </si>
  <si>
    <t>混养鱼料618Φ2.0</t>
  </si>
  <si>
    <t>618高端颗粒鱼料</t>
  </si>
  <si>
    <t>WUH1-618-2.0</t>
  </si>
  <si>
    <t>混养鱼料618</t>
  </si>
  <si>
    <t>2203010219</t>
  </si>
  <si>
    <t>混养鱼料618Φ2.5</t>
  </si>
  <si>
    <t>WUH1-618-2.5</t>
  </si>
  <si>
    <t>2203010220</t>
  </si>
  <si>
    <t>混养鱼料618Φ3.0</t>
  </si>
  <si>
    <t>WUH1-618-3.0</t>
  </si>
  <si>
    <t>2203010235</t>
  </si>
  <si>
    <t>叉尾鮰料661Φ3.0</t>
  </si>
  <si>
    <t>WUH1-661-3.0</t>
  </si>
  <si>
    <t>叉尾鮰料661</t>
  </si>
  <si>
    <t>2203010241</t>
  </si>
  <si>
    <t>肝肠宝Ⅱ型Φ2.0</t>
  </si>
  <si>
    <t>功能料系列-肝肠宝</t>
  </si>
  <si>
    <t>WUH1-GCBⅡ-2.0</t>
  </si>
  <si>
    <t>肝肠宝Ⅱ型</t>
  </si>
  <si>
    <t>2203010243</t>
  </si>
  <si>
    <t>肝肠宝Ⅱ型Φ3.0</t>
  </si>
  <si>
    <t>WUH1-GCBⅡ-3.0</t>
  </si>
  <si>
    <t>2203010245</t>
  </si>
  <si>
    <t>花鲢宝Φ粉</t>
  </si>
  <si>
    <t>WUH1-HLB-F</t>
  </si>
  <si>
    <t>花鲢宝</t>
  </si>
  <si>
    <t>2203010327</t>
  </si>
  <si>
    <t>鲲丰宝Φ3.0</t>
  </si>
  <si>
    <t>WUH1-KFB-3.0</t>
  </si>
  <si>
    <t>鲲丰宝</t>
  </si>
  <si>
    <t>2203010328</t>
  </si>
  <si>
    <t>鲲丰宝Φ4.0</t>
  </si>
  <si>
    <t>WUH1-KFB-4.0</t>
  </si>
  <si>
    <t>2203010337</t>
  </si>
  <si>
    <t>澳冬宝Φ2.0</t>
  </si>
  <si>
    <t>WUH1-ADB-2.0</t>
  </si>
  <si>
    <t>澳冬宝</t>
  </si>
  <si>
    <t>2203010338</t>
  </si>
  <si>
    <t>澳冬宝Φ3.0</t>
  </si>
  <si>
    <t>WUH1-ADB-3.0</t>
  </si>
  <si>
    <t>2203010339</t>
  </si>
  <si>
    <t>混养成鱼料610Φ粉</t>
  </si>
  <si>
    <t>WH1-610-F</t>
  </si>
  <si>
    <t>混养成鱼料610</t>
  </si>
  <si>
    <t>2203040350</t>
  </si>
  <si>
    <t>JX1-610-F</t>
  </si>
  <si>
    <t>2203040391</t>
  </si>
  <si>
    <t>混养鱼料610Φ粉</t>
  </si>
  <si>
    <t>混养料</t>
  </si>
  <si>
    <t>WUH1-610-F</t>
  </si>
  <si>
    <t>2203100015</t>
  </si>
  <si>
    <t>叉尾鮰料662Φ2.0</t>
  </si>
  <si>
    <t>WUH1-662-2.0</t>
  </si>
  <si>
    <t>叉尾鮰料662</t>
  </si>
  <si>
    <t>2203100016</t>
  </si>
  <si>
    <t>叉尾鮰料662Φ2.5</t>
  </si>
  <si>
    <t>WUH1-662-2.5</t>
  </si>
  <si>
    <t>2203100017</t>
  </si>
  <si>
    <t>叉尾鮰料662Φ3.0</t>
  </si>
  <si>
    <t>WUH1-662-3.0</t>
  </si>
  <si>
    <t>2203100018</t>
  </si>
  <si>
    <t>叉尾鮰料662Φ4.0</t>
  </si>
  <si>
    <t>WUH1-662-4.0</t>
  </si>
  <si>
    <t>2203110008</t>
  </si>
  <si>
    <t>鱼苗宝3号Φ1.0</t>
  </si>
  <si>
    <t>鱼安康系列-鱼安康</t>
  </si>
  <si>
    <t>JX1-YMB3-1.0</t>
  </si>
  <si>
    <t>鱼苗宝3号</t>
  </si>
  <si>
    <t>2203120004</t>
  </si>
  <si>
    <t>鳊鱼专用料621Φ1.5</t>
  </si>
  <si>
    <t>WUH1-621-1.5</t>
  </si>
  <si>
    <t>2203080023</t>
  </si>
  <si>
    <t>鲫鱼料632Φ1.8</t>
  </si>
  <si>
    <t>鲫鱼料</t>
  </si>
  <si>
    <t>ZJ1-JYL632-1.8</t>
  </si>
  <si>
    <t>鲫鱼料632</t>
  </si>
  <si>
    <t>2203080024</t>
  </si>
  <si>
    <t>鲫鱼料632Φ2.5</t>
  </si>
  <si>
    <t>ZJ1-JYL632-2.5</t>
  </si>
  <si>
    <t>2203080068</t>
  </si>
  <si>
    <t>鲫鱼料632Φ2.0</t>
  </si>
  <si>
    <t>WUH1-JYL632-2.0</t>
  </si>
  <si>
    <t>2203080069</t>
  </si>
  <si>
    <t>WUH1-JYL632-2.5</t>
  </si>
  <si>
    <t>2203040280</t>
  </si>
  <si>
    <t>肝肠宝II型Φ2.0</t>
  </si>
  <si>
    <t>WH1-GCBII-2.0</t>
  </si>
  <si>
    <t>肝肠宝II型</t>
  </si>
  <si>
    <t>2204010189</t>
  </si>
  <si>
    <t>虾奶粉II段（有内袋）</t>
  </si>
  <si>
    <t>虾安康</t>
  </si>
  <si>
    <t>虾蟹安康-虾奶粉</t>
  </si>
  <si>
    <t>ZJ1-XNF2D-FY</t>
  </si>
  <si>
    <t>2204010255</t>
  </si>
  <si>
    <t>虾安康1号Φ1.0</t>
  </si>
  <si>
    <t>虾蟹安康-虾安康</t>
  </si>
  <si>
    <t>JM1-XAK1-1.0</t>
  </si>
  <si>
    <t>虾安康1号</t>
  </si>
  <si>
    <t>2204010001</t>
  </si>
  <si>
    <t>虾奶粉III段（有内袋）</t>
  </si>
  <si>
    <t>ZJ1-XNF3D-FY</t>
  </si>
  <si>
    <t>2204010004</t>
  </si>
  <si>
    <t>ZHJ1-XNF3D-FY</t>
  </si>
  <si>
    <t>2204010051</t>
  </si>
  <si>
    <t>虾奶粉Ⅱ段</t>
  </si>
  <si>
    <t>FJ1-XNFL2D-F</t>
  </si>
  <si>
    <t>2204010139</t>
  </si>
  <si>
    <t>虾安康0号Φ小碎（有内袋）</t>
  </si>
  <si>
    <t>ZJ1-XAK0-SY</t>
  </si>
  <si>
    <t>虾安康0号</t>
  </si>
  <si>
    <t>2204010140</t>
  </si>
  <si>
    <t>虾安康1号Φ碎（有内袋）</t>
  </si>
  <si>
    <t>ZJ1-XAK1-SY</t>
  </si>
  <si>
    <t>2204010155</t>
  </si>
  <si>
    <t>虾奶粉料（有内袋）</t>
  </si>
  <si>
    <t>ZJ1-XNFL-FY</t>
  </si>
  <si>
    <t>2204010159</t>
  </si>
  <si>
    <t>虾安康0号Φ碎（有内袋）</t>
  </si>
  <si>
    <t>JM1-XAK0-SY</t>
  </si>
  <si>
    <t>2204010160</t>
  </si>
  <si>
    <t>虾安康1号Φ1.2</t>
  </si>
  <si>
    <t>JM1-XAK1-1.2</t>
  </si>
  <si>
    <t>2204010162</t>
  </si>
  <si>
    <t>JM1-XAK1-SY</t>
  </si>
  <si>
    <t>2204020078</t>
  </si>
  <si>
    <t>南美白对虾1号Φ1.2</t>
  </si>
  <si>
    <t>中档南美白对虾料</t>
  </si>
  <si>
    <t>JM1-NMBDX1-1.2</t>
  </si>
  <si>
    <t>南美白对虾1号</t>
  </si>
  <si>
    <t>2204020084</t>
  </si>
  <si>
    <t>南美白对虾1号Φ碎（有内袋）</t>
  </si>
  <si>
    <t>JM1-NMBDX1-SY</t>
  </si>
  <si>
    <t>2204020087</t>
  </si>
  <si>
    <t>(停用)南美白对虾2号Φ1.6</t>
  </si>
  <si>
    <t>JM1-NMBDX2-1.6</t>
  </si>
  <si>
    <t>(停用)南美白对虾2号</t>
  </si>
  <si>
    <t>2204030143</t>
  </si>
  <si>
    <t>南美白对虾2号Φ1.6</t>
  </si>
  <si>
    <t>南美白对虾2号</t>
  </si>
  <si>
    <t>2204030165</t>
  </si>
  <si>
    <t>WUH1-NMBDX1-1.2</t>
  </si>
  <si>
    <t>2204100271</t>
  </si>
  <si>
    <t>旺虾宝Φ1.8</t>
  </si>
  <si>
    <t>颗粒料</t>
  </si>
  <si>
    <t>虾蟹安康-淡水虾蟹安康</t>
  </si>
  <si>
    <t>WUH2-WXB-1.8</t>
  </si>
  <si>
    <t>旺虾宝</t>
  </si>
  <si>
    <t>2204100272</t>
  </si>
  <si>
    <t>旺虾宝Φ2.5</t>
  </si>
  <si>
    <t>WUH2-WXB-2.5</t>
  </si>
  <si>
    <t>2204100273</t>
  </si>
  <si>
    <t>小龙虾2号Φ1.8</t>
  </si>
  <si>
    <t>WUH2-LX2-1.8</t>
  </si>
  <si>
    <t>小龙虾2号</t>
  </si>
  <si>
    <t>2204100274</t>
  </si>
  <si>
    <t>小龙虾2号Φ2.5</t>
  </si>
  <si>
    <t>WUH2-LX2-2.5</t>
  </si>
  <si>
    <t>2204100275</t>
  </si>
  <si>
    <t>小龙虾3号Φ2.5</t>
  </si>
  <si>
    <t>WUH2-LX3-2.5</t>
  </si>
  <si>
    <t>小龙虾3号</t>
  </si>
  <si>
    <t>2204100282</t>
  </si>
  <si>
    <t>膨化龙虾安康Φ2.0</t>
  </si>
  <si>
    <t>膨化沉性料</t>
  </si>
  <si>
    <t>WUH1-PHLXAK-2.0</t>
  </si>
  <si>
    <t>膨化龙虾安康</t>
  </si>
  <si>
    <t>2204100283</t>
  </si>
  <si>
    <t>膨化龙虾安康Φ3.0</t>
  </si>
  <si>
    <t>WUH1-PHLXAK-3.0</t>
  </si>
  <si>
    <t>2204100286</t>
  </si>
  <si>
    <t>膨化龙虾30Φ3.0</t>
  </si>
  <si>
    <t>WUH1-PHLX30-3.0</t>
  </si>
  <si>
    <t>膨化龙虾30</t>
  </si>
  <si>
    <t>2204100287</t>
  </si>
  <si>
    <t>膨化旺虾宝Φ2.0</t>
  </si>
  <si>
    <t>WUH5-PHWXB-2.0</t>
  </si>
  <si>
    <t>膨化旺虾宝</t>
  </si>
  <si>
    <t>2204100291</t>
  </si>
  <si>
    <t>小龙虾膨化料730Φ3.0</t>
  </si>
  <si>
    <t>WUH5-730-3.0</t>
  </si>
  <si>
    <t>小龙虾膨化料730</t>
  </si>
  <si>
    <t>2204100292</t>
  </si>
  <si>
    <t>WUH2-PHWXB-2.0</t>
  </si>
  <si>
    <t>2204100296</t>
  </si>
  <si>
    <t>小龙虾料830Φ3.0</t>
  </si>
  <si>
    <t>WUH2-830-3.0</t>
  </si>
  <si>
    <t>小龙虾料830</t>
  </si>
  <si>
    <t>2204100306</t>
  </si>
  <si>
    <t>小龙虾膨化料820Φ3.0</t>
  </si>
  <si>
    <t>WUH2-820-3.0</t>
  </si>
  <si>
    <t>小龙虾膨化料820</t>
  </si>
  <si>
    <t>2204100307</t>
  </si>
  <si>
    <t>小龙虾膨化料720Φ3.0</t>
  </si>
  <si>
    <t xml:space="preserve"> WUH5-720-3.0</t>
  </si>
  <si>
    <t>小龙虾膨化料720</t>
  </si>
  <si>
    <t>2204100308</t>
  </si>
  <si>
    <t>龙虾33Φ2.5</t>
  </si>
  <si>
    <t>WUH1-LX33-2.5</t>
  </si>
  <si>
    <t>龙虾33</t>
  </si>
  <si>
    <t>2204100309</t>
  </si>
  <si>
    <t>膨化龙虾33Φ2.0</t>
  </si>
  <si>
    <t>WUH1-PHLX33-2.0</t>
  </si>
  <si>
    <t>膨化龙虾33</t>
  </si>
  <si>
    <t>2204100310</t>
  </si>
  <si>
    <t>膨化龙虾33Φ3.0</t>
  </si>
  <si>
    <t>WUH1-PHLX33-3.0</t>
  </si>
  <si>
    <t>2204100311</t>
  </si>
  <si>
    <t>小龙虾膨化料733Φ2.0</t>
  </si>
  <si>
    <t>WUH5-733-2.0</t>
  </si>
  <si>
    <t>小龙虾膨化料733</t>
  </si>
  <si>
    <t>2204100312</t>
  </si>
  <si>
    <t>小龙虾膨化料733Φ3.0</t>
  </si>
  <si>
    <t>WUH5-733-3.0</t>
  </si>
  <si>
    <t>2204100313</t>
  </si>
  <si>
    <t>小龙虾膨化料833Φ2.0</t>
  </si>
  <si>
    <t>WUH2-833-2.0</t>
  </si>
  <si>
    <t>小龙虾膨化料833</t>
  </si>
  <si>
    <t>2204100314</t>
  </si>
  <si>
    <t>小龙虾膨化料833Φ3.0</t>
  </si>
  <si>
    <t>WUH2-833-3.0</t>
  </si>
  <si>
    <t>2204100328</t>
  </si>
  <si>
    <t>虾蟹混养膨化料8636Φ2.0</t>
  </si>
  <si>
    <t>WUH5-8636-2.0</t>
  </si>
  <si>
    <t>虾蟹混养膨化料8636</t>
  </si>
  <si>
    <t>2204100329</t>
  </si>
  <si>
    <t>虾蟹混养膨化料8636Φ3.0</t>
  </si>
  <si>
    <t>WUH5-8636-3.0</t>
  </si>
  <si>
    <t>2204100330</t>
  </si>
  <si>
    <t>虾蟹混养膨化料8633Φ2.0</t>
  </si>
  <si>
    <t>WUH5-8633-2.0</t>
  </si>
  <si>
    <t>虾蟹混养膨化料8633</t>
  </si>
  <si>
    <t>2204100331</t>
  </si>
  <si>
    <t>虾蟹混养膨化料8633Φ3.0</t>
  </si>
  <si>
    <t>WUH5-8633-3.0</t>
  </si>
  <si>
    <t>2204100332</t>
  </si>
  <si>
    <t>虾蟹混养膨化料8630Φ3.0</t>
  </si>
  <si>
    <t>WUH5-8630-3.0</t>
  </si>
  <si>
    <t>虾蟹混养膨化料8630</t>
  </si>
  <si>
    <t>2204100345</t>
  </si>
  <si>
    <t>WUH23-WXB-1.8</t>
  </si>
  <si>
    <t>2204100346</t>
  </si>
  <si>
    <t>WUH23-WXB-2.5</t>
  </si>
  <si>
    <t>2204100347</t>
  </si>
  <si>
    <t>WUH23-LX2-1.8</t>
  </si>
  <si>
    <t>2204100348</t>
  </si>
  <si>
    <t>WUH23-LX2-2.5</t>
  </si>
  <si>
    <t>2204100349</t>
  </si>
  <si>
    <t>WUH23-LX3-2.5</t>
  </si>
  <si>
    <t>2204060045</t>
  </si>
  <si>
    <t>沼虾43 1号Φ碎（有内袋）</t>
  </si>
  <si>
    <t>罗虾料</t>
  </si>
  <si>
    <t>ZJ1-ZX43 1-SY</t>
  </si>
  <si>
    <t>沼虾43 1号</t>
  </si>
  <si>
    <t>2204060046</t>
  </si>
  <si>
    <t>沼虾43 1号Φ1.0</t>
  </si>
  <si>
    <t>ZJ1-ZX43 1-1.0</t>
  </si>
  <si>
    <t>2204060047</t>
  </si>
  <si>
    <t>沼虾43 1号Φ1.2</t>
  </si>
  <si>
    <t>ZJ1-ZX43 1-1.2</t>
  </si>
  <si>
    <t>2204060049</t>
  </si>
  <si>
    <t>沼虾41 1号Φ1.0</t>
  </si>
  <si>
    <t>ZJ1-ZX41 1-1.0</t>
  </si>
  <si>
    <t>沼虾41 1号</t>
  </si>
  <si>
    <t>2204060050</t>
  </si>
  <si>
    <t>沼虾41 1号Φ1.2</t>
  </si>
  <si>
    <t>ZJ1-ZX41 1-1.2</t>
  </si>
  <si>
    <t>2204060052</t>
  </si>
  <si>
    <t>沼虾43 0号Φ小碎（有内袋）</t>
  </si>
  <si>
    <t>ZJ1-ZX43 0-SY</t>
  </si>
  <si>
    <t>沼虾43 0号</t>
  </si>
  <si>
    <t>2204100259</t>
  </si>
  <si>
    <t>龙虾安康Φ1.8</t>
  </si>
  <si>
    <t>WUH1-LXAK-1.8</t>
  </si>
  <si>
    <t>龙虾安康</t>
  </si>
  <si>
    <t>2204100260</t>
  </si>
  <si>
    <t>龙虾安康Φ2.5</t>
  </si>
  <si>
    <t>WUH1-LXAK-2.5</t>
  </si>
  <si>
    <t>2204100263</t>
  </si>
  <si>
    <t>龙虾30Φ2.5</t>
  </si>
  <si>
    <t>WUH1-LX30-2.5</t>
  </si>
  <si>
    <t>龙虾30</t>
  </si>
  <si>
    <t>2204130021</t>
  </si>
  <si>
    <t>龙虾肽宝Φ2.0</t>
  </si>
  <si>
    <t>功能料系列-丰虾肽宝</t>
  </si>
  <si>
    <t>WUH2-LXTB-2.0</t>
  </si>
  <si>
    <t>龙虾肽宝</t>
  </si>
  <si>
    <t>2204130023</t>
  </si>
  <si>
    <t>WUH18-LXTB-2.0</t>
  </si>
  <si>
    <t>2205050244</t>
  </si>
  <si>
    <t>旺蟹宝Φ2.0</t>
  </si>
  <si>
    <t>WUH2-PHWXB1-2.0</t>
  </si>
  <si>
    <t>旺蟹宝</t>
  </si>
  <si>
    <t>2205050245</t>
  </si>
  <si>
    <t>旺蟹宝Φ3.0</t>
  </si>
  <si>
    <t>WUH2-PHWXB1-3.0</t>
  </si>
  <si>
    <t>2205050246</t>
  </si>
  <si>
    <t>螃蟹膨化料P34Φ2.0</t>
  </si>
  <si>
    <t>WUH2-P34-2.0</t>
  </si>
  <si>
    <t>螃蟹膨化料P34</t>
  </si>
  <si>
    <t>武汉澳华农牧有限公司</t>
  </si>
  <si>
    <t>2205050247</t>
  </si>
  <si>
    <t>螃蟹膨化料P34Φ3.0</t>
  </si>
  <si>
    <t>WUH2-P34-3.0</t>
  </si>
  <si>
    <t>2205050248</t>
  </si>
  <si>
    <t>螃蟹膨化料P30Φ3.0</t>
  </si>
  <si>
    <t>WUH2-P30-3.0</t>
  </si>
  <si>
    <t>螃蟹膨化料P30</t>
  </si>
  <si>
    <t>2205050249</t>
  </si>
  <si>
    <t>WUH5-P34-2.0</t>
  </si>
  <si>
    <t>2205050250</t>
  </si>
  <si>
    <t>WUH5-P34-3.0</t>
  </si>
  <si>
    <t>2205050251</t>
  </si>
  <si>
    <t>WUH5-P30-3.0</t>
  </si>
  <si>
    <t>2205050269</t>
  </si>
  <si>
    <t>螃蟹2号Φ1.8</t>
  </si>
  <si>
    <t>WUH2-PX2-1.8</t>
  </si>
  <si>
    <t>螃蟹2号</t>
  </si>
  <si>
    <t>2205050270</t>
  </si>
  <si>
    <t>螃蟹2号Φ2.5</t>
  </si>
  <si>
    <t>WUH2-PX2-2.5</t>
  </si>
  <si>
    <t>2205050271</t>
  </si>
  <si>
    <t>螃蟹4号AΦ2.5</t>
  </si>
  <si>
    <t>WUH2-PX4A-2.5</t>
  </si>
  <si>
    <t>螃蟹4号A</t>
  </si>
  <si>
    <t>2205050272</t>
  </si>
  <si>
    <t>螃蟹4号AΦ3.5</t>
  </si>
  <si>
    <t>WUH2-PX4A-3.5</t>
  </si>
  <si>
    <t>2205050293</t>
  </si>
  <si>
    <t>膨化螃蟹4号AΦ3.0</t>
  </si>
  <si>
    <t>WUH1-PHPX4A-3.0</t>
  </si>
  <si>
    <t>膨化螃蟹4号A</t>
  </si>
  <si>
    <t>2205050295</t>
  </si>
  <si>
    <t>膨化旺蟹宝Φ2.0</t>
  </si>
  <si>
    <t>WUH5-PHWXB1-2.0</t>
  </si>
  <si>
    <t>膨化旺蟹宝</t>
  </si>
  <si>
    <t>2205050296</t>
  </si>
  <si>
    <t>膨化旺蟹宝Φ3.0</t>
  </si>
  <si>
    <t>WUH5-PHWXB1-3.0</t>
  </si>
  <si>
    <t>2205050298</t>
  </si>
  <si>
    <t>WUH23-PX2-1.8</t>
  </si>
  <si>
    <t>2205140018</t>
  </si>
  <si>
    <t>WUH23-PX2-2.5</t>
  </si>
  <si>
    <t>2205140019</t>
  </si>
  <si>
    <t>螃蟹3号Φ1.8</t>
  </si>
  <si>
    <t>WUH23-PX3-1.8</t>
  </si>
  <si>
    <t>螃蟹3号</t>
  </si>
  <si>
    <t>2205140020</t>
  </si>
  <si>
    <t>螃蟹3号Φ2.5</t>
  </si>
  <si>
    <t>WUH23-PX3-2.5</t>
  </si>
  <si>
    <t>2205140021</t>
  </si>
  <si>
    <t>WUH23-PX4A-2.5</t>
  </si>
  <si>
    <t>2205140022</t>
  </si>
  <si>
    <t>WUH2-PX3-1.8</t>
  </si>
  <si>
    <t>2205140023</t>
  </si>
  <si>
    <t>WUH2-PX3-2.5</t>
  </si>
  <si>
    <t>2205150006</t>
  </si>
  <si>
    <t>螃蟹膨化料B833Φ2.0</t>
  </si>
  <si>
    <t>WUH99-B833-2.0</t>
  </si>
  <si>
    <t>螃蟹膨化料B833</t>
  </si>
  <si>
    <t>2205150007</t>
  </si>
  <si>
    <t>螃蟹膨化料B833Φ3.0</t>
  </si>
  <si>
    <t>WUH99-B833-3.0</t>
  </si>
  <si>
    <t>2205150028</t>
  </si>
  <si>
    <t>WUH23-PHWXB-2.0</t>
  </si>
  <si>
    <t>2205150029</t>
  </si>
  <si>
    <t>WUH23-PHWXB-3.0</t>
  </si>
  <si>
    <t>2205150030</t>
  </si>
  <si>
    <t>WUH23-P34-2.0</t>
  </si>
  <si>
    <t>2205150031</t>
  </si>
  <si>
    <t>WUH23-P34-3.0</t>
  </si>
  <si>
    <t>2205150032</t>
  </si>
  <si>
    <t>WUH23-P30-3.0</t>
  </si>
  <si>
    <t>2205150042</t>
  </si>
  <si>
    <t>螃蟹膨化料P30Φ4.0</t>
  </si>
  <si>
    <t>WUH2-P30-4.0</t>
  </si>
  <si>
    <t>2205150043</t>
  </si>
  <si>
    <t>WUH23-P30-4.0</t>
  </si>
  <si>
    <t>2206010001</t>
  </si>
  <si>
    <t>小龙虾1号Φ1.8</t>
  </si>
  <si>
    <t>WUH99-XLX1-1.8</t>
  </si>
  <si>
    <t>小龙虾1号</t>
  </si>
  <si>
    <t>2206010002</t>
  </si>
  <si>
    <t>WUH99-XLX2-1.8</t>
  </si>
  <si>
    <t>2206010003</t>
  </si>
  <si>
    <t>小龙虾1号Φ2.5</t>
  </si>
  <si>
    <t>WUH99-XLX1-2.5</t>
  </si>
  <si>
    <t>2206010004</t>
  </si>
  <si>
    <t>WUH99-XLX2-2.5</t>
  </si>
  <si>
    <t>2206020003</t>
  </si>
  <si>
    <t>膨化龙虾6836Φ2.0</t>
  </si>
  <si>
    <t>WUH99-6836-2.0</t>
  </si>
  <si>
    <t>膨化龙虾6836</t>
  </si>
  <si>
    <t>2206020004</t>
  </si>
  <si>
    <t>膨化龙虾6836Φ3.0</t>
  </si>
  <si>
    <t>WUH99-6836-3.0</t>
  </si>
  <si>
    <t>2206020005</t>
  </si>
  <si>
    <t>膨化龙虾6833Φ2.0</t>
  </si>
  <si>
    <t>WUH99-6833-2.0</t>
  </si>
  <si>
    <t>膨化龙虾6833</t>
  </si>
  <si>
    <t>2206020006</t>
  </si>
  <si>
    <t>膨化龙虾6833Φ3.0</t>
  </si>
  <si>
    <t>WUH99-6833-3.0</t>
  </si>
  <si>
    <t>2206020007</t>
  </si>
  <si>
    <t>膨化龙虾6830Φ3.0</t>
  </si>
  <si>
    <t>WUH99-6830-3.0</t>
  </si>
  <si>
    <t>膨化龙虾6830</t>
  </si>
  <si>
    <t>2206030001</t>
  </si>
  <si>
    <t>WUH23-LXTB-2.0</t>
  </si>
  <si>
    <t>2206030003</t>
  </si>
  <si>
    <t>龙虾肽宝Φ碎</t>
  </si>
  <si>
    <t>WUH2-LXTB-S</t>
  </si>
  <si>
    <t>2206030005</t>
  </si>
  <si>
    <t>WUH23-LXTB-S</t>
  </si>
  <si>
    <t>聚焦镇名称</t>
  </si>
  <si>
    <t>聚焦镇类型</t>
  </si>
  <si>
    <t>毛利额</t>
  </si>
  <si>
    <t>2025年销量</t>
  </si>
  <si>
    <t>2026年销量</t>
  </si>
  <si>
    <t>同比增加额</t>
  </si>
  <si>
    <t>同比增长率</t>
  </si>
  <si>
    <t>2026年月度销量</t>
  </si>
  <si>
    <t>2025年毛利额</t>
  </si>
  <si>
    <t>2026年毛利额</t>
  </si>
  <si>
    <t>2026年月度毛利额</t>
  </si>
  <si>
    <t>2026年全年预算值</t>
  </si>
  <si>
    <t>2025年实际值</t>
  </si>
  <si>
    <t>同比增长（预算-同比）</t>
  </si>
  <si>
    <t>主营业务收入</t>
  </si>
  <si>
    <t>吨毛利</t>
  </si>
  <si>
    <t>配销差额</t>
  </si>
  <si>
    <t>吨配销差</t>
  </si>
  <si>
    <t>其中：高价值虾蟹</t>
  </si>
  <si>
    <t>其中：高价值鱼料</t>
  </si>
  <si>
    <t>其中：高价值产品</t>
  </si>
  <si>
    <t>水产小计</t>
  </si>
  <si>
    <t>其中：高价值猪料（含浓缩/预混料）</t>
  </si>
  <si>
    <t>其中：高价值禽料</t>
  </si>
  <si>
    <t>畜禽料小计</t>
  </si>
  <si>
    <t>公司合计</t>
  </si>
  <si>
    <t>其中：高价值产品合计</t>
  </si>
  <si>
    <t>其中：高价值占比</t>
  </si>
  <si>
    <t>同比增长（预测-同比）</t>
  </si>
  <si>
    <t>大黄鱼料</t>
  </si>
  <si>
    <t>石斑鱼料</t>
  </si>
  <si>
    <t>单吨配销差</t>
  </si>
  <si>
    <t>单吨毛利</t>
  </si>
  <si>
    <t>2026年预算值</t>
  </si>
  <si>
    <t>铂金版虾安康</t>
  </si>
  <si>
    <t>金刚安康</t>
  </si>
  <si>
    <t>虾奶粉</t>
  </si>
  <si>
    <t>任务名称：</t>
  </si>
  <si>
    <t>1.1销量预算表_编制</t>
  </si>
  <si>
    <t>年份：</t>
  </si>
  <si>
    <t>月份：</t>
  </si>
  <si>
    <t>01,02,03</t>
  </si>
  <si>
    <t>版本类型：</t>
  </si>
  <si>
    <t>年度</t>
  </si>
  <si>
    <t>版本：</t>
  </si>
  <si>
    <t>v1</t>
  </si>
  <si>
    <t>业务单元：</t>
  </si>
  <si>
    <t>江门澳华</t>
  </si>
  <si>
    <t>版本</t>
  </si>
  <si>
    <t>区域/聚焦镇</t>
  </si>
  <si>
    <t>客户编码</t>
  </si>
  <si>
    <t>客户</t>
  </si>
  <si>
    <t>是否大客户</t>
  </si>
  <si>
    <t>产品系列编码</t>
  </si>
  <si>
    <t>产品系列名称</t>
  </si>
  <si>
    <t>战略产品</t>
  </si>
  <si>
    <t>销售吨位</t>
  </si>
  <si>
    <t>赠送吨位</t>
  </si>
  <si>
    <t>单吨售价</t>
  </si>
  <si>
    <t>售价总额</t>
  </si>
  <si>
    <t>单吨折扣</t>
  </si>
  <si>
    <t>折扣总额</t>
  </si>
  <si>
    <t>单吨净收</t>
  </si>
  <si>
    <t>销售净收入额</t>
  </si>
  <si>
    <t>销售成本</t>
  </si>
  <si>
    <t>单吨销售成本</t>
  </si>
  <si>
    <t>赠送成本</t>
  </si>
  <si>
    <t>单吨配方成本</t>
  </si>
  <si>
    <t>单吨包装物</t>
  </si>
  <si>
    <t>单吨燃动</t>
  </si>
  <si>
    <t>单吨人工</t>
  </si>
  <si>
    <t>单吨变动制造费用</t>
  </si>
  <si>
    <t>单吨固定制造费用</t>
  </si>
  <si>
    <t>单吨制造费用</t>
  </si>
  <si>
    <t>配销差总额</t>
  </si>
  <si>
    <t>单吨边际贡献</t>
  </si>
  <si>
    <t>总边际贡献</t>
  </si>
  <si>
    <t>销售总毛利</t>
  </si>
  <si>
    <t>销售费用额</t>
  </si>
  <si>
    <t>销售净贡献</t>
  </si>
  <si>
    <t>V1</t>
  </si>
  <si>
    <t>华南大区</t>
  </si>
  <si>
    <t>JK001</t>
  </si>
  <si>
    <t>高价值</t>
  </si>
  <si>
    <t>其中：单吨燃动</t>
  </si>
  <si>
    <t>其中：单吨人工</t>
  </si>
  <si>
    <t>其中：单吨其他变动费用</t>
  </si>
  <si>
    <t>其中：单吨固定制造费用</t>
  </si>
  <si>
    <t>填录说明：</t>
  </si>
  <si>
    <t>第一步，选择年、公司、版本、场景；</t>
  </si>
  <si>
    <t>第二步，下拉选择产品系列；</t>
  </si>
  <si>
    <t>第四步，系统将根据生产预算表自动计算产品系列的单吨制造费用数据。</t>
  </si>
  <si>
    <t>第四步，填制数据完成后，单击【提交】按钮，将数据提交至系统。</t>
  </si>
  <si>
    <t>责任部门：生产部、财务部</t>
  </si>
  <si>
    <t>单位：元/吨</t>
  </si>
  <si>
    <t>年</t>
  </si>
  <si>
    <t>2026年</t>
  </si>
  <si>
    <t>xx澳华</t>
  </si>
  <si>
    <t>场景</t>
  </si>
  <si>
    <t>25年平均单吨制造费用</t>
  </si>
  <si>
    <t>26年平均单吨制造费用</t>
  </si>
  <si>
    <t>平均单吨制造费用同比增减额</t>
  </si>
  <si>
    <t>2026年单吨制造费用</t>
  </si>
  <si>
    <t>2025年单吨制造费用</t>
  </si>
  <si>
    <t>单吨制造费用同比</t>
  </si>
  <si>
    <t>自动生成</t>
  </si>
  <si>
    <t>销售额</t>
  </si>
  <si>
    <t>生产生产</t>
  </si>
  <si>
    <t>软颗粒</t>
  </si>
  <si>
    <t>肽康宝</t>
  </si>
  <si>
    <t>虾酸奶</t>
  </si>
  <si>
    <t>2026年预算数</t>
  </si>
  <si>
    <t>注：销售额取饲料公司填报数据；动保仅填毛利率/吨毛利数据</t>
  </si>
  <si>
    <t>江门</t>
  </si>
  <si>
    <t>常规</t>
  </si>
  <si>
    <t>动保产品毛利明细</t>
  </si>
  <si>
    <t>江门澳保</t>
  </si>
  <si>
    <t>成本额</t>
  </si>
  <si>
    <t>总毛利额</t>
  </si>
  <si>
    <t>CUBE:</t>
  </si>
  <si>
    <t>TONGWEI:02外销量（按客户）-导入</t>
  </si>
  <si>
    <t>币种</t>
  </si>
  <si>
    <t>Local</t>
  </si>
  <si>
    <t>新老客户</t>
  </si>
  <si>
    <t>备用维1</t>
  </si>
  <si>
    <t>备用1不区分</t>
  </si>
  <si>
    <t>备用维2</t>
  </si>
  <si>
    <t>备用2不区分</t>
  </si>
  <si>
    <t>外销量</t>
  </si>
  <si>
    <t>输入项</t>
  </si>
  <si>
    <t>值</t>
  </si>
  <si>
    <t>F0100xxx饲料外销销量录入表</t>
  </si>
  <si>
    <t>第一步，选择年、公司、部门、版本、场景；</t>
  </si>
  <si>
    <t>第二步，下拉选择客户名称、是否大客户、产品系列；</t>
  </si>
  <si>
    <t>第三步，系统将显示上年销量数，按照产品系列分月填录销量数据；</t>
  </si>
  <si>
    <t>责任部门：营销部</t>
  </si>
  <si>
    <t>单位：吨</t>
  </si>
  <si>
    <t>.</t>
  </si>
  <si>
    <t>虾蟹料一部</t>
  </si>
  <si>
    <t>行</t>
  </si>
  <si>
    <t>聚焦镇</t>
  </si>
  <si>
    <t>战略产品系列</t>
  </si>
  <si>
    <t>2025年合计</t>
  </si>
  <si>
    <t>2026年合计</t>
  </si>
  <si>
    <t>同比增减额</t>
  </si>
  <si>
    <t>同比增减率</t>
  </si>
  <si>
    <t>备注</t>
  </si>
  <si>
    <t>选择</t>
  </si>
  <si>
    <t>求和</t>
  </si>
  <si>
    <t>填入</t>
  </si>
  <si>
    <t>/</t>
  </si>
  <si>
    <t>行1</t>
  </si>
  <si>
    <t>是</t>
  </si>
  <si>
    <t>行2</t>
  </si>
  <si>
    <t>否</t>
  </si>
  <si>
    <t>行3</t>
  </si>
  <si>
    <t>行4</t>
  </si>
  <si>
    <t>行5</t>
  </si>
  <si>
    <t>行6</t>
  </si>
  <si>
    <t>行8</t>
  </si>
  <si>
    <t>行9</t>
  </si>
  <si>
    <t>行10</t>
  </si>
  <si>
    <t>行11</t>
  </si>
  <si>
    <t>行12</t>
  </si>
  <si>
    <t>行13</t>
  </si>
  <si>
    <t>行16</t>
  </si>
  <si>
    <t>行17</t>
  </si>
  <si>
    <t>行18</t>
  </si>
  <si>
    <t>行19</t>
  </si>
  <si>
    <t>行20</t>
  </si>
  <si>
    <t>行21</t>
  </si>
  <si>
    <t>行22</t>
  </si>
  <si>
    <t>行23</t>
  </si>
  <si>
    <t>行24</t>
  </si>
  <si>
    <t>行25</t>
  </si>
  <si>
    <t>行26</t>
  </si>
  <si>
    <t>行27</t>
  </si>
  <si>
    <t>行28</t>
  </si>
  <si>
    <t>行29</t>
  </si>
  <si>
    <t>行30</t>
  </si>
  <si>
    <t>行31</t>
  </si>
  <si>
    <t>行32</t>
  </si>
  <si>
    <t>行33</t>
  </si>
  <si>
    <t>行34</t>
  </si>
  <si>
    <t>行35</t>
  </si>
  <si>
    <t>行36</t>
  </si>
  <si>
    <t>行37</t>
  </si>
  <si>
    <t>行39</t>
  </si>
  <si>
    <t>行40</t>
  </si>
  <si>
    <t>行41</t>
  </si>
  <si>
    <t>行42</t>
  </si>
  <si>
    <t>行43</t>
  </si>
  <si>
    <t>行44</t>
  </si>
  <si>
    <t>行45</t>
  </si>
  <si>
    <t>行46</t>
  </si>
  <si>
    <t>行47</t>
  </si>
  <si>
    <t>行48</t>
  </si>
  <si>
    <t>行49</t>
  </si>
  <si>
    <t>行50</t>
  </si>
  <si>
    <t>行52</t>
  </si>
  <si>
    <t>行53</t>
  </si>
  <si>
    <t>行54</t>
  </si>
  <si>
    <t>行55</t>
  </si>
  <si>
    <t>行56</t>
  </si>
  <si>
    <t>行57</t>
  </si>
  <si>
    <t>行58</t>
  </si>
  <si>
    <t>行59</t>
  </si>
  <si>
    <t>行60</t>
  </si>
  <si>
    <t>行61</t>
  </si>
  <si>
    <t>行62</t>
  </si>
  <si>
    <t>行63</t>
  </si>
  <si>
    <t>行64</t>
  </si>
  <si>
    <t>行65</t>
  </si>
  <si>
    <t>行66</t>
  </si>
  <si>
    <t>行67</t>
  </si>
  <si>
    <t>行68</t>
  </si>
  <si>
    <t>行69</t>
  </si>
  <si>
    <t>行70</t>
  </si>
  <si>
    <t/>
  </si>
  <si>
    <t>行71</t>
  </si>
  <si>
    <t>行72</t>
  </si>
  <si>
    <t>行73</t>
  </si>
  <si>
    <t>行74</t>
  </si>
  <si>
    <t>行75</t>
  </si>
  <si>
    <t>行76</t>
  </si>
  <si>
    <t>行77</t>
  </si>
  <si>
    <t>行78</t>
  </si>
  <si>
    <t>行79</t>
  </si>
  <si>
    <t>行80</t>
  </si>
  <si>
    <t>行81</t>
  </si>
  <si>
    <t>行82</t>
  </si>
  <si>
    <t>行83</t>
  </si>
  <si>
    <t>行84</t>
  </si>
  <si>
    <t>行85</t>
  </si>
  <si>
    <t>行86</t>
  </si>
  <si>
    <t>行87</t>
  </si>
  <si>
    <t>行88</t>
  </si>
  <si>
    <t>行89</t>
  </si>
  <si>
    <t>行90</t>
  </si>
  <si>
    <t>行91</t>
  </si>
  <si>
    <t>行92</t>
  </si>
  <si>
    <t>行93</t>
  </si>
  <si>
    <t>行94</t>
  </si>
  <si>
    <t>行95</t>
  </si>
  <si>
    <t>行96</t>
  </si>
  <si>
    <t>行97</t>
  </si>
  <si>
    <t>行98</t>
  </si>
  <si>
    <t>行99</t>
  </si>
  <si>
    <t>行100</t>
  </si>
  <si>
    <t>F0100xxx动保销售额录入表（除发酵料外）</t>
  </si>
  <si>
    <t>第三步，系统将显示上年销售额，按照产品系列分月填录销售额数据；</t>
  </si>
  <si>
    <t>单位：元</t>
  </si>
  <si>
    <t>常规动保</t>
  </si>
  <si>
    <t>F0100xxx动保发酵料录入表</t>
  </si>
  <si>
    <t>第三步，系统将显示上年销售吨位，按照产品系列分月填录销量数据；</t>
  </si>
  <si>
    <t>第二步，下拉选择客户名称、产品系列；</t>
  </si>
  <si>
    <t>2025年销售额合计</t>
  </si>
  <si>
    <t>2026年销售额合计</t>
  </si>
  <si>
    <t>2025年销售额</t>
  </si>
  <si>
    <t>2025年销量合计</t>
  </si>
  <si>
    <t>2026年销量合计</t>
  </si>
  <si>
    <t>F0100xxx动保成本录入表（除发酵料外）</t>
  </si>
  <si>
    <t>第二步，自动生成饲料公司及动保公司填报的销售额数据；</t>
  </si>
  <si>
    <t>第三步，按产品系列分月填录成本、毛利数据；</t>
  </si>
  <si>
    <t>2025年总销售额</t>
  </si>
  <si>
    <t>2026年总销售额</t>
  </si>
  <si>
    <t>总销售额同比</t>
  </si>
  <si>
    <t>2025年总成本</t>
  </si>
  <si>
    <t>2026年总成本</t>
  </si>
  <si>
    <t>总成本同比</t>
  </si>
  <si>
    <t>总成本</t>
  </si>
  <si>
    <t>2025年总毛利额</t>
  </si>
  <si>
    <t>2026年总毛利额</t>
  </si>
  <si>
    <t>总毛利额同比</t>
  </si>
  <si>
    <t>F0100xxx动保发酵料成本录入表</t>
  </si>
  <si>
    <t>第二步，自动生成饲料公司及动保公司填报的销售吨数数据；</t>
  </si>
  <si>
    <t>第三步，按照产品系列分月填录售价、成本、毛利数据；</t>
  </si>
  <si>
    <t>2025年销售吨数</t>
  </si>
  <si>
    <t>2026年销售吨数</t>
  </si>
  <si>
    <t>销售吨数同比</t>
  </si>
  <si>
    <t>2025年平均单吨售价</t>
  </si>
  <si>
    <t>2026年平均单吨售价</t>
  </si>
  <si>
    <t>平均单吨售价同比</t>
  </si>
  <si>
    <t>2026年吨售价</t>
  </si>
  <si>
    <t>2025年平均吨成本</t>
  </si>
  <si>
    <t>2026年平均吨成本</t>
  </si>
  <si>
    <t>平均吨成本同比</t>
  </si>
  <si>
    <t>2026年吨成本</t>
  </si>
  <si>
    <t>2025年平均吨毛利</t>
  </si>
  <si>
    <t>2026年平均吨毛利</t>
  </si>
  <si>
    <t>吨毛利同比</t>
  </si>
  <si>
    <t>2026年吨毛利</t>
  </si>
  <si>
    <t>F0100xxx饲料内部代工录入表（需求方）</t>
  </si>
  <si>
    <t>第二步，下拉选择代工公司、产品系列；</t>
  </si>
  <si>
    <t>第三步，系统将显示上年吨数，按照产品系列分月填录吨数数据；</t>
  </si>
  <si>
    <t>责任部门：营业部</t>
  </si>
  <si>
    <r>
      <rPr>
        <b/>
        <sz val="9"/>
        <color theme="1"/>
        <rFont val="宋体"/>
        <charset val="134"/>
        <scheme val="minor"/>
      </rPr>
      <t>如：江门</t>
    </r>
    <r>
      <rPr>
        <sz val="9"/>
        <color theme="1"/>
        <rFont val="宋体"/>
        <charset val="134"/>
        <scheme val="minor"/>
      </rPr>
      <t>找</t>
    </r>
    <r>
      <rPr>
        <b/>
        <sz val="9"/>
        <color theme="1"/>
        <rFont val="宋体"/>
        <charset val="134"/>
        <scheme val="minor"/>
      </rPr>
      <t>惠州</t>
    </r>
    <r>
      <rPr>
        <sz val="9"/>
        <color theme="1"/>
        <rFont val="宋体"/>
        <charset val="134"/>
        <scheme val="minor"/>
      </rPr>
      <t>代工</t>
    </r>
  </si>
  <si>
    <t>代工公司</t>
  </si>
  <si>
    <t>选择（惠州）</t>
  </si>
  <si>
    <t>F0100xxx饲料内部代工录入表（生产方）</t>
  </si>
  <si>
    <t>第二步，系统将自动生成需求方填报的产品及吨数数据；</t>
  </si>
  <si>
    <t>第三步，分月填录单吨售价、单吨配方、单吨包装物、单吨制造费用数据；</t>
  </si>
  <si>
    <t>责任部门：财务部</t>
  </si>
  <si>
    <r>
      <rPr>
        <b/>
        <sz val="9"/>
        <color theme="1"/>
        <rFont val="宋体"/>
        <charset val="134"/>
        <scheme val="minor"/>
      </rPr>
      <t>江门</t>
    </r>
    <r>
      <rPr>
        <sz val="9"/>
        <color theme="1"/>
        <rFont val="宋体"/>
        <charset val="134"/>
        <scheme val="minor"/>
      </rPr>
      <t>找</t>
    </r>
    <r>
      <rPr>
        <b/>
        <sz val="9"/>
        <color theme="1"/>
        <rFont val="宋体"/>
        <charset val="134"/>
        <scheme val="minor"/>
      </rPr>
      <t>惠州</t>
    </r>
    <r>
      <rPr>
        <sz val="9"/>
        <color theme="1"/>
        <rFont val="宋体"/>
        <charset val="134"/>
        <scheme val="minor"/>
      </rPr>
      <t>代工</t>
    </r>
  </si>
  <si>
    <t>惠州澳华</t>
  </si>
  <si>
    <t>用于参考</t>
  </si>
  <si>
    <t>内部客户</t>
  </si>
  <si>
    <t>检查消息</t>
  </si>
  <si>
    <t>最新售价</t>
  </si>
  <si>
    <t>最新配方</t>
  </si>
  <si>
    <t>最新包材</t>
  </si>
  <si>
    <t>最新制费</t>
  </si>
  <si>
    <t>2025年平均</t>
  </si>
  <si>
    <t>2026年平均</t>
  </si>
  <si>
    <t>第三步，分月填录单吨牌价数据；</t>
  </si>
  <si>
    <t>25年最新牌价</t>
  </si>
  <si>
    <t>25年平均牌价</t>
  </si>
  <si>
    <t>26年平均牌价</t>
  </si>
  <si>
    <t>平均牌价同比</t>
  </si>
  <si>
    <t>按sku最新一个月销量加权平均</t>
  </si>
  <si>
    <t>按sku年销量加权平均</t>
  </si>
  <si>
    <t>第三步，分月填录单吨配方成本数据；</t>
  </si>
  <si>
    <t>责任部门：配方师</t>
  </si>
  <si>
    <t>25年最新配方成本</t>
  </si>
  <si>
    <t>25年平均配方成本</t>
  </si>
  <si>
    <t>26年平均配方成本</t>
  </si>
  <si>
    <t>平均配方成本同比</t>
  </si>
  <si>
    <t>取NC核算的配方成本</t>
  </si>
  <si>
    <t>第三步，分月填录单吨折扣数据（含基本折扣、临时促销、年奖、月奖、买赠等所有折扣）；</t>
  </si>
  <si>
    <t>25年最新单吨折扣</t>
  </si>
  <si>
    <t>25年平均单吨折扣</t>
  </si>
  <si>
    <t>26年平均单吨折扣</t>
  </si>
  <si>
    <t>平均单吨折扣同比</t>
  </si>
  <si>
    <t>单吨折扣（含基本折扣、临时促销、年奖、月奖、买赠等所有折扣）</t>
  </si>
  <si>
    <t>25年平均单吨配销差</t>
  </si>
  <si>
    <t>26年平均单吨配销差</t>
  </si>
  <si>
    <t>平均单吨配销差同比</t>
  </si>
  <si>
    <t>第三步，分月填录单吨包装物成本数据；</t>
  </si>
  <si>
    <t>责任部门：采购部、财务部</t>
  </si>
  <si>
    <t>单吨消耗包材的采购加权口径</t>
  </si>
  <si>
    <t>25年平均包材成本</t>
  </si>
  <si>
    <t>26年平均包材成本</t>
  </si>
  <si>
    <t>平均包材成本同比</t>
  </si>
  <si>
    <t>第二步，分月填录其他销售费用数据；</t>
  </si>
  <si>
    <t>第三步，填制数据完成后，单击【提交】按钮，将数据提交至系统。</t>
  </si>
  <si>
    <t>责任部门：各公司</t>
  </si>
  <si>
    <t>原料名称</t>
  </si>
  <si>
    <t>单价/元/吨</t>
  </si>
  <si>
    <t>动物蛋白</t>
  </si>
  <si>
    <t>填</t>
  </si>
  <si>
    <t>猪肉粉</t>
  </si>
  <si>
    <t>鱼粉-进口日本级</t>
  </si>
  <si>
    <t>鱼粉-进口普通级</t>
  </si>
  <si>
    <t>鱼粉-进口超级</t>
  </si>
  <si>
    <t>鱼粉-国产半脱脂-65%</t>
  </si>
  <si>
    <t>鱼粉-二级</t>
  </si>
  <si>
    <t>鱼粉-半脱脂-67%</t>
  </si>
  <si>
    <t>鸡肉粉-美国-饲料级</t>
  </si>
  <si>
    <t>鸡肉粉</t>
  </si>
  <si>
    <t>国产鸡肉粉-65%</t>
  </si>
  <si>
    <t>鱼排粉-白鲢</t>
  </si>
  <si>
    <t>鱼排粉-罗非鱼</t>
  </si>
  <si>
    <t>植物蛋白</t>
  </si>
  <si>
    <t>豆油-四级</t>
  </si>
  <si>
    <t>豆粕-46%</t>
  </si>
  <si>
    <t>豆粕-43%</t>
  </si>
  <si>
    <t>菜粕-36%</t>
  </si>
  <si>
    <t>棉粕-50%</t>
  </si>
  <si>
    <t>棉籽蛋白</t>
  </si>
  <si>
    <t>植物能量</t>
  </si>
  <si>
    <t>玉米-猪料</t>
  </si>
  <si>
    <t>玉米-普通</t>
  </si>
  <si>
    <t>玉米-进口</t>
  </si>
  <si>
    <t>小麦</t>
  </si>
  <si>
    <t>玉米DDGS-国产</t>
  </si>
  <si>
    <t>面粉</t>
  </si>
  <si>
    <t>面粉-普通</t>
  </si>
  <si>
    <t>添加剂</t>
  </si>
  <si>
    <t>(PDX-01)虾蟹微量元素预混料</t>
  </si>
  <si>
    <t>啤酒酵母粉-破壁喷雾干燥</t>
  </si>
  <si>
    <t>叶黄素-1.5%-玉米黄质</t>
  </si>
  <si>
    <t>水产通用多维</t>
  </si>
  <si>
    <t>磷酸二氢钙</t>
  </si>
  <si>
    <t>包装物</t>
  </si>
  <si>
    <t>第二步，分月填写各项目数据</t>
  </si>
  <si>
    <t>责任部门：生产部门</t>
  </si>
  <si>
    <t>公司简称</t>
  </si>
  <si>
    <t>销售大类</t>
  </si>
  <si>
    <t>产品名称</t>
  </si>
  <si>
    <t>型号</t>
  </si>
  <si>
    <t>生产工艺大类分类</t>
  </si>
  <si>
    <t>产量用途（外销、内销）</t>
  </si>
  <si>
    <t>产量对外销售公司</t>
  </si>
  <si>
    <t>25年产量</t>
  </si>
  <si>
    <t>26年产量</t>
  </si>
  <si>
    <t>检验</t>
  </si>
  <si>
    <t>华中</t>
  </si>
  <si>
    <t>海特料线</t>
  </si>
  <si>
    <t>浮水膨化鱼料</t>
  </si>
  <si>
    <t>内销</t>
  </si>
  <si>
    <t>生产大类</t>
  </si>
  <si>
    <t>膨化鱼料</t>
  </si>
  <si>
    <t>膨化虾料</t>
  </si>
  <si>
    <t>费用属性</t>
  </si>
  <si>
    <t>费用归属</t>
  </si>
  <si>
    <t>2025年</t>
  </si>
  <si>
    <t>增减额</t>
  </si>
  <si>
    <t>增减率</t>
  </si>
  <si>
    <t>2025年实际数（公式取A8 考核利润表-月度）</t>
  </si>
  <si>
    <t>均值</t>
  </si>
  <si>
    <t>生产吨数</t>
  </si>
  <si>
    <t>工资和薪金生产工资</t>
  </si>
  <si>
    <t>工资和薪金仓储工资</t>
  </si>
  <si>
    <t>工资和薪金叉车工资</t>
  </si>
  <si>
    <t>工资和薪金劳务工资</t>
  </si>
  <si>
    <t>绩效工资及奖金生产绩效</t>
  </si>
  <si>
    <t>绩效工资及奖金仓储绩效</t>
  </si>
  <si>
    <t>绩效工资及奖金叉车绩效</t>
  </si>
  <si>
    <t>绩效工资及奖金劳务绩效</t>
  </si>
  <si>
    <t>水费</t>
  </si>
  <si>
    <t>电费</t>
  </si>
  <si>
    <t>经营物料</t>
  </si>
  <si>
    <t>叉车费用</t>
  </si>
  <si>
    <t>实验费用</t>
  </si>
  <si>
    <t>蒸汽费用</t>
  </si>
  <si>
    <t>环保费</t>
  </si>
  <si>
    <t>房屋及设备租金</t>
  </si>
  <si>
    <t>待摊费用摊销</t>
  </si>
  <si>
    <t>无形资产摊销</t>
  </si>
  <si>
    <t>吨费用</t>
  </si>
  <si>
    <t>每吨变动费用</t>
  </si>
  <si>
    <t>每吨固定费用</t>
  </si>
  <si>
    <t>人均成本</t>
  </si>
  <si>
    <t>NC大类系数</t>
  </si>
  <si>
    <t>单吨制造费用参考值</t>
  </si>
  <si>
    <t>属性</t>
  </si>
  <si>
    <t>生产大类（引用）</t>
  </si>
  <si>
    <t>人工费</t>
  </si>
  <si>
    <t>能耗-电耗</t>
  </si>
  <si>
    <t>能耗-汽耗</t>
  </si>
  <si>
    <t>机物料费</t>
  </si>
  <si>
    <t>其他变动费用</t>
  </si>
  <si>
    <t>单吨变动费用</t>
  </si>
  <si>
    <t>单吨人工费</t>
  </si>
  <si>
    <t>单吨能耗-电耗</t>
  </si>
  <si>
    <t>单吨能耗-汽耗</t>
  </si>
  <si>
    <t>单吨机物料费</t>
  </si>
  <si>
    <t>单吨其他变动费用</t>
  </si>
  <si>
    <t>单吨固定费用</t>
  </si>
  <si>
    <t>单吨费用小计</t>
  </si>
  <si>
    <t>责任部门：人力资源部</t>
  </si>
  <si>
    <t>一级部门</t>
  </si>
  <si>
    <t>二级部门</t>
  </si>
  <si>
    <t>岗位</t>
  </si>
  <si>
    <t>序列</t>
  </si>
  <si>
    <t>职级</t>
  </si>
  <si>
    <t>说明</t>
  </si>
  <si>
    <t>最新人数</t>
  </si>
  <si>
    <t>月均</t>
  </si>
  <si>
    <t>办公室</t>
  </si>
  <si>
    <t>总经理（兼职）</t>
  </si>
  <si>
    <t>M3-1</t>
  </si>
  <si>
    <t>厂长</t>
  </si>
  <si>
    <t>M2-1</t>
  </si>
  <si>
    <t>财务部</t>
  </si>
  <si>
    <t>财务经理</t>
  </si>
  <si>
    <t>M1-2</t>
  </si>
  <si>
    <t>财务主任</t>
  </si>
  <si>
    <t>P2-1</t>
  </si>
  <si>
    <t>成本会计</t>
  </si>
  <si>
    <t>P1-2</t>
  </si>
  <si>
    <t>出纳</t>
  </si>
  <si>
    <t>P1-1</t>
  </si>
  <si>
    <t>销售会计</t>
  </si>
  <si>
    <t>采购部</t>
  </si>
  <si>
    <t>采购经理</t>
  </si>
  <si>
    <t>采购员</t>
  </si>
  <si>
    <t>品管部</t>
  </si>
  <si>
    <t>副经理</t>
  </si>
  <si>
    <t>M1-1</t>
  </si>
  <si>
    <t>原料质检员</t>
  </si>
  <si>
    <t>跟班质检员</t>
  </si>
  <si>
    <t>化验员</t>
  </si>
  <si>
    <t>品管储干</t>
  </si>
  <si>
    <t>营业部</t>
  </si>
  <si>
    <t>主任</t>
  </si>
  <si>
    <t>营业员</t>
  </si>
  <si>
    <t>人资部</t>
  </si>
  <si>
    <t>人资经理</t>
  </si>
  <si>
    <t>M1-3</t>
  </si>
  <si>
    <t>HRBP</t>
  </si>
  <si>
    <t>人资助理</t>
  </si>
  <si>
    <t>行政部</t>
  </si>
  <si>
    <t>地磅员</t>
  </si>
  <si>
    <t>O1</t>
  </si>
  <si>
    <t>清洁工</t>
  </si>
  <si>
    <t>厨师</t>
  </si>
  <si>
    <t>厨工</t>
  </si>
  <si>
    <t>保安</t>
  </si>
  <si>
    <t>仓储部</t>
  </si>
  <si>
    <t>O2</t>
  </si>
  <si>
    <t>仓管员</t>
  </si>
  <si>
    <t>叉车</t>
  </si>
  <si>
    <t>生产部</t>
  </si>
  <si>
    <t>生产车间</t>
  </si>
  <si>
    <t>经理</t>
  </si>
  <si>
    <t>高级班长</t>
  </si>
  <si>
    <t>班长</t>
  </si>
  <si>
    <t>中控员</t>
  </si>
  <si>
    <t>膨化工</t>
  </si>
  <si>
    <t>制粒工</t>
  </si>
  <si>
    <t>机修组</t>
  </si>
  <si>
    <t>机电班长</t>
  </si>
  <si>
    <t>机电工</t>
  </si>
  <si>
    <t>锅炉工</t>
  </si>
  <si>
    <t>配小料工</t>
  </si>
  <si>
    <t>综合工</t>
  </si>
  <si>
    <t>巡仓工</t>
  </si>
  <si>
    <t>统计员</t>
  </si>
  <si>
    <t>安全员</t>
  </si>
  <si>
    <t>组长</t>
  </si>
  <si>
    <t>包装工</t>
  </si>
  <si>
    <t>生产储干</t>
  </si>
  <si>
    <t>虾蟹销售部</t>
  </si>
  <si>
    <t>虾蟹料部</t>
  </si>
  <si>
    <t>总助</t>
  </si>
  <si>
    <t>S4</t>
  </si>
  <si>
    <t>销售经理及以上</t>
  </si>
  <si>
    <t>S3</t>
  </si>
  <si>
    <t>区域经理</t>
  </si>
  <si>
    <t>S2</t>
  </si>
  <si>
    <t>业务员</t>
  </si>
  <si>
    <t>S1</t>
  </si>
  <si>
    <t>镇长</t>
  </si>
  <si>
    <t>普鱼销售部</t>
  </si>
  <si>
    <t>鱼料部</t>
  </si>
  <si>
    <t>海特销售部</t>
  </si>
  <si>
    <t>海特料部</t>
  </si>
  <si>
    <t>价值交付部</t>
  </si>
  <si>
    <t>价值交付工程师</t>
  </si>
  <si>
    <t>养殖工程师</t>
  </si>
  <si>
    <t>25届应届生</t>
  </si>
  <si>
    <t>应届生</t>
  </si>
  <si>
    <t>技术服务</t>
  </si>
  <si>
    <t>直接导入</t>
  </si>
  <si>
    <t>1、应届生费用拆分出来工资和社保，不单独列示</t>
  </si>
  <si>
    <t>2、公司专项奖金主要用于大部分都用于销售和月度评优，预算放在销售部的绩效奖金。</t>
  </si>
  <si>
    <t>辅助列-不改</t>
  </si>
  <si>
    <t>费用归类</t>
  </si>
  <si>
    <t>科目
（对应财务科目）</t>
  </si>
  <si>
    <t>科目
（人资预算科目）</t>
  </si>
  <si>
    <t>金额</t>
  </si>
  <si>
    <t>预算明细</t>
  </si>
  <si>
    <t>25年实际</t>
  </si>
  <si>
    <t>26年预算合计</t>
  </si>
  <si>
    <t xml:space="preserve"> 固定类薪资</t>
  </si>
  <si>
    <t>标准月薪</t>
  </si>
  <si>
    <t>季度绩效工资</t>
  </si>
  <si>
    <t>过节费</t>
  </si>
  <si>
    <t>调薪包</t>
  </si>
  <si>
    <t>提成奖金类</t>
  </si>
  <si>
    <t>月度提成</t>
  </si>
  <si>
    <t>-饲料提成</t>
  </si>
  <si>
    <t>-动保提成</t>
  </si>
  <si>
    <t>营销年奖</t>
  </si>
  <si>
    <t>浮动薪酬</t>
  </si>
  <si>
    <t>加班费</t>
  </si>
  <si>
    <t>其他变动项</t>
  </si>
  <si>
    <t>社保公积金</t>
  </si>
  <si>
    <t>其他薪酬</t>
  </si>
  <si>
    <t xml:space="preserve"> 成长分享</t>
  </si>
  <si>
    <t>销售费用-E值</t>
  </si>
  <si>
    <t>固定类薪资</t>
  </si>
  <si>
    <t>车辆补贴</t>
  </si>
  <si>
    <t>绩效工资</t>
  </si>
  <si>
    <t>专项及后勤年终奖</t>
  </si>
  <si>
    <t>年终奖</t>
  </si>
  <si>
    <t>劳务外包</t>
  </si>
  <si>
    <t>员工意外保险</t>
  </si>
  <si>
    <t>商业险</t>
  </si>
  <si>
    <t>管理费用-E值</t>
  </si>
  <si>
    <t>生产奖金</t>
  </si>
  <si>
    <t>制造费用-E值</t>
  </si>
  <si>
    <t>预算项目</t>
  </si>
  <si>
    <t>同比增长额</t>
  </si>
  <si>
    <t>普鱼料部</t>
  </si>
  <si>
    <t>畜禽料部</t>
  </si>
  <si>
    <t>反刍料部</t>
  </si>
  <si>
    <t>学生</t>
  </si>
  <si>
    <t>其他公共费用</t>
  </si>
  <si>
    <t>变动费用小计</t>
  </si>
  <si>
    <t>饲料提成</t>
  </si>
  <si>
    <t>动保提成</t>
  </si>
  <si>
    <t>固定费用小计</t>
  </si>
  <si>
    <t>业务招待费</t>
  </si>
  <si>
    <t>销售费用合计</t>
  </si>
  <si>
    <t>单吨变动销售费用</t>
  </si>
  <si>
    <t>单吨固定销售费用</t>
  </si>
  <si>
    <t>单吨销售费用</t>
  </si>
  <si>
    <t>销售E值</t>
  </si>
  <si>
    <t>摊销逻辑：能划分到产线的费用到产线，不能到产线的公共费用按自然吨平均摊销。</t>
  </si>
  <si>
    <t>动保的提成*** NC 核算没有拆分</t>
  </si>
  <si>
    <t>费用分类</t>
  </si>
  <si>
    <t>增长额</t>
  </si>
  <si>
    <t>增长率</t>
  </si>
  <si>
    <t xml:space="preserve"> </t>
  </si>
  <si>
    <t>E值</t>
  </si>
  <si>
    <t>第二步，下拉选择部门、类型，填写项目、人均费用标准（若有）；</t>
  </si>
  <si>
    <t>第三步，分月填录各月职工福利费数据；</t>
  </si>
  <si>
    <t>年份</t>
  </si>
  <si>
    <t>类型</t>
  </si>
  <si>
    <t>费用标准（元/人）</t>
  </si>
  <si>
    <t>节日礼品</t>
  </si>
  <si>
    <t>春节</t>
  </si>
  <si>
    <t>妇女节</t>
  </si>
  <si>
    <t>端午节</t>
  </si>
  <si>
    <t>xxx</t>
  </si>
  <si>
    <t>团建费</t>
  </si>
  <si>
    <t>食堂费用</t>
  </si>
  <si>
    <t>宿舍费用</t>
  </si>
  <si>
    <t>第二步，下拉选择部门、类型，填写项目；</t>
  </si>
  <si>
    <t>第三步，分月填录各月广告费数据；</t>
  </si>
  <si>
    <t>广告发布</t>
  </si>
  <si>
    <t>公众号广告</t>
  </si>
  <si>
    <t>网站广告</t>
  </si>
  <si>
    <t>电视广告</t>
  </si>
  <si>
    <t>报纸杂志</t>
  </si>
  <si>
    <t>公关赞助费</t>
  </si>
  <si>
    <t>xxx会议</t>
  </si>
  <si>
    <t>xxx协会</t>
  </si>
  <si>
    <t>设计策划费</t>
  </si>
  <si>
    <t>传单设计</t>
  </si>
  <si>
    <t>第二步，填写姓名、招待事由；</t>
  </si>
  <si>
    <t>第三步，分月填录各月业务招待费数据；</t>
  </si>
  <si>
    <t>姓名</t>
  </si>
  <si>
    <t>招待事由</t>
  </si>
  <si>
    <t>总经理</t>
  </si>
  <si>
    <t>销售副经理</t>
  </si>
  <si>
    <t>第二步，下拉选择部门、类型，填写项目、数量、单价；</t>
  </si>
  <si>
    <t>第三步，分月填录各月物资推广费用数据；</t>
  </si>
  <si>
    <t>自动生成金额</t>
  </si>
  <si>
    <t>取数量乘以单价</t>
  </si>
  <si>
    <t>填写分月金额，最后校验左方单价乘以数量与合计数是否一致</t>
  </si>
  <si>
    <t>2026年预算金额</t>
  </si>
  <si>
    <t>养殖机械类</t>
  </si>
  <si>
    <t>增氧机</t>
  </si>
  <si>
    <t>投料机</t>
  </si>
  <si>
    <t>服饰</t>
  </si>
  <si>
    <t>广告衫</t>
  </si>
  <si>
    <t>蓝大褂</t>
  </si>
  <si>
    <t>第二步，下拉选择部门、会议类型，填写人均费用标准；</t>
  </si>
  <si>
    <t>第三步，分月填录各月会议场次、涉及人数、总费用数据；</t>
  </si>
  <si>
    <t>会议类型</t>
  </si>
  <si>
    <t>2026年费用合计</t>
  </si>
  <si>
    <t>场次</t>
  </si>
  <si>
    <t>总费用</t>
  </si>
  <si>
    <t>人均费用</t>
  </si>
  <si>
    <t>大型招商会</t>
  </si>
  <si>
    <t>中型招商会</t>
  </si>
  <si>
    <t>小型招商会</t>
  </si>
  <si>
    <t>xx经销商会议</t>
  </si>
  <si>
    <t>xx养殖户交流会</t>
  </si>
  <si>
    <t>责任部门：营业部、财务部</t>
  </si>
  <si>
    <t>管理费用查询表</t>
  </si>
  <si>
    <t>2026年实际数</t>
  </si>
  <si>
    <t>财产保险</t>
  </si>
  <si>
    <t>集团服务费</t>
  </si>
  <si>
    <t>诉讼及补偿</t>
  </si>
  <si>
    <t>存货盘盈盘亏</t>
  </si>
  <si>
    <t>研发耗材及其他</t>
  </si>
  <si>
    <t>管理费用合计</t>
  </si>
  <si>
    <t>单吨变动管理费用</t>
  </si>
  <si>
    <t>单吨固定管理费用</t>
  </si>
  <si>
    <t>单吨管理费用</t>
  </si>
  <si>
    <t>管理E值</t>
  </si>
  <si>
    <t>第二步，填写具体事项，各月逐月录入</t>
  </si>
  <si>
    <t>责任部门：人资部</t>
  </si>
  <si>
    <t>责任部门：各部门</t>
  </si>
  <si>
    <t>出差人员</t>
  </si>
  <si>
    <t>招待对象</t>
  </si>
  <si>
    <t>招待人数</t>
  </si>
  <si>
    <t>对接人员</t>
  </si>
  <si>
    <t>事项</t>
  </si>
  <si>
    <t>培训对象</t>
  </si>
  <si>
    <t>支出事项</t>
  </si>
  <si>
    <t>人员</t>
  </si>
  <si>
    <t>通讯费</t>
  </si>
  <si>
    <t>离职补助</t>
  </si>
  <si>
    <t>工会经费</t>
  </si>
  <si>
    <t>成本差异</t>
  </si>
  <si>
    <t>残障金</t>
  </si>
  <si>
    <t>大区费用分摊-E值</t>
  </si>
  <si>
    <t>大区费用分摊-非E值</t>
  </si>
  <si>
    <t>专项奖励类别</t>
  </si>
  <si>
    <t>奖励对象</t>
  </si>
  <si>
    <t>预算奖励金额</t>
  </si>
  <si>
    <t>是否总部承担</t>
  </si>
  <si>
    <t>专项奖励事项描述</t>
  </si>
  <si>
    <t>预算合计</t>
  </si>
  <si>
    <t>2025年是否有激励政策</t>
  </si>
  <si>
    <t>2025年1-10月</t>
  </si>
  <si>
    <t>24年发放23年奖金</t>
  </si>
  <si>
    <t>近红外模型建设</t>
  </si>
  <si>
    <t>近红外项目小组</t>
  </si>
  <si>
    <t>月度检测工作补贴，项目进度阶段奖励</t>
  </si>
  <si>
    <t>知识产权发表奖励</t>
  </si>
  <si>
    <t>集团所有人员</t>
  </si>
  <si>
    <t>制度规定，按实际情况奖励，不定期发放</t>
  </si>
  <si>
    <t>研发创新项目奖励</t>
  </si>
  <si>
    <t>研究院、产品线及项目参加的人员（销售除外）</t>
  </si>
  <si>
    <t>项目制立项申请，评定验收后发放</t>
  </si>
  <si>
    <t>增加52万</t>
  </si>
  <si>
    <t>金种子项目奖励</t>
  </si>
  <si>
    <t>生物饲料项目奖励</t>
  </si>
  <si>
    <t>生物饲料项目组人员</t>
  </si>
  <si>
    <t>政府补助奖励</t>
  </si>
  <si>
    <t>项目参与人员</t>
  </si>
  <si>
    <t>申请补贴到账后发放</t>
  </si>
  <si>
    <t>实验基地奖励</t>
  </si>
  <si>
    <t>研究院、产品线、实验基地人员(三江基地)</t>
  </si>
  <si>
    <t>奖励实验基地人员，根据当年在实验基地实验项目及达到A级别以上个数奖励，每个3000元；S级别，每个5000元</t>
  </si>
  <si>
    <t>实验基地盈利奖励</t>
  </si>
  <si>
    <t>实验基地人员（罗坑）</t>
  </si>
  <si>
    <t>扣除投入（种苗+饲料+动保+水电+耗材+场租+人工等）后，盈利部分用于奖励发放，10万封顶</t>
  </si>
  <si>
    <t>1、编制人员的工资薪酬、年终奖由人资中心确定，本表为收集各部门的专项奖励以及专项组奖励；</t>
  </si>
  <si>
    <t>2、原则上总部不承担分子公司的处罚收入以及奖励支出，由基地公司自行承担和发放，总部只明确相关奖惩机制，故本表主要填写总部人员的奖励，如政府补助奖励，融资奖励，降本奖励，战略采购奖励，讲师奖励，内推奖励。</t>
  </si>
  <si>
    <t>3、如有基地公司奖励建议同步填写，可下发至各公司增加薪酬预算。</t>
  </si>
  <si>
    <t>手续费</t>
  </si>
  <si>
    <t>利息收入</t>
  </si>
  <si>
    <t>利息支出</t>
  </si>
  <si>
    <t>汇兑损益</t>
  </si>
  <si>
    <t>每吨费用</t>
  </si>
  <si>
    <t>财务费用率</t>
  </si>
  <si>
    <t>营业税金及附加</t>
  </si>
  <si>
    <t>年份（选择）</t>
  </si>
  <si>
    <t>增值税</t>
  </si>
  <si>
    <t>城市建设维护税</t>
  </si>
  <si>
    <t>教育费附加</t>
  </si>
  <si>
    <t>地方教育费附加</t>
  </si>
  <si>
    <t>消费税</t>
  </si>
  <si>
    <t>资源税</t>
  </si>
  <si>
    <t>土地使用税</t>
  </si>
  <si>
    <t>车船使用税</t>
  </si>
  <si>
    <t>印花税</t>
  </si>
  <si>
    <t>堤围费</t>
  </si>
  <si>
    <t>企业所得税</t>
  </si>
  <si>
    <t>环境保护税</t>
  </si>
  <si>
    <t>房产税</t>
  </si>
  <si>
    <t>内部代工收入</t>
  </si>
  <si>
    <t>内部代工成本</t>
  </si>
  <si>
    <t>外卖原料收入</t>
  </si>
  <si>
    <t>外卖原料成本</t>
  </si>
  <si>
    <t>废旧物资收益</t>
  </si>
  <si>
    <t>其他收入</t>
  </si>
  <si>
    <t>公允价值变动损益</t>
  </si>
  <si>
    <t>投资收益</t>
  </si>
  <si>
    <t>资产处置损益</t>
  </si>
  <si>
    <t>其他收益</t>
  </si>
  <si>
    <t>营业外收入</t>
  </si>
  <si>
    <t>小计</t>
  </si>
  <si>
    <t>违约赔偿收入</t>
  </si>
  <si>
    <t>罚款收入</t>
  </si>
  <si>
    <t>无法支付的应付款项</t>
  </si>
  <si>
    <t>营业外支出</t>
  </si>
  <si>
    <t>罚款支出</t>
  </si>
  <si>
    <t>捐赠支出</t>
  </si>
  <si>
    <t>滞纳金</t>
  </si>
  <si>
    <t>赔偿支出</t>
  </si>
  <si>
    <t>会计利润总额</t>
  </si>
  <si>
    <t>所得税率</t>
  </si>
  <si>
    <t>所得税费用-当期所得税</t>
  </si>
  <si>
    <t>所得税费用-递延所得税</t>
  </si>
  <si>
    <t>单位</t>
  </si>
  <si>
    <t>元</t>
  </si>
  <si>
    <t>注：根据会计利润测算所得税</t>
  </si>
  <si>
    <t>特殊考核调整明细表</t>
  </si>
  <si>
    <t>2026年预算（公式取数）</t>
  </si>
  <si>
    <t>2025年实际数（取A8 考核利润表-月度）</t>
  </si>
  <si>
    <t>兄弟公司间往来</t>
  </si>
  <si>
    <t>注：7-9项预算不做预计</t>
  </si>
  <si>
    <t>考核利润调整明细表</t>
  </si>
  <si>
    <t>1、调整金额：减少利润的填负数，调增利润的填正数。</t>
  </si>
  <si>
    <t>2、调整科目为“管理费用”或“销售费用”、“财务费用”时必须要填写费用项目</t>
  </si>
  <si>
    <t xml:space="preserve">单位：元                           </t>
  </si>
  <si>
    <t>调整影响对方公司</t>
  </si>
  <si>
    <t>调整项目（选择）</t>
  </si>
  <si>
    <t>调整科目</t>
  </si>
  <si>
    <t>费用项目</t>
  </si>
  <si>
    <t>调整说明</t>
  </si>
  <si>
    <t>三方利息</t>
  </si>
  <si>
    <t>责任部门：养殖基地</t>
  </si>
  <si>
    <t>2025年实际</t>
  </si>
  <si>
    <t>汕尾-虾蟹研发</t>
  </si>
  <si>
    <t xml:space="preserve">福建东山-虾蟹研发 </t>
  </si>
  <si>
    <t xml:space="preserve">罗坑-海特研发 </t>
  </si>
  <si>
    <t>三江-海特研发</t>
  </si>
  <si>
    <t>三江-鱼料研发-调大额资产分摊</t>
  </si>
  <si>
    <t>三江-虾蟹研发</t>
  </si>
  <si>
    <t>收入</t>
  </si>
  <si>
    <t>支出</t>
  </si>
  <si>
    <t>净收益</t>
  </si>
  <si>
    <t>支出明细</t>
  </si>
  <si>
    <t>职工福利费</t>
  </si>
  <si>
    <t>专业及政府费用</t>
  </si>
  <si>
    <t>员工培训</t>
  </si>
  <si>
    <t>招聘费用</t>
  </si>
  <si>
    <t>房屋租金</t>
  </si>
  <si>
    <t>土地费用</t>
  </si>
  <si>
    <t>长期待摊费用</t>
  </si>
  <si>
    <t>检测费</t>
  </si>
  <si>
    <t>研发耗材</t>
  </si>
  <si>
    <t>公车费用</t>
  </si>
  <si>
    <t>养殖基地</t>
  </si>
  <si>
    <t>养殖品种</t>
  </si>
  <si>
    <r>
      <rPr>
        <b/>
        <sz val="11"/>
        <color theme="1"/>
        <rFont val="Times New Roman"/>
        <charset val="134"/>
      </rPr>
      <t>1</t>
    </r>
    <r>
      <rPr>
        <b/>
        <sz val="11"/>
        <color theme="1"/>
        <rFont val="宋体"/>
        <charset val="134"/>
      </rPr>
      <t>月</t>
    </r>
  </si>
  <si>
    <r>
      <rPr>
        <b/>
        <sz val="11"/>
        <color theme="1"/>
        <rFont val="Times New Roman"/>
        <charset val="134"/>
      </rPr>
      <t>2</t>
    </r>
    <r>
      <rPr>
        <b/>
        <sz val="11"/>
        <color theme="1"/>
        <rFont val="宋体"/>
        <charset val="134"/>
      </rPr>
      <t>月</t>
    </r>
  </si>
  <si>
    <r>
      <rPr>
        <b/>
        <sz val="11"/>
        <color theme="1"/>
        <rFont val="Times New Roman"/>
        <charset val="134"/>
      </rPr>
      <t>3</t>
    </r>
    <r>
      <rPr>
        <b/>
        <sz val="11"/>
        <color theme="1"/>
        <rFont val="宋体"/>
        <charset val="134"/>
      </rPr>
      <t>月</t>
    </r>
  </si>
  <si>
    <r>
      <rPr>
        <b/>
        <sz val="11"/>
        <color theme="1"/>
        <rFont val="Times New Roman"/>
        <charset val="134"/>
      </rPr>
      <t>4</t>
    </r>
    <r>
      <rPr>
        <b/>
        <sz val="11"/>
        <color theme="1"/>
        <rFont val="宋体"/>
        <charset val="134"/>
      </rPr>
      <t>月</t>
    </r>
  </si>
  <si>
    <r>
      <rPr>
        <b/>
        <sz val="11"/>
        <color theme="1"/>
        <rFont val="Times New Roman"/>
        <charset val="134"/>
      </rPr>
      <t>5</t>
    </r>
    <r>
      <rPr>
        <b/>
        <sz val="11"/>
        <color theme="1"/>
        <rFont val="宋体"/>
        <charset val="134"/>
      </rPr>
      <t>月</t>
    </r>
  </si>
  <si>
    <r>
      <rPr>
        <b/>
        <sz val="11"/>
        <color theme="1"/>
        <rFont val="Times New Roman"/>
        <charset val="134"/>
      </rPr>
      <t>6</t>
    </r>
    <r>
      <rPr>
        <b/>
        <sz val="11"/>
        <color theme="1"/>
        <rFont val="宋体"/>
        <charset val="134"/>
      </rPr>
      <t>月</t>
    </r>
  </si>
  <si>
    <r>
      <rPr>
        <b/>
        <sz val="11"/>
        <color theme="1"/>
        <rFont val="Times New Roman"/>
        <charset val="134"/>
      </rPr>
      <t>7</t>
    </r>
    <r>
      <rPr>
        <b/>
        <sz val="11"/>
        <color theme="1"/>
        <rFont val="宋体"/>
        <charset val="134"/>
      </rPr>
      <t>月</t>
    </r>
  </si>
  <si>
    <r>
      <rPr>
        <b/>
        <sz val="11"/>
        <color theme="1"/>
        <rFont val="Times New Roman"/>
        <charset val="134"/>
      </rPr>
      <t>8</t>
    </r>
    <r>
      <rPr>
        <b/>
        <sz val="11"/>
        <color theme="1"/>
        <rFont val="宋体"/>
        <charset val="134"/>
      </rPr>
      <t>月</t>
    </r>
  </si>
  <si>
    <r>
      <rPr>
        <b/>
        <sz val="11"/>
        <color theme="1"/>
        <rFont val="Times New Roman"/>
        <charset val="134"/>
      </rPr>
      <t>9</t>
    </r>
    <r>
      <rPr>
        <b/>
        <sz val="11"/>
        <color theme="1"/>
        <rFont val="宋体"/>
        <charset val="134"/>
      </rPr>
      <t>月</t>
    </r>
  </si>
  <si>
    <r>
      <rPr>
        <b/>
        <sz val="11"/>
        <color theme="1"/>
        <rFont val="Times New Roman"/>
        <charset val="134"/>
      </rPr>
      <t>10</t>
    </r>
    <r>
      <rPr>
        <b/>
        <sz val="11"/>
        <color theme="1"/>
        <rFont val="宋体"/>
        <charset val="134"/>
      </rPr>
      <t>月</t>
    </r>
  </si>
  <si>
    <r>
      <rPr>
        <b/>
        <sz val="11"/>
        <color theme="1"/>
        <rFont val="Times New Roman"/>
        <charset val="134"/>
      </rPr>
      <t>11</t>
    </r>
    <r>
      <rPr>
        <b/>
        <sz val="11"/>
        <color theme="1"/>
        <rFont val="宋体"/>
        <charset val="134"/>
      </rPr>
      <t>月</t>
    </r>
  </si>
  <si>
    <r>
      <rPr>
        <b/>
        <sz val="11"/>
        <color theme="1"/>
        <rFont val="Times New Roman"/>
        <charset val="134"/>
      </rPr>
      <t>12</t>
    </r>
    <r>
      <rPr>
        <b/>
        <sz val="11"/>
        <color theme="1"/>
        <rFont val="宋体"/>
        <charset val="134"/>
      </rPr>
      <t>月</t>
    </r>
  </si>
  <si>
    <t>销售收入明细</t>
  </si>
  <si>
    <t>养殖品种1</t>
  </si>
  <si>
    <t>加州鲈：销量</t>
  </si>
  <si>
    <t>加州鲈：单价</t>
  </si>
  <si>
    <t>加州鲈：销售收入合计</t>
  </si>
  <si>
    <t>养殖品种2</t>
  </si>
  <si>
    <t>生鱼：销量</t>
  </si>
  <si>
    <t>生鱼：单价</t>
  </si>
  <si>
    <t>生鱼：销售收入合计</t>
  </si>
  <si>
    <t>养殖品种3</t>
  </si>
  <si>
    <t>鳜鱼名称：销量</t>
  </si>
  <si>
    <t>鳜鱼：单价</t>
  </si>
  <si>
    <t>鳜鱼：销售收入合计</t>
  </si>
  <si>
    <t>养殖品种4</t>
  </si>
  <si>
    <t>花鲢：销量</t>
  </si>
  <si>
    <t>花鲢：单价</t>
  </si>
  <si>
    <t>花鲢：销售收入合计</t>
  </si>
  <si>
    <t>总销售收入</t>
  </si>
  <si>
    <t xml:space="preserve">费用项目
 -   </t>
  </si>
  <si>
    <t>人员薪酬（人资填写）</t>
  </si>
  <si>
    <t>临时劳务人员费（无编制）</t>
  </si>
  <si>
    <t>职工福利（伙食费）标准25元/人/天</t>
  </si>
  <si>
    <t>职工福利（团建费）</t>
  </si>
  <si>
    <t>塘租</t>
  </si>
  <si>
    <t>塘租税费</t>
  </si>
  <si>
    <t>差旅费总额</t>
  </si>
  <si>
    <t>应酬招待费</t>
  </si>
  <si>
    <t>专业机构服务费</t>
  </si>
  <si>
    <t>日常办公用品费用</t>
  </si>
  <si>
    <t>运费</t>
  </si>
  <si>
    <t>实验仪器支出</t>
  </si>
  <si>
    <t>实验物料支出</t>
  </si>
  <si>
    <t>实验检测费支出</t>
  </si>
  <si>
    <t>实验用品支出</t>
  </si>
  <si>
    <t>饲料支出</t>
  </si>
  <si>
    <t>动保支出</t>
  </si>
  <si>
    <t>外购药费</t>
  </si>
  <si>
    <t>鱼苗支出</t>
  </si>
  <si>
    <t>虾苗支出</t>
  </si>
  <si>
    <t>海水费用</t>
  </si>
  <si>
    <t>器具购置费用（绳子等）</t>
  </si>
  <si>
    <t>器具维修费用</t>
  </si>
  <si>
    <t>新增大额资产总额</t>
  </si>
  <si>
    <t>资产折旧摊销（财务填写）</t>
  </si>
  <si>
    <t>总销售成本</t>
  </si>
  <si>
    <t>养殖基地收益（收入-成本）</t>
  </si>
  <si>
    <t>差旅费需按人填写：</t>
  </si>
  <si>
    <t>莫永顺</t>
  </si>
  <si>
    <t>新增大额资产需按明细填写：</t>
  </si>
  <si>
    <t>明细</t>
  </si>
  <si>
    <t>使用年限</t>
  </si>
  <si>
    <t>三轮车1台</t>
  </si>
  <si>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年</t>
    </r>
  </si>
  <si>
    <t>住人集装箱2个</t>
  </si>
  <si>
    <t>货物集装箱2个</t>
  </si>
  <si>
    <t>水族箱-物料</t>
  </si>
  <si>
    <t>水族箱-人工</t>
  </si>
  <si>
    <t>网箱-物料</t>
  </si>
  <si>
    <t>网箱-人工</t>
  </si>
  <si>
    <t>苗种支出明细填写：</t>
  </si>
  <si>
    <t>种苗类型</t>
  </si>
  <si>
    <t>虾苗</t>
  </si>
  <si>
    <t>数量</t>
  </si>
  <si>
    <t>单价</t>
  </si>
  <si>
    <t>鱼苗</t>
  </si>
  <si>
    <t>费用来源</t>
  </si>
  <si>
    <t>折旧类型</t>
  </si>
  <si>
    <t>年度折旧</t>
  </si>
  <si>
    <t>预算分解</t>
  </si>
  <si>
    <t>新增资产</t>
  </si>
  <si>
    <t>销售费用-折旧费</t>
  </si>
  <si>
    <t>管理费用-折旧费</t>
  </si>
  <si>
    <t>制造费用-折旧费</t>
  </si>
  <si>
    <t>已有资产</t>
  </si>
  <si>
    <t>资产编码</t>
  </si>
  <si>
    <t>资产名称</t>
  </si>
  <si>
    <t>开始使用日期</t>
  </si>
  <si>
    <t>本币原值</t>
  </si>
  <si>
    <t>月折旧额</t>
  </si>
  <si>
    <t>累计折旧</t>
  </si>
  <si>
    <t>本年折旧</t>
  </si>
  <si>
    <t>净值</t>
  </si>
  <si>
    <t>减值准备</t>
  </si>
  <si>
    <t>净额</t>
  </si>
  <si>
    <t>资产类别</t>
  </si>
  <si>
    <t>使用部门</t>
  </si>
  <si>
    <t>净残值率%</t>
  </si>
  <si>
    <t>使用月限</t>
  </si>
  <si>
    <t>已计提期数</t>
  </si>
  <si>
    <t>截止12月剩余摊销期限</t>
  </si>
  <si>
    <t>费用类型（销售费用/管理费用/制造费用/研发费用</t>
  </si>
  <si>
    <t>201603020001</t>
  </si>
  <si>
    <t>高压计量表</t>
  </si>
  <si>
    <t>2006-06-01</t>
  </si>
  <si>
    <t>机器设备</t>
  </si>
  <si>
    <t>201603020003</t>
  </si>
  <si>
    <t>电动葫芦</t>
  </si>
  <si>
    <t>2006-07-01</t>
  </si>
  <si>
    <t>201603020006</t>
  </si>
  <si>
    <t>水浴振荡器</t>
  </si>
  <si>
    <t>2006-08-01</t>
  </si>
  <si>
    <t>201603020007</t>
  </si>
  <si>
    <t>制粒机</t>
  </si>
  <si>
    <t>201603020008</t>
  </si>
  <si>
    <t>风机</t>
  </si>
  <si>
    <t>2006-10-01</t>
  </si>
  <si>
    <t>201603020010</t>
  </si>
  <si>
    <t>箱式电阻炉</t>
  </si>
  <si>
    <t>201603020011</t>
  </si>
  <si>
    <t>紫外分光光度计</t>
  </si>
  <si>
    <t>项目（技改）</t>
  </si>
  <si>
    <t>新增资产名称</t>
  </si>
  <si>
    <t>资产类型</t>
  </si>
  <si>
    <t>净残值率%（自动生成）</t>
  </si>
  <si>
    <t>购买年月</t>
  </si>
  <si>
    <t>折旧期限</t>
  </si>
  <si>
    <t>开始折旧月份（自动带出）</t>
  </si>
  <si>
    <t>月度折旧额</t>
  </si>
  <si>
    <t>202606</t>
  </si>
  <si>
    <t>空调</t>
  </si>
  <si>
    <t>202601</t>
  </si>
  <si>
    <t>关联项目/用途</t>
  </si>
  <si>
    <t>总预算金额</t>
  </si>
  <si>
    <t>预计开始日期</t>
  </si>
  <si>
    <t>预计结束日期</t>
  </si>
  <si>
    <t>摊销期限</t>
  </si>
  <si>
    <t>月度摊销额</t>
  </si>
  <si>
    <t>数字化转型</t>
  </si>
  <si>
    <t>年度摊销</t>
  </si>
  <si>
    <t>销售费用-摊销费</t>
  </si>
  <si>
    <t>管理费用-摊销费</t>
  </si>
  <si>
    <t>制造费用-摊销费</t>
  </si>
  <si>
    <t>摊销原值</t>
  </si>
  <si>
    <t>月摊销费</t>
  </si>
  <si>
    <t>累计摊销费</t>
  </si>
  <si>
    <t>本年摊销费</t>
  </si>
  <si>
    <t>单位信息</t>
  </si>
  <si>
    <t>高价值销量</t>
  </si>
  <si>
    <t>净收入</t>
  </si>
  <si>
    <t>资金规划峰值（欠款+担保）</t>
  </si>
  <si>
    <t>信用比</t>
  </si>
  <si>
    <t>毛利授信比</t>
  </si>
  <si>
    <t>高价值占比</t>
  </si>
  <si>
    <t>实证案例数量规划</t>
  </si>
  <si>
    <t>销量（吨）</t>
  </si>
  <si>
    <t>净收入（元）</t>
  </si>
  <si>
    <t>资金实际用信峰值（欠款+担保）</t>
  </si>
  <si>
    <t>资金峰值（欠款+担保）</t>
  </si>
  <si>
    <t>资金增幅大于销量增幅说明</t>
  </si>
  <si>
    <t>产线维度</t>
  </si>
  <si>
    <t>公司整体</t>
  </si>
  <si>
    <t>饲料整体</t>
  </si>
  <si>
    <t>虾蟹料</t>
  </si>
  <si>
    <t>普鱼料</t>
  </si>
  <si>
    <t>畜禽料</t>
  </si>
  <si>
    <t>动保整体</t>
  </si>
  <si>
    <t>大客户维度</t>
  </si>
  <si>
    <t>大客户合计</t>
  </si>
  <si>
    <t>其他客户合计</t>
  </si>
  <si>
    <t>大客户占比</t>
  </si>
  <si>
    <t>聚焦镇维度</t>
  </si>
  <si>
    <t>公司直管</t>
  </si>
  <si>
    <t>xx聚焦镇</t>
  </si>
  <si>
    <t>xx1聚焦镇</t>
  </si>
  <si>
    <t>xx区域</t>
  </si>
  <si>
    <t>养殖模式/具体品种</t>
  </si>
  <si>
    <t>土塘</t>
  </si>
  <si>
    <t>高位池</t>
  </si>
  <si>
    <t>小棚</t>
  </si>
  <si>
    <t>小龙虾</t>
  </si>
  <si>
    <t>工厂化</t>
  </si>
  <si>
    <t>汪子</t>
  </si>
  <si>
    <t>沼虾</t>
  </si>
  <si>
    <t>草鱼</t>
  </si>
  <si>
    <t>罗非</t>
  </si>
  <si>
    <t>叉尾</t>
  </si>
  <si>
    <t>鲮鱼</t>
  </si>
  <si>
    <t>鲤鱼</t>
  </si>
  <si>
    <t>鲫鱼</t>
  </si>
  <si>
    <t>鳊鱼</t>
  </si>
  <si>
    <t>青鱼</t>
  </si>
  <si>
    <t>鳙鱼</t>
  </si>
  <si>
    <t>其他普鱼料</t>
  </si>
  <si>
    <t>生鱼</t>
  </si>
  <si>
    <t>加州鲈</t>
  </si>
  <si>
    <t>黄颡</t>
  </si>
  <si>
    <t>石斑</t>
  </si>
  <si>
    <t>海水鱼</t>
  </si>
  <si>
    <t>金鲳</t>
  </si>
  <si>
    <t>大黄鱼</t>
  </si>
  <si>
    <t>甲鱼</t>
  </si>
  <si>
    <t>鲟鱼</t>
  </si>
  <si>
    <t>鳟鱼</t>
  </si>
  <si>
    <t>鳜鱼</t>
  </si>
  <si>
    <t>泥鳅</t>
  </si>
  <si>
    <t>其他海特料</t>
  </si>
  <si>
    <t>猪料</t>
  </si>
  <si>
    <t>F0100xxx资金公司汇总表</t>
  </si>
  <si>
    <t>第二步，填写各产线授信包、资金额度分布，平衡各产线自动额度后确定是否需修改合计数；</t>
  </si>
  <si>
    <t>25年年度授信包</t>
  </si>
  <si>
    <t>25年用信（含11-12月）</t>
  </si>
  <si>
    <t>26年收入预算数</t>
  </si>
  <si>
    <t>25年收入实际数</t>
  </si>
  <si>
    <t>收入同比额</t>
  </si>
  <si>
    <t>收入同比率</t>
  </si>
  <si>
    <t>2026年额度测算</t>
  </si>
  <si>
    <t>额度包同比</t>
  </si>
  <si>
    <t>与额度同比增幅</t>
  </si>
  <si>
    <t>与用款同比</t>
  </si>
  <si>
    <t>与用款同比增幅</t>
  </si>
  <si>
    <t>各公司自报额度</t>
  </si>
  <si>
    <t>测算-自报</t>
  </si>
  <si>
    <t>26年额度分布</t>
  </si>
  <si>
    <t>25年额度分布</t>
  </si>
  <si>
    <t>同比额度分布</t>
  </si>
  <si>
    <t>月中峰值</t>
  </si>
  <si>
    <t>平均值</t>
  </si>
  <si>
    <t>自有资金</t>
  </si>
  <si>
    <t>担保资金</t>
  </si>
  <si>
    <t>自动生成（取IPO 66）</t>
  </si>
  <si>
    <t>计算（用信峰值乘以增长率）</t>
  </si>
  <si>
    <t>自动生成/可修改</t>
  </si>
  <si>
    <t>xx公司</t>
  </si>
  <si>
    <t>F0100xxx饲料资金预算填报表</t>
  </si>
  <si>
    <t>第二步，下拉选择客户名称、新老客户、主销料种及模式；（2025年有用信/26年需要用信的客户都需要填报进来（含临欠），25年数据从IPO66中导出，筛选欠款+担保资金月度峰值填报）；</t>
  </si>
  <si>
    <t>第三步，系统将显示销量、收入、毛利、上年用信峰值等数据，按照客户分月填录月度用信数据；</t>
  </si>
  <si>
    <t>客户基本信息</t>
  </si>
  <si>
    <t>26年资金分月规划（各月用信总额）</t>
  </si>
  <si>
    <t>客户名称</t>
  </si>
  <si>
    <t>新/老客户</t>
  </si>
  <si>
    <t>客户主销料种</t>
  </si>
  <si>
    <t>是否为历史欠款停料客户</t>
  </si>
  <si>
    <t>高价值产品销量占比</t>
  </si>
  <si>
    <t>资金峰值</t>
  </si>
  <si>
    <t>下拉选择</t>
  </si>
  <si>
    <t>自动生成/下拉选择</t>
  </si>
  <si>
    <t>自动生成（取帆软IPO66报表）</t>
  </si>
  <si>
    <t>计算（用信峰值除以净收入）</t>
  </si>
  <si>
    <t>计算（毛利除以用信峰值）</t>
  </si>
  <si>
    <t>计算（取月度最大值）</t>
  </si>
  <si>
    <t>xx</t>
  </si>
  <si>
    <t>养殖户</t>
  </si>
  <si>
    <t>以养带销</t>
  </si>
  <si>
    <t>F0100xxx动保资金预算填报表</t>
  </si>
  <si>
    <t>第二步，下拉选择客户名称；（2025年有用信/26年需要用信的客户都需要填报进来（含临欠），25年数据从IPO66中导出，筛选欠款+担保资金月度峰值填报）；</t>
  </si>
  <si>
    <t>第三步，系统将显示销售额、欠款峰值数据，按照客户填录年度欠款峰值数据；</t>
  </si>
  <si>
    <t>客户信息</t>
  </si>
  <si>
    <t>欠款峰值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</si>
</sst>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  <numFmt numFmtId="177" formatCode="[DBNum2][$-804]General"/>
    <numFmt numFmtId="178" formatCode="_([$€-2]* #,##0.00_);_([$€-2]* \(#,##0.00\);_([$€-2]* &quot;-&quot;??_)"/>
    <numFmt numFmtId="179" formatCode="_(* #,##0.00_);_(* \(#,##0.00\);_(* &quot;-&quot;??_);_(@_)"/>
    <numFmt numFmtId="180" formatCode="_ * #,##0.0000_ ;_ * \-#,##0.0000_ ;_ * &quot;-&quot;????_ ;_ @_ "/>
    <numFmt numFmtId="181" formatCode="_ * #,##0_ ;_ * \-#,##0_ ;_ * &quot;-&quot;??_ ;_ @_ "/>
    <numFmt numFmtId="182" formatCode="_ * #,##0.0_ ;_ * \-#,##0.0_ ;_ * &quot;-&quot;??_ ;_ @_ "/>
    <numFmt numFmtId="183" formatCode="#,##0.00_ "/>
    <numFmt numFmtId="184" formatCode="#,##0_ "/>
    <numFmt numFmtId="185" formatCode="0_);[Red]\(0\)"/>
    <numFmt numFmtId="186" formatCode="_-* #,##0_-;\-* #,##0_-;_-* &quot;-&quot;??_-;_-@_-"/>
    <numFmt numFmtId="187" formatCode="_(* #,##0.00_);_(* \(#,##0.00\);_(* &quot;-&quot;??.00_);_(@_)"/>
    <numFmt numFmtId="188" formatCode="0&quot;月&quot;"/>
    <numFmt numFmtId="189" formatCode="#,##0_ ;[Red]\-#,##0\ "/>
    <numFmt numFmtId="190" formatCode="0.0%"/>
    <numFmt numFmtId="191" formatCode="0_ "/>
    <numFmt numFmtId="192" formatCode="#,##0.000_ ;[Red]\-#,##0.000\ "/>
    <numFmt numFmtId="193" formatCode="0.00_);[Red]\(0.00\)"/>
    <numFmt numFmtId="194" formatCode="0.000"/>
  </numFmts>
  <fonts count="142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9"/>
      <name val="宋体"/>
      <charset val="134"/>
      <scheme val="minor"/>
    </font>
    <font>
      <sz val="9"/>
      <name val="宋体"/>
      <charset val="134"/>
      <scheme val="minor"/>
    </font>
    <font>
      <sz val="9"/>
      <color rgb="FFFF0000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theme="0"/>
      <name val="宋体"/>
      <charset val="134"/>
      <scheme val="minor"/>
    </font>
    <font>
      <b/>
      <sz val="1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FF0000"/>
      <name val="微软雅黑"/>
      <charset val="134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"/>
      <color indexed="8"/>
      <name val="微软雅黑"/>
      <charset val="134"/>
    </font>
    <font>
      <b/>
      <sz val="10"/>
      <name val="微软雅黑"/>
      <charset val="134"/>
    </font>
    <font>
      <sz val="10"/>
      <color indexed="8"/>
      <name val="微软雅黑"/>
      <charset val="134"/>
    </font>
    <font>
      <b/>
      <sz val="10"/>
      <color rgb="FFFF0000"/>
      <name val="微软雅黑"/>
      <charset val="134"/>
    </font>
    <font>
      <sz val="10"/>
      <color rgb="FFFF0000"/>
      <name val="微软雅黑"/>
      <charset val="134"/>
    </font>
    <font>
      <b/>
      <sz val="10"/>
      <color theme="1"/>
      <name val="微软雅黑"/>
      <charset val="134"/>
    </font>
    <font>
      <sz val="11"/>
      <name val="宋体"/>
      <charset val="134"/>
      <scheme val="minor"/>
    </font>
    <font>
      <sz val="10"/>
      <name val="微软雅黑"/>
      <charset val="134"/>
    </font>
    <font>
      <b/>
      <u/>
      <sz val="11"/>
      <color rgb="FF0000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9"/>
      <color rgb="FFFF0000"/>
      <name val="宋体"/>
      <charset val="134"/>
      <scheme val="minor"/>
    </font>
    <font>
      <b/>
      <sz val="9"/>
      <color indexed="62"/>
      <name val="微软雅黑"/>
      <charset val="134"/>
    </font>
    <font>
      <b/>
      <sz val="11"/>
      <color rgb="FF1E5FC1"/>
      <name val="宋体"/>
      <charset val="134"/>
    </font>
    <font>
      <sz val="9"/>
      <color indexed="8"/>
      <name val="微软雅黑"/>
      <charset val="134"/>
    </font>
    <font>
      <sz val="9"/>
      <color indexed="8"/>
      <name val="宋体"/>
      <charset val="134"/>
    </font>
    <font>
      <b/>
      <u/>
      <sz val="11"/>
      <color rgb="FF800080"/>
      <name val="宋体"/>
      <charset val="134"/>
      <scheme val="minor"/>
    </font>
    <font>
      <sz val="11"/>
      <name val="Arial"/>
      <charset val="134"/>
    </font>
    <font>
      <sz val="11"/>
      <color theme="1"/>
      <name val="Times New Roman"/>
      <charset val="134"/>
    </font>
    <font>
      <b/>
      <sz val="11"/>
      <color theme="0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  <font>
      <b/>
      <sz val="11"/>
      <color theme="1"/>
      <name val="等线"/>
      <charset val="134"/>
    </font>
    <font>
      <b/>
      <sz val="11"/>
      <name val="等线"/>
      <charset val="134"/>
    </font>
    <font>
      <b/>
      <sz val="11"/>
      <name val="宋体"/>
      <charset val="134"/>
    </font>
    <font>
      <b/>
      <sz val="11"/>
      <name val="Times New Roman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</font>
    <font>
      <b/>
      <sz val="10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sz val="10"/>
      <name val="Arial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sz val="10"/>
      <color theme="1"/>
      <name val="宋体"/>
      <charset val="134"/>
    </font>
    <font>
      <b/>
      <sz val="16"/>
      <color theme="1"/>
      <name val="宋体"/>
      <charset val="134"/>
    </font>
    <font>
      <u/>
      <sz val="10"/>
      <color indexed="12"/>
      <name val="Arial"/>
      <charset val="134"/>
    </font>
    <font>
      <sz val="11"/>
      <color rgb="FFFF0000"/>
      <name val="宋体"/>
      <charset val="134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9"/>
      <name val="微软雅黑"/>
      <charset val="134"/>
    </font>
    <font>
      <sz val="9"/>
      <name val="微软雅黑"/>
      <charset val="134"/>
    </font>
    <font>
      <b/>
      <sz val="9"/>
      <color rgb="FFBB0000"/>
      <name val="微软雅黑"/>
      <charset val="134"/>
    </font>
    <font>
      <sz val="9"/>
      <color theme="1"/>
      <name val="微软雅黑"/>
      <charset val="134"/>
    </font>
    <font>
      <sz val="9"/>
      <color rgb="FF000000"/>
      <name val="微软雅黑"/>
      <charset val="134"/>
    </font>
    <font>
      <b/>
      <sz val="9"/>
      <color rgb="FFFF0000"/>
      <name val="微软雅黑"/>
      <charset val="134"/>
    </font>
    <font>
      <sz val="11"/>
      <color rgb="FFC00000"/>
      <name val="宋体"/>
      <charset val="134"/>
      <scheme val="minor"/>
    </font>
    <font>
      <b/>
      <sz val="10"/>
      <color rgb="FF1E5FC1"/>
      <name val="宋体"/>
      <charset val="134"/>
    </font>
    <font>
      <b/>
      <sz val="10"/>
      <name val="宋体"/>
      <charset val="134"/>
      <scheme val="minor"/>
    </font>
    <font>
      <sz val="10"/>
      <color theme="1"/>
      <name val="等线"/>
      <charset val="134"/>
    </font>
    <font>
      <sz val="9"/>
      <color theme="1"/>
      <name val="等线"/>
      <charset val="134"/>
    </font>
    <font>
      <b/>
      <sz val="9"/>
      <name val="宋体"/>
      <charset val="134"/>
    </font>
    <font>
      <b/>
      <sz val="9"/>
      <color rgb="FFFF0000"/>
      <name val="宋体"/>
      <charset val="134"/>
    </font>
    <font>
      <b/>
      <sz val="10"/>
      <color rgb="FFFF0000"/>
      <name val="宋体"/>
      <charset val="134"/>
    </font>
    <font>
      <b/>
      <sz val="10"/>
      <name val="等线"/>
      <charset val="134"/>
    </font>
    <font>
      <b/>
      <sz val="9"/>
      <color theme="1"/>
      <name val="等线"/>
      <charset val="134"/>
    </font>
    <font>
      <sz val="10"/>
      <color rgb="FF000000"/>
      <name val="等线"/>
      <charset val="134"/>
    </font>
    <font>
      <sz val="9"/>
      <color rgb="FFC00000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b/>
      <sz val="9"/>
      <color rgb="FFC00000"/>
      <name val="宋体"/>
      <charset val="134"/>
      <scheme val="minor"/>
    </font>
    <font>
      <b/>
      <sz val="10"/>
      <color indexed="8"/>
      <name val="微软雅黑 Light"/>
      <charset val="134"/>
    </font>
    <font>
      <b/>
      <sz val="9"/>
      <color indexed="8"/>
      <name val="宋体"/>
      <charset val="134"/>
    </font>
    <font>
      <sz val="9"/>
      <color rgb="FFFF0000"/>
      <name val="微软雅黑"/>
      <charset val="134"/>
    </font>
    <font>
      <b/>
      <sz val="9"/>
      <color indexed="8"/>
      <name val="微软雅黑"/>
      <charset val="134"/>
    </font>
    <font>
      <b/>
      <sz val="12"/>
      <color rgb="FFC00000"/>
      <name val="宋体"/>
      <charset val="134"/>
    </font>
    <font>
      <sz val="9"/>
      <name val="Microsoft YaHei Light"/>
      <charset val="134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b/>
      <sz val="10"/>
      <name val="宋体"/>
      <charset val="134"/>
    </font>
    <font>
      <b/>
      <sz val="9"/>
      <color rgb="FF000000"/>
      <name val="微软雅黑"/>
      <charset val="134"/>
    </font>
    <font>
      <sz val="10"/>
      <color theme="1"/>
      <name val="宋体"/>
      <charset val="134"/>
      <scheme val="major"/>
    </font>
    <font>
      <sz val="9"/>
      <color indexed="8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0"/>
      <name val="宋体"/>
      <charset val="134"/>
      <scheme val="major"/>
    </font>
    <font>
      <sz val="10"/>
      <name val="宋体"/>
      <charset val="134"/>
      <scheme val="major"/>
    </font>
    <font>
      <b/>
      <sz val="10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6"/>
      <color theme="1"/>
      <name val="宋体"/>
      <charset val="134"/>
      <scheme val="minor"/>
    </font>
    <font>
      <b/>
      <sz val="10"/>
      <color indexed="8"/>
      <name val="宋体"/>
      <charset val="134"/>
    </font>
    <font>
      <sz val="6"/>
      <color indexed="8"/>
      <name val="宋体"/>
      <charset val="134"/>
    </font>
    <font>
      <sz val="10"/>
      <color indexed="8"/>
      <name val="宋体"/>
      <charset val="134"/>
    </font>
    <font>
      <sz val="6"/>
      <color theme="1"/>
      <name val="Calibri"/>
      <charset val="134"/>
    </font>
    <font>
      <sz val="11"/>
      <color indexed="8"/>
      <name val="宋体"/>
      <charset val="134"/>
    </font>
    <font>
      <b/>
      <sz val="9"/>
      <color rgb="FF003366"/>
      <name val="微软雅黑"/>
      <charset val="134"/>
    </font>
    <font>
      <b/>
      <sz val="9"/>
      <color indexed="9"/>
      <name val="微软雅黑"/>
      <charset val="134"/>
    </font>
    <font>
      <u/>
      <sz val="9"/>
      <color theme="10"/>
      <name val="微软雅黑"/>
      <charset val="134"/>
    </font>
    <font>
      <b/>
      <sz val="9"/>
      <color rgb="FFFFFFFF"/>
      <name val="微软雅黑"/>
      <charset val="134"/>
    </font>
    <font>
      <sz val="10"/>
      <color rgb="FF000000"/>
      <name val="微软雅黑"/>
      <charset val="134"/>
    </font>
    <font>
      <b/>
      <sz val="10"/>
      <color rgb="FFE40000"/>
      <name val="微软雅黑"/>
      <charset val="134"/>
    </font>
    <font>
      <b/>
      <sz val="11"/>
      <color rgb="FF000000"/>
      <name val="微软雅黑"/>
      <charset val="134"/>
    </font>
    <font>
      <u/>
      <sz val="11"/>
      <color theme="10"/>
      <name val="宋体"/>
      <charset val="134"/>
      <scheme val="minor"/>
    </font>
    <font>
      <sz val="10"/>
      <color theme="1" tint="0.0499893185216834"/>
      <name val="微软雅黑"/>
      <charset val="134"/>
    </font>
    <font>
      <sz val="11"/>
      <color rgb="FF0000FF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80008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  <font>
      <sz val="11"/>
      <color indexed="8"/>
      <name val="Times New Roman"/>
      <charset val="134"/>
    </font>
    <font>
      <sz val="9"/>
      <name val="宋体"/>
      <charset val="134"/>
    </font>
    <font>
      <sz val="11"/>
      <color indexed="20"/>
      <name val="宋体"/>
      <charset val="134"/>
    </font>
    <font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0"/>
      <name val="宋体"/>
      <charset val="134"/>
    </font>
  </fonts>
  <fills count="77">
    <fill>
      <patternFill patternType="none"/>
    </fill>
    <fill>
      <patternFill patternType="gray125"/>
    </fill>
    <fill>
      <patternFill patternType="solid">
        <fgColor theme="8" tint="0.79989013336588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rgb="FFEAE6DD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3" tint="0.799829096346934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85961485641"/>
        <bgColor theme="4" tint="0.79985961485641"/>
      </patternFill>
    </fill>
    <fill>
      <patternFill patternType="solid">
        <fgColor indexed="4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8" tint="0.399853511154515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0" tint="-0.14975432599871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82909634693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8" tint="0.79973754081850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60173345133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CFFCC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0D4FF"/>
      </left>
      <right/>
      <top style="thin">
        <color rgb="FFB0D4FF"/>
      </top>
      <bottom/>
      <diagonal/>
    </border>
    <border>
      <left/>
      <right/>
      <top style="thin">
        <color rgb="FFB0D4FF"/>
      </top>
      <bottom/>
      <diagonal/>
    </border>
    <border>
      <left/>
      <right style="thin">
        <color rgb="FFB0D4FF"/>
      </right>
      <top/>
      <bottom/>
      <diagonal/>
    </border>
    <border>
      <left style="thin">
        <color rgb="FFB0D4FF"/>
      </left>
      <right style="thin">
        <color rgb="FFB0D4FF"/>
      </right>
      <top style="thin">
        <color rgb="FFB0D4FF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/>
      <right/>
      <top/>
      <bottom style="thin">
        <color rgb="FF979991"/>
      </bottom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theme="4" tint="0.399853511154515"/>
      </bottom>
      <diagonal/>
    </border>
    <border>
      <left style="thin">
        <color indexed="8"/>
      </left>
      <right style="thin">
        <color auto="1"/>
      </right>
      <top style="thin">
        <color auto="1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6">
    <xf numFmtId="0" fontId="0" fillId="0" borderId="0">
      <alignment vertical="center"/>
    </xf>
    <xf numFmtId="43" fontId="0" fillId="0" borderId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4" fillId="0" borderId="0">
      <alignment vertical="center"/>
    </xf>
    <xf numFmtId="0" fontId="116" fillId="0" borderId="0" applyNumberFormat="0" applyFill="0" applyBorder="0" applyAlignment="0" applyProtection="0">
      <alignment vertical="center"/>
    </xf>
    <xf numFmtId="0" fontId="0" fillId="53" borderId="37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0" borderId="38" applyNumberFormat="0" applyFill="0" applyAlignment="0" applyProtection="0">
      <alignment vertical="center"/>
    </xf>
    <xf numFmtId="0" fontId="121" fillId="0" borderId="38" applyNumberFormat="0" applyFill="0" applyAlignment="0" applyProtection="0">
      <alignment vertical="center"/>
    </xf>
    <xf numFmtId="0" fontId="122" fillId="0" borderId="39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26" borderId="40" applyNumberFormat="0" applyAlignment="0" applyProtection="0">
      <alignment vertical="center"/>
    </xf>
    <xf numFmtId="0" fontId="124" fillId="54" borderId="41" applyNumberFormat="0" applyAlignment="0" applyProtection="0">
      <alignment vertical="center"/>
    </xf>
    <xf numFmtId="0" fontId="125" fillId="54" borderId="40" applyNumberFormat="0" applyAlignment="0" applyProtection="0">
      <alignment vertical="center"/>
    </xf>
    <xf numFmtId="0" fontId="126" fillId="55" borderId="42" applyNumberFormat="0" applyAlignment="0" applyProtection="0">
      <alignment vertical="center"/>
    </xf>
    <xf numFmtId="0" fontId="127" fillId="0" borderId="43" applyNumberFormat="0" applyFill="0" applyAlignment="0" applyProtection="0">
      <alignment vertical="center"/>
    </xf>
    <xf numFmtId="0" fontId="128" fillId="0" borderId="44" applyNumberFormat="0" applyFill="0" applyAlignment="0" applyProtection="0">
      <alignment vertical="center"/>
    </xf>
    <xf numFmtId="0" fontId="129" fillId="56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31" fillId="58" borderId="0" applyNumberFormat="0" applyBorder="0" applyAlignment="0" applyProtection="0">
      <alignment vertical="center"/>
    </xf>
    <xf numFmtId="0" fontId="132" fillId="59" borderId="0" applyNumberFormat="0" applyBorder="0" applyAlignment="0" applyProtection="0">
      <alignment vertical="center"/>
    </xf>
    <xf numFmtId="0" fontId="133" fillId="30" borderId="0" applyNumberFormat="0" applyBorder="0" applyAlignment="0" applyProtection="0">
      <alignment vertical="center"/>
    </xf>
    <xf numFmtId="0" fontId="133" fillId="21" borderId="0" applyNumberFormat="0" applyBorder="0" applyAlignment="0" applyProtection="0">
      <alignment vertical="center"/>
    </xf>
    <xf numFmtId="0" fontId="132" fillId="60" borderId="0" applyNumberFormat="0" applyBorder="0" applyAlignment="0" applyProtection="0">
      <alignment vertical="center"/>
    </xf>
    <xf numFmtId="0" fontId="132" fillId="61" borderId="0" applyNumberFormat="0" applyBorder="0" applyAlignment="0" applyProtection="0">
      <alignment vertical="center"/>
    </xf>
    <xf numFmtId="0" fontId="133" fillId="36" borderId="0" applyNumberFormat="0" applyBorder="0" applyAlignment="0" applyProtection="0">
      <alignment vertical="center"/>
    </xf>
    <xf numFmtId="0" fontId="133" fillId="62" borderId="0" applyNumberFormat="0" applyBorder="0" applyAlignment="0" applyProtection="0">
      <alignment vertical="center"/>
    </xf>
    <xf numFmtId="0" fontId="132" fillId="63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133" fillId="22" borderId="0" applyNumberFormat="0" applyBorder="0" applyAlignment="0" applyProtection="0">
      <alignment vertical="center"/>
    </xf>
    <xf numFmtId="0" fontId="133" fillId="6" borderId="0" applyNumberFormat="0" applyBorder="0" applyAlignment="0" applyProtection="0">
      <alignment vertical="center"/>
    </xf>
    <xf numFmtId="0" fontId="132" fillId="64" borderId="0" applyNumberFormat="0" applyBorder="0" applyAlignment="0" applyProtection="0">
      <alignment vertical="center"/>
    </xf>
    <xf numFmtId="0" fontId="132" fillId="65" borderId="0" applyNumberFormat="0" applyBorder="0" applyAlignment="0" applyProtection="0">
      <alignment vertical="center"/>
    </xf>
    <xf numFmtId="0" fontId="133" fillId="66" borderId="0" applyNumberFormat="0" applyBorder="0" applyAlignment="0" applyProtection="0">
      <alignment vertical="center"/>
    </xf>
    <xf numFmtId="0" fontId="133" fillId="48" borderId="0" applyNumberFormat="0" applyBorder="0" applyAlignment="0" applyProtection="0">
      <alignment vertical="center"/>
    </xf>
    <xf numFmtId="0" fontId="132" fillId="67" borderId="0" applyNumberFormat="0" applyBorder="0" applyAlignment="0" applyProtection="0">
      <alignment vertical="center"/>
    </xf>
    <xf numFmtId="0" fontId="132" fillId="68" borderId="0" applyNumberFormat="0" applyBorder="0" applyAlignment="0" applyProtection="0">
      <alignment vertical="center"/>
    </xf>
    <xf numFmtId="0" fontId="133" fillId="69" borderId="0" applyNumberFormat="0" applyBorder="0" applyAlignment="0" applyProtection="0">
      <alignment vertical="center"/>
    </xf>
    <xf numFmtId="0" fontId="133" fillId="50" borderId="0" applyNumberFormat="0" applyBorder="0" applyAlignment="0" applyProtection="0">
      <alignment vertical="center"/>
    </xf>
    <xf numFmtId="0" fontId="132" fillId="70" borderId="0" applyNumberFormat="0" applyBorder="0" applyAlignment="0" applyProtection="0">
      <alignment vertical="center"/>
    </xf>
    <xf numFmtId="0" fontId="132" fillId="71" borderId="0" applyNumberFormat="0" applyBorder="0" applyAlignment="0" applyProtection="0">
      <alignment vertical="center"/>
    </xf>
    <xf numFmtId="0" fontId="133" fillId="37" borderId="0" applyNumberFormat="0" applyBorder="0" applyAlignment="0" applyProtection="0">
      <alignment vertical="center"/>
    </xf>
    <xf numFmtId="0" fontId="133" fillId="39" borderId="0" applyNumberFormat="0" applyBorder="0" applyAlignment="0" applyProtection="0">
      <alignment vertical="center"/>
    </xf>
    <xf numFmtId="0" fontId="132" fillId="72" borderId="0" applyNumberFormat="0" applyBorder="0" applyAlignment="0" applyProtection="0">
      <alignment vertical="center"/>
    </xf>
    <xf numFmtId="0" fontId="0" fillId="0" borderId="0">
      <alignment vertical="center"/>
    </xf>
    <xf numFmtId="176" fontId="78" fillId="0" borderId="0"/>
    <xf numFmtId="177" fontId="134" fillId="0" borderId="0"/>
    <xf numFmtId="9" fontId="48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35" fillId="0" borderId="0" applyFont="0" applyFill="0" applyBorder="0" applyAlignment="0" applyProtection="0">
      <alignment vertical="center"/>
    </xf>
    <xf numFmtId="178" fontId="16" fillId="0" borderId="0">
      <alignment vertical="center"/>
    </xf>
    <xf numFmtId="178" fontId="136" fillId="73" borderId="9">
      <alignment horizontal="right" vertical="center" wrapText="1"/>
      <protection locked="0"/>
    </xf>
    <xf numFmtId="178" fontId="1" fillId="74" borderId="9">
      <alignment horizontal="right" vertical="center" wrapText="1"/>
    </xf>
    <xf numFmtId="177" fontId="137" fillId="75" borderId="0" applyBorder="0" applyAlignment="0" applyProtection="0">
      <alignment vertical="center"/>
    </xf>
    <xf numFmtId="0" fontId="0" fillId="0" borderId="0">
      <alignment vertical="center"/>
    </xf>
    <xf numFmtId="178" fontId="36" fillId="0" borderId="0">
      <alignment vertical="center"/>
    </xf>
    <xf numFmtId="0" fontId="48" fillId="0" borderId="0"/>
    <xf numFmtId="177" fontId="138" fillId="0" borderId="0"/>
    <xf numFmtId="0" fontId="0" fillId="0" borderId="0">
      <alignment vertical="center"/>
    </xf>
    <xf numFmtId="0" fontId="48" fillId="0" borderId="0"/>
    <xf numFmtId="0" fontId="78" fillId="0" borderId="0">
      <alignment vertical="center"/>
    </xf>
    <xf numFmtId="177" fontId="138" fillId="0" borderId="0"/>
    <xf numFmtId="0" fontId="0" fillId="0" borderId="0">
      <alignment vertical="center"/>
    </xf>
    <xf numFmtId="0" fontId="0" fillId="0" borderId="0"/>
    <xf numFmtId="0" fontId="78" fillId="0" borderId="0"/>
    <xf numFmtId="177" fontId="103" fillId="0" borderId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178" fontId="136" fillId="76" borderId="9">
      <alignment horizontal="right" vertical="center" wrapText="1"/>
      <protection locked="0"/>
    </xf>
    <xf numFmtId="179" fontId="48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179" fontId="48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135" fillId="0" borderId="0" applyFont="0" applyFill="0" applyBorder="0" applyAlignment="0" applyProtection="0">
      <alignment vertical="center"/>
    </xf>
    <xf numFmtId="180" fontId="78" fillId="0" borderId="0" applyFont="0" applyFill="0" applyBorder="0" applyAlignment="0" applyProtection="0">
      <alignment vertical="center"/>
    </xf>
    <xf numFmtId="179" fontId="135" fillId="0" borderId="0" applyFont="0" applyFill="0" applyBorder="0" applyAlignment="0" applyProtection="0">
      <alignment vertical="center"/>
    </xf>
    <xf numFmtId="180" fontId="78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>
      <alignment vertical="center"/>
    </xf>
    <xf numFmtId="178" fontId="1" fillId="0" borderId="9">
      <alignment horizontal="right" vertical="center" wrapText="1"/>
    </xf>
  </cellStyleXfs>
  <cellXfs count="1098">
    <xf numFmtId="0" fontId="0" fillId="0" borderId="0" xfId="0">
      <alignment vertical="center"/>
    </xf>
    <xf numFmtId="0" fontId="1" fillId="0" borderId="0" xfId="49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top"/>
    </xf>
    <xf numFmtId="178" fontId="3" fillId="2" borderId="1" xfId="56" applyFont="1" applyFill="1" applyBorder="1" applyAlignment="1">
      <alignment horizontal="center" vertical="center"/>
    </xf>
    <xf numFmtId="178" fontId="3" fillId="2" borderId="2" xfId="56" applyFont="1" applyFill="1" applyBorder="1" applyAlignment="1">
      <alignment horizontal="center" vertical="center"/>
    </xf>
    <xf numFmtId="178" fontId="3" fillId="2" borderId="3" xfId="56" applyFont="1" applyFill="1" applyBorder="1" applyAlignment="1">
      <alignment horizontal="center" vertical="center"/>
    </xf>
    <xf numFmtId="0" fontId="4" fillId="3" borderId="1" xfId="49" applyFont="1" applyFill="1" applyBorder="1">
      <alignment vertical="center"/>
    </xf>
    <xf numFmtId="0" fontId="1" fillId="3" borderId="2" xfId="49" applyFont="1" applyFill="1" applyBorder="1">
      <alignment vertical="center"/>
    </xf>
    <xf numFmtId="178" fontId="3" fillId="2" borderId="4" xfId="56" applyFont="1" applyFill="1" applyBorder="1" applyAlignment="1">
      <alignment horizontal="center" vertical="center"/>
    </xf>
    <xf numFmtId="178" fontId="3" fillId="2" borderId="0" xfId="56" applyFont="1" applyFill="1" applyAlignment="1">
      <alignment horizontal="center" vertical="center"/>
    </xf>
    <xf numFmtId="178" fontId="3" fillId="2" borderId="5" xfId="56" applyFont="1" applyFill="1" applyBorder="1" applyAlignment="1">
      <alignment horizontal="center" vertical="center"/>
    </xf>
    <xf numFmtId="0" fontId="4" fillId="3" borderId="4" xfId="49" applyFont="1" applyFill="1" applyBorder="1">
      <alignment vertical="center"/>
    </xf>
    <xf numFmtId="0" fontId="1" fillId="3" borderId="0" xfId="49" applyFont="1" applyFill="1">
      <alignment vertical="center"/>
    </xf>
    <xf numFmtId="178" fontId="1" fillId="3" borderId="0" xfId="85" applyFill="1" applyBorder="1">
      <alignment horizontal="right" vertical="center" wrapText="1"/>
    </xf>
    <xf numFmtId="178" fontId="5" fillId="3" borderId="0" xfId="74" applyFont="1" applyFill="1" applyBorder="1">
      <alignment horizontal="right" vertical="center" wrapText="1"/>
      <protection locked="0"/>
    </xf>
    <xf numFmtId="178" fontId="3" fillId="2" borderId="6" xfId="56" applyFont="1" applyFill="1" applyBorder="1" applyAlignment="1">
      <alignment horizontal="center" vertical="center"/>
    </xf>
    <xf numFmtId="178" fontId="3" fillId="2" borderId="7" xfId="56" applyFont="1" applyFill="1" applyBorder="1" applyAlignment="1">
      <alignment horizontal="center" vertical="center"/>
    </xf>
    <xf numFmtId="178" fontId="3" fillId="2" borderId="8" xfId="56" applyFont="1" applyFill="1" applyBorder="1" applyAlignment="1">
      <alignment horizontal="center" vertical="center"/>
    </xf>
    <xf numFmtId="0" fontId="1" fillId="3" borderId="1" xfId="49" applyFont="1" applyFill="1" applyBorder="1" applyAlignment="1">
      <alignment horizontal="center" vertical="center"/>
    </xf>
    <xf numFmtId="0" fontId="1" fillId="3" borderId="2" xfId="49" applyFont="1" applyFill="1" applyBorder="1" applyAlignment="1">
      <alignment horizontal="center" vertical="center"/>
    </xf>
    <xf numFmtId="0" fontId="1" fillId="3" borderId="3" xfId="49" applyFont="1" applyFill="1" applyBorder="1" applyAlignment="1">
      <alignment horizontal="center" vertical="center"/>
    </xf>
    <xf numFmtId="0" fontId="6" fillId="3" borderId="0" xfId="49" applyFont="1" applyFill="1">
      <alignment vertical="center"/>
    </xf>
    <xf numFmtId="0" fontId="1" fillId="3" borderId="6" xfId="49" applyFont="1" applyFill="1" applyBorder="1" applyAlignment="1">
      <alignment horizontal="center" vertical="center"/>
    </xf>
    <xf numFmtId="0" fontId="1" fillId="3" borderId="7" xfId="49" applyFont="1" applyFill="1" applyBorder="1" applyAlignment="1">
      <alignment horizontal="center" vertical="center"/>
    </xf>
    <xf numFmtId="0" fontId="1" fillId="3" borderId="8" xfId="49" applyFont="1" applyFill="1" applyBorder="1" applyAlignment="1">
      <alignment horizontal="center" vertical="center"/>
    </xf>
    <xf numFmtId="0" fontId="4" fillId="3" borderId="6" xfId="49" applyFont="1" applyFill="1" applyBorder="1">
      <alignment vertical="center"/>
    </xf>
    <xf numFmtId="0" fontId="6" fillId="3" borderId="7" xfId="49" applyFont="1" applyFill="1" applyBorder="1">
      <alignment vertical="center"/>
    </xf>
    <xf numFmtId="0" fontId="1" fillId="3" borderId="7" xfId="49" applyFont="1" applyFill="1" applyBorder="1">
      <alignment vertical="center"/>
    </xf>
    <xf numFmtId="178" fontId="5" fillId="3" borderId="7" xfId="74" applyFont="1" applyFill="1" applyBorder="1">
      <alignment horizontal="right" vertical="center" wrapText="1"/>
      <protection locked="0"/>
    </xf>
    <xf numFmtId="178" fontId="1" fillId="3" borderId="7" xfId="85" applyFill="1" applyBorder="1">
      <alignment horizontal="right" vertical="center" wrapText="1"/>
    </xf>
    <xf numFmtId="0" fontId="7" fillId="4" borderId="0" xfId="49" applyFont="1" applyFill="1" applyAlignment="1">
      <alignment horizontal="center" vertical="center"/>
    </xf>
    <xf numFmtId="0" fontId="7" fillId="0" borderId="0" xfId="49" applyFont="1" applyAlignment="1">
      <alignment horizontal="center" vertical="center"/>
    </xf>
    <xf numFmtId="178" fontId="5" fillId="0" borderId="0" xfId="57" applyFont="1" applyFill="1" applyBorder="1">
      <alignment horizontal="right" vertical="center" wrapText="1"/>
      <protection locked="0"/>
    </xf>
    <xf numFmtId="178" fontId="1" fillId="0" borderId="0" xfId="85" applyBorder="1">
      <alignment horizontal="right" vertical="center" wrapText="1"/>
    </xf>
    <xf numFmtId="0" fontId="7" fillId="4" borderId="7" xfId="49" applyFont="1" applyFill="1" applyBorder="1" applyAlignment="1">
      <alignment horizontal="center" vertical="center"/>
    </xf>
    <xf numFmtId="0" fontId="8" fillId="5" borderId="9" xfId="49" applyFont="1" applyFill="1" applyBorder="1" applyAlignment="1">
      <alignment horizontal="center" vertical="center"/>
    </xf>
    <xf numFmtId="0" fontId="1" fillId="0" borderId="9" xfId="49" applyFont="1" applyBorder="1" applyAlignment="1">
      <alignment horizontal="center" vertical="center"/>
    </xf>
    <xf numFmtId="0" fontId="5" fillId="0" borderId="9" xfId="49" applyFont="1" applyBorder="1" applyAlignment="1">
      <alignment horizontal="center" vertical="center"/>
    </xf>
    <xf numFmtId="0" fontId="8" fillId="0" borderId="0" xfId="49" applyFont="1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5" fillId="0" borderId="0" xfId="49" applyFont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12" fillId="9" borderId="9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14" fillId="9" borderId="9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vertical="center" wrapText="1"/>
    </xf>
    <xf numFmtId="0" fontId="13" fillId="7" borderId="9" xfId="0" applyFont="1" applyFill="1" applyBorder="1">
      <alignment vertical="center"/>
    </xf>
    <xf numFmtId="0" fontId="12" fillId="9" borderId="9" xfId="0" applyFont="1" applyFill="1" applyBorder="1" applyAlignment="1">
      <alignment vertical="center" wrapText="1"/>
    </xf>
    <xf numFmtId="0" fontId="13" fillId="9" borderId="9" xfId="0" applyFont="1" applyFill="1" applyBorder="1">
      <alignment vertical="center"/>
    </xf>
    <xf numFmtId="0" fontId="14" fillId="7" borderId="9" xfId="0" applyFont="1" applyFill="1" applyBorder="1" applyAlignment="1">
      <alignment vertical="center" wrapText="1"/>
    </xf>
    <xf numFmtId="0" fontId="12" fillId="0" borderId="9" xfId="0" applyFont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14" fillId="0" borderId="9" xfId="0" applyFont="1" applyBorder="1">
      <alignment vertical="center"/>
    </xf>
    <xf numFmtId="0" fontId="14" fillId="0" borderId="9" xfId="0" applyFont="1" applyBorder="1" applyAlignment="1">
      <alignment horizontal="left" vertical="center"/>
    </xf>
    <xf numFmtId="181" fontId="14" fillId="0" borderId="9" xfId="0" applyNumberFormat="1" applyFont="1" applyBorder="1">
      <alignment vertical="center"/>
    </xf>
    <xf numFmtId="9" fontId="14" fillId="10" borderId="9" xfId="3" applyFont="1" applyFill="1" applyBorder="1">
      <alignment vertical="center"/>
    </xf>
    <xf numFmtId="181" fontId="14" fillId="10" borderId="9" xfId="0" applyNumberFormat="1" applyFont="1" applyFill="1" applyBorder="1">
      <alignment vertical="center"/>
    </xf>
    <xf numFmtId="0" fontId="2" fillId="0" borderId="0" xfId="0" applyFont="1" applyAlignment="1">
      <alignment horizontal="left" vertical="top" wrapText="1"/>
    </xf>
    <xf numFmtId="0" fontId="16" fillId="0" borderId="0" xfId="0" applyFont="1">
      <alignment vertical="center"/>
    </xf>
    <xf numFmtId="0" fontId="1" fillId="3" borderId="3" xfId="49" applyFont="1" applyFill="1" applyBorder="1">
      <alignment vertical="center"/>
    </xf>
    <xf numFmtId="0" fontId="1" fillId="3" borderId="5" xfId="49" applyFont="1" applyFill="1" applyBorder="1">
      <alignment vertical="center"/>
    </xf>
    <xf numFmtId="0" fontId="7" fillId="3" borderId="8" xfId="49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6" borderId="10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9" xfId="0" applyFont="1" applyFill="1" applyBorder="1">
      <alignment vertical="center"/>
    </xf>
    <xf numFmtId="0" fontId="10" fillId="11" borderId="9" xfId="0" applyFont="1" applyFill="1" applyBorder="1">
      <alignment vertical="center"/>
    </xf>
    <xf numFmtId="0" fontId="13" fillId="11" borderId="9" xfId="0" applyFont="1" applyFill="1" applyBorder="1" applyAlignment="1">
      <alignment horizontal="center" vertical="center" wrapText="1"/>
    </xf>
    <xf numFmtId="0" fontId="13" fillId="11" borderId="9" xfId="0" applyFont="1" applyFill="1" applyBorder="1">
      <alignment vertical="center"/>
    </xf>
    <xf numFmtId="181" fontId="13" fillId="0" borderId="9" xfId="0" applyNumberFormat="1" applyFont="1" applyBorder="1">
      <alignment vertical="center"/>
    </xf>
    <xf numFmtId="9" fontId="13" fillId="10" borderId="9" xfId="3" applyFont="1" applyFill="1" applyBorder="1">
      <alignment vertical="center"/>
    </xf>
    <xf numFmtId="181" fontId="13" fillId="10" borderId="9" xfId="0" applyNumberFormat="1" applyFont="1" applyFill="1" applyBorder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17" fillId="0" borderId="0" xfId="0" applyFont="1">
      <alignment vertical="center"/>
    </xf>
    <xf numFmtId="0" fontId="18" fillId="7" borderId="14" xfId="0" applyFont="1" applyFill="1" applyBorder="1" applyAlignment="1">
      <alignment horizontal="center" vertical="center"/>
    </xf>
    <xf numFmtId="0" fontId="18" fillId="11" borderId="14" xfId="0" applyFont="1" applyFill="1" applyBorder="1" applyAlignment="1">
      <alignment horizontal="center" vertical="center" wrapText="1"/>
    </xf>
    <xf numFmtId="0" fontId="18" fillId="7" borderId="10" xfId="0" applyFont="1" applyFill="1" applyBorder="1" applyAlignment="1">
      <alignment horizontal="center" vertical="center" wrapText="1"/>
    </xf>
    <xf numFmtId="0" fontId="18" fillId="7" borderId="11" xfId="0" applyFont="1" applyFill="1" applyBorder="1" applyAlignment="1">
      <alignment horizontal="center" vertical="center" wrapText="1"/>
    </xf>
    <xf numFmtId="0" fontId="18" fillId="7" borderId="12" xfId="0" applyFont="1" applyFill="1" applyBorder="1" applyAlignment="1">
      <alignment horizontal="center" vertical="center" wrapText="1"/>
    </xf>
    <xf numFmtId="0" fontId="18" fillId="7" borderId="14" xfId="0" applyFont="1" applyFill="1" applyBorder="1" applyAlignment="1">
      <alignment horizontal="center" vertical="center" wrapText="1"/>
    </xf>
    <xf numFmtId="0" fontId="19" fillId="7" borderId="14" xfId="0" applyFont="1" applyFill="1" applyBorder="1" applyAlignment="1">
      <alignment horizontal="center" vertical="center" wrapText="1"/>
    </xf>
    <xf numFmtId="0" fontId="18" fillId="7" borderId="9" xfId="0" applyFont="1" applyFill="1" applyBorder="1" applyAlignment="1">
      <alignment horizontal="center" vertical="center" wrapText="1"/>
    </xf>
    <xf numFmtId="181" fontId="18" fillId="11" borderId="9" xfId="0" applyNumberFormat="1" applyFont="1" applyFill="1" applyBorder="1" applyAlignment="1">
      <alignment horizontal="center" vertical="center"/>
    </xf>
    <xf numFmtId="181" fontId="18" fillId="7" borderId="9" xfId="0" applyNumberFormat="1" applyFont="1" applyFill="1" applyBorder="1" applyAlignment="1">
      <alignment horizontal="center" vertical="center"/>
    </xf>
    <xf numFmtId="0" fontId="18" fillId="7" borderId="13" xfId="0" applyFont="1" applyFill="1" applyBorder="1" applyAlignment="1">
      <alignment horizontal="center" vertical="center"/>
    </xf>
    <xf numFmtId="0" fontId="18" fillId="11" borderId="13" xfId="0" applyFont="1" applyFill="1" applyBorder="1" applyAlignment="1">
      <alignment horizontal="center" vertical="center" wrapText="1"/>
    </xf>
    <xf numFmtId="0" fontId="18" fillId="7" borderId="9" xfId="0" applyFont="1" applyFill="1" applyBorder="1" applyAlignment="1">
      <alignment vertical="center" wrapText="1"/>
    </xf>
    <xf numFmtId="0" fontId="18" fillId="7" borderId="13" xfId="0" applyFont="1" applyFill="1" applyBorder="1" applyAlignment="1">
      <alignment horizontal="center" vertical="center" wrapText="1"/>
    </xf>
    <xf numFmtId="0" fontId="19" fillId="7" borderId="13" xfId="0" applyFont="1" applyFill="1" applyBorder="1" applyAlignment="1">
      <alignment horizontal="center" vertical="center" wrapText="1"/>
    </xf>
    <xf numFmtId="181" fontId="18" fillId="11" borderId="9" xfId="0" applyNumberFormat="1" applyFont="1" applyFill="1" applyBorder="1">
      <alignment vertical="center"/>
    </xf>
    <xf numFmtId="181" fontId="18" fillId="7" borderId="9" xfId="0" applyNumberFormat="1" applyFont="1" applyFill="1" applyBorder="1">
      <alignment vertical="center"/>
    </xf>
    <xf numFmtId="0" fontId="18" fillId="7" borderId="9" xfId="0" applyFont="1" applyFill="1" applyBorder="1">
      <alignment vertical="center"/>
    </xf>
    <xf numFmtId="0" fontId="20" fillId="7" borderId="9" xfId="0" applyFont="1" applyFill="1" applyBorder="1">
      <alignment vertical="center"/>
    </xf>
    <xf numFmtId="0" fontId="18" fillId="12" borderId="9" xfId="0" applyFont="1" applyFill="1" applyBorder="1">
      <alignment vertical="center"/>
    </xf>
    <xf numFmtId="181" fontId="18" fillId="12" borderId="9" xfId="0" applyNumberFormat="1" applyFont="1" applyFill="1" applyBorder="1">
      <alignment vertical="center"/>
    </xf>
    <xf numFmtId="181" fontId="18" fillId="13" borderId="9" xfId="0" applyNumberFormat="1" applyFont="1" applyFill="1" applyBorder="1">
      <alignment vertical="center"/>
    </xf>
    <xf numFmtId="9" fontId="18" fillId="12" borderId="9" xfId="3" applyFont="1" applyFill="1" applyBorder="1">
      <alignment vertical="center"/>
    </xf>
    <xf numFmtId="9" fontId="18" fillId="12" borderId="9" xfId="3" applyFont="1" applyFill="1" applyBorder="1" applyAlignment="1">
      <alignment horizontal="center" vertical="center"/>
    </xf>
    <xf numFmtId="181" fontId="21" fillId="12" borderId="9" xfId="0" applyNumberFormat="1" applyFont="1" applyFill="1" applyBorder="1">
      <alignment vertical="center"/>
    </xf>
    <xf numFmtId="181" fontId="20" fillId="0" borderId="9" xfId="0" applyNumberFormat="1" applyFont="1" applyBorder="1">
      <alignment vertical="center"/>
    </xf>
    <xf numFmtId="181" fontId="18" fillId="0" borderId="9" xfId="0" applyNumberFormat="1" applyFont="1" applyBorder="1">
      <alignment vertical="center"/>
    </xf>
    <xf numFmtId="9" fontId="20" fillId="7" borderId="9" xfId="3" applyFont="1" applyFill="1" applyBorder="1">
      <alignment vertical="center"/>
    </xf>
    <xf numFmtId="9" fontId="18" fillId="7" borderId="9" xfId="3" applyFont="1" applyFill="1" applyBorder="1" applyAlignment="1">
      <alignment horizontal="center" vertical="center"/>
    </xf>
    <xf numFmtId="9" fontId="18" fillId="7" borderId="9" xfId="3" applyFont="1" applyFill="1" applyBorder="1">
      <alignment vertical="center"/>
    </xf>
    <xf numFmtId="181" fontId="20" fillId="14" borderId="9" xfId="0" applyNumberFormat="1" applyFont="1" applyFill="1" applyBorder="1">
      <alignment vertical="center"/>
    </xf>
    <xf numFmtId="181" fontId="22" fillId="7" borderId="9" xfId="0" applyNumberFormat="1" applyFont="1" applyFill="1" applyBorder="1">
      <alignment vertical="center"/>
    </xf>
    <xf numFmtId="181" fontId="20" fillId="7" borderId="9" xfId="0" applyNumberFormat="1" applyFont="1" applyFill="1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11" fillId="0" borderId="0" xfId="0" applyFont="1">
      <alignment vertical="center"/>
    </xf>
    <xf numFmtId="0" fontId="10" fillId="15" borderId="9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 wrapText="1"/>
    </xf>
    <xf numFmtId="0" fontId="14" fillId="9" borderId="9" xfId="0" applyFont="1" applyFill="1" applyBorder="1" applyAlignment="1">
      <alignment vertical="center" wrapText="1"/>
    </xf>
    <xf numFmtId="0" fontId="13" fillId="15" borderId="9" xfId="0" applyFont="1" applyFill="1" applyBorder="1" applyAlignment="1">
      <alignment horizontal="center" vertical="center" wrapText="1"/>
    </xf>
    <xf numFmtId="0" fontId="23" fillId="0" borderId="9" xfId="0" applyFont="1" applyBorder="1">
      <alignment vertical="center"/>
    </xf>
    <xf numFmtId="181" fontId="23" fillId="0" borderId="9" xfId="0" applyNumberFormat="1" applyFont="1" applyBorder="1">
      <alignment vertical="center"/>
    </xf>
    <xf numFmtId="9" fontId="23" fillId="0" borderId="9" xfId="3" applyFont="1" applyBorder="1">
      <alignment vertical="center"/>
    </xf>
    <xf numFmtId="0" fontId="13" fillId="0" borderId="9" xfId="0" applyFont="1" applyBorder="1">
      <alignment vertical="center"/>
    </xf>
    <xf numFmtId="9" fontId="14" fillId="0" borderId="9" xfId="3" applyFont="1" applyBorder="1">
      <alignment vertical="center"/>
    </xf>
    <xf numFmtId="0" fontId="23" fillId="10" borderId="9" xfId="0" applyFont="1" applyFill="1" applyBorder="1">
      <alignment vertical="center"/>
    </xf>
    <xf numFmtId="0" fontId="10" fillId="10" borderId="9" xfId="0" applyFont="1" applyFill="1" applyBorder="1">
      <alignment vertical="center"/>
    </xf>
    <xf numFmtId="0" fontId="11" fillId="10" borderId="9" xfId="0" applyFont="1" applyFill="1" applyBorder="1">
      <alignment vertical="center"/>
    </xf>
    <xf numFmtId="182" fontId="10" fillId="10" borderId="9" xfId="0" applyNumberFormat="1" applyFont="1" applyFill="1" applyBorder="1">
      <alignment vertical="center"/>
    </xf>
    <xf numFmtId="0" fontId="23" fillId="16" borderId="9" xfId="0" applyFont="1" applyFill="1" applyBorder="1" applyAlignment="1">
      <alignment horizontal="centerContinuous" vertical="center"/>
    </xf>
    <xf numFmtId="0" fontId="14" fillId="16" borderId="9" xfId="0" applyFont="1" applyFill="1" applyBorder="1">
      <alignment vertical="center"/>
    </xf>
    <xf numFmtId="181" fontId="14" fillId="16" borderId="9" xfId="0" applyNumberFormat="1" applyFont="1" applyFill="1" applyBorder="1" applyAlignment="1">
      <alignment horizontal="left" vertical="center"/>
    </xf>
    <xf numFmtId="181" fontId="14" fillId="16" borderId="9" xfId="0" applyNumberFormat="1" applyFont="1" applyFill="1" applyBorder="1" applyAlignment="1">
      <alignment horizontal="centerContinuous" vertical="center"/>
    </xf>
    <xf numFmtId="0" fontId="14" fillId="16" borderId="9" xfId="0" applyFont="1" applyFill="1" applyBorder="1" applyAlignment="1">
      <alignment horizontal="centerContinuous" vertical="center"/>
    </xf>
    <xf numFmtId="9" fontId="14" fillId="16" borderId="9" xfId="3" applyFont="1" applyFill="1" applyBorder="1" applyAlignment="1">
      <alignment horizontal="centerContinuous" vertical="center"/>
    </xf>
    <xf numFmtId="0" fontId="23" fillId="16" borderId="9" xfId="0" applyFont="1" applyFill="1" applyBorder="1">
      <alignment vertical="center"/>
    </xf>
    <xf numFmtId="181" fontId="23" fillId="16" borderId="9" xfId="0" applyNumberFormat="1" applyFont="1" applyFill="1" applyBorder="1">
      <alignment vertical="center"/>
    </xf>
    <xf numFmtId="9" fontId="23" fillId="16" borderId="9" xfId="3" applyFont="1" applyFill="1" applyBorder="1">
      <alignment vertical="center"/>
    </xf>
    <xf numFmtId="9" fontId="23" fillId="10" borderId="9" xfId="3" applyFont="1" applyFill="1" applyBorder="1">
      <alignment vertical="center"/>
    </xf>
    <xf numFmtId="181" fontId="23" fillId="16" borderId="9" xfId="0" applyNumberFormat="1" applyFont="1" applyFill="1" applyBorder="1" applyAlignment="1">
      <alignment horizontal="centerContinuous" vertical="center"/>
    </xf>
    <xf numFmtId="0" fontId="21" fillId="0" borderId="0" xfId="0" applyFont="1">
      <alignment vertical="center"/>
    </xf>
    <xf numFmtId="0" fontId="14" fillId="0" borderId="0" xfId="0" applyFont="1">
      <alignment vertical="center"/>
    </xf>
    <xf numFmtId="0" fontId="24" fillId="4" borderId="0" xfId="0" applyFont="1" applyFill="1" applyAlignment="1">
      <alignment horizontal="center" vertical="center"/>
    </xf>
    <xf numFmtId="0" fontId="0" fillId="0" borderId="0" xfId="69"/>
    <xf numFmtId="0" fontId="5" fillId="0" borderId="0" xfId="0" applyFont="1" applyAlignment="1">
      <alignment horizontal="center" vertical="center"/>
    </xf>
    <xf numFmtId="0" fontId="25" fillId="0" borderId="0" xfId="69" applyFont="1" applyAlignment="1">
      <alignment vertical="center"/>
    </xf>
    <xf numFmtId="0" fontId="25" fillId="0" borderId="0" xfId="69" applyFont="1"/>
    <xf numFmtId="0" fontId="26" fillId="0" borderId="0" xfId="6" applyFont="1">
      <alignment vertical="center"/>
    </xf>
    <xf numFmtId="178" fontId="16" fillId="4" borderId="9" xfId="56" applyFill="1" applyBorder="1" applyAlignment="1">
      <alignment horizontal="center" vertical="center"/>
    </xf>
    <xf numFmtId="0" fontId="27" fillId="4" borderId="1" xfId="49" applyFont="1" applyFill="1" applyBorder="1">
      <alignment vertical="center"/>
    </xf>
    <xf numFmtId="0" fontId="0" fillId="4" borderId="2" xfId="49" applyFill="1" applyBorder="1">
      <alignment vertical="center"/>
    </xf>
    <xf numFmtId="0" fontId="27" fillId="4" borderId="4" xfId="49" applyFont="1" applyFill="1" applyBorder="1">
      <alignment vertical="center"/>
    </xf>
    <xf numFmtId="0" fontId="0" fillId="4" borderId="0" xfId="49" applyFill="1">
      <alignment vertical="center"/>
    </xf>
    <xf numFmtId="0" fontId="0" fillId="4" borderId="9" xfId="49" applyFill="1" applyBorder="1" applyAlignment="1">
      <alignment horizontal="center" vertical="center"/>
    </xf>
    <xf numFmtId="0" fontId="27" fillId="4" borderId="6" xfId="49" applyFont="1" applyFill="1" applyBorder="1">
      <alignment vertical="center"/>
    </xf>
    <xf numFmtId="0" fontId="28" fillId="4" borderId="7" xfId="49" applyFont="1" applyFill="1" applyBorder="1">
      <alignment vertical="center"/>
    </xf>
    <xf numFmtId="0" fontId="0" fillId="4" borderId="7" xfId="49" applyFill="1" applyBorder="1">
      <alignment vertical="center"/>
    </xf>
    <xf numFmtId="0" fontId="0" fillId="0" borderId="0" xfId="69" applyAlignment="1">
      <alignment horizontal="center" vertical="center" wrapText="1"/>
    </xf>
    <xf numFmtId="0" fontId="0" fillId="0" borderId="0" xfId="69" applyAlignment="1">
      <alignment horizontal="left" vertical="center" wrapText="1"/>
    </xf>
    <xf numFmtId="0" fontId="8" fillId="5" borderId="14" xfId="49" applyFont="1" applyFill="1" applyBorder="1" applyAlignment="1">
      <alignment horizontal="center" vertical="center"/>
    </xf>
    <xf numFmtId="0" fontId="29" fillId="0" borderId="0" xfId="49" applyFont="1">
      <alignment vertical="center"/>
    </xf>
    <xf numFmtId="0" fontId="8" fillId="0" borderId="4" xfId="49" applyFont="1" applyBorder="1" applyAlignment="1">
      <alignment horizontal="center" vertical="center"/>
    </xf>
    <xf numFmtId="49" fontId="30" fillId="17" borderId="14" xfId="69" applyNumberFormat="1" applyFont="1" applyFill="1" applyBorder="1" applyAlignment="1">
      <alignment horizontal="center" vertical="center" wrapText="1"/>
    </xf>
    <xf numFmtId="49" fontId="30" fillId="17" borderId="9" xfId="69" applyNumberFormat="1" applyFont="1" applyFill="1" applyBorder="1" applyAlignment="1">
      <alignment horizontal="center" vertical="center"/>
    </xf>
    <xf numFmtId="0" fontId="31" fillId="17" borderId="9" xfId="69" applyFont="1" applyFill="1" applyBorder="1" applyAlignment="1">
      <alignment horizontal="center" vertical="center" wrapText="1"/>
    </xf>
    <xf numFmtId="49" fontId="30" fillId="17" borderId="13" xfId="69" applyNumberFormat="1" applyFont="1" applyFill="1" applyBorder="1" applyAlignment="1">
      <alignment horizontal="center" vertical="center" wrapText="1"/>
    </xf>
    <xf numFmtId="49" fontId="32" fillId="18" borderId="9" xfId="69" applyNumberFormat="1" applyFont="1" applyFill="1" applyBorder="1" applyAlignment="1">
      <alignment horizontal="left" vertical="center" wrapText="1"/>
    </xf>
    <xf numFmtId="49" fontId="33" fillId="18" borderId="9" xfId="69" applyNumberFormat="1" applyFont="1" applyFill="1" applyBorder="1" applyAlignment="1">
      <alignment horizontal="left" vertical="center" wrapText="1"/>
    </xf>
    <xf numFmtId="4" fontId="33" fillId="18" borderId="9" xfId="69" applyNumberFormat="1" applyFont="1" applyFill="1" applyBorder="1" applyAlignment="1">
      <alignment horizontal="right" vertical="center" wrapText="1"/>
    </xf>
    <xf numFmtId="4" fontId="32" fillId="18" borderId="9" xfId="69" applyNumberFormat="1" applyFont="1" applyFill="1" applyBorder="1" applyAlignment="1">
      <alignment horizontal="right" vertical="center" wrapText="1"/>
    </xf>
    <xf numFmtId="1" fontId="32" fillId="18" borderId="9" xfId="69" applyNumberFormat="1" applyFont="1" applyFill="1" applyBorder="1" applyAlignment="1">
      <alignment horizontal="center" vertical="center" wrapText="1"/>
    </xf>
    <xf numFmtId="1" fontId="33" fillId="18" borderId="9" xfId="69" applyNumberFormat="1" applyFont="1" applyFill="1" applyBorder="1" applyAlignment="1">
      <alignment horizontal="right" vertical="center" wrapText="1"/>
    </xf>
    <xf numFmtId="1" fontId="33" fillId="19" borderId="9" xfId="69" applyNumberFormat="1" applyFont="1" applyFill="1" applyBorder="1" applyAlignment="1">
      <alignment horizontal="right" vertical="center" wrapText="1"/>
    </xf>
    <xf numFmtId="183" fontId="25" fillId="19" borderId="9" xfId="69" applyNumberFormat="1" applyFont="1" applyFill="1" applyBorder="1" applyAlignment="1">
      <alignment wrapText="1"/>
    </xf>
    <xf numFmtId="183" fontId="19" fillId="19" borderId="9" xfId="69" applyNumberFormat="1" applyFont="1" applyFill="1" applyBorder="1"/>
    <xf numFmtId="183" fontId="25" fillId="0" borderId="9" xfId="69" applyNumberFormat="1" applyFont="1" applyBorder="1"/>
    <xf numFmtId="49" fontId="32" fillId="20" borderId="9" xfId="69" applyNumberFormat="1" applyFont="1" applyFill="1" applyBorder="1" applyAlignment="1">
      <alignment horizontal="left" vertical="center" wrapText="1"/>
    </xf>
    <xf numFmtId="49" fontId="33" fillId="20" borderId="9" xfId="69" applyNumberFormat="1" applyFont="1" applyFill="1" applyBorder="1" applyAlignment="1">
      <alignment horizontal="left" vertical="center" wrapText="1"/>
    </xf>
    <xf numFmtId="4" fontId="33" fillId="20" borderId="9" xfId="69" applyNumberFormat="1" applyFont="1" applyFill="1" applyBorder="1" applyAlignment="1">
      <alignment horizontal="right" vertical="center" wrapText="1"/>
    </xf>
    <xf numFmtId="4" fontId="32" fillId="20" borderId="9" xfId="69" applyNumberFormat="1" applyFont="1" applyFill="1" applyBorder="1" applyAlignment="1">
      <alignment horizontal="right" vertical="center" wrapText="1"/>
    </xf>
    <xf numFmtId="1" fontId="32" fillId="20" borderId="9" xfId="69" applyNumberFormat="1" applyFont="1" applyFill="1" applyBorder="1" applyAlignment="1">
      <alignment horizontal="center" vertical="center" wrapText="1"/>
    </xf>
    <xf numFmtId="1" fontId="33" fillId="20" borderId="9" xfId="69" applyNumberFormat="1" applyFont="1" applyFill="1" applyBorder="1" applyAlignment="1">
      <alignment horizontal="right" vertical="center" wrapText="1"/>
    </xf>
    <xf numFmtId="183" fontId="19" fillId="21" borderId="9" xfId="69" applyNumberFormat="1" applyFont="1" applyFill="1" applyBorder="1"/>
    <xf numFmtId="0" fontId="25" fillId="0" borderId="0" xfId="69" applyFont="1" applyAlignment="1">
      <alignment horizontal="center" vertical="center"/>
    </xf>
    <xf numFmtId="49" fontId="30" fillId="17" borderId="9" xfId="69" applyNumberFormat="1" applyFont="1" applyFill="1" applyBorder="1" applyAlignment="1">
      <alignment horizontal="center" vertical="center" wrapText="1"/>
    </xf>
    <xf numFmtId="49" fontId="32" fillId="18" borderId="9" xfId="69" applyNumberFormat="1" applyFont="1" applyFill="1" applyBorder="1" applyAlignment="1">
      <alignment horizontal="center" vertical="center" wrapText="1"/>
    </xf>
    <xf numFmtId="183" fontId="19" fillId="7" borderId="9" xfId="69" applyNumberFormat="1" applyFont="1" applyFill="1" applyBorder="1" applyAlignment="1">
      <alignment horizontal="center"/>
    </xf>
    <xf numFmtId="0" fontId="34" fillId="0" borderId="0" xfId="6" applyFont="1">
      <alignment vertical="center"/>
    </xf>
    <xf numFmtId="49" fontId="33" fillId="18" borderId="9" xfId="69" applyNumberFormat="1" applyFont="1" applyFill="1" applyBorder="1" applyAlignment="1">
      <alignment horizontal="center" vertical="center" wrapText="1"/>
    </xf>
    <xf numFmtId="183" fontId="25" fillId="7" borderId="9" xfId="69" applyNumberFormat="1" applyFont="1" applyFill="1" applyBorder="1" applyAlignment="1">
      <alignment wrapText="1"/>
    </xf>
    <xf numFmtId="183" fontId="33" fillId="18" borderId="9" xfId="69" applyNumberFormat="1" applyFont="1" applyFill="1" applyBorder="1" applyAlignment="1">
      <alignment horizontal="right" vertical="center" wrapText="1"/>
    </xf>
    <xf numFmtId="184" fontId="32" fillId="18" borderId="9" xfId="53" applyNumberFormat="1" applyFont="1" applyFill="1" applyBorder="1" applyAlignment="1">
      <alignment horizontal="center" vertical="center" wrapText="1"/>
    </xf>
    <xf numFmtId="1" fontId="33" fillId="18" borderId="9" xfId="69" applyNumberFormat="1" applyFont="1" applyFill="1" applyBorder="1" applyAlignment="1">
      <alignment horizontal="center" vertical="center" wrapText="1"/>
    </xf>
    <xf numFmtId="1" fontId="33" fillId="20" borderId="9" xfId="69" applyNumberFormat="1" applyFont="1" applyFill="1" applyBorder="1" applyAlignment="1">
      <alignment horizontal="center" vertical="center" wrapText="1"/>
    </xf>
    <xf numFmtId="183" fontId="33" fillId="20" borderId="9" xfId="69" applyNumberFormat="1" applyFont="1" applyFill="1" applyBorder="1" applyAlignment="1">
      <alignment horizontal="right" vertical="center" wrapText="1"/>
    </xf>
    <xf numFmtId="0" fontId="35" fillId="4" borderId="0" xfId="0" applyFont="1" applyFill="1" applyAlignment="1" applyProtection="1">
      <protection locked="0"/>
    </xf>
    <xf numFmtId="0" fontId="36" fillId="4" borderId="0" xfId="0" applyFont="1" applyFill="1" applyAlignment="1">
      <alignment vertical="center" wrapText="1"/>
    </xf>
    <xf numFmtId="0" fontId="36" fillId="4" borderId="0" xfId="0" applyFont="1" applyFill="1" applyAlignment="1">
      <alignment horizontal="center" vertical="center"/>
    </xf>
    <xf numFmtId="0" fontId="36" fillId="4" borderId="0" xfId="0" applyFont="1" applyFill="1">
      <alignment vertical="center"/>
    </xf>
    <xf numFmtId="43" fontId="36" fillId="4" borderId="0" xfId="1" applyFont="1" applyFill="1">
      <alignment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24" fillId="4" borderId="7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0" fillId="4" borderId="0" xfId="49" applyFill="1" applyAlignment="1">
      <alignment horizontal="center" vertical="center"/>
    </xf>
    <xf numFmtId="0" fontId="0" fillId="4" borderId="0" xfId="0" applyFill="1">
      <alignment vertical="center"/>
    </xf>
    <xf numFmtId="0" fontId="16" fillId="4" borderId="0" xfId="49" applyFont="1" applyFill="1" applyAlignment="1">
      <alignment horizontal="center" vertical="center"/>
    </xf>
    <xf numFmtId="0" fontId="37" fillId="5" borderId="9" xfId="49" applyFont="1" applyFill="1" applyBorder="1" applyAlignment="1">
      <alignment horizontal="center" vertical="center"/>
    </xf>
    <xf numFmtId="0" fontId="0" fillId="22" borderId="9" xfId="49" applyFill="1" applyBorder="1" applyAlignment="1">
      <alignment horizontal="center" vertical="center"/>
    </xf>
    <xf numFmtId="0" fontId="24" fillId="4" borderId="9" xfId="49" applyFont="1" applyFill="1" applyBorder="1" applyAlignment="1">
      <alignment horizontal="center" vertical="center"/>
    </xf>
    <xf numFmtId="178" fontId="38" fillId="4" borderId="0" xfId="0" applyNumberFormat="1" applyFont="1" applyFill="1" applyAlignment="1">
      <alignment horizontal="center" vertical="center"/>
    </xf>
    <xf numFmtId="9" fontId="36" fillId="4" borderId="0" xfId="3" applyFont="1" applyFill="1" applyAlignment="1">
      <alignment horizontal="center" vertical="center"/>
    </xf>
    <xf numFmtId="178" fontId="36" fillId="4" borderId="0" xfId="0" applyNumberFormat="1" applyFont="1" applyFill="1" applyAlignment="1">
      <alignment horizontal="center" vertical="center"/>
    </xf>
    <xf numFmtId="178" fontId="36" fillId="4" borderId="0" xfId="61" applyFill="1" applyAlignment="1">
      <alignment horizontal="center" vertical="center"/>
    </xf>
    <xf numFmtId="9" fontId="38" fillId="4" borderId="0" xfId="3" applyFont="1" applyFill="1" applyAlignment="1">
      <alignment horizontal="center" vertical="center"/>
    </xf>
    <xf numFmtId="179" fontId="39" fillId="4" borderId="0" xfId="82" applyFont="1" applyFill="1" applyBorder="1" applyAlignment="1" applyProtection="1">
      <alignment horizontal="center" vertical="center"/>
    </xf>
    <xf numFmtId="43" fontId="39" fillId="4" borderId="9" xfId="1" applyFont="1" applyFill="1" applyBorder="1" applyAlignment="1">
      <alignment horizontal="center" vertical="center"/>
    </xf>
    <xf numFmtId="43" fontId="39" fillId="4" borderId="9" xfId="1" applyFont="1" applyFill="1" applyBorder="1" applyAlignment="1">
      <alignment horizontal="center" vertical="center" wrapText="1"/>
    </xf>
    <xf numFmtId="43" fontId="38" fillId="4" borderId="9" xfId="1" applyFont="1" applyFill="1" applyBorder="1" applyAlignment="1">
      <alignment horizontal="center" vertical="center"/>
    </xf>
    <xf numFmtId="0" fontId="40" fillId="23" borderId="10" xfId="0" applyFont="1" applyFill="1" applyBorder="1" applyAlignment="1">
      <alignment horizontal="left" vertical="center" wrapText="1"/>
    </xf>
    <xf numFmtId="0" fontId="40" fillId="23" borderId="12" xfId="0" applyFont="1" applyFill="1" applyBorder="1" applyAlignment="1">
      <alignment horizontal="left" vertical="center"/>
    </xf>
    <xf numFmtId="0" fontId="40" fillId="4" borderId="14" xfId="0" applyFont="1" applyFill="1" applyBorder="1" applyAlignment="1">
      <alignment horizontal="center" vertical="center"/>
    </xf>
    <xf numFmtId="0" fontId="40" fillId="4" borderId="15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40" fillId="4" borderId="9" xfId="0" applyFont="1" applyFill="1" applyBorder="1" applyAlignment="1">
      <alignment horizontal="center" vertical="center"/>
    </xf>
    <xf numFmtId="43" fontId="38" fillId="4" borderId="9" xfId="1" applyFont="1" applyFill="1" applyBorder="1" applyAlignment="1">
      <alignment horizontal="center" vertical="center" wrapText="1"/>
    </xf>
    <xf numFmtId="0" fontId="41" fillId="24" borderId="9" xfId="0" applyFont="1" applyFill="1" applyBorder="1" applyAlignment="1">
      <alignment horizontal="center" vertical="center"/>
    </xf>
    <xf numFmtId="43" fontId="42" fillId="24" borderId="9" xfId="1" applyFont="1" applyFill="1" applyBorder="1" applyAlignment="1">
      <alignment horizontal="center" vertical="center" wrapText="1"/>
    </xf>
    <xf numFmtId="43" fontId="43" fillId="24" borderId="9" xfId="1" applyFont="1" applyFill="1" applyBorder="1" applyAlignment="1">
      <alignment horizontal="center" vertical="center"/>
    </xf>
    <xf numFmtId="0" fontId="40" fillId="24" borderId="10" xfId="0" applyFont="1" applyFill="1" applyBorder="1" applyAlignment="1">
      <alignment horizontal="left" vertical="center" wrapText="1"/>
    </xf>
    <xf numFmtId="0" fontId="40" fillId="24" borderId="11" xfId="0" applyFont="1" applyFill="1" applyBorder="1" applyAlignment="1">
      <alignment horizontal="left" vertical="center"/>
    </xf>
    <xf numFmtId="0" fontId="40" fillId="24" borderId="12" xfId="0" applyFont="1" applyFill="1" applyBorder="1" applyAlignment="1">
      <alignment horizontal="left" vertical="center"/>
    </xf>
    <xf numFmtId="43" fontId="44" fillId="4" borderId="9" xfId="1" applyFont="1" applyFill="1" applyBorder="1" applyAlignment="1">
      <alignment horizontal="center" vertical="center"/>
    </xf>
    <xf numFmtId="43" fontId="44" fillId="4" borderId="0" xfId="1" applyFont="1" applyFill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181" fontId="38" fillId="4" borderId="9" xfId="1" applyNumberFormat="1" applyFont="1" applyFill="1" applyBorder="1" applyAlignment="1">
      <alignment horizontal="center" vertical="center"/>
    </xf>
    <xf numFmtId="43" fontId="42" fillId="24" borderId="9" xfId="1" applyFont="1" applyFill="1" applyBorder="1" applyAlignment="1">
      <alignment horizontal="center" vertical="center"/>
    </xf>
    <xf numFmtId="0" fontId="36" fillId="4" borderId="0" xfId="0" applyFont="1" applyFill="1" applyAlignment="1">
      <alignment horizontal="center" vertical="center" wrapText="1"/>
    </xf>
    <xf numFmtId="43" fontId="36" fillId="4" borderId="0" xfId="1" applyFont="1" applyFill="1" applyAlignment="1">
      <alignment vertical="center" wrapText="1"/>
    </xf>
    <xf numFmtId="43" fontId="36" fillId="4" borderId="0" xfId="1" applyFont="1" applyFill="1" applyAlignment="1">
      <alignment horizontal="center" vertical="center" wrapText="1"/>
    </xf>
    <xf numFmtId="0" fontId="39" fillId="24" borderId="0" xfId="0" applyFont="1" applyFill="1" applyAlignment="1">
      <alignment horizontal="left" vertical="center"/>
    </xf>
    <xf numFmtId="0" fontId="0" fillId="4" borderId="9" xfId="0" applyFill="1" applyBorder="1" applyAlignment="1">
      <alignment horizontal="center" vertical="center"/>
    </xf>
    <xf numFmtId="43" fontId="9" fillId="4" borderId="9" xfId="1" applyFont="1" applyFill="1" applyBorder="1" applyAlignment="1">
      <alignment horizontal="center" vertical="center"/>
    </xf>
    <xf numFmtId="43" fontId="0" fillId="4" borderId="9" xfId="1" applyFill="1" applyBorder="1">
      <alignment vertical="center"/>
    </xf>
    <xf numFmtId="43" fontId="0" fillId="4" borderId="9" xfId="1" applyFill="1" applyBorder="1" applyAlignment="1">
      <alignment horizontal="center" vertical="center"/>
    </xf>
    <xf numFmtId="43" fontId="0" fillId="24" borderId="9" xfId="1" applyFill="1" applyBorder="1">
      <alignment vertical="center"/>
    </xf>
    <xf numFmtId="0" fontId="45" fillId="4" borderId="9" xfId="0" applyFont="1" applyFill="1" applyBorder="1" applyAlignment="1">
      <alignment horizontal="center" vertical="center"/>
    </xf>
    <xf numFmtId="0" fontId="36" fillId="4" borderId="9" xfId="0" applyFont="1" applyFill="1" applyBorder="1" applyAlignment="1">
      <alignment horizontal="center" vertical="center"/>
    </xf>
    <xf numFmtId="43" fontId="36" fillId="4" borderId="9" xfId="1" applyFont="1" applyFill="1" applyBorder="1">
      <alignment vertical="center"/>
    </xf>
    <xf numFmtId="0" fontId="44" fillId="4" borderId="9" xfId="0" applyFont="1" applyFill="1" applyBorder="1" applyAlignment="1">
      <alignment horizontal="center" vertical="center"/>
    </xf>
    <xf numFmtId="0" fontId="44" fillId="4" borderId="14" xfId="0" applyFont="1" applyFill="1" applyBorder="1" applyAlignment="1">
      <alignment horizontal="center" vertical="center"/>
    </xf>
    <xf numFmtId="0" fontId="36" fillId="4" borderId="14" xfId="0" applyFont="1" applyFill="1" applyBorder="1" applyAlignment="1">
      <alignment horizontal="center" vertical="center"/>
    </xf>
    <xf numFmtId="0" fontId="39" fillId="24" borderId="9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46" fillId="0" borderId="0" xfId="0" applyFont="1" applyAlignment="1">
      <alignment vertical="center" wrapText="1"/>
    </xf>
    <xf numFmtId="0" fontId="2" fillId="0" borderId="0" xfId="0" applyFont="1">
      <alignment vertical="center"/>
    </xf>
    <xf numFmtId="181" fontId="2" fillId="0" borderId="0" xfId="0" applyNumberFormat="1" applyFont="1" applyAlignment="1">
      <alignment vertical="center" wrapText="1"/>
    </xf>
    <xf numFmtId="0" fontId="46" fillId="0" borderId="9" xfId="0" applyFont="1" applyBorder="1" applyAlignment="1">
      <alignment horizontal="center" vertical="center" wrapText="1"/>
    </xf>
    <xf numFmtId="181" fontId="46" fillId="0" borderId="9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81" fontId="2" fillId="24" borderId="9" xfId="0" applyNumberFormat="1" applyFont="1" applyFill="1" applyBorder="1" applyAlignment="1">
      <alignment horizontal="center" vertical="center" wrapText="1"/>
    </xf>
    <xf numFmtId="181" fontId="2" fillId="0" borderId="9" xfId="0" applyNumberFormat="1" applyFont="1" applyBorder="1" applyAlignment="1">
      <alignment vertical="center" wrapText="1"/>
    </xf>
    <xf numFmtId="181" fontId="2" fillId="0" borderId="9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181" fontId="2" fillId="0" borderId="9" xfId="0" applyNumberFormat="1" applyFont="1" applyBorder="1">
      <alignment vertical="center"/>
    </xf>
    <xf numFmtId="0" fontId="46" fillId="24" borderId="10" xfId="0" applyFont="1" applyFill="1" applyBorder="1" applyAlignment="1">
      <alignment horizontal="center" vertical="center" wrapText="1"/>
    </xf>
    <xf numFmtId="181" fontId="2" fillId="0" borderId="10" xfId="0" applyNumberFormat="1" applyFont="1" applyBorder="1" applyAlignment="1">
      <alignment horizontal="center" vertical="center" wrapText="1"/>
    </xf>
    <xf numFmtId="181" fontId="2" fillId="0" borderId="11" xfId="0" applyNumberFormat="1" applyFont="1" applyBorder="1" applyAlignment="1">
      <alignment horizontal="center" vertical="center" wrapText="1"/>
    </xf>
    <xf numFmtId="181" fontId="2" fillId="0" borderId="12" xfId="0" applyNumberFormat="1" applyFont="1" applyBorder="1" applyAlignment="1">
      <alignment horizontal="center" vertical="center" wrapText="1"/>
    </xf>
    <xf numFmtId="1" fontId="25" fillId="4" borderId="10" xfId="0" applyNumberFormat="1" applyFont="1" applyFill="1" applyBorder="1" applyAlignment="1">
      <alignment horizontal="center" vertical="center"/>
    </xf>
    <xf numFmtId="1" fontId="47" fillId="0" borderId="10" xfId="0" applyNumberFormat="1" applyFont="1" applyBorder="1" applyAlignment="1">
      <alignment horizontal="center" vertical="center" wrapText="1"/>
    </xf>
    <xf numFmtId="178" fontId="36" fillId="0" borderId="0" xfId="61" applyAlignment="1" applyProtection="1">
      <alignment horizontal="center" vertical="center"/>
      <protection locked="0"/>
    </xf>
    <xf numFmtId="178" fontId="36" fillId="0" borderId="0" xfId="61" applyProtection="1">
      <alignment vertical="center"/>
      <protection locked="0"/>
    </xf>
    <xf numFmtId="0" fontId="48" fillId="0" borderId="0" xfId="0" applyFont="1" applyAlignment="1" applyProtection="1">
      <protection locked="0"/>
    </xf>
    <xf numFmtId="178" fontId="3" fillId="8" borderId="9" xfId="56" applyFont="1" applyFill="1" applyBorder="1" applyAlignment="1">
      <alignment horizontal="center" vertical="center"/>
    </xf>
    <xf numFmtId="0" fontId="1" fillId="3" borderId="9" xfId="49" applyFont="1" applyFill="1" applyBorder="1" applyAlignment="1">
      <alignment horizontal="center" vertical="center"/>
    </xf>
    <xf numFmtId="178" fontId="49" fillId="0" borderId="0" xfId="0" applyNumberFormat="1" applyFont="1" applyAlignment="1">
      <alignment horizontal="center" vertical="center"/>
    </xf>
    <xf numFmtId="43" fontId="50" fillId="0" borderId="0" xfId="1" applyFont="1" applyAlignment="1">
      <alignment horizontal="center" vertical="center"/>
    </xf>
    <xf numFmtId="9" fontId="50" fillId="0" borderId="0" xfId="3" applyFont="1" applyAlignment="1">
      <alignment horizontal="center" vertical="center"/>
    </xf>
    <xf numFmtId="178" fontId="50" fillId="0" borderId="0" xfId="0" applyNumberFormat="1" applyFont="1" applyAlignment="1">
      <alignment horizontal="center" vertical="center"/>
    </xf>
    <xf numFmtId="178" fontId="36" fillId="0" borderId="0" xfId="61" applyAlignment="1">
      <alignment horizontal="center" vertical="center"/>
    </xf>
    <xf numFmtId="9" fontId="49" fillId="0" borderId="0" xfId="3" applyFont="1" applyAlignment="1">
      <alignment horizontal="center" vertical="center"/>
    </xf>
    <xf numFmtId="179" fontId="51" fillId="0" borderId="0" xfId="82" applyFont="1" applyFill="1" applyBorder="1" applyAlignment="1" applyProtection="1">
      <alignment horizontal="center" vertical="center"/>
    </xf>
    <xf numFmtId="43" fontId="50" fillId="0" borderId="0" xfId="1" applyFont="1">
      <alignment vertical="center"/>
    </xf>
    <xf numFmtId="178" fontId="52" fillId="0" borderId="0" xfId="61" applyFont="1" applyAlignment="1">
      <alignment horizontal="left" vertical="center"/>
    </xf>
    <xf numFmtId="178" fontId="51" fillId="0" borderId="0" xfId="61" applyFont="1" applyAlignment="1">
      <alignment horizontal="center" vertical="center"/>
    </xf>
    <xf numFmtId="9" fontId="53" fillId="0" borderId="0" xfId="55" applyFont="1" applyFill="1" applyAlignment="1" applyProtection="1">
      <alignment horizontal="left" vertical="center"/>
    </xf>
    <xf numFmtId="178" fontId="50" fillId="0" borderId="0" xfId="61" applyFont="1" applyAlignment="1">
      <alignment horizontal="center" vertical="center"/>
    </xf>
    <xf numFmtId="185" fontId="54" fillId="0" borderId="0" xfId="0" applyNumberFormat="1" applyFont="1" applyAlignment="1">
      <alignment horizontal="center" vertical="center"/>
    </xf>
    <xf numFmtId="43" fontId="50" fillId="0" borderId="0" xfId="80" applyFont="1" applyFill="1" applyAlignment="1" applyProtection="1">
      <alignment horizontal="center" vertical="center"/>
    </xf>
    <xf numFmtId="43" fontId="50" fillId="0" borderId="0" xfId="80" applyFont="1" applyFill="1" applyProtection="1">
      <alignment vertical="center"/>
    </xf>
    <xf numFmtId="178" fontId="55" fillId="0" borderId="0" xfId="61" applyFont="1">
      <alignment vertical="center"/>
    </xf>
    <xf numFmtId="14" fontId="49" fillId="0" borderId="0" xfId="61" applyNumberFormat="1" applyFont="1" applyAlignment="1">
      <alignment horizontal="center" vertical="center"/>
    </xf>
    <xf numFmtId="178" fontId="2" fillId="0" borderId="0" xfId="61" applyFont="1" applyAlignment="1">
      <alignment horizontal="left" vertical="center"/>
    </xf>
    <xf numFmtId="185" fontId="54" fillId="0" borderId="0" xfId="0" applyNumberFormat="1" applyFont="1">
      <alignment vertical="center"/>
    </xf>
    <xf numFmtId="178" fontId="2" fillId="0" borderId="0" xfId="61" applyFont="1" applyAlignment="1">
      <alignment horizontal="center" vertical="center"/>
    </xf>
    <xf numFmtId="178" fontId="56" fillId="0" borderId="0" xfId="61" applyFont="1" applyAlignment="1">
      <alignment horizontal="center" vertical="center"/>
    </xf>
    <xf numFmtId="178" fontId="46" fillId="22" borderId="9" xfId="61" applyFont="1" applyFill="1" applyBorder="1" applyAlignment="1">
      <alignment horizontal="center" vertical="center"/>
    </xf>
    <xf numFmtId="0" fontId="4" fillId="7" borderId="9" xfId="49" applyFont="1" applyFill="1" applyBorder="1" applyAlignment="1">
      <alignment horizontal="center" vertical="center"/>
    </xf>
    <xf numFmtId="178" fontId="44" fillId="0" borderId="9" xfId="61" applyFont="1" applyBorder="1" applyAlignment="1" applyProtection="1">
      <alignment horizontal="center" vertical="center" shrinkToFit="1"/>
      <protection locked="0"/>
    </xf>
    <xf numFmtId="178" fontId="36" fillId="0" borderId="9" xfId="61" applyBorder="1" applyAlignment="1" applyProtection="1">
      <alignment horizontal="center" vertical="center" shrinkToFit="1"/>
      <protection locked="0"/>
    </xf>
    <xf numFmtId="178" fontId="36" fillId="0" borderId="9" xfId="61" applyBorder="1" applyAlignment="1" applyProtection="1">
      <alignment horizontal="center" vertical="center"/>
      <protection locked="0"/>
    </xf>
    <xf numFmtId="178" fontId="57" fillId="0" borderId="9" xfId="61" applyFont="1" applyBorder="1" applyAlignment="1" applyProtection="1">
      <alignment horizontal="center" vertical="center"/>
      <protection locked="0"/>
    </xf>
    <xf numFmtId="178" fontId="2" fillId="0" borderId="9" xfId="61" applyFont="1" applyBorder="1" applyAlignment="1" applyProtection="1">
      <alignment horizontal="center" vertical="center"/>
      <protection locked="0"/>
    </xf>
    <xf numFmtId="0" fontId="48" fillId="0" borderId="9" xfId="0" applyFont="1" applyBorder="1" applyAlignment="1" applyProtection="1">
      <protection locked="0"/>
    </xf>
    <xf numFmtId="178" fontId="44" fillId="25" borderId="9" xfId="61" applyFont="1" applyFill="1" applyBorder="1" applyAlignment="1" applyProtection="1">
      <alignment horizontal="center" vertical="center"/>
      <protection locked="0"/>
    </xf>
    <xf numFmtId="0" fontId="13" fillId="4" borderId="0" xfId="0" applyFont="1" applyFill="1">
      <alignment vertical="center"/>
    </xf>
    <xf numFmtId="0" fontId="13" fillId="0" borderId="0" xfId="0" applyFont="1">
      <alignment vertical="center"/>
    </xf>
    <xf numFmtId="0" fontId="1" fillId="3" borderId="8" xfId="49" applyFont="1" applyFill="1" applyBorder="1">
      <alignment vertical="center"/>
    </xf>
    <xf numFmtId="43" fontId="47" fillId="26" borderId="4" xfId="0" applyNumberFormat="1" applyFont="1" applyFill="1" applyBorder="1" applyAlignment="1">
      <alignment horizontal="left" vertical="center" shrinkToFit="1"/>
    </xf>
    <xf numFmtId="43" fontId="47" fillId="26" borderId="0" xfId="0" applyNumberFormat="1" applyFont="1" applyFill="1" applyAlignment="1">
      <alignment horizontal="left" vertical="center" shrinkToFit="1"/>
    </xf>
    <xf numFmtId="0" fontId="58" fillId="0" borderId="0" xfId="6" applyFont="1">
      <alignment vertical="center"/>
    </xf>
    <xf numFmtId="0" fontId="59" fillId="21" borderId="13" xfId="0" applyFont="1" applyFill="1" applyBorder="1" applyAlignment="1">
      <alignment horizontal="center" vertical="center"/>
    </xf>
    <xf numFmtId="0" fontId="60" fillId="21" borderId="13" xfId="0" applyFont="1" applyFill="1" applyBorder="1" applyAlignment="1">
      <alignment horizontal="center" vertical="center"/>
    </xf>
    <xf numFmtId="186" fontId="59" fillId="21" borderId="13" xfId="0" applyNumberFormat="1" applyFont="1" applyFill="1" applyBorder="1" applyAlignment="1">
      <alignment horizontal="center" vertical="center"/>
    </xf>
    <xf numFmtId="0" fontId="4" fillId="3" borderId="14" xfId="49" applyFont="1" applyFill="1" applyBorder="1" applyAlignment="1">
      <alignment horizontal="center" vertical="center" wrapText="1"/>
    </xf>
    <xf numFmtId="187" fontId="59" fillId="27" borderId="9" xfId="0" applyNumberFormat="1" applyFont="1" applyFill="1" applyBorder="1" applyAlignment="1">
      <alignment horizontal="center" vertical="center"/>
    </xf>
    <xf numFmtId="187" fontId="61" fillId="27" borderId="9" xfId="0" applyNumberFormat="1" applyFont="1" applyFill="1" applyBorder="1" applyAlignment="1">
      <alignment horizontal="center" vertical="center"/>
    </xf>
    <xf numFmtId="0" fontId="59" fillId="21" borderId="9" xfId="0" applyFont="1" applyFill="1" applyBorder="1" applyAlignment="1">
      <alignment horizontal="center" vertical="center"/>
    </xf>
    <xf numFmtId="0" fontId="60" fillId="21" borderId="9" xfId="0" applyFont="1" applyFill="1" applyBorder="1" applyAlignment="1">
      <alignment horizontal="center" vertical="center"/>
    </xf>
    <xf numFmtId="186" fontId="59" fillId="21" borderId="9" xfId="0" applyNumberFormat="1" applyFont="1" applyFill="1" applyBorder="1" applyAlignment="1">
      <alignment horizontal="center" vertical="center"/>
    </xf>
    <xf numFmtId="0" fontId="4" fillId="3" borderId="13" xfId="49" applyFont="1" applyFill="1" applyBorder="1" applyAlignment="1">
      <alignment horizontal="center" vertical="center" wrapText="1"/>
    </xf>
    <xf numFmtId="188" fontId="59" fillId="21" borderId="9" xfId="0" applyNumberFormat="1" applyFont="1" applyFill="1" applyBorder="1" applyAlignment="1">
      <alignment horizontal="center" vertical="center"/>
    </xf>
    <xf numFmtId="184" fontId="59" fillId="28" borderId="9" xfId="0" applyNumberFormat="1" applyFont="1" applyFill="1" applyBorder="1" applyAlignment="1">
      <alignment horizontal="center" vertical="center"/>
    </xf>
    <xf numFmtId="184" fontId="59" fillId="21" borderId="9" xfId="0" applyNumberFormat="1" applyFont="1" applyFill="1" applyBorder="1" applyAlignment="1">
      <alignment horizontal="center" vertical="center"/>
    </xf>
    <xf numFmtId="0" fontId="62" fillId="4" borderId="9" xfId="0" applyFont="1" applyFill="1" applyBorder="1">
      <alignment vertical="center"/>
    </xf>
    <xf numFmtId="0" fontId="62" fillId="4" borderId="9" xfId="0" applyFont="1" applyFill="1" applyBorder="1" applyAlignment="1">
      <alignment horizontal="center" vertical="center"/>
    </xf>
    <xf numFmtId="0" fontId="63" fillId="4" borderId="16" xfId="0" applyFont="1" applyFill="1" applyBorder="1">
      <alignment vertical="center"/>
    </xf>
    <xf numFmtId="189" fontId="63" fillId="4" borderId="17" xfId="0" applyNumberFormat="1" applyFont="1" applyFill="1" applyBorder="1">
      <alignment vertical="center"/>
    </xf>
    <xf numFmtId="0" fontId="60" fillId="4" borderId="16" xfId="0" applyFont="1" applyFill="1" applyBorder="1">
      <alignment vertical="center"/>
    </xf>
    <xf numFmtId="0" fontId="63" fillId="4" borderId="18" xfId="0" applyFont="1" applyFill="1" applyBorder="1" applyAlignment="1">
      <alignment vertical="center" wrapText="1"/>
    </xf>
    <xf numFmtId="189" fontId="63" fillId="4" borderId="19" xfId="0" applyNumberFormat="1" applyFont="1" applyFill="1" applyBorder="1">
      <alignment vertical="center"/>
    </xf>
    <xf numFmtId="0" fontId="64" fillId="0" borderId="0" xfId="0" applyFont="1">
      <alignment vertical="center"/>
    </xf>
    <xf numFmtId="0" fontId="10" fillId="4" borderId="0" xfId="0" applyFont="1" applyFill="1">
      <alignment vertical="center"/>
    </xf>
    <xf numFmtId="0" fontId="0" fillId="4" borderId="0" xfId="69" applyFill="1"/>
    <xf numFmtId="0" fontId="2" fillId="0" borderId="0" xfId="69" applyFont="1" applyAlignment="1">
      <alignment horizontal="left" vertical="center" wrapText="1"/>
    </xf>
    <xf numFmtId="0" fontId="2" fillId="0" borderId="0" xfId="69" applyFont="1"/>
    <xf numFmtId="0" fontId="16" fillId="0" borderId="0" xfId="69" applyFont="1" applyAlignment="1">
      <alignment horizontal="center" vertical="center" wrapText="1"/>
    </xf>
    <xf numFmtId="0" fontId="39" fillId="22" borderId="9" xfId="69" applyFont="1" applyFill="1" applyBorder="1" applyAlignment="1">
      <alignment horizontal="center" vertical="center" wrapText="1"/>
    </xf>
    <xf numFmtId="0" fontId="51" fillId="22" borderId="14" xfId="69" applyFont="1" applyFill="1" applyBorder="1" applyAlignment="1">
      <alignment horizontal="center" vertical="center" wrapText="1"/>
    </xf>
    <xf numFmtId="0" fontId="51" fillId="22" borderId="13" xfId="69" applyFont="1" applyFill="1" applyBorder="1" applyAlignment="1">
      <alignment horizontal="center" vertical="center" wrapText="1"/>
    </xf>
    <xf numFmtId="0" fontId="0" fillId="4" borderId="15" xfId="69" applyFill="1" applyBorder="1" applyAlignment="1">
      <alignment horizontal="center" vertical="center" wrapText="1"/>
    </xf>
    <xf numFmtId="0" fontId="0" fillId="4" borderId="13" xfId="69" applyFill="1" applyBorder="1" applyAlignment="1">
      <alignment horizontal="center" vertical="center" wrapText="1"/>
    </xf>
    <xf numFmtId="181" fontId="0" fillId="4" borderId="13" xfId="69" applyNumberFormat="1" applyFill="1" applyBorder="1" applyAlignment="1">
      <alignment horizontal="center" vertical="center" wrapText="1"/>
    </xf>
    <xf numFmtId="181" fontId="0" fillId="4" borderId="13" xfId="69" applyNumberFormat="1" applyFill="1" applyBorder="1" applyAlignment="1">
      <alignment horizontal="right" vertical="center" wrapText="1"/>
    </xf>
    <xf numFmtId="189" fontId="0" fillId="4" borderId="13" xfId="69" applyNumberFormat="1" applyFill="1" applyBorder="1" applyAlignment="1">
      <alignment horizontal="center" vertical="center" wrapText="1"/>
    </xf>
    <xf numFmtId="181" fontId="65" fillId="4" borderId="13" xfId="69" applyNumberFormat="1" applyFont="1" applyFill="1" applyBorder="1" applyAlignment="1">
      <alignment horizontal="center" vertical="center" wrapText="1"/>
    </xf>
    <xf numFmtId="181" fontId="0" fillId="22" borderId="13" xfId="69" applyNumberFormat="1" applyFill="1" applyBorder="1" applyAlignment="1">
      <alignment horizontal="right" vertical="center" wrapText="1"/>
    </xf>
    <xf numFmtId="0" fontId="66" fillId="4" borderId="20" xfId="69" applyFont="1" applyFill="1" applyBorder="1" applyAlignment="1">
      <alignment horizontal="center" vertical="center" wrapText="1"/>
    </xf>
    <xf numFmtId="0" fontId="66" fillId="4" borderId="21" xfId="69" applyFont="1" applyFill="1" applyBorder="1" applyAlignment="1">
      <alignment horizontal="center" vertical="center" wrapText="1"/>
    </xf>
    <xf numFmtId="0" fontId="46" fillId="4" borderId="0" xfId="69" applyFont="1" applyFill="1" applyAlignment="1">
      <alignment horizontal="left" vertical="center" wrapText="1"/>
    </xf>
    <xf numFmtId="0" fontId="16" fillId="4" borderId="0" xfId="69" applyFont="1" applyFill="1"/>
    <xf numFmtId="0" fontId="16" fillId="4" borderId="22" xfId="69" applyFont="1" applyFill="1" applyBorder="1"/>
    <xf numFmtId="0" fontId="31" fillId="4" borderId="23" xfId="69" applyFont="1" applyFill="1" applyBorder="1" applyAlignment="1">
      <alignment horizontal="center" vertical="center" wrapText="1"/>
    </xf>
    <xf numFmtId="0" fontId="16" fillId="4" borderId="15" xfId="69" applyFont="1" applyFill="1" applyBorder="1" applyAlignment="1">
      <alignment horizontal="center" vertical="center" wrapText="1"/>
    </xf>
    <xf numFmtId="0" fontId="67" fillId="23" borderId="0" xfId="69" applyFont="1" applyFill="1" applyAlignment="1">
      <alignment vertical="center"/>
    </xf>
    <xf numFmtId="0" fontId="67" fillId="4" borderId="0" xfId="69" applyFont="1" applyFill="1" applyAlignment="1">
      <alignment horizontal="left" vertical="center" wrapText="1"/>
    </xf>
    <xf numFmtId="178" fontId="3" fillId="8" borderId="9" xfId="56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6" borderId="9" xfId="49" applyFont="1" applyFill="1" applyBorder="1" applyAlignment="1">
      <alignment horizontal="center" vertical="center" wrapText="1"/>
    </xf>
    <xf numFmtId="0" fontId="4" fillId="3" borderId="9" xfId="49" applyFont="1" applyFill="1" applyBorder="1" applyAlignment="1">
      <alignment horizontal="center" vertical="center" wrapText="1"/>
    </xf>
    <xf numFmtId="0" fontId="42" fillId="17" borderId="14" xfId="69" applyFont="1" applyFill="1" applyBorder="1" applyAlignment="1">
      <alignment horizontal="center" vertical="center" wrapText="1"/>
    </xf>
    <xf numFmtId="0" fontId="5" fillId="7" borderId="9" xfId="74" applyNumberFormat="1" applyFont="1" applyFill="1" applyAlignment="1" applyProtection="1">
      <alignment horizontal="center" vertical="center"/>
    </xf>
    <xf numFmtId="0" fontId="4" fillId="0" borderId="9" xfId="74" applyNumberFormat="1" applyFont="1" applyFill="1" applyAlignment="1" applyProtection="1">
      <alignment horizontal="center" vertical="center"/>
    </xf>
    <xf numFmtId="0" fontId="42" fillId="17" borderId="15" xfId="69" applyFont="1" applyFill="1" applyBorder="1" applyAlignment="1">
      <alignment horizontal="center" vertical="center" wrapText="1"/>
    </xf>
    <xf numFmtId="0" fontId="42" fillId="17" borderId="13" xfId="69" applyFont="1" applyFill="1" applyBorder="1" applyAlignment="1">
      <alignment horizontal="center" vertical="center" wrapText="1"/>
    </xf>
    <xf numFmtId="0" fontId="0" fillId="0" borderId="14" xfId="69" applyBorder="1" applyAlignment="1">
      <alignment horizontal="left" vertical="center" wrapText="1"/>
    </xf>
    <xf numFmtId="0" fontId="0" fillId="0" borderId="15" xfId="69" applyBorder="1" applyAlignment="1">
      <alignment horizontal="left" vertical="center" wrapText="1"/>
    </xf>
    <xf numFmtId="0" fontId="4" fillId="9" borderId="9" xfId="49" applyFont="1" applyFill="1" applyBorder="1" applyAlignment="1">
      <alignment horizontal="center" vertical="center"/>
    </xf>
    <xf numFmtId="0" fontId="0" fillId="0" borderId="13" xfId="69" applyBorder="1" applyAlignment="1">
      <alignment horizontal="left" vertical="center" wrapText="1"/>
    </xf>
    <xf numFmtId="0" fontId="0" fillId="0" borderId="9" xfId="69" applyBorder="1" applyAlignment="1">
      <alignment horizontal="left" vertical="center" wrapText="1"/>
    </xf>
    <xf numFmtId="0" fontId="5" fillId="4" borderId="9" xfId="74" applyNumberFormat="1" applyFont="1" applyFill="1" applyAlignment="1" applyProtection="1">
      <alignment horizontal="center" vertical="center"/>
    </xf>
    <xf numFmtId="0" fontId="5" fillId="0" borderId="9" xfId="49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>
      <alignment horizontal="center" vertical="center"/>
    </xf>
    <xf numFmtId="0" fontId="0" fillId="0" borderId="9" xfId="69" applyBorder="1" applyAlignment="1">
      <alignment horizontal="left" vertical="center"/>
    </xf>
    <xf numFmtId="0" fontId="42" fillId="29" borderId="9" xfId="69" applyFont="1" applyFill="1" applyBorder="1" applyAlignment="1">
      <alignment horizontal="center" vertical="center" wrapText="1"/>
    </xf>
    <xf numFmtId="0" fontId="0" fillId="4" borderId="13" xfId="69" applyFill="1" applyBorder="1" applyAlignment="1">
      <alignment horizontal="left" vertical="center" wrapText="1"/>
    </xf>
    <xf numFmtId="181" fontId="0" fillId="4" borderId="13" xfId="1" applyNumberFormat="1" applyFill="1" applyBorder="1" applyAlignment="1">
      <alignment horizontal="right" vertical="center" wrapText="1"/>
    </xf>
    <xf numFmtId="0" fontId="42" fillId="22" borderId="13" xfId="69" applyFont="1" applyFill="1" applyBorder="1" applyAlignment="1">
      <alignment horizontal="center" vertical="center" wrapText="1"/>
    </xf>
    <xf numFmtId="0" fontId="68" fillId="0" borderId="0" xfId="69" applyFont="1" applyAlignment="1">
      <alignment horizontal="center" vertical="center"/>
    </xf>
    <xf numFmtId="0" fontId="4" fillId="6" borderId="10" xfId="49" applyFont="1" applyFill="1" applyBorder="1" applyAlignment="1">
      <alignment horizontal="center" vertical="center"/>
    </xf>
    <xf numFmtId="0" fontId="4" fillId="6" borderId="11" xfId="49" applyFont="1" applyFill="1" applyBorder="1" applyAlignment="1">
      <alignment horizontal="center" vertical="center"/>
    </xf>
    <xf numFmtId="0" fontId="4" fillId="6" borderId="14" xfId="49" applyFont="1" applyFill="1" applyBorder="1" applyAlignment="1">
      <alignment horizontal="center" vertical="center"/>
    </xf>
    <xf numFmtId="0" fontId="68" fillId="4" borderId="14" xfId="69" applyFont="1" applyFill="1" applyBorder="1" applyAlignment="1">
      <alignment horizontal="center" vertical="center" wrapText="1"/>
    </xf>
    <xf numFmtId="0" fontId="4" fillId="11" borderId="14" xfId="49" applyFont="1" applyFill="1" applyBorder="1" applyAlignment="1">
      <alignment horizontal="center" vertical="center"/>
    </xf>
    <xf numFmtId="0" fontId="68" fillId="4" borderId="15" xfId="69" applyFont="1" applyFill="1" applyBorder="1" applyAlignment="1">
      <alignment horizontal="center" vertical="center" wrapText="1"/>
    </xf>
    <xf numFmtId="0" fontId="4" fillId="0" borderId="14" xfId="74" applyNumberFormat="1" applyFont="1" applyFill="1" applyBorder="1" applyAlignment="1" applyProtection="1">
      <alignment horizontal="center" vertical="center"/>
    </xf>
    <xf numFmtId="0" fontId="68" fillId="0" borderId="14" xfId="69" applyFont="1" applyBorder="1" applyAlignment="1">
      <alignment horizontal="center" vertical="center"/>
    </xf>
    <xf numFmtId="0" fontId="68" fillId="4" borderId="13" xfId="69" applyFont="1" applyFill="1" applyBorder="1" applyAlignment="1">
      <alignment horizontal="center" vertical="center" wrapText="1"/>
    </xf>
    <xf numFmtId="0" fontId="68" fillId="4" borderId="9" xfId="69" applyFont="1" applyFill="1" applyBorder="1" applyAlignment="1">
      <alignment horizontal="center" vertical="center" wrapText="1"/>
    </xf>
    <xf numFmtId="189" fontId="69" fillId="4" borderId="9" xfId="69" applyNumberFormat="1" applyFont="1" applyFill="1" applyBorder="1" applyAlignment="1">
      <alignment horizontal="center" vertical="center" wrapText="1"/>
    </xf>
    <xf numFmtId="0" fontId="68" fillId="0" borderId="9" xfId="69" applyFont="1" applyBorder="1" applyAlignment="1">
      <alignment horizontal="center" vertical="center"/>
    </xf>
    <xf numFmtId="0" fontId="4" fillId="7" borderId="9" xfId="49" applyFont="1" applyFill="1" applyBorder="1" applyAlignment="1">
      <alignment horizontal="center" vertical="center" wrapText="1"/>
    </xf>
    <xf numFmtId="181" fontId="23" fillId="0" borderId="9" xfId="1" applyNumberFormat="1" applyFont="1" applyBorder="1" applyAlignment="1">
      <alignment horizontal="center" vertical="center"/>
    </xf>
    <xf numFmtId="0" fontId="1" fillId="7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0" borderId="14" xfId="49" applyFont="1" applyBorder="1" applyAlignment="1">
      <alignment horizontal="center" vertical="center"/>
    </xf>
    <xf numFmtId="0" fontId="5" fillId="0" borderId="14" xfId="49" applyFont="1" applyBorder="1" applyAlignment="1">
      <alignment horizontal="center" vertical="center"/>
    </xf>
    <xf numFmtId="0" fontId="59" fillId="7" borderId="13" xfId="0" applyFont="1" applyFill="1" applyBorder="1" applyAlignment="1">
      <alignment horizontal="center" vertical="center" wrapText="1"/>
    </xf>
    <xf numFmtId="185" fontId="59" fillId="7" borderId="13" xfId="0" applyNumberFormat="1" applyFont="1" applyFill="1" applyBorder="1" applyAlignment="1">
      <alignment horizontal="center" vertical="center" wrapText="1"/>
    </xf>
    <xf numFmtId="43" fontId="59" fillId="7" borderId="13" xfId="75" applyNumberFormat="1" applyFont="1" applyFill="1" applyBorder="1" applyAlignment="1">
      <alignment horizontal="center" vertical="center" wrapText="1"/>
    </xf>
    <xf numFmtId="0" fontId="59" fillId="7" borderId="13" xfId="75" applyNumberFormat="1" applyFont="1" applyFill="1" applyBorder="1" applyAlignment="1">
      <alignment horizontal="center" vertical="center" wrapText="1"/>
    </xf>
    <xf numFmtId="181" fontId="70" fillId="7" borderId="15" xfId="1" applyNumberFormat="1" applyFont="1" applyFill="1" applyBorder="1" applyAlignment="1">
      <alignment horizontal="center" vertical="center" wrapText="1"/>
    </xf>
    <xf numFmtId="181" fontId="70" fillId="7" borderId="14" xfId="1" applyNumberFormat="1" applyFont="1" applyFill="1" applyBorder="1" applyAlignment="1">
      <alignment horizontal="center" vertical="center" wrapText="1"/>
    </xf>
    <xf numFmtId="181" fontId="71" fillId="7" borderId="9" xfId="1" applyNumberFormat="1" applyFont="1" applyFill="1" applyBorder="1" applyAlignment="1">
      <alignment horizontal="center" vertical="center" wrapText="1"/>
    </xf>
    <xf numFmtId="181" fontId="70" fillId="7" borderId="9" xfId="1" applyNumberFormat="1" applyFont="1" applyFill="1" applyBorder="1" applyAlignment="1">
      <alignment horizontal="center" vertical="center" wrapText="1"/>
    </xf>
    <xf numFmtId="185" fontId="62" fillId="4" borderId="9" xfId="0" applyNumberFormat="1" applyFont="1" applyFill="1" applyBorder="1" applyAlignment="1">
      <alignment horizontal="center" vertical="center" wrapText="1"/>
    </xf>
    <xf numFmtId="185" fontId="62" fillId="4" borderId="9" xfId="0" applyNumberFormat="1" applyFont="1" applyFill="1" applyBorder="1" applyAlignment="1">
      <alignment horizontal="left" vertical="center" wrapText="1"/>
    </xf>
    <xf numFmtId="43" fontId="62" fillId="4" borderId="9" xfId="75" applyNumberFormat="1" applyFont="1" applyFill="1" applyBorder="1" applyAlignment="1">
      <alignment horizontal="left" vertical="center" wrapText="1"/>
    </xf>
    <xf numFmtId="43" fontId="62" fillId="4" borderId="9" xfId="75" applyNumberFormat="1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vertical="center" wrapText="1"/>
    </xf>
    <xf numFmtId="181" fontId="1" fillId="4" borderId="9" xfId="0" applyNumberFormat="1" applyFont="1" applyFill="1" applyBorder="1" applyAlignment="1">
      <alignment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1" fillId="4" borderId="9" xfId="0" applyFont="1" applyFill="1" applyBorder="1" applyAlignment="1">
      <alignment vertical="center" wrapText="1"/>
    </xf>
    <xf numFmtId="0" fontId="1" fillId="30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72" fillId="0" borderId="0" xfId="0" applyFont="1" applyAlignment="1">
      <alignment horizontal="left" vertical="center"/>
    </xf>
    <xf numFmtId="181" fontId="0" fillId="0" borderId="0" xfId="1" applyNumberFormat="1">
      <alignment vertical="center"/>
    </xf>
    <xf numFmtId="0" fontId="0" fillId="31" borderId="0" xfId="0" applyFill="1">
      <alignment vertical="center"/>
    </xf>
    <xf numFmtId="0" fontId="5" fillId="0" borderId="9" xfId="74" applyNumberFormat="1" applyFont="1" applyFill="1" applyAlignment="1" applyProtection="1">
      <alignment horizontal="center" vertical="center"/>
    </xf>
    <xf numFmtId="0" fontId="4" fillId="0" borderId="10" xfId="74" applyNumberFormat="1" applyFont="1" applyFill="1" applyBorder="1" applyAlignment="1" applyProtection="1">
      <alignment horizontal="center" vertical="center"/>
    </xf>
    <xf numFmtId="0" fontId="4" fillId="18" borderId="9" xfId="74" applyNumberFormat="1" applyFont="1" applyFill="1" applyAlignment="1" applyProtection="1">
      <alignment horizontal="center" vertical="center"/>
    </xf>
    <xf numFmtId="0" fontId="5" fillId="18" borderId="9" xfId="0" applyFont="1" applyFill="1" applyBorder="1" applyAlignment="1">
      <alignment horizontal="center" vertical="center"/>
    </xf>
    <xf numFmtId="0" fontId="27" fillId="6" borderId="9" xfId="49" applyFont="1" applyFill="1" applyBorder="1" applyAlignment="1">
      <alignment horizontal="center" vertical="center" wrapText="1"/>
    </xf>
    <xf numFmtId="0" fontId="4" fillId="7" borderId="9" xfId="49" applyFont="1" applyFill="1" applyBorder="1">
      <alignment vertical="center"/>
    </xf>
    <xf numFmtId="0" fontId="4" fillId="9" borderId="9" xfId="49" applyFont="1" applyFill="1" applyBorder="1" applyAlignment="1">
      <alignment horizontal="center" vertical="center" wrapText="1"/>
    </xf>
    <xf numFmtId="0" fontId="4" fillId="7" borderId="0" xfId="49" applyFont="1" applyFill="1" applyAlignment="1">
      <alignment horizontal="center" vertical="center"/>
    </xf>
    <xf numFmtId="0" fontId="4" fillId="9" borderId="0" xfId="49" applyFont="1" applyFill="1" applyAlignment="1">
      <alignment horizontal="center" vertical="center" wrapText="1"/>
    </xf>
    <xf numFmtId="0" fontId="4" fillId="7" borderId="0" xfId="49" applyFont="1" applyFill="1" applyAlignment="1">
      <alignment horizontal="center" vertical="center" wrapText="1"/>
    </xf>
    <xf numFmtId="0" fontId="4" fillId="6" borderId="14" xfId="49" applyFont="1" applyFill="1" applyBorder="1" applyAlignment="1">
      <alignment horizontal="center" vertical="center" wrapText="1"/>
    </xf>
    <xf numFmtId="0" fontId="4" fillId="6" borderId="13" xfId="49" applyFont="1" applyFill="1" applyBorder="1" applyAlignment="1">
      <alignment horizontal="center" vertical="center" wrapText="1"/>
    </xf>
    <xf numFmtId="0" fontId="4" fillId="11" borderId="9" xfId="49" applyFont="1" applyFill="1" applyBorder="1" applyAlignment="1">
      <alignment horizontal="center" vertical="center" wrapText="1"/>
    </xf>
    <xf numFmtId="0" fontId="4" fillId="9" borderId="14" xfId="49" applyFont="1" applyFill="1" applyBorder="1" applyAlignment="1">
      <alignment horizontal="center" vertical="center"/>
    </xf>
    <xf numFmtId="0" fontId="5" fillId="0" borderId="9" xfId="49" applyFont="1" applyBorder="1" applyAlignment="1">
      <alignment horizontal="center" vertical="center" wrapText="1"/>
    </xf>
    <xf numFmtId="0" fontId="4" fillId="32" borderId="9" xfId="49" applyFont="1" applyFill="1" applyBorder="1" applyAlignment="1">
      <alignment horizontal="center" vertical="center" wrapText="1"/>
    </xf>
    <xf numFmtId="0" fontId="4" fillId="32" borderId="9" xfId="74" applyNumberFormat="1" applyFont="1" applyFill="1" applyAlignment="1" applyProtection="1">
      <alignment horizontal="center" vertical="center"/>
    </xf>
    <xf numFmtId="0" fontId="5" fillId="32" borderId="9" xfId="0" applyFont="1" applyFill="1" applyBorder="1" applyAlignment="1">
      <alignment horizontal="center" vertical="center"/>
    </xf>
    <xf numFmtId="0" fontId="4" fillId="3" borderId="14" xfId="49" applyFont="1" applyFill="1" applyBorder="1" applyAlignment="1">
      <alignment horizontal="center" vertical="center"/>
    </xf>
    <xf numFmtId="0" fontId="4" fillId="3" borderId="13" xfId="49" applyFont="1" applyFill="1" applyBorder="1" applyAlignment="1">
      <alignment horizontal="center" vertical="center"/>
    </xf>
    <xf numFmtId="0" fontId="5" fillId="0" borderId="9" xfId="74" applyNumberFormat="1" applyFont="1" applyFill="1" applyAlignment="1">
      <alignment horizontal="center" vertical="center"/>
      <protection locked="0"/>
    </xf>
    <xf numFmtId="0" fontId="5" fillId="0" borderId="10" xfId="74" applyNumberFormat="1" applyFont="1" applyFill="1" applyBorder="1" applyAlignment="1" applyProtection="1">
      <alignment horizontal="center" vertical="center"/>
    </xf>
    <xf numFmtId="0" fontId="4" fillId="18" borderId="9" xfId="49" applyFont="1" applyFill="1" applyBorder="1" applyAlignment="1">
      <alignment horizontal="center" vertical="center" wrapText="1"/>
    </xf>
    <xf numFmtId="0" fontId="4" fillId="18" borderId="10" xfId="74" applyNumberFormat="1" applyFont="1" applyFill="1" applyBorder="1" applyAlignment="1" applyProtection="1">
      <alignment horizontal="center" vertical="center"/>
    </xf>
    <xf numFmtId="0" fontId="4" fillId="6" borderId="9" xfId="49" applyFont="1" applyFill="1" applyBorder="1" applyAlignment="1">
      <alignment horizontal="center" vertical="center"/>
    </xf>
    <xf numFmtId="0" fontId="4" fillId="6" borderId="13" xfId="49" applyFont="1" applyFill="1" applyBorder="1" applyAlignment="1">
      <alignment horizontal="center" vertical="center"/>
    </xf>
    <xf numFmtId="0" fontId="5" fillId="0" borderId="9" xfId="49" applyFont="1" applyBorder="1" applyAlignment="1">
      <alignment vertical="center" wrapText="1"/>
    </xf>
    <xf numFmtId="0" fontId="5" fillId="0" borderId="9" xfId="74" applyNumberFormat="1" applyFont="1" applyFill="1" applyAlignment="1">
      <alignment vertical="center"/>
      <protection locked="0"/>
    </xf>
    <xf numFmtId="0" fontId="5" fillId="0" borderId="9" xfId="74" applyNumberFormat="1" applyFont="1" applyFill="1" applyAlignment="1" applyProtection="1">
      <alignment vertical="center"/>
    </xf>
    <xf numFmtId="0" fontId="4" fillId="7" borderId="10" xfId="49" applyFont="1" applyFill="1" applyBorder="1" applyAlignment="1">
      <alignment horizontal="center" vertical="center"/>
    </xf>
    <xf numFmtId="0" fontId="4" fillId="7" borderId="11" xfId="49" applyFont="1" applyFill="1" applyBorder="1" applyAlignment="1">
      <alignment horizontal="center" vertical="center"/>
    </xf>
    <xf numFmtId="0" fontId="4" fillId="7" borderId="14" xfId="49" applyFont="1" applyFill="1" applyBorder="1" applyAlignment="1">
      <alignment horizontal="center" vertical="center"/>
    </xf>
    <xf numFmtId="0" fontId="0" fillId="4" borderId="9" xfId="69" applyFill="1" applyBorder="1"/>
    <xf numFmtId="0" fontId="73" fillId="32" borderId="9" xfId="69" applyFont="1" applyFill="1" applyBorder="1" applyAlignment="1">
      <alignment horizontal="center" vertical="center" wrapText="1"/>
    </xf>
    <xf numFmtId="0" fontId="4" fillId="7" borderId="13" xfId="49" applyFont="1" applyFill="1" applyBorder="1" applyAlignment="1">
      <alignment horizontal="center" vertical="center" wrapText="1"/>
    </xf>
    <xf numFmtId="0" fontId="0" fillId="4" borderId="13" xfId="69" applyFill="1" applyBorder="1" applyAlignment="1">
      <alignment vertical="center" wrapText="1"/>
    </xf>
    <xf numFmtId="181" fontId="0" fillId="4" borderId="13" xfId="69" applyNumberFormat="1" applyFill="1" applyBorder="1" applyAlignment="1">
      <alignment vertical="center" wrapText="1"/>
    </xf>
    <xf numFmtId="181" fontId="0" fillId="4" borderId="6" xfId="69" applyNumberFormat="1" applyFill="1" applyBorder="1" applyAlignment="1">
      <alignment vertical="center" wrapText="1"/>
    </xf>
    <xf numFmtId="181" fontId="0" fillId="4" borderId="9" xfId="69" applyNumberFormat="1" applyFill="1" applyBorder="1" applyAlignment="1">
      <alignment vertical="center" wrapText="1"/>
    </xf>
    <xf numFmtId="181" fontId="65" fillId="4" borderId="9" xfId="69" applyNumberFormat="1" applyFont="1" applyFill="1" applyBorder="1" applyAlignment="1">
      <alignment vertical="center" wrapText="1"/>
    </xf>
    <xf numFmtId="181" fontId="0" fillId="4" borderId="6" xfId="69" applyNumberFormat="1" applyFill="1" applyBorder="1" applyAlignment="1">
      <alignment horizontal="center" vertical="center" wrapText="1"/>
    </xf>
    <xf numFmtId="181" fontId="0" fillId="4" borderId="9" xfId="69" applyNumberFormat="1" applyFill="1" applyBorder="1" applyAlignment="1">
      <alignment horizontal="center" vertical="center" wrapText="1"/>
    </xf>
    <xf numFmtId="181" fontId="65" fillId="4" borderId="9" xfId="69" applyNumberFormat="1" applyFont="1" applyFill="1" applyBorder="1" applyAlignment="1">
      <alignment horizontal="center" vertical="center" wrapText="1"/>
    </xf>
    <xf numFmtId="189" fontId="69" fillId="32" borderId="9" xfId="69" applyNumberFormat="1" applyFont="1" applyFill="1" applyBorder="1" applyAlignment="1">
      <alignment horizontal="center" vertical="center" wrapText="1"/>
    </xf>
    <xf numFmtId="189" fontId="69" fillId="32" borderId="10" xfId="69" applyNumberFormat="1" applyFont="1" applyFill="1" applyBorder="1" applyAlignment="1">
      <alignment horizontal="center" vertical="center" wrapText="1"/>
    </xf>
    <xf numFmtId="0" fontId="68" fillId="4" borderId="9" xfId="69" applyFont="1" applyFill="1" applyBorder="1" applyAlignment="1">
      <alignment horizontal="center" vertical="center"/>
    </xf>
    <xf numFmtId="189" fontId="69" fillId="4" borderId="9" xfId="69" applyNumberFormat="1" applyFont="1" applyFill="1" applyBorder="1" applyAlignment="1">
      <alignment horizontal="center" vertical="center"/>
    </xf>
    <xf numFmtId="9" fontId="74" fillId="4" borderId="9" xfId="3" applyFont="1" applyFill="1" applyBorder="1" applyAlignment="1">
      <alignment horizontal="center" vertical="center"/>
    </xf>
    <xf numFmtId="189" fontId="69" fillId="4" borderId="10" xfId="69" applyNumberFormat="1" applyFont="1" applyFill="1" applyBorder="1" applyAlignment="1">
      <alignment horizontal="center" vertical="center"/>
    </xf>
    <xf numFmtId="9" fontId="74" fillId="4" borderId="9" xfId="3" applyFont="1" applyFill="1" applyBorder="1" applyAlignment="1">
      <alignment horizontal="center" vertical="center" wrapText="1"/>
    </xf>
    <xf numFmtId="189" fontId="69" fillId="4" borderId="10" xfId="69" applyNumberFormat="1" applyFont="1" applyFill="1" applyBorder="1" applyAlignment="1">
      <alignment horizontal="center" vertical="center" wrapText="1"/>
    </xf>
    <xf numFmtId="1" fontId="75" fillId="4" borderId="9" xfId="0" applyNumberFormat="1" applyFont="1" applyFill="1" applyBorder="1" applyAlignment="1">
      <alignment horizontal="center" vertical="center" wrapText="1"/>
    </xf>
    <xf numFmtId="0" fontId="73" fillId="4" borderId="9" xfId="69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>
      <alignment vertical="center"/>
    </xf>
    <xf numFmtId="178" fontId="3" fillId="2" borderId="9" xfId="56" applyFont="1" applyFill="1" applyBorder="1" applyAlignment="1">
      <alignment horizontal="center" vertical="center"/>
    </xf>
    <xf numFmtId="0" fontId="4" fillId="33" borderId="9" xfId="49" applyFont="1" applyFill="1" applyBorder="1" applyAlignment="1">
      <alignment horizontal="center" vertical="center"/>
    </xf>
    <xf numFmtId="0" fontId="4" fillId="34" borderId="9" xfId="74" applyNumberFormat="1" applyFont="1" applyFill="1" applyAlignment="1" applyProtection="1">
      <alignment horizontal="center" vertical="center"/>
    </xf>
    <xf numFmtId="0" fontId="5" fillId="34" borderId="9" xfId="0" applyFont="1" applyFill="1" applyBorder="1" applyAlignment="1">
      <alignment horizontal="center" vertical="center"/>
    </xf>
    <xf numFmtId="0" fontId="4" fillId="33" borderId="9" xfId="49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6" borderId="15" xfId="49" applyFont="1" applyFill="1" applyBorder="1" applyAlignment="1">
      <alignment horizontal="center" vertical="center" wrapText="1"/>
    </xf>
    <xf numFmtId="0" fontId="4" fillId="3" borderId="15" xfId="49" applyFont="1" applyFill="1" applyBorder="1" applyAlignment="1">
      <alignment horizontal="center" vertical="center" wrapText="1"/>
    </xf>
    <xf numFmtId="0" fontId="4" fillId="6" borderId="6" xfId="49" applyFont="1" applyFill="1" applyBorder="1" applyAlignment="1">
      <alignment horizontal="center" vertical="center"/>
    </xf>
    <xf numFmtId="0" fontId="4" fillId="6" borderId="7" xfId="49" applyFont="1" applyFill="1" applyBorder="1" applyAlignment="1">
      <alignment horizontal="center" vertical="center"/>
    </xf>
    <xf numFmtId="0" fontId="4" fillId="6" borderId="8" xfId="49" applyFont="1" applyFill="1" applyBorder="1" applyAlignment="1">
      <alignment horizontal="center" vertical="center"/>
    </xf>
    <xf numFmtId="0" fontId="4" fillId="33" borderId="14" xfId="49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4" fillId="34" borderId="9" xfId="49" applyFont="1" applyFill="1" applyBorder="1" applyAlignment="1">
      <alignment horizontal="center" vertical="center" wrapText="1"/>
    </xf>
    <xf numFmtId="0" fontId="4" fillId="33" borderId="0" xfId="49" applyFont="1" applyFill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86" fontId="4" fillId="6" borderId="9" xfId="0" applyNumberFormat="1" applyFont="1" applyFill="1" applyBorder="1" applyAlignment="1">
      <alignment horizontal="center" vertical="center"/>
    </xf>
    <xf numFmtId="186" fontId="4" fillId="6" borderId="14" xfId="0" applyNumberFormat="1" applyFont="1" applyFill="1" applyBorder="1" applyAlignment="1">
      <alignment horizontal="center" vertical="center"/>
    </xf>
    <xf numFmtId="0" fontId="4" fillId="6" borderId="9" xfId="69" applyFont="1" applyFill="1" applyBorder="1" applyAlignment="1">
      <alignment horizontal="center" vertical="center" wrapText="1"/>
    </xf>
    <xf numFmtId="187" fontId="4" fillId="6" borderId="9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186" fontId="4" fillId="6" borderId="13" xfId="0" applyNumberFormat="1" applyFont="1" applyFill="1" applyBorder="1" applyAlignment="1">
      <alignment horizontal="center" vertical="center"/>
    </xf>
    <xf numFmtId="190" fontId="4" fillId="6" borderId="9" xfId="3" applyNumberFormat="1" applyFont="1" applyFill="1" applyBorder="1" applyAlignment="1">
      <alignment horizontal="center" vertical="center" wrapText="1"/>
    </xf>
    <xf numFmtId="188" fontId="4" fillId="6" borderId="9" xfId="0" applyNumberFormat="1" applyFont="1" applyFill="1" applyBorder="1" applyAlignment="1">
      <alignment horizontal="center" vertical="center"/>
    </xf>
    <xf numFmtId="184" fontId="4" fillId="6" borderId="9" xfId="0" applyNumberFormat="1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vertical="center" wrapText="1"/>
    </xf>
    <xf numFmtId="186" fontId="5" fillId="7" borderId="9" xfId="0" applyNumberFormat="1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vertical="center" wrapText="1"/>
    </xf>
    <xf numFmtId="0" fontId="4" fillId="7" borderId="15" xfId="0" applyFont="1" applyFill="1" applyBorder="1" applyAlignment="1">
      <alignment horizontal="center" vertical="center" wrapText="1"/>
    </xf>
    <xf numFmtId="1" fontId="5" fillId="7" borderId="13" xfId="0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>
      <alignment vertical="center"/>
    </xf>
    <xf numFmtId="186" fontId="5" fillId="0" borderId="9" xfId="0" applyNumberFormat="1" applyFont="1" applyBorder="1" applyAlignment="1">
      <alignment horizontal="center" vertical="center"/>
    </xf>
    <xf numFmtId="0" fontId="76" fillId="0" borderId="9" xfId="69" applyFont="1" applyBorder="1" applyAlignment="1">
      <alignment horizontal="left" vertical="center" wrapText="1" indent="1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7" borderId="9" xfId="0" applyFont="1" applyFill="1" applyBorder="1">
      <alignment vertical="center"/>
    </xf>
    <xf numFmtId="0" fontId="4" fillId="7" borderId="13" xfId="0" applyFont="1" applyFill="1" applyBorder="1">
      <alignment vertical="center"/>
    </xf>
    <xf numFmtId="0" fontId="5" fillId="7" borderId="9" xfId="0" applyFont="1" applyFill="1" applyBorder="1" applyAlignment="1">
      <alignment vertical="center" wrapText="1"/>
    </xf>
    <xf numFmtId="0" fontId="4" fillId="7" borderId="13" xfId="0" applyFont="1" applyFill="1" applyBorder="1" applyAlignment="1">
      <alignment vertical="center" wrapText="1"/>
    </xf>
    <xf numFmtId="0" fontId="5" fillId="7" borderId="9" xfId="0" applyFont="1" applyFill="1" applyBorder="1" applyAlignment="1">
      <alignment vertical="center" wrapText="1" shrinkToFit="1"/>
    </xf>
    <xf numFmtId="0" fontId="4" fillId="7" borderId="9" xfId="0" applyFont="1" applyFill="1" applyBorder="1" applyAlignment="1">
      <alignment vertical="center" wrapText="1" shrinkToFit="1"/>
    </xf>
    <xf numFmtId="0" fontId="4" fillId="7" borderId="0" xfId="0" applyFont="1" applyFill="1">
      <alignment vertical="center"/>
    </xf>
    <xf numFmtId="190" fontId="5" fillId="0" borderId="0" xfId="3" applyNumberFormat="1" applyFont="1">
      <alignment vertical="center"/>
    </xf>
    <xf numFmtId="0" fontId="1" fillId="0" borderId="0" xfId="69" applyFont="1"/>
    <xf numFmtId="0" fontId="1" fillId="0" borderId="0" xfId="0" applyFont="1">
      <alignment vertical="center"/>
    </xf>
    <xf numFmtId="0" fontId="4" fillId="6" borderId="1" xfId="69" applyFont="1" applyFill="1" applyBorder="1" applyAlignment="1">
      <alignment horizontal="center" vertical="center" wrapText="1"/>
    </xf>
    <xf numFmtId="0" fontId="4" fillId="6" borderId="2" xfId="69" applyFont="1" applyFill="1" applyBorder="1" applyAlignment="1">
      <alignment horizontal="center" vertical="center" wrapText="1"/>
    </xf>
    <xf numFmtId="9" fontId="4" fillId="6" borderId="9" xfId="3" applyFont="1" applyFill="1" applyBorder="1" applyAlignment="1">
      <alignment horizontal="center" vertical="center" wrapText="1"/>
    </xf>
    <xf numFmtId="181" fontId="4" fillId="6" borderId="9" xfId="1" applyNumberFormat="1" applyFont="1" applyFill="1" applyBorder="1" applyAlignment="1">
      <alignment horizontal="center" vertical="center" wrapText="1"/>
    </xf>
    <xf numFmtId="189" fontId="4" fillId="6" borderId="9" xfId="69" applyNumberFormat="1" applyFont="1" applyFill="1" applyBorder="1" applyAlignment="1">
      <alignment horizontal="center" vertical="center" wrapText="1"/>
    </xf>
    <xf numFmtId="0" fontId="4" fillId="6" borderId="10" xfId="69" applyFont="1" applyFill="1" applyBorder="1" applyAlignment="1">
      <alignment horizontal="center" vertical="center" wrapText="1"/>
    </xf>
    <xf numFmtId="0" fontId="4" fillId="34" borderId="9" xfId="69" applyFont="1" applyFill="1" applyBorder="1" applyAlignment="1">
      <alignment horizontal="left" vertical="center" wrapText="1"/>
    </xf>
    <xf numFmtId="189" fontId="1" fillId="34" borderId="9" xfId="69" applyNumberFormat="1" applyFont="1" applyFill="1" applyBorder="1" applyAlignment="1">
      <alignment horizontal="center" vertical="center" wrapText="1"/>
    </xf>
    <xf numFmtId="0" fontId="1" fillId="0" borderId="9" xfId="69" applyFont="1" applyBorder="1" applyAlignment="1">
      <alignment horizontal="left" vertical="center" wrapText="1"/>
    </xf>
    <xf numFmtId="189" fontId="1" fillId="7" borderId="9" xfId="69" applyNumberFormat="1" applyFont="1" applyFill="1" applyBorder="1" applyAlignment="1">
      <alignment horizontal="center" vertical="center" wrapText="1"/>
    </xf>
    <xf numFmtId="189" fontId="1" fillId="0" borderId="9" xfId="69" applyNumberFormat="1" applyFont="1" applyBorder="1" applyAlignment="1">
      <alignment horizontal="center" vertical="center" wrapText="1"/>
    </xf>
    <xf numFmtId="0" fontId="1" fillId="0" borderId="13" xfId="69" applyFont="1" applyBorder="1" applyAlignment="1">
      <alignment horizontal="left" vertical="center" wrapText="1"/>
    </xf>
    <xf numFmtId="0" fontId="4" fillId="34" borderId="13" xfId="69" applyFont="1" applyFill="1" applyBorder="1" applyAlignment="1">
      <alignment horizontal="left" vertical="center" wrapText="1"/>
    </xf>
    <xf numFmtId="0" fontId="1" fillId="7" borderId="9" xfId="69" applyFont="1" applyFill="1" applyBorder="1" applyAlignment="1">
      <alignment horizontal="left" vertical="center" wrapText="1"/>
    </xf>
    <xf numFmtId="0" fontId="7" fillId="7" borderId="9" xfId="69" applyFont="1" applyFill="1" applyBorder="1" applyAlignment="1">
      <alignment horizontal="left" vertical="center" wrapText="1"/>
    </xf>
    <xf numFmtId="0" fontId="29" fillId="7" borderId="9" xfId="69" applyFont="1" applyFill="1" applyBorder="1" applyAlignment="1">
      <alignment vertical="center"/>
    </xf>
    <xf numFmtId="181" fontId="7" fillId="7" borderId="9" xfId="1" applyNumberFormat="1" applyFont="1" applyFill="1" applyBorder="1" applyAlignment="1">
      <alignment vertical="center" wrapText="1"/>
    </xf>
    <xf numFmtId="0" fontId="7" fillId="7" borderId="9" xfId="69" applyFont="1" applyFill="1" applyBorder="1" applyAlignment="1">
      <alignment vertical="center" wrapText="1"/>
    </xf>
    <xf numFmtId="0" fontId="1" fillId="7" borderId="9" xfId="69" applyFont="1" applyFill="1" applyBorder="1" applyAlignment="1">
      <alignment vertical="center" wrapText="1"/>
    </xf>
    <xf numFmtId="9" fontId="1" fillId="7" borderId="9" xfId="3" applyFont="1" applyFill="1" applyBorder="1" applyAlignment="1">
      <alignment horizontal="center" vertical="center" wrapText="1"/>
    </xf>
    <xf numFmtId="0" fontId="29" fillId="0" borderId="0" xfId="69" applyFont="1" applyAlignment="1">
      <alignment vertical="center"/>
    </xf>
    <xf numFmtId="0" fontId="77" fillId="0" borderId="0" xfId="0" applyFont="1">
      <alignment vertical="center"/>
    </xf>
    <xf numFmtId="0" fontId="60" fillId="4" borderId="0" xfId="0" applyFont="1" applyFill="1">
      <alignment vertical="center"/>
    </xf>
    <xf numFmtId="0" fontId="59" fillId="0" borderId="0" xfId="0" applyFont="1">
      <alignment vertical="center"/>
    </xf>
    <xf numFmtId="0" fontId="78" fillId="0" borderId="0" xfId="0" applyFont="1" applyAlignment="1">
      <alignment horizontal="center" vertical="center"/>
    </xf>
    <xf numFmtId="0" fontId="78" fillId="0" borderId="0" xfId="0" applyFont="1">
      <alignment vertical="center"/>
    </xf>
    <xf numFmtId="181" fontId="78" fillId="0" borderId="0" xfId="0" applyNumberFormat="1" applyFont="1" applyAlignment="1">
      <alignment horizontal="center" vertical="center"/>
    </xf>
    <xf numFmtId="0" fontId="79" fillId="0" borderId="0" xfId="49" applyFont="1">
      <alignment vertical="center"/>
    </xf>
    <xf numFmtId="0" fontId="42" fillId="0" borderId="0" xfId="0" applyFont="1" applyAlignment="1">
      <alignment horizontal="left" vertical="center"/>
    </xf>
    <xf numFmtId="0" fontId="77" fillId="0" borderId="0" xfId="0" applyFont="1" applyAlignment="1">
      <alignment horizontal="center" vertical="center"/>
    </xf>
    <xf numFmtId="181" fontId="77" fillId="0" borderId="0" xfId="0" applyNumberFormat="1" applyFont="1" applyAlignment="1">
      <alignment horizontal="center" vertical="center"/>
    </xf>
    <xf numFmtId="0" fontId="77" fillId="0" borderId="0" xfId="0" applyFont="1" applyAlignment="1">
      <alignment horizontal="left" vertical="center"/>
    </xf>
    <xf numFmtId="0" fontId="67" fillId="35" borderId="9" xfId="0" applyFont="1" applyFill="1" applyBorder="1" applyAlignment="1">
      <alignment horizontal="center" vertical="center" shrinkToFit="1"/>
    </xf>
    <xf numFmtId="0" fontId="67" fillId="35" borderId="9" xfId="0" applyFont="1" applyFill="1" applyBorder="1" applyAlignment="1">
      <alignment horizontal="center" vertical="center" wrapText="1" shrinkToFit="1"/>
    </xf>
    <xf numFmtId="181" fontId="80" fillId="35" borderId="9" xfId="0" applyNumberFormat="1" applyFont="1" applyFill="1" applyBorder="1" applyAlignment="1" applyProtection="1">
      <alignment horizontal="center" vertical="center"/>
      <protection locked="0"/>
    </xf>
    <xf numFmtId="0" fontId="81" fillId="35" borderId="9" xfId="0" applyFont="1" applyFill="1" applyBorder="1" applyAlignment="1" applyProtection="1">
      <alignment horizontal="center" vertical="center"/>
      <protection locked="0"/>
    </xf>
    <xf numFmtId="0" fontId="80" fillId="35" borderId="9" xfId="0" applyFont="1" applyFill="1" applyBorder="1" applyAlignment="1" applyProtection="1">
      <alignment horizontal="center" vertical="center"/>
      <protection locked="0"/>
    </xf>
    <xf numFmtId="0" fontId="59" fillId="4" borderId="9" xfId="0" applyFont="1" applyFill="1" applyBorder="1" applyAlignment="1">
      <alignment horizontal="center" vertical="center"/>
    </xf>
    <xf numFmtId="0" fontId="60" fillId="4" borderId="9" xfId="0" applyFont="1" applyFill="1" applyBorder="1" applyAlignment="1">
      <alignment horizontal="center" vertical="center" shrinkToFit="1"/>
    </xf>
    <xf numFmtId="0" fontId="60" fillId="4" borderId="14" xfId="0" applyFont="1" applyFill="1" applyBorder="1" applyAlignment="1">
      <alignment horizontal="center" vertical="center"/>
    </xf>
    <xf numFmtId="0" fontId="60" fillId="4" borderId="9" xfId="0" applyFont="1" applyFill="1" applyBorder="1" applyAlignment="1">
      <alignment horizontal="center" vertical="center"/>
    </xf>
    <xf numFmtId="0" fontId="60" fillId="4" borderId="9" xfId="51" applyNumberFormat="1" applyFont="1" applyFill="1" applyBorder="1" applyAlignment="1">
      <alignment horizontal="center" vertical="center"/>
    </xf>
    <xf numFmtId="181" fontId="59" fillId="4" borderId="9" xfId="0" applyNumberFormat="1" applyFont="1" applyFill="1" applyBorder="1" applyAlignment="1" applyProtection="1">
      <alignment horizontal="center" vertical="center"/>
      <protection locked="0"/>
    </xf>
    <xf numFmtId="189" fontId="59" fillId="4" borderId="9" xfId="0" applyNumberFormat="1" applyFont="1" applyFill="1" applyBorder="1" applyAlignment="1" applyProtection="1">
      <alignment horizontal="center" vertical="center"/>
      <protection locked="0"/>
    </xf>
    <xf numFmtId="0" fontId="60" fillId="4" borderId="15" xfId="0" applyFont="1" applyFill="1" applyBorder="1" applyAlignment="1">
      <alignment horizontal="center" vertical="center"/>
    </xf>
    <xf numFmtId="0" fontId="82" fillId="4" borderId="9" xfId="0" applyFont="1" applyFill="1" applyBorder="1" applyAlignment="1">
      <alignment horizontal="center" vertical="center"/>
    </xf>
    <xf numFmtId="0" fontId="59" fillId="4" borderId="9" xfId="51" applyNumberFormat="1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82" fillId="4" borderId="9" xfId="51" applyNumberFormat="1" applyFont="1" applyFill="1" applyBorder="1" applyAlignment="1">
      <alignment horizontal="center" vertical="center"/>
    </xf>
    <xf numFmtId="189" fontId="60" fillId="4" borderId="9" xfId="0" applyNumberFormat="1" applyFont="1" applyFill="1" applyBorder="1" applyAlignment="1" applyProtection="1">
      <alignment horizontal="center" vertical="center"/>
      <protection locked="0"/>
    </xf>
    <xf numFmtId="0" fontId="59" fillId="4" borderId="14" xfId="0" applyFont="1" applyFill="1" applyBorder="1" applyAlignment="1">
      <alignment horizontal="center" vertical="center"/>
    </xf>
    <xf numFmtId="0" fontId="60" fillId="4" borderId="14" xfId="0" applyFont="1" applyFill="1" applyBorder="1" applyAlignment="1">
      <alignment horizontal="center" vertical="center" shrinkToFit="1"/>
    </xf>
    <xf numFmtId="0" fontId="59" fillId="4" borderId="15" xfId="0" applyFont="1" applyFill="1" applyBorder="1" applyAlignment="1">
      <alignment horizontal="center" vertical="center"/>
    </xf>
    <xf numFmtId="0" fontId="60" fillId="4" borderId="15" xfId="0" applyFont="1" applyFill="1" applyBorder="1" applyAlignment="1">
      <alignment horizontal="center" vertical="center" shrinkToFit="1"/>
    </xf>
    <xf numFmtId="0" fontId="59" fillId="4" borderId="13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 shrinkToFit="1"/>
    </xf>
    <xf numFmtId="1" fontId="60" fillId="4" borderId="9" xfId="67" applyNumberFormat="1" applyFont="1" applyFill="1" applyBorder="1" applyAlignment="1">
      <alignment horizontal="center" vertical="center"/>
    </xf>
    <xf numFmtId="0" fontId="60" fillId="11" borderId="9" xfId="51" applyNumberFormat="1" applyFont="1" applyFill="1" applyBorder="1" applyAlignment="1">
      <alignment horizontal="center" vertical="center"/>
    </xf>
    <xf numFmtId="0" fontId="60" fillId="4" borderId="24" xfId="0" applyFont="1" applyFill="1" applyBorder="1" applyAlignment="1" applyProtection="1">
      <alignment horizontal="left" vertical="center"/>
      <protection locked="0"/>
    </xf>
    <xf numFmtId="0" fontId="60" fillId="4" borderId="9" xfId="51" applyNumberFormat="1" applyFont="1" applyFill="1" applyBorder="1" applyAlignment="1">
      <alignment vertical="center"/>
    </xf>
    <xf numFmtId="0" fontId="59" fillId="4" borderId="24" xfId="0" applyFont="1" applyFill="1" applyBorder="1" applyAlignment="1" applyProtection="1">
      <alignment horizontal="left" vertical="center"/>
      <protection locked="0"/>
    </xf>
    <xf numFmtId="0" fontId="59" fillId="32" borderId="9" xfId="0" applyFont="1" applyFill="1" applyBorder="1" applyAlignment="1">
      <alignment horizontal="center" vertical="center"/>
    </xf>
    <xf numFmtId="0" fontId="83" fillId="32" borderId="9" xfId="0" applyFont="1" applyFill="1" applyBorder="1" applyAlignment="1">
      <alignment horizontal="center" vertical="center" shrinkToFit="1"/>
    </xf>
    <xf numFmtId="181" fontId="83" fillId="32" borderId="9" xfId="0" applyNumberFormat="1" applyFont="1" applyFill="1" applyBorder="1" applyAlignment="1" applyProtection="1">
      <alignment horizontal="center" vertical="center"/>
      <protection locked="0"/>
    </xf>
    <xf numFmtId="189" fontId="83" fillId="32" borderId="9" xfId="0" applyNumberFormat="1" applyFont="1" applyFill="1" applyBorder="1" applyAlignment="1">
      <alignment horizontal="center" vertical="center" shrinkToFit="1"/>
    </xf>
    <xf numFmtId="0" fontId="32" fillId="4" borderId="9" xfId="0" applyFont="1" applyFill="1" applyBorder="1" applyAlignment="1">
      <alignment horizontal="center" vertical="center" shrinkToFit="1"/>
    </xf>
    <xf numFmtId="1" fontId="32" fillId="4" borderId="9" xfId="67" applyNumberFormat="1" applyFont="1" applyFill="1" applyBorder="1" applyAlignment="1">
      <alignment horizontal="center" vertical="center"/>
    </xf>
    <xf numFmtId="181" fontId="83" fillId="4" borderId="9" xfId="0" applyNumberFormat="1" applyFont="1" applyFill="1" applyBorder="1" applyAlignment="1" applyProtection="1">
      <alignment horizontal="center" vertical="center"/>
      <protection locked="0"/>
    </xf>
    <xf numFmtId="189" fontId="83" fillId="4" borderId="9" xfId="0" applyNumberFormat="1" applyFont="1" applyFill="1" applyBorder="1" applyAlignment="1" applyProtection="1">
      <alignment horizontal="center" vertical="center"/>
      <protection locked="0"/>
    </xf>
    <xf numFmtId="1" fontId="63" fillId="4" borderId="9" xfId="0" applyNumberFormat="1" applyFont="1" applyFill="1" applyBorder="1" applyAlignment="1">
      <alignment horizontal="center" vertical="center" wrapText="1"/>
    </xf>
    <xf numFmtId="0" fontId="32" fillId="4" borderId="24" xfId="0" applyFont="1" applyFill="1" applyBorder="1" applyAlignment="1" applyProtection="1">
      <alignment horizontal="left" vertical="center"/>
      <protection locked="0"/>
    </xf>
    <xf numFmtId="0" fontId="83" fillId="4" borderId="24" xfId="0" applyFont="1" applyFill="1" applyBorder="1" applyAlignment="1" applyProtection="1">
      <alignment horizontal="left" vertical="center"/>
      <protection locked="0"/>
    </xf>
    <xf numFmtId="181" fontId="83" fillId="32" borderId="9" xfId="0" applyNumberFormat="1" applyFont="1" applyFill="1" applyBorder="1" applyAlignment="1">
      <alignment horizontal="center" vertical="center" shrinkToFit="1"/>
    </xf>
    <xf numFmtId="181" fontId="78" fillId="0" borderId="0" xfId="1" applyNumberFormat="1" applyFont="1" applyAlignment="1">
      <alignment horizontal="center" vertical="center"/>
    </xf>
    <xf numFmtId="43" fontId="78" fillId="0" borderId="0" xfId="1" applyFont="1" applyAlignment="1">
      <alignment horizontal="center" vertical="center"/>
    </xf>
    <xf numFmtId="0" fontId="84" fillId="0" borderId="0" xfId="0" applyFont="1" applyAlignment="1">
      <alignment horizontal="left" vertical="center"/>
    </xf>
    <xf numFmtId="0" fontId="62" fillId="0" borderId="0" xfId="64" applyFont="1" applyAlignment="1">
      <alignment horizontal="center" vertical="center"/>
    </xf>
    <xf numFmtId="0" fontId="62" fillId="0" borderId="0" xfId="64" applyFont="1">
      <alignment vertical="center"/>
    </xf>
    <xf numFmtId="0" fontId="9" fillId="17" borderId="9" xfId="64" applyFont="1" applyFill="1" applyBorder="1" applyAlignment="1">
      <alignment horizontal="center" vertical="center"/>
    </xf>
    <xf numFmtId="0" fontId="59" fillId="17" borderId="9" xfId="64" applyFont="1" applyFill="1" applyBorder="1" applyAlignment="1">
      <alignment horizontal="center" vertical="center"/>
    </xf>
    <xf numFmtId="186" fontId="59" fillId="17" borderId="9" xfId="64" applyNumberFormat="1" applyFont="1" applyFill="1" applyBorder="1" applyAlignment="1">
      <alignment horizontal="center" vertical="center"/>
    </xf>
    <xf numFmtId="186" fontId="59" fillId="17" borderId="14" xfId="64" applyNumberFormat="1" applyFont="1" applyFill="1" applyBorder="1" applyAlignment="1">
      <alignment horizontal="center" vertical="center"/>
    </xf>
    <xf numFmtId="187" fontId="59" fillId="17" borderId="9" xfId="64" applyNumberFormat="1" applyFont="1" applyFill="1" applyBorder="1" applyAlignment="1">
      <alignment horizontal="center" vertical="center"/>
    </xf>
    <xf numFmtId="187" fontId="59" fillId="17" borderId="14" xfId="64" applyNumberFormat="1" applyFont="1" applyFill="1" applyBorder="1" applyAlignment="1">
      <alignment horizontal="center" vertical="center"/>
    </xf>
    <xf numFmtId="186" fontId="59" fillId="17" borderId="13" xfId="64" applyNumberFormat="1" applyFont="1" applyFill="1" applyBorder="1" applyAlignment="1">
      <alignment horizontal="center" vertical="center"/>
    </xf>
    <xf numFmtId="188" fontId="59" fillId="17" borderId="9" xfId="64" applyNumberFormat="1" applyFont="1" applyFill="1" applyBorder="1" applyAlignment="1">
      <alignment horizontal="center" vertical="center"/>
    </xf>
    <xf numFmtId="184" fontId="59" fillId="17" borderId="9" xfId="64" applyNumberFormat="1" applyFont="1" applyFill="1" applyBorder="1" applyAlignment="1">
      <alignment horizontal="center" vertical="center"/>
    </xf>
    <xf numFmtId="187" fontId="59" fillId="17" borderId="13" xfId="64" applyNumberFormat="1" applyFont="1" applyFill="1" applyBorder="1" applyAlignment="1">
      <alignment horizontal="center" vertical="center"/>
    </xf>
    <xf numFmtId="0" fontId="62" fillId="18" borderId="9" xfId="64" applyFont="1" applyFill="1" applyBorder="1" applyAlignment="1">
      <alignment horizontal="center" vertical="center"/>
    </xf>
    <xf numFmtId="0" fontId="85" fillId="18" borderId="9" xfId="50" applyNumberFormat="1" applyFont="1" applyFill="1" applyBorder="1" applyAlignment="1">
      <alignment horizontal="center" vertical="center"/>
    </xf>
    <xf numFmtId="186" fontId="59" fillId="27" borderId="9" xfId="64" applyNumberFormat="1" applyFont="1" applyFill="1" applyBorder="1" applyAlignment="1">
      <alignment horizontal="center" vertical="center"/>
    </xf>
    <xf numFmtId="41" fontId="63" fillId="18" borderId="9" xfId="64" applyNumberFormat="1" applyFont="1" applyFill="1" applyBorder="1" applyAlignment="1">
      <alignment horizontal="center" vertical="center"/>
    </xf>
    <xf numFmtId="0" fontId="85" fillId="36" borderId="9" xfId="50" applyNumberFormat="1" applyFont="1" applyFill="1" applyBorder="1" applyAlignment="1">
      <alignment horizontal="center" vertical="center"/>
    </xf>
    <xf numFmtId="41" fontId="63" fillId="36" borderId="9" xfId="64" applyNumberFormat="1" applyFont="1" applyFill="1" applyBorder="1" applyAlignment="1">
      <alignment horizontal="center" vertical="center"/>
    </xf>
    <xf numFmtId="0" fontId="62" fillId="0" borderId="0" xfId="0" applyFont="1">
      <alignment vertical="center"/>
    </xf>
    <xf numFmtId="0" fontId="86" fillId="0" borderId="7" xfId="0" applyFont="1" applyBorder="1" applyAlignment="1">
      <alignment horizontal="center" vertical="center"/>
    </xf>
    <xf numFmtId="0" fontId="86" fillId="0" borderId="11" xfId="0" applyFont="1" applyBorder="1" applyAlignment="1">
      <alignment horizontal="center" vertical="center"/>
    </xf>
    <xf numFmtId="0" fontId="13" fillId="24" borderId="9" xfId="0" applyFont="1" applyFill="1" applyBorder="1" applyAlignment="1">
      <alignment horizontal="center" vertical="center"/>
    </xf>
    <xf numFmtId="0" fontId="62" fillId="24" borderId="9" xfId="0" applyFont="1" applyFill="1" applyBorder="1" applyAlignment="1">
      <alignment horizontal="center" vertical="center" wrapText="1"/>
    </xf>
    <xf numFmtId="187" fontId="59" fillId="24" borderId="12" xfId="0" applyNumberFormat="1" applyFont="1" applyFill="1" applyBorder="1" applyAlignment="1">
      <alignment horizontal="center" vertical="center"/>
    </xf>
    <xf numFmtId="187" fontId="59" fillId="24" borderId="9" xfId="0" applyNumberFormat="1" applyFont="1" applyFill="1" applyBorder="1" applyAlignment="1">
      <alignment horizontal="center" vertical="center"/>
    </xf>
    <xf numFmtId="188" fontId="59" fillId="24" borderId="12" xfId="0" applyNumberFormat="1" applyFont="1" applyFill="1" applyBorder="1" applyAlignment="1">
      <alignment horizontal="center" vertical="center"/>
    </xf>
    <xf numFmtId="188" fontId="59" fillId="24" borderId="9" xfId="0" applyNumberFormat="1" applyFont="1" applyFill="1" applyBorder="1" applyAlignment="1">
      <alignment horizontal="center" vertical="center"/>
    </xf>
    <xf numFmtId="184" fontId="59" fillId="24" borderId="9" xfId="0" applyNumberFormat="1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191" fontId="13" fillId="7" borderId="9" xfId="0" applyNumberFormat="1" applyFont="1" applyFill="1" applyBorder="1">
      <alignment vertical="center"/>
    </xf>
    <xf numFmtId="0" fontId="10" fillId="36" borderId="10" xfId="0" applyFont="1" applyFill="1" applyBorder="1" applyAlignment="1">
      <alignment horizontal="center" vertical="center"/>
    </xf>
    <xf numFmtId="0" fontId="10" fillId="36" borderId="12" xfId="0" applyFont="1" applyFill="1" applyBorder="1" applyAlignment="1">
      <alignment horizontal="center" vertical="center"/>
    </xf>
    <xf numFmtId="0" fontId="87" fillId="36" borderId="9" xfId="0" applyFont="1" applyFill="1" applyBorder="1" applyAlignment="1">
      <alignment horizontal="center" vertical="center"/>
    </xf>
    <xf numFmtId="191" fontId="10" fillId="36" borderId="9" xfId="0" applyNumberFormat="1" applyFont="1" applyFill="1" applyBorder="1" applyAlignment="1">
      <alignment horizontal="center" vertical="center"/>
    </xf>
    <xf numFmtId="0" fontId="10" fillId="36" borderId="9" xfId="0" applyFont="1" applyFill="1" applyBorder="1" applyAlignment="1">
      <alignment horizontal="center" vertical="center"/>
    </xf>
    <xf numFmtId="0" fontId="62" fillId="0" borderId="9" xfId="0" applyFont="1" applyBorder="1" applyAlignment="1">
      <alignment horizontal="center" vertical="center"/>
    </xf>
    <xf numFmtId="0" fontId="62" fillId="0" borderId="9" xfId="0" applyFont="1" applyBorder="1">
      <alignment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  <xf numFmtId="0" fontId="87" fillId="8" borderId="9" xfId="0" applyFont="1" applyFill="1" applyBorder="1">
      <alignment vertical="center"/>
    </xf>
    <xf numFmtId="0" fontId="10" fillId="8" borderId="9" xfId="0" applyFont="1" applyFill="1" applyBorder="1">
      <alignment vertical="center"/>
    </xf>
    <xf numFmtId="0" fontId="10" fillId="8" borderId="9" xfId="0" applyFont="1" applyFill="1" applyBorder="1" applyAlignment="1">
      <alignment horizontal="center" vertical="center"/>
    </xf>
    <xf numFmtId="43" fontId="47" fillId="0" borderId="7" xfId="0" applyNumberFormat="1" applyFont="1" applyBorder="1" applyAlignment="1">
      <alignment horizontal="center" vertical="center" shrinkToFit="1"/>
    </xf>
    <xf numFmtId="43" fontId="47" fillId="0" borderId="0" xfId="0" applyNumberFormat="1" applyFont="1" applyAlignment="1">
      <alignment horizontal="center" vertical="center" shrinkToFit="1"/>
    </xf>
    <xf numFmtId="0" fontId="59" fillId="17" borderId="14" xfId="0" applyFont="1" applyFill="1" applyBorder="1" applyAlignment="1">
      <alignment horizontal="center" vertical="center" wrapText="1"/>
    </xf>
    <xf numFmtId="186" fontId="59" fillId="17" borderId="9" xfId="0" applyNumberFormat="1" applyFont="1" applyFill="1" applyBorder="1" applyAlignment="1">
      <alignment horizontal="center" vertical="center"/>
    </xf>
    <xf numFmtId="186" fontId="59" fillId="17" borderId="14" xfId="0" applyNumberFormat="1" applyFont="1" applyFill="1" applyBorder="1" applyAlignment="1">
      <alignment horizontal="center" vertical="center"/>
    </xf>
    <xf numFmtId="0" fontId="88" fillId="17" borderId="9" xfId="69" applyFont="1" applyFill="1" applyBorder="1" applyAlignment="1">
      <alignment horizontal="center" vertical="center" wrapText="1"/>
    </xf>
    <xf numFmtId="9" fontId="88" fillId="17" borderId="9" xfId="3" applyFont="1" applyFill="1" applyBorder="1" applyAlignment="1">
      <alignment horizontal="center" vertical="center" wrapText="1"/>
    </xf>
    <xf numFmtId="187" fontId="59" fillId="17" borderId="9" xfId="0" applyNumberFormat="1" applyFont="1" applyFill="1" applyBorder="1" applyAlignment="1">
      <alignment horizontal="center" vertical="center"/>
    </xf>
    <xf numFmtId="0" fontId="59" fillId="17" borderId="13" xfId="0" applyFont="1" applyFill="1" applyBorder="1" applyAlignment="1">
      <alignment horizontal="center" vertical="center" wrapText="1"/>
    </xf>
    <xf numFmtId="186" fontId="59" fillId="17" borderId="13" xfId="0" applyNumberFormat="1" applyFont="1" applyFill="1" applyBorder="1" applyAlignment="1">
      <alignment horizontal="center" vertical="center"/>
    </xf>
    <xf numFmtId="188" fontId="59" fillId="17" borderId="9" xfId="0" applyNumberFormat="1" applyFont="1" applyFill="1" applyBorder="1" applyAlignment="1">
      <alignment horizontal="center" vertical="center"/>
    </xf>
    <xf numFmtId="184" fontId="59" fillId="17" borderId="9" xfId="0" applyNumberFormat="1" applyFont="1" applyFill="1" applyBorder="1" applyAlignment="1">
      <alignment horizontal="center" vertical="center"/>
    </xf>
    <xf numFmtId="1" fontId="63" fillId="0" borderId="9" xfId="0" applyNumberFormat="1" applyFont="1" applyBorder="1" applyAlignment="1">
      <alignment vertical="center" wrapText="1"/>
    </xf>
    <xf numFmtId="1" fontId="63" fillId="0" borderId="13" xfId="0" applyNumberFormat="1" applyFont="1" applyBorder="1" applyAlignment="1">
      <alignment vertical="center" wrapText="1"/>
    </xf>
    <xf numFmtId="9" fontId="63" fillId="0" borderId="13" xfId="3" applyFont="1" applyBorder="1" applyAlignment="1">
      <alignment vertical="center" wrapText="1"/>
    </xf>
    <xf numFmtId="41" fontId="63" fillId="0" borderId="9" xfId="0" applyNumberFormat="1" applyFont="1" applyBorder="1" applyAlignment="1">
      <alignment horizontal="right" vertical="center" wrapText="1"/>
    </xf>
    <xf numFmtId="0" fontId="62" fillId="0" borderId="13" xfId="0" applyFont="1" applyBorder="1" applyAlignment="1">
      <alignment horizontal="center" vertical="center"/>
    </xf>
    <xf numFmtId="1" fontId="89" fillId="0" borderId="13" xfId="0" applyNumberFormat="1" applyFont="1" applyBorder="1" applyAlignment="1">
      <alignment vertical="center" wrapText="1"/>
    </xf>
    <xf numFmtId="41" fontId="63" fillId="0" borderId="13" xfId="0" applyNumberFormat="1" applyFont="1" applyBorder="1" applyAlignment="1">
      <alignment horizontal="right" vertical="center" wrapText="1"/>
    </xf>
    <xf numFmtId="1" fontId="89" fillId="0" borderId="9" xfId="0" applyNumberFormat="1" applyFont="1" applyBorder="1" applyAlignment="1">
      <alignment vertical="center" wrapText="1"/>
    </xf>
    <xf numFmtId="189" fontId="80" fillId="0" borderId="24" xfId="0" applyNumberFormat="1" applyFont="1" applyBorder="1" applyAlignment="1" applyProtection="1">
      <alignment horizontal="center" vertical="center"/>
      <protection locked="0"/>
    </xf>
    <xf numFmtId="41" fontId="60" fillId="0" borderId="9" xfId="0" applyNumberFormat="1" applyFont="1" applyBorder="1" applyAlignment="1">
      <alignment horizontal="right" vertical="center" wrapText="1"/>
    </xf>
    <xf numFmtId="41" fontId="89" fillId="0" borderId="9" xfId="0" applyNumberFormat="1" applyFont="1" applyBorder="1" applyAlignment="1">
      <alignment horizontal="right" vertical="center" wrapText="1"/>
    </xf>
    <xf numFmtId="41" fontId="82" fillId="0" borderId="9" xfId="0" applyNumberFormat="1" applyFont="1" applyBorder="1" applyAlignment="1">
      <alignment horizontal="right" vertical="center" wrapText="1"/>
    </xf>
    <xf numFmtId="1" fontId="60" fillId="0" borderId="9" xfId="0" applyNumberFormat="1" applyFont="1" applyBorder="1" applyAlignment="1">
      <alignment vertical="center" wrapText="1"/>
    </xf>
    <xf numFmtId="41" fontId="63" fillId="19" borderId="9" xfId="0" applyNumberFormat="1" applyFont="1" applyFill="1" applyBorder="1" applyAlignment="1">
      <alignment horizontal="right" vertical="center" wrapText="1"/>
    </xf>
    <xf numFmtId="0" fontId="62" fillId="0" borderId="0" xfId="0" applyFont="1" applyAlignment="1">
      <alignment horizontal="center" vertical="center"/>
    </xf>
    <xf numFmtId="1" fontId="63" fillId="0" borderId="0" xfId="0" applyNumberFormat="1" applyFont="1" applyAlignment="1">
      <alignment vertical="center" wrapText="1"/>
    </xf>
    <xf numFmtId="41" fontId="63" fillId="0" borderId="0" xfId="0" applyNumberFormat="1" applyFont="1" applyAlignment="1">
      <alignment horizontal="right" vertical="center" wrapText="1"/>
    </xf>
    <xf numFmtId="43" fontId="62" fillId="32" borderId="9" xfId="1" applyFont="1" applyFill="1" applyBorder="1">
      <alignment vertical="center"/>
    </xf>
    <xf numFmtId="0" fontId="14" fillId="0" borderId="0" xfId="64" applyFont="1">
      <alignment vertical="center"/>
    </xf>
    <xf numFmtId="0" fontId="2" fillId="0" borderId="0" xfId="64" applyFont="1">
      <alignment vertical="center"/>
    </xf>
    <xf numFmtId="0" fontId="2" fillId="4" borderId="0" xfId="64" applyFont="1" applyFill="1" applyAlignment="1">
      <alignment horizontal="center" vertical="center"/>
    </xf>
    <xf numFmtId="0" fontId="2" fillId="4" borderId="0" xfId="64" applyFont="1" applyFill="1">
      <alignment vertical="center"/>
    </xf>
    <xf numFmtId="0" fontId="23" fillId="7" borderId="14" xfId="64" applyFont="1" applyFill="1" applyBorder="1" applyAlignment="1">
      <alignment horizontal="center" vertical="center"/>
    </xf>
    <xf numFmtId="57" fontId="23" fillId="7" borderId="14" xfId="64" applyNumberFormat="1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 vertical="center"/>
    </xf>
    <xf numFmtId="0" fontId="62" fillId="7" borderId="9" xfId="0" applyFont="1" applyFill="1" applyBorder="1" applyAlignment="1">
      <alignment horizontal="center" vertical="center"/>
    </xf>
    <xf numFmtId="0" fontId="14" fillId="4" borderId="0" xfId="64" applyFont="1" applyFill="1">
      <alignment vertical="center"/>
    </xf>
    <xf numFmtId="0" fontId="14" fillId="4" borderId="0" xfId="64" applyFont="1" applyFill="1" applyAlignment="1" applyProtection="1">
      <alignment horizontal="center" vertical="center"/>
      <protection locked="0"/>
    </xf>
    <xf numFmtId="0" fontId="14" fillId="4" borderId="0" xfId="64" applyFont="1" applyFill="1" applyProtection="1">
      <alignment vertical="center"/>
      <protection locked="0"/>
    </xf>
    <xf numFmtId="0" fontId="2" fillId="4" borderId="0" xfId="64" applyFont="1" applyFill="1" applyAlignment="1">
      <alignment vertical="center" wrapText="1"/>
    </xf>
    <xf numFmtId="43" fontId="2" fillId="4" borderId="0" xfId="76" applyFont="1" applyFill="1" applyBorder="1">
      <alignment vertical="center"/>
    </xf>
    <xf numFmtId="190" fontId="2" fillId="4" borderId="0" xfId="53" applyNumberFormat="1" applyFont="1" applyFill="1" applyBorder="1">
      <alignment vertical="center"/>
    </xf>
    <xf numFmtId="0" fontId="23" fillId="37" borderId="14" xfId="64" applyFont="1" applyFill="1" applyBorder="1" applyAlignment="1">
      <alignment horizontal="center" vertical="center"/>
    </xf>
    <xf numFmtId="0" fontId="23" fillId="37" borderId="14" xfId="64" applyFont="1" applyFill="1" applyBorder="1" applyAlignment="1" applyProtection="1">
      <alignment horizontal="center" vertical="center"/>
      <protection locked="0"/>
    </xf>
    <xf numFmtId="0" fontId="88" fillId="37" borderId="9" xfId="62" applyFont="1" applyFill="1" applyBorder="1" applyAlignment="1">
      <alignment horizontal="center" vertical="center"/>
    </xf>
    <xf numFmtId="0" fontId="23" fillId="37" borderId="14" xfId="64" applyFont="1" applyFill="1" applyBorder="1" applyAlignment="1">
      <alignment horizontal="center" vertical="center" wrapText="1"/>
    </xf>
    <xf numFmtId="43" fontId="23" fillId="37" borderId="14" xfId="76" applyFont="1" applyFill="1" applyBorder="1" applyAlignment="1">
      <alignment horizontal="center" vertical="center"/>
    </xf>
    <xf numFmtId="190" fontId="23" fillId="37" borderId="14" xfId="53" applyNumberFormat="1" applyFont="1" applyFill="1" applyBorder="1" applyAlignment="1">
      <alignment horizontal="center" vertical="center"/>
    </xf>
    <xf numFmtId="57" fontId="23" fillId="37" borderId="14" xfId="64" applyNumberFormat="1" applyFont="1" applyFill="1" applyBorder="1" applyAlignment="1">
      <alignment horizontal="center" vertical="center"/>
    </xf>
    <xf numFmtId="0" fontId="23" fillId="4" borderId="9" xfId="64" applyFont="1" applyFill="1" applyBorder="1" applyAlignment="1">
      <alignment horizontal="center" vertical="center"/>
    </xf>
    <xf numFmtId="0" fontId="13" fillId="32" borderId="9" xfId="0" applyFont="1" applyFill="1" applyBorder="1">
      <alignment vertical="center"/>
    </xf>
    <xf numFmtId="0" fontId="13" fillId="19" borderId="9" xfId="0" applyFont="1" applyFill="1" applyBorder="1">
      <alignment vertical="center"/>
    </xf>
    <xf numFmtId="0" fontId="13" fillId="19" borderId="9" xfId="0" applyFont="1" applyFill="1" applyBorder="1" applyProtection="1">
      <alignment vertical="center"/>
      <protection locked="0"/>
    </xf>
    <xf numFmtId="0" fontId="13" fillId="32" borderId="9" xfId="0" applyFont="1" applyFill="1" applyBorder="1" applyProtection="1">
      <alignment vertical="center"/>
      <protection locked="0"/>
    </xf>
    <xf numFmtId="190" fontId="13" fillId="32" borderId="9" xfId="3" applyNumberFormat="1" applyFont="1" applyFill="1" applyBorder="1">
      <alignment vertical="center"/>
    </xf>
    <xf numFmtId="184" fontId="0" fillId="19" borderId="9" xfId="0" applyNumberFormat="1" applyFill="1" applyBorder="1">
      <alignment vertical="center"/>
    </xf>
    <xf numFmtId="0" fontId="90" fillId="0" borderId="0" xfId="0" applyFont="1" applyAlignment="1">
      <alignment horizontal="center" vertical="center"/>
    </xf>
    <xf numFmtId="0" fontId="90" fillId="0" borderId="0" xfId="0" applyFont="1">
      <alignment vertical="center"/>
    </xf>
    <xf numFmtId="0" fontId="27" fillId="17" borderId="9" xfId="69" applyFont="1" applyFill="1" applyBorder="1" applyAlignment="1">
      <alignment horizontal="center" vertical="center"/>
    </xf>
    <xf numFmtId="0" fontId="42" fillId="17" borderId="9" xfId="69" applyFont="1" applyFill="1" applyBorder="1" applyAlignment="1">
      <alignment horizontal="center" vertical="center" wrapText="1"/>
    </xf>
    <xf numFmtId="0" fontId="0" fillId="0" borderId="9" xfId="69" applyBorder="1" applyAlignment="1">
      <alignment horizontal="center" vertical="center"/>
    </xf>
    <xf numFmtId="0" fontId="16" fillId="17" borderId="9" xfId="69" applyFont="1" applyFill="1" applyBorder="1" applyAlignment="1">
      <alignment horizontal="center" vertical="center" wrapText="1"/>
    </xf>
    <xf numFmtId="0" fontId="16" fillId="18" borderId="9" xfId="69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7" borderId="9" xfId="60" applyFont="1" applyFill="1" applyBorder="1" applyAlignment="1" applyProtection="1">
      <alignment horizontal="center" vertical="center"/>
      <protection locked="0"/>
    </xf>
    <xf numFmtId="0" fontId="7" fillId="6" borderId="9" xfId="60" applyFont="1" applyFill="1" applyBorder="1" applyAlignment="1" applyProtection="1">
      <alignment horizontal="center" vertical="center" wrapText="1"/>
      <protection locked="0"/>
    </xf>
    <xf numFmtId="0" fontId="7" fillId="7" borderId="14" xfId="60" applyFont="1" applyFill="1" applyBorder="1" applyAlignment="1" applyProtection="1">
      <alignment horizontal="center" vertical="center" wrapText="1"/>
      <protection locked="0"/>
    </xf>
    <xf numFmtId="0" fontId="7" fillId="6" borderId="9" xfId="49" applyFont="1" applyFill="1" applyBorder="1" applyAlignment="1">
      <alignment horizontal="center" vertical="center" wrapText="1"/>
    </xf>
    <xf numFmtId="189" fontId="1" fillId="7" borderId="9" xfId="60" applyNumberFormat="1" applyFont="1" applyFill="1" applyBorder="1" applyAlignment="1">
      <alignment horizontal="center" vertical="center"/>
    </xf>
    <xf numFmtId="189" fontId="29" fillId="33" borderId="9" xfId="60" applyNumberFormat="1" applyFont="1" applyFill="1" applyBorder="1" applyAlignment="1" applyProtection="1">
      <alignment horizontal="center" vertical="center"/>
      <protection locked="0"/>
    </xf>
    <xf numFmtId="189" fontId="1" fillId="33" borderId="9" xfId="60" applyNumberFormat="1" applyFont="1" applyFill="1" applyBorder="1" applyAlignment="1" applyProtection="1">
      <alignment horizontal="center" vertical="center"/>
      <protection locked="0"/>
    </xf>
    <xf numFmtId="189" fontId="1" fillId="0" borderId="9" xfId="60" applyNumberFormat="1" applyFont="1" applyBorder="1" applyAlignment="1" applyProtection="1">
      <alignment horizontal="center" vertical="center"/>
      <protection locked="0"/>
    </xf>
    <xf numFmtId="189" fontId="1" fillId="34" borderId="9" xfId="60" applyNumberFormat="1" applyFont="1" applyFill="1" applyBorder="1" applyAlignment="1" applyProtection="1">
      <alignment horizontal="center" vertical="center"/>
      <protection locked="0"/>
    </xf>
    <xf numFmtId="0" fontId="1" fillId="0" borderId="9" xfId="60" applyFont="1" applyBorder="1" applyAlignment="1" applyProtection="1">
      <alignment horizontal="center" vertical="center"/>
      <protection locked="0"/>
    </xf>
    <xf numFmtId="0" fontId="7" fillId="6" borderId="9" xfId="60" applyFont="1" applyFill="1" applyBorder="1" applyAlignment="1" applyProtection="1">
      <alignment horizontal="center" vertical="center"/>
      <protection locked="0"/>
    </xf>
    <xf numFmtId="0" fontId="7" fillId="6" borderId="1" xfId="49" applyFont="1" applyFill="1" applyBorder="1" applyAlignment="1">
      <alignment horizontal="center" vertical="center" wrapText="1"/>
    </xf>
    <xf numFmtId="0" fontId="7" fillId="6" borderId="2" xfId="49" applyFont="1" applyFill="1" applyBorder="1" applyAlignment="1">
      <alignment horizontal="center" vertical="center" wrapText="1"/>
    </xf>
    <xf numFmtId="0" fontId="7" fillId="6" borderId="3" xfId="49" applyFont="1" applyFill="1" applyBorder="1" applyAlignment="1">
      <alignment horizontal="center" vertical="center" wrapText="1"/>
    </xf>
    <xf numFmtId="0" fontId="7" fillId="7" borderId="13" xfId="60" applyFont="1" applyFill="1" applyBorder="1" applyAlignment="1" applyProtection="1">
      <alignment horizontal="center" vertical="center" wrapText="1"/>
      <protection locked="0"/>
    </xf>
    <xf numFmtId="0" fontId="29" fillId="33" borderId="9" xfId="49" applyFont="1" applyFill="1" applyBorder="1" applyAlignment="1">
      <alignment horizontal="center" vertical="center" wrapText="1"/>
    </xf>
    <xf numFmtId="189" fontId="6" fillId="34" borderId="9" xfId="60" applyNumberFormat="1" applyFont="1" applyFill="1" applyBorder="1" applyAlignment="1" applyProtection="1">
      <alignment horizontal="center" vertical="center"/>
      <protection locked="0"/>
    </xf>
    <xf numFmtId="0" fontId="7" fillId="33" borderId="9" xfId="49" applyFont="1" applyFill="1" applyBorder="1" applyAlignment="1">
      <alignment horizontal="center" vertical="center" wrapText="1"/>
    </xf>
    <xf numFmtId="192" fontId="7" fillId="0" borderId="9" xfId="49" applyNumberFormat="1" applyFont="1" applyBorder="1" applyAlignment="1">
      <alignment horizontal="center" vertical="center"/>
    </xf>
    <xf numFmtId="185" fontId="0" fillId="38" borderId="9" xfId="60" applyNumberFormat="1" applyFill="1" applyBorder="1" applyAlignment="1" applyProtection="1">
      <alignment horizontal="center" vertical="top" wrapText="1"/>
      <protection locked="0"/>
    </xf>
    <xf numFmtId="185" fontId="1" fillId="0" borderId="9" xfId="49" applyNumberFormat="1" applyFont="1" applyBorder="1" applyAlignment="1" applyProtection="1">
      <alignment horizontal="center" vertical="center"/>
      <protection locked="0"/>
    </xf>
    <xf numFmtId="192" fontId="1" fillId="0" borderId="9" xfId="49" applyNumberFormat="1" applyFont="1" applyBorder="1" applyAlignment="1" applyProtection="1">
      <alignment horizontal="center" vertical="center"/>
      <protection locked="0"/>
    </xf>
    <xf numFmtId="192" fontId="91" fillId="0" borderId="9" xfId="49" applyNumberFormat="1" applyFont="1" applyBorder="1" applyAlignment="1" applyProtection="1">
      <alignment horizontal="center" vertical="center"/>
      <protection locked="0"/>
    </xf>
    <xf numFmtId="192" fontId="1" fillId="0" borderId="0" xfId="49" applyNumberFormat="1" applyFont="1" applyAlignment="1" applyProtection="1">
      <alignment horizontal="center" vertical="center"/>
      <protection locked="0"/>
    </xf>
    <xf numFmtId="0" fontId="1" fillId="0" borderId="0" xfId="49" applyFont="1" applyAlignment="1">
      <alignment vertical="center" wrapText="1"/>
    </xf>
    <xf numFmtId="0" fontId="7" fillId="0" borderId="0" xfId="49" applyFont="1">
      <alignment vertical="center"/>
    </xf>
    <xf numFmtId="178" fontId="7" fillId="0" borderId="0" xfId="56" applyFont="1">
      <alignment vertical="center"/>
    </xf>
    <xf numFmtId="178" fontId="1" fillId="0" borderId="0" xfId="56" applyFont="1">
      <alignment vertical="center"/>
    </xf>
    <xf numFmtId="0" fontId="7" fillId="4" borderId="2" xfId="49" applyFont="1" applyFill="1" applyBorder="1" applyAlignment="1">
      <alignment horizontal="center" vertical="center"/>
    </xf>
    <xf numFmtId="0" fontId="6" fillId="0" borderId="0" xfId="49" applyFont="1" applyAlignment="1">
      <alignment horizontal="center" vertical="center"/>
    </xf>
    <xf numFmtId="0" fontId="7" fillId="3" borderId="14" xfId="49" applyFont="1" applyFill="1" applyBorder="1" applyAlignment="1">
      <alignment horizontal="center" vertical="center" wrapText="1"/>
    </xf>
    <xf numFmtId="0" fontId="7" fillId="7" borderId="14" xfId="49" applyFont="1" applyFill="1" applyBorder="1" applyAlignment="1">
      <alignment horizontal="center" vertical="center" wrapText="1"/>
    </xf>
    <xf numFmtId="0" fontId="7" fillId="7" borderId="10" xfId="49" applyFont="1" applyFill="1" applyBorder="1" applyAlignment="1">
      <alignment horizontal="center" vertical="center" wrapText="1"/>
    </xf>
    <xf numFmtId="0" fontId="7" fillId="7" borderId="11" xfId="49" applyFont="1" applyFill="1" applyBorder="1" applyAlignment="1">
      <alignment horizontal="center" vertical="center" wrapText="1"/>
    </xf>
    <xf numFmtId="0" fontId="7" fillId="3" borderId="9" xfId="49" applyFont="1" applyFill="1" applyBorder="1" applyAlignment="1">
      <alignment horizontal="center" vertical="center" wrapText="1"/>
    </xf>
    <xf numFmtId="0" fontId="7" fillId="3" borderId="13" xfId="49" applyFont="1" applyFill="1" applyBorder="1" applyAlignment="1">
      <alignment horizontal="center" vertical="center" wrapText="1"/>
    </xf>
    <xf numFmtId="0" fontId="7" fillId="7" borderId="13" xfId="49" applyFont="1" applyFill="1" applyBorder="1" applyAlignment="1">
      <alignment horizontal="center" vertical="center" wrapText="1"/>
    </xf>
    <xf numFmtId="0" fontId="7" fillId="7" borderId="9" xfId="49" applyFont="1" applyFill="1" applyBorder="1" applyAlignment="1">
      <alignment horizontal="center" vertical="center" wrapText="1"/>
    </xf>
    <xf numFmtId="0" fontId="7" fillId="3" borderId="9" xfId="49" applyFont="1" applyFill="1" applyBorder="1" applyAlignment="1">
      <alignment horizontal="center" vertical="center"/>
    </xf>
    <xf numFmtId="0" fontId="7" fillId="34" borderId="9" xfId="49" applyFont="1" applyFill="1" applyBorder="1" applyAlignment="1">
      <alignment horizontal="right" vertical="center" indent="1"/>
    </xf>
    <xf numFmtId="192" fontId="7" fillId="34" borderId="9" xfId="49" applyNumberFormat="1" applyFont="1" applyFill="1" applyBorder="1" applyAlignment="1">
      <alignment horizontal="center" vertical="center"/>
    </xf>
    <xf numFmtId="0" fontId="1" fillId="0" borderId="9" xfId="49" applyFont="1" applyBorder="1">
      <alignment vertical="center"/>
    </xf>
    <xf numFmtId="185" fontId="0" fillId="38" borderId="9" xfId="60" applyNumberFormat="1" applyFill="1" applyBorder="1" applyAlignment="1" applyProtection="1">
      <alignment horizontal="right" vertical="top" wrapText="1"/>
      <protection locked="0"/>
    </xf>
    <xf numFmtId="185" fontId="92" fillId="38" borderId="9" xfId="60" applyNumberFormat="1" applyFont="1" applyFill="1" applyBorder="1" applyAlignment="1" applyProtection="1">
      <alignment horizontal="right" vertical="top" wrapText="1"/>
      <protection locked="0"/>
    </xf>
    <xf numFmtId="185" fontId="92" fillId="38" borderId="12" xfId="60" applyNumberFormat="1" applyFont="1" applyFill="1" applyBorder="1" applyAlignment="1" applyProtection="1">
      <alignment horizontal="right" vertical="top" wrapText="1"/>
      <protection locked="0"/>
    </xf>
    <xf numFmtId="185" fontId="92" fillId="38" borderId="25" xfId="60" applyNumberFormat="1" applyFont="1" applyFill="1" applyBorder="1" applyAlignment="1" applyProtection="1">
      <alignment horizontal="right" vertical="top" wrapText="1"/>
      <protection locked="0"/>
    </xf>
    <xf numFmtId="185" fontId="92" fillId="38" borderId="26" xfId="60" applyNumberFormat="1" applyFont="1" applyFill="1" applyBorder="1" applyAlignment="1" applyProtection="1">
      <alignment horizontal="right" vertical="top" wrapText="1"/>
      <protection locked="0"/>
    </xf>
    <xf numFmtId="185" fontId="0" fillId="38" borderId="26" xfId="60" applyNumberFormat="1" applyFill="1" applyBorder="1" applyAlignment="1" applyProtection="1">
      <alignment horizontal="right" vertical="top" wrapText="1"/>
      <protection locked="0"/>
    </xf>
    <xf numFmtId="185" fontId="1" fillId="0" borderId="9" xfId="49" applyNumberFormat="1" applyFont="1" applyBorder="1" applyProtection="1">
      <alignment vertical="center"/>
      <protection locked="0"/>
    </xf>
    <xf numFmtId="185" fontId="0" fillId="38" borderId="25" xfId="60" applyNumberFormat="1" applyFill="1" applyBorder="1" applyAlignment="1" applyProtection="1">
      <alignment horizontal="right" vertical="top" wrapText="1"/>
      <protection locked="0"/>
    </xf>
    <xf numFmtId="185" fontId="92" fillId="38" borderId="27" xfId="60" applyNumberFormat="1" applyFont="1" applyFill="1" applyBorder="1" applyAlignment="1" applyProtection="1">
      <alignment horizontal="right" vertical="top" wrapText="1"/>
      <protection locked="0"/>
    </xf>
    <xf numFmtId="185" fontId="92" fillId="38" borderId="28" xfId="60" applyNumberFormat="1" applyFont="1" applyFill="1" applyBorder="1" applyAlignment="1" applyProtection="1">
      <alignment horizontal="right" vertical="top" wrapText="1"/>
      <protection locked="0"/>
    </xf>
    <xf numFmtId="185" fontId="1" fillId="0" borderId="13" xfId="49" applyNumberFormat="1" applyFont="1" applyBorder="1" applyProtection="1">
      <alignment vertical="center"/>
      <protection locked="0"/>
    </xf>
    <xf numFmtId="192" fontId="1" fillId="0" borderId="9" xfId="49" applyNumberFormat="1" applyFont="1" applyBorder="1" applyProtection="1">
      <alignment vertical="center"/>
      <protection locked="0"/>
    </xf>
    <xf numFmtId="192" fontId="1" fillId="0" borderId="12" xfId="49" applyNumberFormat="1" applyFont="1" applyBorder="1" applyProtection="1">
      <alignment vertical="center"/>
      <protection locked="0"/>
    </xf>
    <xf numFmtId="0" fontId="1" fillId="0" borderId="9" xfId="49" applyFont="1" applyBorder="1" applyProtection="1">
      <alignment vertical="center"/>
      <protection locked="0"/>
    </xf>
    <xf numFmtId="0" fontId="0" fillId="0" borderId="9" xfId="60" applyBorder="1" applyAlignment="1" applyProtection="1">
      <alignment horizontal="center" vertical="center" wrapText="1"/>
      <protection locked="0"/>
    </xf>
    <xf numFmtId="0" fontId="0" fillId="0" borderId="9" xfId="60" applyBorder="1" applyAlignment="1">
      <alignment horizontal="center" vertical="center" wrapText="1"/>
    </xf>
    <xf numFmtId="0" fontId="0" fillId="0" borderId="12" xfId="60" applyBorder="1" applyAlignment="1" applyProtection="1">
      <alignment horizontal="center"/>
      <protection locked="0"/>
    </xf>
    <xf numFmtId="0" fontId="0" fillId="0" borderId="9" xfId="60" applyBorder="1" applyAlignment="1" applyProtection="1">
      <alignment horizontal="center"/>
      <protection locked="0"/>
    </xf>
    <xf numFmtId="0" fontId="91" fillId="0" borderId="9" xfId="49" applyFont="1" applyBorder="1" applyProtection="1">
      <alignment vertical="center"/>
      <protection locked="0"/>
    </xf>
    <xf numFmtId="192" fontId="91" fillId="0" borderId="9" xfId="49" applyNumberFormat="1" applyFont="1" applyBorder="1" applyProtection="1">
      <alignment vertical="center"/>
      <protection locked="0"/>
    </xf>
    <xf numFmtId="192" fontId="91" fillId="0" borderId="12" xfId="49" applyNumberFormat="1" applyFont="1" applyBorder="1" applyProtection="1">
      <alignment vertical="center"/>
      <protection locked="0"/>
    </xf>
    <xf numFmtId="192" fontId="1" fillId="0" borderId="9" xfId="49" applyNumberFormat="1" applyFont="1" applyBorder="1">
      <alignment vertical="center"/>
    </xf>
    <xf numFmtId="0" fontId="91" fillId="0" borderId="9" xfId="49" applyFont="1" applyBorder="1">
      <alignment vertical="center"/>
    </xf>
    <xf numFmtId="0" fontId="7" fillId="6" borderId="14" xfId="49" applyFont="1" applyFill="1" applyBorder="1" applyAlignment="1">
      <alignment horizontal="center" vertical="center" wrapText="1"/>
    </xf>
    <xf numFmtId="0" fontId="7" fillId="6" borderId="10" xfId="49" applyFont="1" applyFill="1" applyBorder="1" applyAlignment="1">
      <alignment horizontal="center" vertical="center" wrapText="1"/>
    </xf>
    <xf numFmtId="0" fontId="7" fillId="6" borderId="11" xfId="49" applyFont="1" applyFill="1" applyBorder="1" applyAlignment="1">
      <alignment horizontal="center" vertical="center" wrapText="1"/>
    </xf>
    <xf numFmtId="0" fontId="7" fillId="6" borderId="12" xfId="49" applyFont="1" applyFill="1" applyBorder="1" applyAlignment="1">
      <alignment horizontal="center" vertical="center" wrapText="1"/>
    </xf>
    <xf numFmtId="0" fontId="7" fillId="6" borderId="13" xfId="49" applyFont="1" applyFill="1" applyBorder="1" applyAlignment="1">
      <alignment horizontal="center" vertical="center" wrapText="1"/>
    </xf>
    <xf numFmtId="0" fontId="29" fillId="0" borderId="9" xfId="49" applyFont="1" applyBorder="1" applyAlignment="1">
      <alignment horizontal="center" vertical="center"/>
    </xf>
    <xf numFmtId="185" fontId="92" fillId="38" borderId="9" xfId="60" applyNumberFormat="1" applyFont="1" applyFill="1" applyBorder="1" applyAlignment="1" applyProtection="1">
      <alignment horizontal="center" vertical="top" wrapText="1"/>
      <protection locked="0"/>
    </xf>
    <xf numFmtId="0" fontId="7" fillId="0" borderId="9" xfId="49" applyFont="1" applyBorder="1" applyAlignment="1">
      <alignment horizontal="center" vertical="center"/>
    </xf>
    <xf numFmtId="0" fontId="7" fillId="7" borderId="12" xfId="49" applyFont="1" applyFill="1" applyBorder="1" applyAlignment="1">
      <alignment horizontal="center" vertical="center" wrapText="1"/>
    </xf>
    <xf numFmtId="178" fontId="1" fillId="3" borderId="5" xfId="85" applyFill="1" applyBorder="1">
      <alignment horizontal="right" vertical="center" wrapText="1"/>
    </xf>
    <xf numFmtId="178" fontId="5" fillId="3" borderId="5" xfId="74" applyFont="1" applyFill="1" applyBorder="1">
      <alignment horizontal="right" vertical="center" wrapText="1"/>
      <protection locked="0"/>
    </xf>
    <xf numFmtId="178" fontId="5" fillId="3" borderId="8" xfId="74" applyFont="1" applyFill="1" applyBorder="1">
      <alignment horizontal="right" vertical="center" wrapText="1"/>
      <protection locked="0"/>
    </xf>
    <xf numFmtId="0" fontId="1" fillId="7" borderId="0" xfId="49" applyFont="1" applyFill="1">
      <alignment vertical="center"/>
    </xf>
    <xf numFmtId="0" fontId="46" fillId="2" borderId="0" xfId="0" applyFont="1" applyFill="1">
      <alignment vertical="center"/>
    </xf>
    <xf numFmtId="0" fontId="2" fillId="0" borderId="0" xfId="0" applyFont="1" applyAlignment="1">
      <alignment horizontal="right" vertical="center"/>
    </xf>
    <xf numFmtId="0" fontId="28" fillId="0" borderId="0" xfId="0" applyFont="1">
      <alignment vertical="center"/>
    </xf>
    <xf numFmtId="0" fontId="93" fillId="6" borderId="9" xfId="62" applyFont="1" applyFill="1" applyBorder="1" applyAlignment="1">
      <alignment horizontal="center" vertical="center"/>
    </xf>
    <xf numFmtId="193" fontId="93" fillId="6" borderId="9" xfId="66" applyNumberFormat="1" applyFont="1" applyFill="1" applyBorder="1" applyAlignment="1">
      <alignment horizontal="center" vertical="center"/>
    </xf>
    <xf numFmtId="183" fontId="93" fillId="6" borderId="9" xfId="77" applyNumberFormat="1" applyFont="1" applyFill="1" applyBorder="1" applyAlignment="1">
      <alignment horizontal="center" vertical="center"/>
    </xf>
    <xf numFmtId="183" fontId="93" fillId="6" borderId="9" xfId="84" applyNumberFormat="1" applyFont="1" applyFill="1" applyBorder="1" applyAlignment="1">
      <alignment horizontal="center" vertical="center" wrapText="1"/>
    </xf>
    <xf numFmtId="0" fontId="94" fillId="0" borderId="9" xfId="65" applyFont="1" applyBorder="1" applyAlignment="1" applyProtection="1">
      <alignment vertical="center"/>
      <protection locked="0"/>
    </xf>
    <xf numFmtId="0" fontId="90" fillId="0" borderId="9" xfId="0" applyFont="1" applyBorder="1">
      <alignment vertical="center"/>
    </xf>
    <xf numFmtId="0" fontId="46" fillId="6" borderId="9" xfId="68" applyFont="1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/>
    </xf>
    <xf numFmtId="0" fontId="46" fillId="6" borderId="14" xfId="68" applyFont="1" applyFill="1" applyBorder="1" applyAlignment="1">
      <alignment horizontal="center" vertical="center" wrapText="1"/>
    </xf>
    <xf numFmtId="0" fontId="46" fillId="6" borderId="14" xfId="68" applyFont="1" applyFill="1" applyBorder="1" applyAlignment="1">
      <alignment vertical="center" wrapText="1"/>
    </xf>
    <xf numFmtId="9" fontId="46" fillId="6" borderId="9" xfId="53" applyFont="1" applyFill="1" applyBorder="1" applyAlignment="1">
      <alignment horizontal="center" vertical="center" wrapText="1"/>
    </xf>
    <xf numFmtId="0" fontId="0" fillId="7" borderId="9" xfId="0" applyFill="1" applyBorder="1">
      <alignment vertical="center"/>
    </xf>
    <xf numFmtId="184" fontId="46" fillId="6" borderId="1" xfId="68" applyNumberFormat="1" applyFont="1" applyFill="1" applyBorder="1" applyAlignment="1">
      <alignment horizontal="center" vertical="center" wrapText="1"/>
    </xf>
    <xf numFmtId="184" fontId="46" fillId="6" borderId="2" xfId="68" applyNumberFormat="1" applyFont="1" applyFill="1" applyBorder="1" applyAlignment="1">
      <alignment horizontal="center" vertical="center" wrapText="1"/>
    </xf>
    <xf numFmtId="184" fontId="46" fillId="6" borderId="3" xfId="68" applyNumberFormat="1" applyFont="1" applyFill="1" applyBorder="1" applyAlignment="1">
      <alignment horizontal="center" vertical="center" wrapText="1"/>
    </xf>
    <xf numFmtId="0" fontId="46" fillId="6" borderId="1" xfId="68" applyFont="1" applyFill="1" applyBorder="1" applyAlignment="1">
      <alignment horizontal="center" vertical="center" wrapText="1"/>
    </xf>
    <xf numFmtId="0" fontId="46" fillId="6" borderId="2" xfId="68" applyFont="1" applyFill="1" applyBorder="1" applyAlignment="1">
      <alignment horizontal="center" vertical="center" wrapText="1"/>
    </xf>
    <xf numFmtId="0" fontId="46" fillId="6" borderId="3" xfId="68" applyFont="1" applyFill="1" applyBorder="1" applyAlignment="1">
      <alignment horizontal="center" vertical="center" wrapText="1"/>
    </xf>
    <xf numFmtId="9" fontId="46" fillId="6" borderId="1" xfId="53" applyFont="1" applyFill="1" applyBorder="1" applyAlignment="1">
      <alignment horizontal="center" vertical="center" wrapText="1"/>
    </xf>
    <xf numFmtId="9" fontId="46" fillId="6" borderId="2" xfId="53" applyFont="1" applyFill="1" applyBorder="1" applyAlignment="1">
      <alignment horizontal="center" vertical="center" wrapText="1"/>
    </xf>
    <xf numFmtId="9" fontId="46" fillId="6" borderId="3" xfId="53" applyFont="1" applyFill="1" applyBorder="1" applyAlignment="1">
      <alignment horizontal="center" vertical="center" wrapText="1"/>
    </xf>
    <xf numFmtId="184" fontId="46" fillId="6" borderId="6" xfId="68" applyNumberFormat="1" applyFont="1" applyFill="1" applyBorder="1" applyAlignment="1">
      <alignment horizontal="center" vertical="center" wrapText="1"/>
    </xf>
    <xf numFmtId="184" fontId="46" fillId="6" borderId="7" xfId="68" applyNumberFormat="1" applyFont="1" applyFill="1" applyBorder="1" applyAlignment="1">
      <alignment horizontal="center" vertical="center" wrapText="1"/>
    </xf>
    <xf numFmtId="184" fontId="46" fillId="6" borderId="8" xfId="68" applyNumberFormat="1" applyFont="1" applyFill="1" applyBorder="1" applyAlignment="1">
      <alignment horizontal="center" vertical="center" wrapText="1"/>
    </xf>
    <xf numFmtId="0" fontId="46" fillId="6" borderId="6" xfId="68" applyFont="1" applyFill="1" applyBorder="1" applyAlignment="1">
      <alignment horizontal="center" vertical="center" wrapText="1"/>
    </xf>
    <xf numFmtId="0" fontId="46" fillId="6" borderId="7" xfId="68" applyFont="1" applyFill="1" applyBorder="1" applyAlignment="1">
      <alignment horizontal="center" vertical="center" wrapText="1"/>
    </xf>
    <xf numFmtId="0" fontId="46" fillId="6" borderId="8" xfId="68" applyFont="1" applyFill="1" applyBorder="1" applyAlignment="1">
      <alignment horizontal="center" vertical="center" wrapText="1"/>
    </xf>
    <xf numFmtId="9" fontId="46" fillId="6" borderId="6" xfId="53" applyFont="1" applyFill="1" applyBorder="1" applyAlignment="1">
      <alignment horizontal="center" vertical="center" wrapText="1"/>
    </xf>
    <xf numFmtId="9" fontId="46" fillId="6" borderId="7" xfId="53" applyFont="1" applyFill="1" applyBorder="1" applyAlignment="1">
      <alignment horizontal="center" vertical="center" wrapText="1"/>
    </xf>
    <xf numFmtId="9" fontId="46" fillId="6" borderId="8" xfId="53" applyFont="1" applyFill="1" applyBorder="1" applyAlignment="1">
      <alignment horizontal="center" vertical="center" wrapText="1"/>
    </xf>
    <xf numFmtId="181" fontId="46" fillId="6" borderId="14" xfId="78" applyNumberFormat="1" applyFont="1" applyFill="1" applyBorder="1" applyAlignment="1">
      <alignment horizontal="center" vertical="center" wrapText="1"/>
    </xf>
    <xf numFmtId="0" fontId="46" fillId="6" borderId="14" xfId="78" applyNumberFormat="1" applyFont="1" applyFill="1" applyBorder="1" applyAlignment="1">
      <alignment horizontal="center" vertical="center" wrapText="1"/>
    </xf>
    <xf numFmtId="9" fontId="46" fillId="6" borderId="14" xfId="53" applyFont="1" applyFill="1" applyBorder="1" applyAlignment="1">
      <alignment horizontal="center" vertical="center" wrapText="1"/>
    </xf>
    <xf numFmtId="0" fontId="7" fillId="7" borderId="9" xfId="60" applyFont="1" applyFill="1" applyBorder="1" applyAlignment="1" applyProtection="1">
      <alignment horizontal="center" vertical="center" wrapText="1"/>
      <protection locked="0"/>
    </xf>
    <xf numFmtId="0" fontId="7" fillId="7" borderId="9" xfId="49" applyFont="1" applyFill="1" applyBorder="1" applyAlignment="1">
      <alignment horizontal="center" vertical="center"/>
    </xf>
    <xf numFmtId="0" fontId="7" fillId="7" borderId="1" xfId="49" applyFont="1" applyFill="1" applyBorder="1" applyAlignment="1">
      <alignment horizontal="center" vertical="center"/>
    </xf>
    <xf numFmtId="0" fontId="7" fillId="7" borderId="2" xfId="49" applyFont="1" applyFill="1" applyBorder="1" applyAlignment="1">
      <alignment horizontal="center" vertical="center"/>
    </xf>
    <xf numFmtId="189" fontId="5" fillId="7" borderId="9" xfId="60" applyNumberFormat="1" applyFont="1" applyFill="1" applyBorder="1" applyAlignment="1" applyProtection="1">
      <alignment horizontal="center" vertical="center"/>
      <protection locked="0"/>
    </xf>
    <xf numFmtId="189" fontId="1" fillId="7" borderId="9" xfId="60" applyNumberFormat="1" applyFont="1" applyFill="1" applyBorder="1" applyAlignment="1" applyProtection="1">
      <alignment horizontal="center" vertical="center"/>
      <protection locked="0"/>
    </xf>
    <xf numFmtId="0" fontId="46" fillId="6" borderId="9" xfId="68" applyFont="1" applyFill="1" applyBorder="1" applyAlignment="1">
      <alignment vertical="center" wrapText="1"/>
    </xf>
    <xf numFmtId="0" fontId="2" fillId="0" borderId="9" xfId="68" applyFont="1" applyBorder="1" applyAlignment="1">
      <alignment horizontal="center" vertical="center"/>
    </xf>
    <xf numFmtId="181" fontId="2" fillId="0" borderId="9" xfId="78" applyNumberFormat="1" applyFont="1" applyBorder="1" applyAlignment="1">
      <alignment horizontal="center" vertical="center" shrinkToFit="1"/>
    </xf>
    <xf numFmtId="183" fontId="93" fillId="6" borderId="9" xfId="77" applyNumberFormat="1" applyFont="1" applyFill="1" applyBorder="1" applyAlignment="1">
      <alignment horizontal="center" vertical="center" wrapText="1"/>
    </xf>
    <xf numFmtId="0" fontId="46" fillId="2" borderId="9" xfId="0" applyFont="1" applyFill="1" applyBorder="1">
      <alignment vertical="center"/>
    </xf>
    <xf numFmtId="0" fontId="2" fillId="0" borderId="9" xfId="0" applyFont="1" applyBorder="1">
      <alignment vertical="center"/>
    </xf>
    <xf numFmtId="0" fontId="2" fillId="0" borderId="9" xfId="0" applyFont="1" applyBorder="1" applyAlignment="1">
      <alignment horizontal="right" vertical="center"/>
    </xf>
    <xf numFmtId="43" fontId="93" fillId="6" borderId="9" xfId="84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/>
    </xf>
    <xf numFmtId="0" fontId="46" fillId="0" borderId="0" xfId="68" applyFont="1" applyAlignment="1">
      <alignment vertical="center" wrapText="1"/>
    </xf>
    <xf numFmtId="0" fontId="2" fillId="0" borderId="0" xfId="68" applyFont="1">
      <alignment vertical="center"/>
    </xf>
    <xf numFmtId="183" fontId="2" fillId="4" borderId="0" xfId="68" applyNumberFormat="1" applyFont="1" applyFill="1">
      <alignment vertical="center"/>
    </xf>
    <xf numFmtId="0" fontId="95" fillId="0" borderId="0" xfId="0" applyFont="1">
      <alignment vertical="center"/>
    </xf>
    <xf numFmtId="0" fontId="46" fillId="0" borderId="0" xfId="68" applyFont="1" applyAlignment="1">
      <alignment horizontal="center" vertical="center" wrapText="1"/>
    </xf>
    <xf numFmtId="181" fontId="46" fillId="6" borderId="9" xfId="78" applyNumberFormat="1" applyFont="1" applyFill="1" applyBorder="1" applyAlignment="1">
      <alignment horizontal="center" vertical="center" wrapText="1"/>
    </xf>
    <xf numFmtId="0" fontId="2" fillId="0" borderId="0" xfId="68" applyFont="1" applyAlignment="1">
      <alignment horizontal="center" vertical="center"/>
    </xf>
    <xf numFmtId="0" fontId="2" fillId="0" borderId="0" xfId="68" applyFont="1" applyAlignment="1"/>
    <xf numFmtId="184" fontId="46" fillId="6" borderId="10" xfId="68" applyNumberFormat="1" applyFont="1" applyFill="1" applyBorder="1" applyAlignment="1">
      <alignment horizontal="center" vertical="center" wrapText="1"/>
    </xf>
    <xf numFmtId="184" fontId="46" fillId="6" borderId="11" xfId="68" applyNumberFormat="1" applyFont="1" applyFill="1" applyBorder="1" applyAlignment="1">
      <alignment horizontal="center" vertical="center" wrapText="1"/>
    </xf>
    <xf numFmtId="184" fontId="46" fillId="6" borderId="12" xfId="68" applyNumberFormat="1" applyFont="1" applyFill="1" applyBorder="1" applyAlignment="1">
      <alignment horizontal="center" vertical="center" wrapText="1"/>
    </xf>
    <xf numFmtId="0" fontId="46" fillId="6" borderId="10" xfId="68" applyFont="1" applyFill="1" applyBorder="1" applyAlignment="1">
      <alignment horizontal="center" vertical="center" wrapText="1"/>
    </xf>
    <xf numFmtId="0" fontId="46" fillId="6" borderId="11" xfId="68" applyFont="1" applyFill="1" applyBorder="1" applyAlignment="1">
      <alignment horizontal="center" vertical="center" wrapText="1"/>
    </xf>
    <xf numFmtId="0" fontId="46" fillId="6" borderId="12" xfId="68" applyFont="1" applyFill="1" applyBorder="1" applyAlignment="1">
      <alignment horizontal="center" vertical="center" wrapText="1"/>
    </xf>
    <xf numFmtId="0" fontId="46" fillId="6" borderId="15" xfId="68" applyFont="1" applyFill="1" applyBorder="1" applyAlignment="1">
      <alignment horizontal="center" vertical="center" wrapText="1"/>
    </xf>
    <xf numFmtId="183" fontId="2" fillId="4" borderId="9" xfId="68" applyNumberFormat="1" applyFont="1" applyFill="1" applyBorder="1" applyAlignment="1">
      <alignment horizontal="center" vertical="center"/>
    </xf>
    <xf numFmtId="0" fontId="2" fillId="0" borderId="9" xfId="68" applyFont="1" applyBorder="1">
      <alignment vertical="center"/>
    </xf>
    <xf numFmtId="181" fontId="2" fillId="0" borderId="9" xfId="78" applyNumberFormat="1" applyFont="1" applyBorder="1" applyAlignment="1">
      <alignment horizontal="right" vertical="center" shrinkToFit="1"/>
    </xf>
    <xf numFmtId="183" fontId="2" fillId="7" borderId="9" xfId="68" applyNumberFormat="1" applyFont="1" applyFill="1" applyBorder="1" applyAlignment="1">
      <alignment horizontal="center" vertical="center"/>
    </xf>
    <xf numFmtId="0" fontId="2" fillId="7" borderId="9" xfId="68" applyFont="1" applyFill="1" applyBorder="1" applyAlignment="1">
      <alignment horizontal="center" vertical="center"/>
    </xf>
    <xf numFmtId="0" fontId="2" fillId="7" borderId="9" xfId="68" applyFont="1" applyFill="1" applyBorder="1">
      <alignment vertical="center"/>
    </xf>
    <xf numFmtId="181" fontId="2" fillId="7" borderId="9" xfId="78" applyNumberFormat="1" applyFont="1" applyFill="1" applyBorder="1" applyAlignment="1">
      <alignment horizontal="center" vertical="center" shrinkToFit="1"/>
    </xf>
    <xf numFmtId="181" fontId="2" fillId="7" borderId="9" xfId="78" applyNumberFormat="1" applyFont="1" applyFill="1" applyBorder="1" applyAlignment="1">
      <alignment horizontal="right" vertical="center" shrinkToFit="1"/>
    </xf>
    <xf numFmtId="0" fontId="57" fillId="7" borderId="9" xfId="68" applyFont="1" applyFill="1" applyBorder="1">
      <alignment vertical="center"/>
    </xf>
    <xf numFmtId="183" fontId="2" fillId="32" borderId="9" xfId="68" applyNumberFormat="1" applyFont="1" applyFill="1" applyBorder="1" applyAlignment="1">
      <alignment horizontal="center" vertical="center"/>
    </xf>
    <xf numFmtId="0" fontId="2" fillId="32" borderId="9" xfId="68" applyFont="1" applyFill="1" applyBorder="1" applyAlignment="1">
      <alignment horizontal="center" vertical="center"/>
    </xf>
    <xf numFmtId="0" fontId="46" fillId="32" borderId="9" xfId="68" applyFont="1" applyFill="1" applyBorder="1">
      <alignment vertical="center"/>
    </xf>
    <xf numFmtId="181" fontId="2" fillId="32" borderId="9" xfId="78" applyNumberFormat="1" applyFont="1" applyFill="1" applyBorder="1" applyAlignment="1">
      <alignment horizontal="right" vertical="center" shrinkToFit="1"/>
    </xf>
    <xf numFmtId="0" fontId="96" fillId="7" borderId="9" xfId="68" applyFont="1" applyFill="1" applyBorder="1">
      <alignment vertical="center"/>
    </xf>
    <xf numFmtId="0" fontId="67" fillId="32" borderId="9" xfId="68" applyFont="1" applyFill="1" applyBorder="1">
      <alignment vertical="center"/>
    </xf>
    <xf numFmtId="0" fontId="97" fillId="32" borderId="9" xfId="68" applyFont="1" applyFill="1" applyBorder="1">
      <alignment vertical="center"/>
    </xf>
    <xf numFmtId="0" fontId="97" fillId="7" borderId="9" xfId="68" applyFont="1" applyFill="1" applyBorder="1">
      <alignment vertical="center"/>
    </xf>
    <xf numFmtId="0" fontId="46" fillId="7" borderId="9" xfId="68" applyFont="1" applyFill="1" applyBorder="1" applyAlignment="1">
      <alignment horizontal="left" vertical="center"/>
    </xf>
    <xf numFmtId="0" fontId="67" fillId="6" borderId="9" xfId="0" applyFont="1" applyFill="1" applyBorder="1" applyAlignment="1">
      <alignment horizontal="center" vertical="center" wrapText="1"/>
    </xf>
    <xf numFmtId="186" fontId="67" fillId="6" borderId="9" xfId="0" applyNumberFormat="1" applyFont="1" applyFill="1" applyBorder="1" applyAlignment="1">
      <alignment horizontal="center" vertical="center" wrapText="1"/>
    </xf>
    <xf numFmtId="181" fontId="46" fillId="6" borderId="9" xfId="1" applyNumberFormat="1" applyFont="1" applyFill="1" applyBorder="1" applyAlignment="1">
      <alignment horizontal="center" vertical="center" wrapText="1"/>
    </xf>
    <xf numFmtId="9" fontId="46" fillId="6" borderId="9" xfId="3" applyFont="1" applyFill="1" applyBorder="1" applyAlignment="1">
      <alignment horizontal="center" vertical="center" wrapText="1"/>
    </xf>
    <xf numFmtId="0" fontId="46" fillId="6" borderId="9" xfId="0" applyFont="1" applyFill="1" applyBorder="1" applyAlignment="1">
      <alignment horizontal="center" vertical="center" wrapText="1"/>
    </xf>
    <xf numFmtId="188" fontId="67" fillId="6" borderId="9" xfId="0" applyNumberFormat="1" applyFont="1" applyFill="1" applyBorder="1" applyAlignment="1">
      <alignment horizontal="center" vertical="center" wrapText="1"/>
    </xf>
    <xf numFmtId="184" fontId="67" fillId="6" borderId="9" xfId="0" applyNumberFormat="1" applyFont="1" applyFill="1" applyBorder="1" applyAlignment="1">
      <alignment horizontal="center" vertical="center" wrapText="1"/>
    </xf>
    <xf numFmtId="181" fontId="96" fillId="0" borderId="9" xfId="1" applyNumberFormat="1" applyFont="1" applyBorder="1" applyAlignment="1">
      <alignment horizontal="center" vertical="center"/>
    </xf>
    <xf numFmtId="186" fontId="96" fillId="4" borderId="9" xfId="0" applyNumberFormat="1" applyFont="1" applyFill="1" applyBorder="1" applyAlignment="1">
      <alignment horizontal="center" vertical="center"/>
    </xf>
    <xf numFmtId="0" fontId="96" fillId="4" borderId="9" xfId="0" applyFont="1" applyFill="1" applyBorder="1" applyAlignment="1">
      <alignment horizontal="center" vertical="center"/>
    </xf>
    <xf numFmtId="0" fontId="96" fillId="4" borderId="9" xfId="0" applyFont="1" applyFill="1" applyBorder="1" applyAlignment="1">
      <alignment horizontal="left" vertical="center"/>
    </xf>
    <xf numFmtId="0" fontId="98" fillId="0" borderId="0" xfId="0" applyFont="1">
      <alignment vertical="center"/>
    </xf>
    <xf numFmtId="49" fontId="99" fillId="39" borderId="24" xfId="62" applyNumberFormat="1" applyFont="1" applyFill="1" applyBorder="1" applyAlignment="1" applyProtection="1">
      <alignment horizontal="center" vertical="center"/>
      <protection locked="0"/>
    </xf>
    <xf numFmtId="0" fontId="99" fillId="39" borderId="24" xfId="62" applyFont="1" applyFill="1" applyBorder="1" applyAlignment="1" applyProtection="1">
      <alignment horizontal="center" vertical="center"/>
      <protection locked="0"/>
    </xf>
    <xf numFmtId="0" fontId="99" fillId="39" borderId="29" xfId="62" applyFont="1" applyFill="1" applyBorder="1" applyAlignment="1" applyProtection="1">
      <alignment horizontal="center" vertical="center"/>
      <protection locked="0"/>
    </xf>
    <xf numFmtId="0" fontId="95" fillId="39" borderId="9" xfId="0" applyFont="1" applyFill="1" applyBorder="1" applyAlignment="1">
      <alignment horizontal="center" vertical="center"/>
    </xf>
    <xf numFmtId="0" fontId="100" fillId="0" borderId="24" xfId="62" applyFont="1" applyBorder="1" applyAlignment="1" applyProtection="1">
      <alignment horizontal="center" vertical="center"/>
      <protection locked="0"/>
    </xf>
    <xf numFmtId="49" fontId="101" fillId="19" borderId="24" xfId="62" applyNumberFormat="1" applyFont="1" applyFill="1" applyBorder="1" applyAlignment="1" applyProtection="1">
      <alignment horizontal="center" vertical="center"/>
      <protection locked="0"/>
    </xf>
    <xf numFmtId="1" fontId="101" fillId="19" borderId="24" xfId="62" applyNumberFormat="1" applyFont="1" applyFill="1" applyBorder="1" applyAlignment="1" applyProtection="1">
      <alignment horizontal="center" vertical="center"/>
      <protection locked="0"/>
    </xf>
    <xf numFmtId="0" fontId="101" fillId="19" borderId="24" xfId="62" applyFont="1" applyFill="1" applyBorder="1" applyAlignment="1" applyProtection="1">
      <alignment horizontal="center" vertical="center"/>
      <protection locked="0"/>
    </xf>
    <xf numFmtId="0" fontId="101" fillId="19" borderId="24" xfId="62" applyFont="1" applyFill="1" applyBorder="1" applyAlignment="1" applyProtection="1">
      <alignment horizontal="left" vertical="center"/>
      <protection locked="0"/>
    </xf>
    <xf numFmtId="0" fontId="46" fillId="40" borderId="9" xfId="0" applyFont="1" applyFill="1" applyBorder="1" applyAlignment="1">
      <alignment horizontal="center" vertical="center"/>
    </xf>
    <xf numFmtId="0" fontId="102" fillId="0" borderId="0" xfId="0" applyFont="1">
      <alignment vertical="center"/>
    </xf>
    <xf numFmtId="177" fontId="39" fillId="41" borderId="30" xfId="0" applyNumberFormat="1" applyFont="1" applyFill="1" applyBorder="1">
      <alignment vertical="center"/>
    </xf>
    <xf numFmtId="177" fontId="103" fillId="0" borderId="0" xfId="0" applyNumberFormat="1" applyFont="1">
      <alignment vertical="center"/>
    </xf>
    <xf numFmtId="177" fontId="39" fillId="0" borderId="0" xfId="0" applyNumberFormat="1" applyFont="1">
      <alignment vertical="center"/>
    </xf>
    <xf numFmtId="177" fontId="39" fillId="0" borderId="30" xfId="0" applyNumberFormat="1" applyFont="1" applyBorder="1">
      <alignment vertical="center"/>
    </xf>
    <xf numFmtId="0" fontId="62" fillId="0" borderId="0" xfId="69" applyFont="1"/>
    <xf numFmtId="43" fontId="59" fillId="42" borderId="0" xfId="79" applyFont="1" applyFill="1" applyAlignment="1">
      <alignment vertical="center" shrinkToFit="1"/>
    </xf>
    <xf numFmtId="0" fontId="87" fillId="19" borderId="0" xfId="69" applyFont="1" applyFill="1"/>
    <xf numFmtId="181" fontId="104" fillId="43" borderId="31" xfId="69" applyNumberFormat="1" applyFont="1" applyFill="1" applyBorder="1" applyAlignment="1">
      <alignment vertical="center"/>
    </xf>
    <xf numFmtId="0" fontId="62" fillId="0" borderId="0" xfId="69" applyFont="1" applyAlignment="1">
      <alignment vertical="center"/>
    </xf>
    <xf numFmtId="0" fontId="87" fillId="0" borderId="9" xfId="69" applyFont="1" applyBorder="1" applyAlignment="1">
      <alignment horizontal="center" vertical="center"/>
    </xf>
    <xf numFmtId="0" fontId="87" fillId="7" borderId="9" xfId="69" applyFont="1" applyFill="1" applyBorder="1" applyAlignment="1">
      <alignment horizontal="center" vertical="center"/>
    </xf>
    <xf numFmtId="0" fontId="89" fillId="7" borderId="32" xfId="69" applyFont="1" applyFill="1" applyBorder="1" applyAlignment="1">
      <alignment horizontal="center" vertical="center"/>
    </xf>
    <xf numFmtId="0" fontId="87" fillId="0" borderId="10" xfId="69" applyFont="1" applyBorder="1" applyAlignment="1">
      <alignment horizontal="center" vertical="center"/>
    </xf>
    <xf numFmtId="0" fontId="87" fillId="0" borderId="0" xfId="69" applyFont="1" applyAlignment="1">
      <alignment vertical="center"/>
    </xf>
    <xf numFmtId="0" fontId="62" fillId="0" borderId="0" xfId="69" applyFont="1" applyAlignment="1">
      <alignment horizontal="center" vertical="center"/>
    </xf>
    <xf numFmtId="0" fontId="62" fillId="19" borderId="0" xfId="69" applyFont="1" applyFill="1" applyAlignment="1">
      <alignment vertical="center"/>
    </xf>
    <xf numFmtId="0" fontId="87" fillId="19" borderId="0" xfId="69" applyFont="1" applyFill="1" applyAlignment="1">
      <alignment vertical="center"/>
    </xf>
    <xf numFmtId="0" fontId="105" fillId="44" borderId="9" xfId="63" applyNumberFormat="1" applyFont="1" applyFill="1" applyBorder="1" applyAlignment="1">
      <alignment horizontal="center" vertical="center"/>
    </xf>
    <xf numFmtId="0" fontId="59" fillId="45" borderId="14" xfId="69" applyFont="1" applyFill="1" applyBorder="1" applyAlignment="1">
      <alignment horizontal="center" vertical="center"/>
    </xf>
    <xf numFmtId="181" fontId="104" fillId="43" borderId="9" xfId="69" applyNumberFormat="1" applyFont="1" applyFill="1" applyBorder="1" applyAlignment="1">
      <alignment horizontal="center" vertical="center"/>
    </xf>
    <xf numFmtId="0" fontId="104" fillId="43" borderId="9" xfId="69" applyFont="1" applyFill="1" applyBorder="1" applyAlignment="1">
      <alignment horizontal="center" vertical="center"/>
    </xf>
    <xf numFmtId="0" fontId="62" fillId="0" borderId="9" xfId="69" applyFont="1" applyBorder="1" applyAlignment="1">
      <alignment vertical="center"/>
    </xf>
    <xf numFmtId="0" fontId="62" fillId="46" borderId="9" xfId="69" applyFont="1" applyFill="1" applyBorder="1" applyAlignment="1">
      <alignment horizontal="center" vertical="center"/>
    </xf>
    <xf numFmtId="0" fontId="63" fillId="46" borderId="32" xfId="69" applyFont="1" applyFill="1" applyBorder="1" applyAlignment="1">
      <alignment horizontal="center"/>
    </xf>
    <xf numFmtId="0" fontId="62" fillId="0" borderId="10" xfId="69" applyFont="1" applyBorder="1" applyAlignment="1">
      <alignment horizontal="center" vertical="center"/>
    </xf>
    <xf numFmtId="0" fontId="62" fillId="0" borderId="9" xfId="69" applyFont="1" applyBorder="1" applyAlignment="1">
      <alignment horizontal="left" vertical="center"/>
    </xf>
    <xf numFmtId="0" fontId="106" fillId="0" borderId="0" xfId="72" applyFont="1" applyAlignment="1">
      <alignment vertical="center"/>
    </xf>
    <xf numFmtId="0" fontId="62" fillId="0" borderId="9" xfId="69" applyFont="1" applyBorder="1" applyAlignment="1">
      <alignment horizontal="center" vertical="center"/>
    </xf>
    <xf numFmtId="0" fontId="62" fillId="47" borderId="0" xfId="69" applyFont="1" applyFill="1" applyAlignment="1">
      <alignment horizontal="center" vertical="center"/>
    </xf>
    <xf numFmtId="0" fontId="107" fillId="44" borderId="9" xfId="63" applyNumberFormat="1" applyFont="1" applyFill="1" applyBorder="1" applyAlignment="1">
      <alignment horizontal="center" vertical="center"/>
    </xf>
    <xf numFmtId="0" fontId="59" fillId="45" borderId="13" xfId="69" applyFont="1" applyFill="1" applyBorder="1" applyAlignment="1">
      <alignment horizontal="center" vertical="center"/>
    </xf>
    <xf numFmtId="181" fontId="62" fillId="0" borderId="9" xfId="69" applyNumberFormat="1" applyFont="1" applyBorder="1" applyAlignment="1">
      <alignment vertical="center"/>
    </xf>
    <xf numFmtId="0" fontId="62" fillId="0" borderId="9" xfId="67" applyNumberFormat="1" applyFont="1" applyBorder="1" applyAlignment="1">
      <alignment vertical="center"/>
    </xf>
    <xf numFmtId="0" fontId="59" fillId="0" borderId="9" xfId="69" applyFont="1" applyBorder="1" applyAlignment="1">
      <alignment vertical="center"/>
    </xf>
    <xf numFmtId="0" fontId="64" fillId="19" borderId="0" xfId="69" applyFont="1" applyFill="1" applyAlignment="1">
      <alignment vertical="center"/>
    </xf>
    <xf numFmtId="181" fontId="64" fillId="46" borderId="9" xfId="69" applyNumberFormat="1" applyFont="1" applyFill="1" applyBorder="1" applyAlignment="1">
      <alignment vertical="center"/>
    </xf>
    <xf numFmtId="0" fontId="64" fillId="46" borderId="9" xfId="69" applyFont="1" applyFill="1" applyBorder="1" applyAlignment="1">
      <alignment vertical="center"/>
    </xf>
    <xf numFmtId="0" fontId="60" fillId="19" borderId="9" xfId="51" applyNumberFormat="1" applyFont="1" applyFill="1" applyBorder="1" applyAlignment="1">
      <alignment vertical="center"/>
    </xf>
    <xf numFmtId="0" fontId="62" fillId="7" borderId="9" xfId="69" applyFont="1" applyFill="1" applyBorder="1" applyAlignment="1">
      <alignment horizontal="center" vertical="center"/>
    </xf>
    <xf numFmtId="0" fontId="63" fillId="7" borderId="32" xfId="69" applyFont="1" applyFill="1" applyBorder="1" applyAlignment="1">
      <alignment horizontal="center"/>
    </xf>
    <xf numFmtId="0" fontId="87" fillId="46" borderId="9" xfId="69" applyFont="1" applyFill="1" applyBorder="1" applyAlignment="1">
      <alignment vertical="center"/>
    </xf>
    <xf numFmtId="0" fontId="62" fillId="0" borderId="33" xfId="69" applyFont="1" applyBorder="1" applyAlignment="1">
      <alignment vertical="center"/>
    </xf>
    <xf numFmtId="0" fontId="59" fillId="0" borderId="9" xfId="69" applyFont="1" applyBorder="1" applyAlignment="1">
      <alignment horizontal="center" vertical="center"/>
    </xf>
    <xf numFmtId="0" fontId="87" fillId="46" borderId="9" xfId="69" applyFont="1" applyFill="1" applyBorder="1" applyAlignment="1">
      <alignment horizontal="center" vertical="center"/>
    </xf>
    <xf numFmtId="181" fontId="82" fillId="0" borderId="9" xfId="69" applyNumberFormat="1" applyFont="1" applyBorder="1" applyAlignment="1">
      <alignment vertical="center"/>
    </xf>
    <xf numFmtId="0" fontId="87" fillId="19" borderId="9" xfId="69" applyFont="1" applyFill="1" applyBorder="1" applyAlignment="1">
      <alignment horizontal="center" vertical="center"/>
    </xf>
    <xf numFmtId="0" fontId="63" fillId="4" borderId="0" xfId="69" applyFont="1" applyFill="1"/>
    <xf numFmtId="0" fontId="62" fillId="4" borderId="0" xfId="69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48" borderId="9" xfId="0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34" borderId="9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16" fillId="34" borderId="11" xfId="0" applyFont="1" applyFill="1" applyBorder="1" applyAlignment="1">
      <alignment horizontal="center" vertical="center"/>
    </xf>
    <xf numFmtId="0" fontId="16" fillId="34" borderId="12" xfId="0" applyFont="1" applyFill="1" applyBorder="1" applyAlignment="1">
      <alignment horizontal="center" vertical="center"/>
    </xf>
    <xf numFmtId="181" fontId="0" fillId="0" borderId="9" xfId="0" applyNumberFormat="1" applyBorder="1" applyAlignment="1">
      <alignment horizontal="center" vertical="center"/>
    </xf>
    <xf numFmtId="181" fontId="17" fillId="0" borderId="9" xfId="0" applyNumberFormat="1" applyFont="1" applyBorder="1" applyAlignment="1">
      <alignment horizontal="center" vertical="center"/>
    </xf>
    <xf numFmtId="181" fontId="0" fillId="0" borderId="9" xfId="0" applyNumberFormat="1" applyBorder="1">
      <alignment vertical="center"/>
    </xf>
    <xf numFmtId="181" fontId="17" fillId="0" borderId="9" xfId="0" applyNumberFormat="1" applyFont="1" applyBorder="1">
      <alignment vertical="center"/>
    </xf>
    <xf numFmtId="0" fontId="19" fillId="49" borderId="9" xfId="0" applyFont="1" applyFill="1" applyBorder="1" applyAlignment="1">
      <alignment horizontal="center" vertical="center"/>
    </xf>
    <xf numFmtId="0" fontId="19" fillId="49" borderId="14" xfId="0" applyFont="1" applyFill="1" applyBorder="1" applyAlignment="1">
      <alignment horizontal="center" vertical="center"/>
    </xf>
    <xf numFmtId="0" fontId="19" fillId="50" borderId="14" xfId="0" applyFont="1" applyFill="1" applyBorder="1" applyAlignment="1">
      <alignment horizontal="center" vertical="center"/>
    </xf>
    <xf numFmtId="186" fontId="19" fillId="50" borderId="14" xfId="0" applyNumberFormat="1" applyFont="1" applyFill="1" applyBorder="1" applyAlignment="1">
      <alignment horizontal="center" vertical="center"/>
    </xf>
    <xf numFmtId="187" fontId="19" fillId="50" borderId="10" xfId="0" applyNumberFormat="1" applyFont="1" applyFill="1" applyBorder="1" applyAlignment="1">
      <alignment horizontal="center" vertical="center"/>
    </xf>
    <xf numFmtId="187" fontId="19" fillId="50" borderId="11" xfId="0" applyNumberFormat="1" applyFont="1" applyFill="1" applyBorder="1" applyAlignment="1">
      <alignment horizontal="center" vertical="center"/>
    </xf>
    <xf numFmtId="187" fontId="19" fillId="50" borderId="12" xfId="0" applyNumberFormat="1" applyFont="1" applyFill="1" applyBorder="1" applyAlignment="1">
      <alignment horizontal="center" vertical="center"/>
    </xf>
    <xf numFmtId="0" fontId="19" fillId="49" borderId="13" xfId="0" applyFont="1" applyFill="1" applyBorder="1" applyAlignment="1">
      <alignment horizontal="center" vertical="center"/>
    </xf>
    <xf numFmtId="0" fontId="19" fillId="50" borderId="13" xfId="0" applyFont="1" applyFill="1" applyBorder="1" applyAlignment="1">
      <alignment horizontal="center" vertical="center"/>
    </xf>
    <xf numFmtId="186" fontId="19" fillId="50" borderId="13" xfId="0" applyNumberFormat="1" applyFont="1" applyFill="1" applyBorder="1" applyAlignment="1">
      <alignment horizontal="center" vertical="center"/>
    </xf>
    <xf numFmtId="188" fontId="19" fillId="50" borderId="9" xfId="0" applyNumberFormat="1" applyFont="1" applyFill="1" applyBorder="1" applyAlignment="1">
      <alignment horizontal="center" vertical="center"/>
    </xf>
    <xf numFmtId="184" fontId="19" fillId="50" borderId="9" xfId="0" applyNumberFormat="1" applyFont="1" applyFill="1" applyBorder="1" applyAlignment="1">
      <alignment horizontal="center" vertical="center"/>
    </xf>
    <xf numFmtId="188" fontId="19" fillId="50" borderId="12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08" fillId="0" borderId="34" xfId="0" applyFont="1" applyBorder="1" applyAlignment="1">
      <alignment horizontal="left" vertical="center"/>
    </xf>
    <xf numFmtId="186" fontId="108" fillId="4" borderId="35" xfId="0" applyNumberFormat="1" applyFont="1" applyFill="1" applyBorder="1" applyAlignment="1">
      <alignment horizontal="center" vertical="center"/>
    </xf>
    <xf numFmtId="186" fontId="108" fillId="0" borderId="35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5" fillId="0" borderId="16" xfId="0" applyFont="1" applyBorder="1" applyAlignment="1">
      <alignment horizontal="left" vertical="center"/>
    </xf>
    <xf numFmtId="0" fontId="109" fillId="0" borderId="16" xfId="0" applyFont="1" applyBorder="1" applyAlignment="1">
      <alignment horizontal="left" vertical="center"/>
    </xf>
    <xf numFmtId="0" fontId="47" fillId="51" borderId="16" xfId="0" applyFont="1" applyFill="1" applyBorder="1">
      <alignment vertical="center"/>
    </xf>
    <xf numFmtId="181" fontId="108" fillId="4" borderId="17" xfId="1" applyNumberFormat="1" applyFont="1" applyFill="1" applyBorder="1" applyAlignment="1">
      <alignment horizontal="center" vertical="center"/>
    </xf>
    <xf numFmtId="0" fontId="108" fillId="0" borderId="16" xfId="0" applyFont="1" applyBorder="1">
      <alignment vertical="center"/>
    </xf>
    <xf numFmtId="0" fontId="108" fillId="51" borderId="16" xfId="0" applyFont="1" applyFill="1" applyBorder="1">
      <alignment vertical="center"/>
    </xf>
    <xf numFmtId="0" fontId="25" fillId="0" borderId="16" xfId="0" applyFont="1" applyBorder="1">
      <alignment vertical="center"/>
    </xf>
    <xf numFmtId="0" fontId="19" fillId="0" borderId="16" xfId="0" applyFont="1" applyBorder="1">
      <alignment vertical="center"/>
    </xf>
    <xf numFmtId="0" fontId="63" fillId="51" borderId="16" xfId="0" applyFont="1" applyFill="1" applyBorder="1">
      <alignment vertical="center"/>
    </xf>
    <xf numFmtId="43" fontId="108" fillId="0" borderId="0" xfId="0" applyNumberFormat="1" applyFont="1" applyAlignment="1">
      <alignment vertical="center" shrinkToFit="1"/>
    </xf>
    <xf numFmtId="43" fontId="108" fillId="0" borderId="0" xfId="0" applyNumberFormat="1" applyFont="1">
      <alignment vertical="center"/>
    </xf>
    <xf numFmtId="10" fontId="108" fillId="0" borderId="0" xfId="0" applyNumberFormat="1" applyFont="1">
      <alignment vertical="center"/>
    </xf>
    <xf numFmtId="10" fontId="108" fillId="0" borderId="0" xfId="0" applyNumberFormat="1" applyFont="1" applyAlignment="1">
      <alignment horizontal="center" vertical="center"/>
    </xf>
    <xf numFmtId="181" fontId="108" fillId="0" borderId="0" xfId="1" applyNumberFormat="1" applyFont="1">
      <alignment vertical="center"/>
    </xf>
    <xf numFmtId="186" fontId="19" fillId="21" borderId="14" xfId="0" applyNumberFormat="1" applyFont="1" applyFill="1" applyBorder="1" applyAlignment="1">
      <alignment horizontal="center" vertical="center"/>
    </xf>
    <xf numFmtId="186" fontId="19" fillId="21" borderId="13" xfId="0" applyNumberFormat="1" applyFont="1" applyFill="1" applyBorder="1" applyAlignment="1">
      <alignment horizontal="center" vertical="center"/>
    </xf>
    <xf numFmtId="188" fontId="19" fillId="21" borderId="9" xfId="0" applyNumberFormat="1" applyFont="1" applyFill="1" applyBorder="1" applyAlignment="1">
      <alignment horizontal="center" vertical="center"/>
    </xf>
    <xf numFmtId="184" fontId="19" fillId="21" borderId="9" xfId="0" applyNumberFormat="1" applyFont="1" applyFill="1" applyBorder="1" applyAlignment="1">
      <alignment horizontal="center" vertical="center"/>
    </xf>
    <xf numFmtId="188" fontId="19" fillId="21" borderId="12" xfId="0" applyNumberFormat="1" applyFont="1" applyFill="1" applyBorder="1" applyAlignment="1">
      <alignment horizontal="center" vertical="center"/>
    </xf>
    <xf numFmtId="0" fontId="21" fillId="0" borderId="16" xfId="0" applyFont="1" applyBorder="1">
      <alignment vertical="center"/>
    </xf>
    <xf numFmtId="0" fontId="47" fillId="0" borderId="36" xfId="0" applyFont="1" applyBorder="1" applyAlignment="1">
      <alignment vertical="center" wrapText="1"/>
    </xf>
    <xf numFmtId="0" fontId="108" fillId="0" borderId="0" xfId="0" applyFont="1" applyAlignment="1">
      <alignment vertical="center" wrapText="1"/>
    </xf>
    <xf numFmtId="181" fontId="108" fillId="0" borderId="9" xfId="1" applyNumberFormat="1" applyFont="1" applyBorder="1" applyAlignment="1">
      <alignment horizontal="center" vertical="center" wrapText="1"/>
    </xf>
    <xf numFmtId="189" fontId="10" fillId="0" borderId="9" xfId="0" applyNumberFormat="1" applyFont="1" applyBorder="1">
      <alignment vertical="center"/>
    </xf>
    <xf numFmtId="189" fontId="10" fillId="0" borderId="13" xfId="0" applyNumberFormat="1" applyFont="1" applyBorder="1" applyAlignment="1">
      <alignment horizontal="center" vertical="center"/>
    </xf>
    <xf numFmtId="189" fontId="10" fillId="0" borderId="9" xfId="0" applyNumberFormat="1" applyFont="1" applyBorder="1" applyAlignment="1">
      <alignment horizontal="center" vertical="center"/>
    </xf>
    <xf numFmtId="189" fontId="110" fillId="24" borderId="9" xfId="0" applyNumberFormat="1" applyFont="1" applyFill="1" applyBorder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19" fillId="21" borderId="9" xfId="0" applyFont="1" applyFill="1" applyBorder="1" applyAlignment="1">
      <alignment horizontal="center" vertical="center"/>
    </xf>
    <xf numFmtId="0" fontId="19" fillId="21" borderId="14" xfId="0" applyFont="1" applyFill="1" applyBorder="1" applyAlignment="1">
      <alignment horizontal="center" vertical="center"/>
    </xf>
    <xf numFmtId="181" fontId="23" fillId="50" borderId="9" xfId="1" applyNumberFormat="1" applyFont="1" applyFill="1" applyBorder="1" applyAlignment="1">
      <alignment horizontal="center" vertical="center"/>
    </xf>
    <xf numFmtId="181" fontId="23" fillId="50" borderId="9" xfId="1" applyNumberFormat="1" applyFont="1" applyFill="1" applyBorder="1" applyAlignment="1">
      <alignment horizontal="center" vertical="center" wrapText="1"/>
    </xf>
    <xf numFmtId="9" fontId="19" fillId="21" borderId="10" xfId="3" applyFont="1" applyFill="1" applyBorder="1" applyAlignment="1">
      <alignment horizontal="center" vertical="center"/>
    </xf>
    <xf numFmtId="9" fontId="19" fillId="21" borderId="9" xfId="3" applyFont="1" applyFill="1" applyBorder="1" applyAlignment="1">
      <alignment horizontal="center" vertical="center"/>
    </xf>
    <xf numFmtId="0" fontId="14" fillId="7" borderId="9" xfId="0" applyFont="1" applyFill="1" applyBorder="1">
      <alignment vertical="center"/>
    </xf>
    <xf numFmtId="0" fontId="47" fillId="0" borderId="34" xfId="0" applyFont="1" applyBorder="1" applyAlignment="1">
      <alignment horizontal="left" vertical="center"/>
    </xf>
    <xf numFmtId="181" fontId="14" fillId="0" borderId="0" xfId="0" applyNumberFormat="1" applyFont="1">
      <alignment vertical="center"/>
    </xf>
    <xf numFmtId="0" fontId="25" fillId="19" borderId="16" xfId="0" applyFont="1" applyFill="1" applyBorder="1" applyAlignment="1">
      <alignment horizontal="left" vertical="center"/>
    </xf>
    <xf numFmtId="0" fontId="14" fillId="0" borderId="9" xfId="0" applyFont="1" applyBorder="1" applyAlignment="1">
      <alignment vertical="center" wrapText="1"/>
    </xf>
    <xf numFmtId="43" fontId="14" fillId="0" borderId="0" xfId="0" applyNumberFormat="1" applyFont="1">
      <alignment vertical="center"/>
    </xf>
    <xf numFmtId="43" fontId="14" fillId="0" borderId="9" xfId="0" applyNumberFormat="1" applyFont="1" applyBorder="1">
      <alignment vertical="center"/>
    </xf>
    <xf numFmtId="10" fontId="14" fillId="0" borderId="9" xfId="3" applyNumberFormat="1" applyFont="1" applyBorder="1">
      <alignment vertical="center"/>
    </xf>
    <xf numFmtId="194" fontId="14" fillId="0" borderId="0" xfId="0" applyNumberFormat="1" applyFont="1">
      <alignment vertical="center"/>
    </xf>
    <xf numFmtId="0" fontId="14" fillId="0" borderId="14" xfId="0" applyFont="1" applyBorder="1">
      <alignment vertical="center"/>
    </xf>
    <xf numFmtId="43" fontId="108" fillId="40" borderId="9" xfId="1" applyFont="1" applyFill="1" applyBorder="1" applyAlignment="1">
      <alignment horizontal="center" vertical="center"/>
    </xf>
    <xf numFmtId="9" fontId="108" fillId="0" borderId="9" xfId="3" applyFont="1" applyBorder="1">
      <alignment vertical="center"/>
    </xf>
    <xf numFmtId="186" fontId="19" fillId="21" borderId="9" xfId="0" applyNumberFormat="1" applyFont="1" applyFill="1" applyBorder="1" applyAlignment="1">
      <alignment horizontal="center" vertical="center"/>
    </xf>
    <xf numFmtId="9" fontId="19" fillId="21" borderId="12" xfId="3" applyFont="1" applyFill="1" applyBorder="1" applyAlignment="1">
      <alignment horizontal="center" vertical="center"/>
    </xf>
    <xf numFmtId="0" fontId="108" fillId="0" borderId="9" xfId="0" applyFont="1" applyBorder="1">
      <alignment vertical="center"/>
    </xf>
    <xf numFmtId="0" fontId="14" fillId="0" borderId="8" xfId="0" applyFont="1" applyBorder="1">
      <alignment vertical="center"/>
    </xf>
    <xf numFmtId="0" fontId="14" fillId="0" borderId="0" xfId="0" applyFont="1" applyAlignment="1">
      <alignment horizontal="center" vertical="center" wrapText="1"/>
    </xf>
    <xf numFmtId="0" fontId="14" fillId="0" borderId="12" xfId="0" applyFont="1" applyBorder="1">
      <alignment vertical="center"/>
    </xf>
    <xf numFmtId="0" fontId="21" fillId="0" borderId="9" xfId="0" applyFont="1" applyBorder="1">
      <alignment vertical="center"/>
    </xf>
    <xf numFmtId="0" fontId="47" fillId="0" borderId="9" xfId="0" applyFont="1" applyBorder="1" applyAlignment="1">
      <alignment vertical="center" wrapText="1"/>
    </xf>
    <xf numFmtId="0" fontId="14" fillId="0" borderId="3" xfId="0" applyFont="1" applyBorder="1">
      <alignment vertical="center"/>
    </xf>
    <xf numFmtId="0" fontId="108" fillId="0" borderId="9" xfId="0" applyFont="1" applyBorder="1" applyAlignment="1">
      <alignment vertical="center" wrapText="1"/>
    </xf>
    <xf numFmtId="9" fontId="108" fillId="0" borderId="9" xfId="3" applyFont="1" applyBorder="1" applyAlignment="1">
      <alignment vertical="center" wrapText="1"/>
    </xf>
    <xf numFmtId="0" fontId="108" fillId="24" borderId="9" xfId="0" applyFont="1" applyFill="1" applyBorder="1" applyAlignment="1">
      <alignment vertical="center" wrapText="1"/>
    </xf>
    <xf numFmtId="1" fontId="108" fillId="0" borderId="9" xfId="0" applyNumberFormat="1" applyFont="1" applyBorder="1" applyAlignment="1">
      <alignment vertical="center" wrapText="1"/>
    </xf>
    <xf numFmtId="0" fontId="111" fillId="4" borderId="0" xfId="6" applyFont="1" applyFill="1" applyAlignment="1">
      <alignment horizontal="center" vertical="center"/>
    </xf>
    <xf numFmtId="0" fontId="23" fillId="50" borderId="9" xfId="65" applyFont="1" applyFill="1" applyBorder="1" applyAlignment="1">
      <alignment horizontal="center" vertical="center"/>
    </xf>
    <xf numFmtId="190" fontId="23" fillId="50" borderId="9" xfId="52" applyNumberFormat="1" applyFont="1" applyFill="1" applyBorder="1" applyAlignment="1">
      <alignment horizontal="center" vertical="center"/>
    </xf>
    <xf numFmtId="189" fontId="23" fillId="50" borderId="9" xfId="65" applyNumberFormat="1" applyFont="1" applyFill="1" applyBorder="1" applyAlignment="1">
      <alignment horizontal="center" vertical="center" wrapText="1"/>
    </xf>
    <xf numFmtId="0" fontId="25" fillId="52" borderId="9" xfId="65" applyFont="1" applyFill="1" applyBorder="1" applyAlignment="1">
      <alignment horizontal="center" vertical="center"/>
    </xf>
    <xf numFmtId="0" fontId="14" fillId="52" borderId="9" xfId="65" applyFont="1" applyFill="1" applyBorder="1" applyAlignment="1">
      <alignment horizontal="left" vertical="center"/>
    </xf>
    <xf numFmtId="43" fontId="112" fillId="0" borderId="9" xfId="1" applyFont="1" applyBorder="1" applyAlignment="1">
      <alignment horizontal="center" vertical="center"/>
    </xf>
    <xf numFmtId="189" fontId="14" fillId="4" borderId="9" xfId="65" applyNumberFormat="1" applyFont="1" applyFill="1" applyBorder="1" applyAlignment="1">
      <alignment horizontal="center" vertical="center" wrapText="1"/>
    </xf>
    <xf numFmtId="0" fontId="25" fillId="4" borderId="9" xfId="65" applyFont="1" applyFill="1" applyBorder="1" applyAlignment="1">
      <alignment horizontal="center" vertical="center"/>
    </xf>
    <xf numFmtId="0" fontId="14" fillId="4" borderId="9" xfId="65" applyFont="1" applyFill="1" applyBorder="1" applyAlignment="1">
      <alignment horizontal="left" vertical="center"/>
    </xf>
    <xf numFmtId="0" fontId="23" fillId="52" borderId="9" xfId="65" applyFont="1" applyFill="1" applyBorder="1" applyAlignment="1">
      <alignment horizontal="left" vertical="center"/>
    </xf>
    <xf numFmtId="0" fontId="14" fillId="4" borderId="9" xfId="65" applyFont="1" applyFill="1" applyBorder="1" applyAlignment="1">
      <alignment vertical="center"/>
    </xf>
    <xf numFmtId="0" fontId="25" fillId="4" borderId="9" xfId="65" applyFont="1" applyFill="1" applyBorder="1" applyAlignment="1">
      <alignment vertical="center"/>
    </xf>
    <xf numFmtId="0" fontId="19" fillId="4" borderId="9" xfId="65" applyFont="1" applyFill="1" applyBorder="1" applyAlignment="1">
      <alignment vertical="center"/>
    </xf>
    <xf numFmtId="0" fontId="19" fillId="52" borderId="9" xfId="65" applyFont="1" applyFill="1" applyBorder="1" applyAlignment="1">
      <alignment vertical="center"/>
    </xf>
    <xf numFmtId="0" fontId="21" fillId="4" borderId="0" xfId="65" applyFont="1" applyFill="1" applyAlignment="1">
      <alignment vertical="center"/>
    </xf>
    <xf numFmtId="0" fontId="25" fillId="4" borderId="0" xfId="65" applyFont="1" applyFill="1" applyAlignment="1">
      <alignment vertical="center"/>
    </xf>
    <xf numFmtId="0" fontId="14" fillId="4" borderId="0" xfId="65" applyFont="1" applyFill="1" applyAlignment="1">
      <alignment vertical="center"/>
    </xf>
    <xf numFmtId="181" fontId="25" fillId="4" borderId="0" xfId="1" applyNumberFormat="1" applyFont="1" applyFill="1" applyAlignment="1">
      <alignment horizontal="center" vertical="center"/>
    </xf>
    <xf numFmtId="181" fontId="14" fillId="4" borderId="0" xfId="1" applyNumberFormat="1" applyFont="1" applyFill="1" applyAlignment="1">
      <alignment horizontal="center" vertical="center"/>
    </xf>
    <xf numFmtId="190" fontId="14" fillId="4" borderId="0" xfId="52" applyNumberFormat="1" applyFont="1" applyFill="1" applyAlignment="1">
      <alignment horizontal="center" vertical="center"/>
    </xf>
    <xf numFmtId="0" fontId="0" fillId="19" borderId="0" xfId="0" applyFill="1">
      <alignment vertical="center"/>
    </xf>
    <xf numFmtId="0" fontId="0" fillId="0" borderId="0" xfId="0" applyAlignment="1">
      <alignment horizontal="left" vertical="center"/>
    </xf>
    <xf numFmtId="0" fontId="16" fillId="0" borderId="9" xfId="0" applyFont="1" applyBorder="1" applyAlignment="1">
      <alignment horizontal="center" vertical="center"/>
    </xf>
    <xf numFmtId="0" fontId="16" fillId="0" borderId="9" xfId="0" applyFont="1" applyBorder="1">
      <alignment vertical="center"/>
    </xf>
    <xf numFmtId="0" fontId="16" fillId="0" borderId="0" xfId="0" applyFont="1" applyAlignment="1">
      <alignment vertical="center" wrapText="1"/>
    </xf>
    <xf numFmtId="0" fontId="58" fillId="0" borderId="9" xfId="6" applyFont="1" applyBorder="1">
      <alignment vertical="center"/>
    </xf>
    <xf numFmtId="0" fontId="113" fillId="0" borderId="9" xfId="6" applyFont="1" applyBorder="1" applyAlignment="1">
      <alignment horizontal="left" vertical="center"/>
    </xf>
    <xf numFmtId="0" fontId="113" fillId="0" borderId="9" xfId="6" applyFont="1" applyBorder="1" applyAlignment="1">
      <alignment horizontal="center" vertical="center"/>
    </xf>
    <xf numFmtId="0" fontId="0" fillId="0" borderId="9" xfId="0" applyFont="1" applyBorder="1">
      <alignment vertical="center"/>
    </xf>
    <xf numFmtId="0" fontId="16" fillId="0" borderId="0" xfId="0" applyFont="1" applyAlignment="1">
      <alignment horizontal="left" vertical="center" wrapText="1"/>
    </xf>
    <xf numFmtId="0" fontId="114" fillId="0" borderId="9" xfId="6" applyBorder="1">
      <alignment vertical="center"/>
    </xf>
    <xf numFmtId="0" fontId="7" fillId="0" borderId="0" xfId="0" applyFont="1" applyAlignment="1">
      <alignment horizontal="center" vertical="center" wrapText="1"/>
    </xf>
    <xf numFmtId="0" fontId="114" fillId="0" borderId="0" xfId="6">
      <alignment vertical="center"/>
    </xf>
    <xf numFmtId="0" fontId="115" fillId="0" borderId="9" xfId="6" applyFont="1" applyBorder="1" applyAlignment="1">
      <alignment horizontal="left" vertical="center"/>
    </xf>
    <xf numFmtId="0" fontId="113" fillId="0" borderId="0" xfId="6" applyFont="1">
      <alignment vertical="center"/>
    </xf>
    <xf numFmtId="0" fontId="113" fillId="19" borderId="9" xfId="6" applyFont="1" applyFill="1" applyBorder="1" applyAlignment="1">
      <alignment horizontal="center" vertical="center"/>
    </xf>
    <xf numFmtId="0" fontId="58" fillId="19" borderId="9" xfId="6" applyFont="1" applyFill="1" applyBorder="1">
      <alignment vertical="center"/>
    </xf>
    <xf numFmtId="0" fontId="0" fillId="19" borderId="9" xfId="0" applyFill="1" applyBorder="1" applyAlignment="1">
      <alignment horizontal="center" vertical="center"/>
    </xf>
    <xf numFmtId="0" fontId="113" fillId="19" borderId="9" xfId="6" applyFont="1" applyFill="1" applyBorder="1" applyAlignment="1">
      <alignment horizontal="left" vertical="center"/>
    </xf>
    <xf numFmtId="0" fontId="0" fillId="19" borderId="9" xfId="0" applyFill="1" applyBorder="1">
      <alignment vertical="center"/>
    </xf>
    <xf numFmtId="0" fontId="0" fillId="19" borderId="9" xfId="0" applyFont="1" applyFill="1" applyBorder="1">
      <alignment vertical="center"/>
    </xf>
    <xf numFmtId="0" fontId="114" fillId="19" borderId="9" xfId="6" applyFill="1" applyBorder="1">
      <alignment vertical="center"/>
    </xf>
    <xf numFmtId="0" fontId="114" fillId="0" borderId="9" xfId="6" applyBorder="1" applyAlignment="1">
      <alignment horizontal="left" vertical="center"/>
    </xf>
    <xf numFmtId="0" fontId="58" fillId="19" borderId="0" xfId="6" applyFont="1" applyFill="1">
      <alignment vertical="center"/>
    </xf>
    <xf numFmtId="0" fontId="0" fillId="0" borderId="9" xfId="0" applyBorder="1" applyAlignment="1">
      <alignment horizontal="left" vertical="center"/>
    </xf>
    <xf numFmtId="0" fontId="58" fillId="0" borderId="0" xfId="6" applyFont="1" quotePrefix="1">
      <alignment vertical="center"/>
    </xf>
    <xf numFmtId="0" fontId="60" fillId="4" borderId="9" xfId="51" applyNumberFormat="1" applyFont="1" applyFill="1" applyBorder="1" applyAlignment="1" quotePrefix="1">
      <alignment horizontal="center" vertical="center"/>
    </xf>
    <xf numFmtId="0" fontId="76" fillId="0" borderId="9" xfId="69" applyFont="1" applyBorder="1" applyAlignment="1" quotePrefix="1">
      <alignment horizontal="left" vertical="center" wrapText="1" indent="1"/>
    </xf>
  </cellXfs>
  <cellStyles count="8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ปกติ_manpower by organize" xfId="50"/>
    <cellStyle name="_9710" xfId="51"/>
    <cellStyle name="百分比 2" xfId="52"/>
    <cellStyle name="百分比 2 3" xfId="53"/>
    <cellStyle name="百分比 6" xfId="54"/>
    <cellStyle name="百分比 69" xfId="55"/>
    <cellStyle name="表单名" xfId="56"/>
    <cellStyle name="表间黄表体" xfId="57"/>
    <cellStyle name="不编灰表体" xfId="58"/>
    <cellStyle name="差_销售清单 4 4" xfId="59"/>
    <cellStyle name="常规 10" xfId="60"/>
    <cellStyle name="常规 12 16" xfId="61"/>
    <cellStyle name="常规 128" xfId="62"/>
    <cellStyle name="常规 17 3 2 3" xfId="63"/>
    <cellStyle name="常规 2" xfId="64"/>
    <cellStyle name="常规 2 2" xfId="65"/>
    <cellStyle name="常规 2 3" xfId="66"/>
    <cellStyle name="常规 22 2 2 2 2 2" xfId="67"/>
    <cellStyle name="常规 3" xfId="68"/>
    <cellStyle name="常规 4" xfId="69"/>
    <cellStyle name="常规 6" xfId="70"/>
    <cellStyle name="常规 8 2" xfId="71"/>
    <cellStyle name="超链接 2 2" xfId="72"/>
    <cellStyle name="超链接 3" xfId="73"/>
    <cellStyle name="计算绿表体" xfId="74"/>
    <cellStyle name="千位分隔 2" xfId="75"/>
    <cellStyle name="千位分隔 2 2" xfId="76"/>
    <cellStyle name="千位分隔 2 2 2" xfId="77"/>
    <cellStyle name="千位分隔 4" xfId="78"/>
    <cellStyle name="千位分隔 5" xfId="79"/>
    <cellStyle name="千位分隔 6 2" xfId="80"/>
    <cellStyle name="千位分隔 7" xfId="81"/>
    <cellStyle name="千位分隔 79" xfId="82"/>
    <cellStyle name="千位分隔 8" xfId="83"/>
    <cellStyle name="千位分隔_2011年基层预算报表_营销部" xfId="84"/>
    <cellStyle name="填写白表体" xfId="85"/>
  </cellStyles>
  <dxfs count="5">
    <dxf>
      <fill>
        <patternFill patternType="none"/>
      </fill>
    </dxf>
    <dxf>
      <font>
        <color rgb="FFFF0000"/>
      </font>
    </dxf>
    <dxf>
      <fill>
        <patternFill patternType="solid">
          <bgColor rgb="FFFF9900"/>
        </patternFill>
      </fill>
    </dxf>
    <dxf>
      <font>
        <family val="2"/>
        <b val="0"/>
        <i val="0"/>
        <strike val="0"/>
        <u val="none"/>
        <sz val="10"/>
        <color rgb="FFFF0000"/>
      </font>
    </dxf>
    <dxf>
      <numFmt numFmtId="195" formatCode="0_ ;[Red]\-0\ "/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4" Type="http://schemas.openxmlformats.org/officeDocument/2006/relationships/styles" Target="styles.xml"/><Relationship Id="rId93" Type="http://schemas.openxmlformats.org/officeDocument/2006/relationships/sharedStrings" Target="sharedStrings.xml"/><Relationship Id="rId92" Type="http://schemas.openxmlformats.org/officeDocument/2006/relationships/theme" Target="theme/theme1.xml"/><Relationship Id="rId91" Type="http://schemas.openxmlformats.org/officeDocument/2006/relationships/externalLink" Target="externalLinks/externalLink4.xml"/><Relationship Id="rId90" Type="http://schemas.openxmlformats.org/officeDocument/2006/relationships/externalLink" Target="externalLinks/externalLink3.xml"/><Relationship Id="rId9" Type="http://schemas.openxmlformats.org/officeDocument/2006/relationships/worksheet" Target="worksheets/sheet9.xml"/><Relationship Id="rId89" Type="http://schemas.openxmlformats.org/officeDocument/2006/relationships/externalLink" Target="externalLinks/externalLink2.xml"/><Relationship Id="rId88" Type="http://schemas.openxmlformats.org/officeDocument/2006/relationships/externalLink" Target="externalLinks/externalLink1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Aohua\Desktop\&#28595;&#21326;&#38598;&#22242;2025&#24180;&#20154;&#21592;&#32534;&#21046;&#21450;E&#20540;&#39044;&#31639;&#27169;&#26495;&#65288;11.18&#23450;&#31295;&#26684;&#24335;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8142;&#23433;&#28595;&#21326;\2025&#24180;&#39044;&#31639;\2025&#24180;&#39044;&#31639;\&#28595;&#21326;&#38598;&#22242;2025&#24180;&#20154;&#21592;&#32534;&#21046;&#21450;E&#20540;&#39044;&#3163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ohua\Desktop\2026&#24180;&#38598;&#22242;&#21508;&#21333;&#20301;&#39044;&#31639;&#23450;&#31295;\1-&#31119;&#24314;-&#12304;1&#12305;2026&#24180;&#39044;&#31639;&#22871;&#34920;-&#31119;&#24314;&#20844;&#21496;%20-&#21512;&#29702;&#29256;1&#26376;19&#26085;&#25913;%20O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309;&#28385;&#24179;&#36164;&#26009;\6&#12289;2026&#24180;&#25991;&#20214;\2026&#24180;&#24180;&#24230;&#39044;&#31639;\26&#24180;&#39044;&#31639;&#20998;&#23376;&#20844;&#21496;&#22871;&#34920;&#27169;&#26495;\&#12304;1&#12305;26&#24180;&#39044;&#31639;&#22871;&#34920;-XX&#20844;&#21496;%20-2025.11.1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填写指引"/>
      <sheetName val="表一、预算汇总表（科目-费用类别）"/>
      <sheetName val="项目组费用"/>
      <sheetName val="表二、人员定编表"/>
      <sheetName val="公式下拉表辅助"/>
      <sheetName val="表三、预算明细表"/>
      <sheetName val="辅助表1、月度饲料提成"/>
      <sheetName val="辅助表2、营销年奖"/>
      <sheetName val="辅助表3、动保提成"/>
      <sheetName val="辅助表4、生产奖金"/>
      <sheetName val="辅助表5、岗位职级体系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填写指引"/>
      <sheetName val="表一、预算汇总表（科目-费用类别）"/>
      <sheetName val="表二、人员定编表"/>
      <sheetName val="公式下拉表辅助"/>
      <sheetName val="表三、预算明细表"/>
      <sheetName val="辅助表1、月度饲料提成"/>
      <sheetName val="辅助表2、营销年奖"/>
      <sheetName val="辅助表3、动保提成"/>
      <sheetName val="辅助表4、生产奖金"/>
      <sheetName val="辅助表5、岗位职级体系表"/>
      <sheetName val="人员明细"/>
      <sheetName val="24年工资"/>
      <sheetName val="24年差旅"/>
      <sheetName val="25年销量明细"/>
      <sheetName val="Sheet1"/>
      <sheetName val="23年年奖"/>
      <sheetName val="月度提成"/>
      <sheetName val="Sheet2"/>
      <sheetName val="Sheet3"/>
      <sheetName val="25年动保"/>
      <sheetName val="1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导航目录"/>
      <sheetName val="XM1-立项明细表"/>
      <sheetName val="XM2-项目利润表"/>
      <sheetName val="XM3-专项费用"/>
      <sheetName val="A1 预算指标总览"/>
      <sheetName val="A2 考核利润表-年度"/>
      <sheetName val="A3 考核利润表-月度"/>
      <sheetName val="A4 盈亏平衡表预算（填）"/>
      <sheetName val="A5 销量到聚焦镇表"/>
      <sheetName val="A6 大类毛利"/>
      <sheetName val="A7 小类毛利"/>
      <sheetName val="A8-产线贡献预算值"/>
      <sheetName val="B1-基础资料"/>
      <sheetName val="B2 物料对应产品对照表"/>
      <sheetName val="B3-特殊考核调整"/>
      <sheetName val="B4-c.b（考核）"/>
      <sheetName val="B5-产品毛益（25年）填写"/>
      <sheetName val="B6-产品毛益 (24年)填写"/>
      <sheetName val="B7-客户毛益表（25年）填写"/>
      <sheetName val="B8-客户毛益表（24年）填写"/>
      <sheetName val="表1、客户产品毛利表（汇总）"/>
      <sheetName val="表1.1、XX1客户产品销量表-（销售部填）填"/>
      <sheetName val="表1.2、产品价目表(财务）"/>
      <sheetName val="表1.3 客户折扣（财务总经理）"/>
      <sheetName val="表1.4 产品成本"/>
      <sheetName val="表1.4.1 配方成本（配方师）"/>
      <sheetName val="1.4.1.1 配方成本（产品定位定价）"/>
      <sheetName val="表1.4.2 包材成本（采购）"/>
      <sheetName val="表1.4.3 产品制费（生产+财务）"/>
      <sheetName val="表1.5 销售额-动保"/>
      <sheetName val="表2 预算外销产品毛利表(公式）"/>
      <sheetName val="表3 产量（订单交付中心统筹 ）"/>
      <sheetName val="表3.1 内销预算（财务）"/>
      <sheetName val="表4 人员定编表（四定表）部门汇总"/>
      <sheetName val="表4.1 人员定编表（四定表）明细"/>
      <sheetName val="表5人力资源成本预算（合计）"/>
      <sheetName val="表5.1 人力资源成本预算（总）"/>
      <sheetName val="表5.2 人力资源成本预算（项目）"/>
      <sheetName val="表6 制造费用（汇总）"/>
      <sheetName val="表6.1 制造费用(明细)"/>
      <sheetName val="表7 销售费用预算(汇总）"/>
      <sheetName val="表7.1 销售费用(明细) "/>
      <sheetName val="表7.2 销售费用(明细) -项目费用"/>
      <sheetName val="表8 管理费用(汇总）"/>
      <sheetName val="表8.1 管理费用预算(明细)"/>
      <sheetName val="表9 财务费用预算"/>
      <sheetName val="表10 固定资产预算"/>
      <sheetName val="表10.1 固定资产预算(生产明细)"/>
      <sheetName val="表11 在建工程"/>
      <sheetName val="表11.1 在建工程预算(生产明细) "/>
      <sheetName val="表12 无形资产"/>
      <sheetName val="表12.1 无形资产预算(生产明细）"/>
      <sheetName val="表13 长摊费用预算"/>
      <sheetName val="表13.1 长摊费用预算(生产明细）"/>
      <sheetName val="表14 外部采购预算（金额)"/>
      <sheetName val="表14.1 外部采购数量预算"/>
      <sheetName val="表14.2 外部采购价格趋势预算"/>
      <sheetName val="表15-单吨降本计算（粒径）"/>
      <sheetName val="表16 成本归集"/>
      <sheetName val="表17 主营业务成本预算"/>
      <sheetName val="表18 应收款预算（销售）"/>
      <sheetName val="表19 存货预算"/>
      <sheetName val="表19.1 存货预算（原材料）"/>
      <sheetName val="表19.2 存货预算（产成品）生产"/>
      <sheetName val="表20 应付款预算（采购）"/>
      <sheetName val="表21 预付款预算（采购）"/>
      <sheetName val="表22 固定资产折旧预算"/>
      <sheetName val="表22.1 累计折旧预算"/>
      <sheetName val="表23 无形资产摊销预算（净残值率=0）"/>
      <sheetName val="表23.1 累计无形资产摊销预算"/>
      <sheetName val="表24 长摊费用摊销预算（净残值率=0）"/>
      <sheetName val="表24.1 累计长摊费用摊销预算"/>
      <sheetName val="表25 主营业务成本预算（变固）"/>
      <sheetName val="表26 营业税金及附加预算"/>
      <sheetName val="表27 营业外收支预算"/>
      <sheetName val="表28 所得税预算"/>
      <sheetName val="表29 其他损益类项目预算"/>
    </sheetNames>
    <sheetDataSet>
      <sheetData sheetId="0"/>
      <sheetData sheetId="1"/>
      <sheetData sheetId="2"/>
      <sheetData sheetId="3"/>
      <sheetData sheetId="4">
        <row r="3">
          <cell r="A3" t="str">
            <v>华东一区</v>
          </cell>
          <cell r="B3" t="str">
            <v>福建公司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导航目录"/>
      <sheetName val="XM1-立项明细表"/>
      <sheetName val="XM2-项目利润表"/>
      <sheetName val="XM3-专项费用"/>
      <sheetName val="A1 预算指标总览"/>
      <sheetName val="A2 考核利润表-年度"/>
      <sheetName val="A3 考核利润表-月度"/>
      <sheetName val="A4 盈亏平衡表预算（填）"/>
      <sheetName val="A5 销量到聚焦镇表"/>
      <sheetName val="A6 大类毛利"/>
      <sheetName val="A7 小类毛利"/>
      <sheetName val="A8-产线贡献预算值"/>
      <sheetName val="B1-基础资料"/>
      <sheetName val="B2 物料对应产品对照表"/>
      <sheetName val="B3-特殊考核调整"/>
      <sheetName val="B4-c.b（考核）"/>
      <sheetName val="B5-产品毛益（25年）填写"/>
      <sheetName val="B6-产品毛益 (24年)填写"/>
      <sheetName val="B7-客户毛益表（25年）填写"/>
      <sheetName val="B8-客户毛益表（24年）填写"/>
      <sheetName val="表1、客户产品毛利表（汇总）"/>
      <sheetName val="表1.1、XX1客户产品销量表-（销售部填）填"/>
      <sheetName val="表1.2、产品价目表(财务）"/>
      <sheetName val="表1.3 客户折扣（财务总经理）"/>
      <sheetName val="表1.4 产品成本"/>
      <sheetName val="表1.4.1 配方成本（配方师）"/>
      <sheetName val="表1.4.2 包材成本（采购）"/>
      <sheetName val="表1.4.3 产品制费（生产+财务）"/>
      <sheetName val="表1.5 销售额-动保"/>
      <sheetName val="表2 预算外销产品毛利表(公式）"/>
      <sheetName val="表3 产量（订单交付中心统筹 ）"/>
      <sheetName val="表3.1 内销预算（财务）"/>
      <sheetName val="表4 人员定编表（四定表）部门汇总"/>
      <sheetName val="表4.1 人员定编表（四定表）明细"/>
      <sheetName val="表5人力资源成本预算（合计）"/>
      <sheetName val="表5.1 人力资源成本预算（总）"/>
      <sheetName val="表5.2 人力资源成本预算（项目）"/>
      <sheetName val="表6 制造费用（汇总）"/>
      <sheetName val="表6.1 制造费用(明细)"/>
      <sheetName val="表7 销售费用预算(汇总）"/>
      <sheetName val="表7.1 销售费用(明细) "/>
      <sheetName val="表7.2 销售费用(明细) -项目费用"/>
      <sheetName val="表8 管理费用(汇总）"/>
      <sheetName val="表8.1 管理费用预算(明细)"/>
      <sheetName val="表9 财务费用预算"/>
      <sheetName val="表10 固定资产预算"/>
      <sheetName val="表10.1 固定资产预算(生产明细)"/>
      <sheetName val="表11 在建工程"/>
      <sheetName val="表11.1 在建工程预算(生产明细) "/>
      <sheetName val="表12 无形资产"/>
      <sheetName val="表12.1 无形资产预算(生产明细）"/>
      <sheetName val="表13 长摊费用预算"/>
      <sheetName val="表13.1 长摊费用预算(生产明细）"/>
      <sheetName val="表14 外部采购预算（金额)"/>
      <sheetName val="表14.1 外部采购数量预算"/>
      <sheetName val="表14.2 外部采购价格趋势预算"/>
      <sheetName val="表15-单吨降本计算（粒径）"/>
      <sheetName val="表16 成本归集"/>
      <sheetName val="表17 主营业务成本预算"/>
      <sheetName val="表18 应收款预算（销售）"/>
      <sheetName val="表19 存货预算"/>
      <sheetName val="表19.1 存货预算（原材料）"/>
      <sheetName val="表19.2 存货预算（产成品）生产"/>
      <sheetName val="表20 应付款预算（采购）"/>
      <sheetName val="表21 预付款预算（采购）"/>
      <sheetName val="表22 固定资产折旧预算"/>
      <sheetName val="表22.1 累计折旧预算"/>
      <sheetName val="表23 无形资产摊销预算（净残值率=0）"/>
      <sheetName val="表23.1 累计无形资产摊销预算"/>
      <sheetName val="表24 长摊费用摊销预算（净残值率=0）"/>
      <sheetName val="表24.1 累计长摊费用摊销预算"/>
      <sheetName val="表25 主营业务成本预算（变固）"/>
      <sheetName val="表26 营业税金及附加预算"/>
      <sheetName val="表27 营业外收支预算"/>
      <sheetName val="表28 所得税预算"/>
      <sheetName val="表29 其他损益类项目预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08">
          <cell r="A108" t="str">
            <v>工资和薪金生产工资</v>
          </cell>
          <cell r="B108" t="str">
            <v>固定</v>
          </cell>
          <cell r="C108" t="str">
            <v>车间人工薪酬（工资、五险一金）</v>
          </cell>
        </row>
        <row r="109">
          <cell r="A109" t="str">
            <v>工资和薪金仓储工资</v>
          </cell>
          <cell r="B109" t="str">
            <v>固定</v>
          </cell>
          <cell r="C109" t="str">
            <v>车间人工薪酬（工资、五险一金）</v>
          </cell>
        </row>
        <row r="110">
          <cell r="A110" t="str">
            <v>工资和薪金叉车工资</v>
          </cell>
          <cell r="B110" t="str">
            <v>固定</v>
          </cell>
          <cell r="C110" t="str">
            <v>车间人工薪酬（工资、五险一金）</v>
          </cell>
        </row>
        <row r="111">
          <cell r="A111" t="str">
            <v>工资和薪金劳务工资</v>
          </cell>
          <cell r="B111" t="str">
            <v>固定</v>
          </cell>
          <cell r="C111" t="str">
            <v>车间人工薪酬（工资、五险一金）</v>
          </cell>
        </row>
        <row r="112">
          <cell r="A112" t="str">
            <v>绩效工资及奖金生产绩效</v>
          </cell>
          <cell r="B112" t="str">
            <v>变动</v>
          </cell>
          <cell r="C112" t="str">
            <v>车间人工提成奖金、绩效</v>
          </cell>
        </row>
        <row r="113">
          <cell r="A113" t="str">
            <v>绩效工资及奖金仓储绩效</v>
          </cell>
          <cell r="B113" t="str">
            <v>变动</v>
          </cell>
          <cell r="C113" t="str">
            <v>车间人工提成奖金、绩效</v>
          </cell>
        </row>
        <row r="114">
          <cell r="A114" t="str">
            <v>绩效工资及奖金叉车绩效</v>
          </cell>
          <cell r="B114" t="str">
            <v>变动</v>
          </cell>
          <cell r="C114" t="str">
            <v>车间人工提成奖金、绩效</v>
          </cell>
        </row>
        <row r="115">
          <cell r="A115" t="str">
            <v>绩效工资及奖金劳务绩效</v>
          </cell>
          <cell r="B115" t="str">
            <v>变动</v>
          </cell>
          <cell r="C115" t="str">
            <v>车间人工提成奖金、绩效</v>
          </cell>
        </row>
        <row r="116">
          <cell r="A116" t="str">
            <v>社保费</v>
          </cell>
          <cell r="B116" t="str">
            <v>固定</v>
          </cell>
          <cell r="C116" t="str">
            <v>车间人工薪酬（工资、五险一金）</v>
          </cell>
        </row>
        <row r="117">
          <cell r="A117" t="str">
            <v>住房公积金</v>
          </cell>
          <cell r="B117" t="str">
            <v>固定</v>
          </cell>
          <cell r="C117" t="str">
            <v>车间人工薪酬（工资、五险一金）</v>
          </cell>
        </row>
        <row r="118">
          <cell r="A118" t="str">
            <v>职工福利金</v>
          </cell>
          <cell r="B118" t="str">
            <v>固定</v>
          </cell>
          <cell r="C118" t="str">
            <v>车间人工薪酬（工资、五险一金）</v>
          </cell>
        </row>
        <row r="119">
          <cell r="A119" t="str">
            <v>水费</v>
          </cell>
          <cell r="B119" t="str">
            <v>变动</v>
          </cell>
          <cell r="C119" t="str">
            <v>能耗—水电费</v>
          </cell>
        </row>
        <row r="120">
          <cell r="A120" t="str">
            <v>电费</v>
          </cell>
          <cell r="B120" t="str">
            <v>变动</v>
          </cell>
          <cell r="C120" t="str">
            <v>能耗—水电费</v>
          </cell>
        </row>
        <row r="121">
          <cell r="A121" t="str">
            <v>经营物料</v>
          </cell>
          <cell r="B121" t="str">
            <v>变动</v>
          </cell>
          <cell r="C121" t="str">
            <v>经营物料</v>
          </cell>
        </row>
        <row r="122">
          <cell r="A122" t="str">
            <v>维修费</v>
          </cell>
          <cell r="B122" t="str">
            <v>变动</v>
          </cell>
          <cell r="C122" t="str">
            <v>维修费</v>
          </cell>
        </row>
        <row r="123">
          <cell r="A123" t="str">
            <v>折旧费</v>
          </cell>
          <cell r="B123" t="str">
            <v>固定</v>
          </cell>
          <cell r="C123" t="str">
            <v>折旧费</v>
          </cell>
        </row>
        <row r="124">
          <cell r="A124" t="str">
            <v>叉车费用</v>
          </cell>
          <cell r="B124" t="str">
            <v>变动</v>
          </cell>
          <cell r="C124" t="str">
            <v>维修费</v>
          </cell>
        </row>
        <row r="125">
          <cell r="A125" t="str">
            <v>实验费用</v>
          </cell>
          <cell r="B125" t="str">
            <v>变动</v>
          </cell>
          <cell r="C125" t="str">
            <v>经营物料</v>
          </cell>
        </row>
        <row r="126">
          <cell r="A126" t="str">
            <v>蒸汽费用</v>
          </cell>
          <cell r="B126" t="str">
            <v>变动</v>
          </cell>
          <cell r="C126" t="str">
            <v>能耗—汽耗</v>
          </cell>
        </row>
        <row r="127">
          <cell r="A127" t="str">
            <v>其他</v>
          </cell>
          <cell r="B127" t="str">
            <v>变动</v>
          </cell>
          <cell r="C127" t="str">
            <v>经营物料</v>
          </cell>
        </row>
        <row r="128">
          <cell r="A128" t="str">
            <v>劳务费</v>
          </cell>
          <cell r="B128" t="str">
            <v>变动</v>
          </cell>
          <cell r="C128" t="str">
            <v>车间人工提成奖金、绩效</v>
          </cell>
        </row>
        <row r="129">
          <cell r="A129" t="str">
            <v>环保费</v>
          </cell>
          <cell r="B129" t="str">
            <v>变动</v>
          </cell>
          <cell r="C129" t="str">
            <v>其他</v>
          </cell>
        </row>
        <row r="130">
          <cell r="A130" t="str">
            <v>差旅费</v>
          </cell>
          <cell r="B130" t="str">
            <v>固定</v>
          </cell>
          <cell r="C130" t="str">
            <v>车间人工薪酬（工资、五险一金）</v>
          </cell>
        </row>
        <row r="131">
          <cell r="A131" t="str">
            <v>办公费</v>
          </cell>
          <cell r="B131" t="str">
            <v>变动</v>
          </cell>
          <cell r="C131" t="str">
            <v>经营物料</v>
          </cell>
        </row>
        <row r="132">
          <cell r="A132" t="str">
            <v>房屋及设备租金</v>
          </cell>
          <cell r="B132" t="str">
            <v>固定</v>
          </cell>
          <cell r="C132" t="str">
            <v>资产折旧摊销费</v>
          </cell>
        </row>
        <row r="133">
          <cell r="A133" t="str">
            <v>待摊费用摊销</v>
          </cell>
          <cell r="B133" t="str">
            <v>固定</v>
          </cell>
          <cell r="C133" t="str">
            <v>资产折旧摊销费</v>
          </cell>
        </row>
        <row r="134">
          <cell r="A134" t="str">
            <v>无形资产摊销</v>
          </cell>
          <cell r="B134" t="str">
            <v>固定</v>
          </cell>
          <cell r="C134" t="str">
            <v>资产折旧摊销费</v>
          </cell>
        </row>
        <row r="135">
          <cell r="A135" t="str">
            <v>使用权资产折旧费</v>
          </cell>
          <cell r="B135" t="str">
            <v>固定</v>
          </cell>
          <cell r="C135" t="str">
            <v>资产折旧摊销费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N87"/>
  <sheetViews>
    <sheetView tabSelected="1" zoomScale="85" zoomScaleNormal="85" workbookViewId="0">
      <pane xSplit="3" ySplit="1" topLeftCell="D2" activePane="bottomRight" state="frozen"/>
      <selection/>
      <selection pane="topRight"/>
      <selection pane="bottomLeft"/>
      <selection pane="bottomRight" activeCell="C27" sqref="C27"/>
    </sheetView>
  </sheetViews>
  <sheetFormatPr defaultColWidth="8.90833333333333" defaultRowHeight="13.5"/>
  <cols>
    <col min="1" max="1" width="7.90833333333333" style="964" customWidth="1"/>
    <col min="2" max="2" width="13.3666666666667" style="964" customWidth="1"/>
    <col min="3" max="3" width="37.35" customWidth="1"/>
    <col min="4" max="4" width="13.9666666666667" style="1074" customWidth="1"/>
    <col min="5" max="5" width="13.825" style="964" customWidth="1"/>
    <col min="6" max="6" width="29.85" style="964" customWidth="1"/>
    <col min="7" max="7" width="7.05" style="964" customWidth="1"/>
    <col min="8" max="8" width="12.6333333333333" style="964" customWidth="1"/>
    <col min="9" max="9" width="35.725" customWidth="1"/>
    <col min="10" max="10" width="30.45" customWidth="1"/>
    <col min="14" max="14" width="35.4416666666667" customWidth="1"/>
  </cols>
  <sheetData>
    <row r="1" s="69" customFormat="1" spans="1:14">
      <c r="A1" s="1075" t="s">
        <v>0</v>
      </c>
      <c r="B1" s="1075" t="s">
        <v>1</v>
      </c>
      <c r="C1" s="1075" t="s">
        <v>2</v>
      </c>
      <c r="D1" s="1075" t="s">
        <v>3</v>
      </c>
      <c r="E1" s="1075" t="s">
        <v>4</v>
      </c>
      <c r="F1" s="1075" t="s">
        <v>5</v>
      </c>
      <c r="G1" s="1075" t="s">
        <v>6</v>
      </c>
      <c r="H1" s="1075" t="s">
        <v>7</v>
      </c>
      <c r="I1" s="1076" t="s">
        <v>8</v>
      </c>
      <c r="J1" s="1076" t="s">
        <v>9</v>
      </c>
      <c r="N1" s="1077"/>
    </row>
    <row r="2" hidden="1" spans="1:14">
      <c r="A2" s="490">
        <v>1</v>
      </c>
      <c r="B2" s="490" t="s">
        <v>10</v>
      </c>
      <c r="C2" s="1078" t="s">
        <v>11</v>
      </c>
      <c r="D2" s="1079" t="s">
        <v>11</v>
      </c>
      <c r="E2" s="1080" t="s">
        <v>12</v>
      </c>
      <c r="F2" s="1080"/>
      <c r="G2" s="490">
        <v>3</v>
      </c>
      <c r="H2" s="490"/>
      <c r="I2" s="127"/>
      <c r="J2" s="1081" t="s">
        <v>13</v>
      </c>
      <c r="K2" t="s">
        <v>14</v>
      </c>
      <c r="N2" s="1082" t="s">
        <v>15</v>
      </c>
    </row>
    <row r="3" hidden="1" spans="1:14">
      <c r="A3" s="490">
        <v>2</v>
      </c>
      <c r="B3" s="490" t="s">
        <v>16</v>
      </c>
      <c r="C3" s="1083" t="s">
        <v>17</v>
      </c>
      <c r="D3" s="1079" t="s">
        <v>18</v>
      </c>
      <c r="E3" s="1080" t="s">
        <v>12</v>
      </c>
      <c r="F3" s="1080"/>
      <c r="G3" s="490">
        <v>4</v>
      </c>
      <c r="H3" s="490"/>
      <c r="I3" s="127"/>
      <c r="J3" s="1081" t="s">
        <v>13</v>
      </c>
      <c r="N3" s="1082"/>
    </row>
    <row r="4" hidden="1" spans="1:14">
      <c r="A4" s="490">
        <v>3</v>
      </c>
      <c r="B4" s="490" t="s">
        <v>16</v>
      </c>
      <c r="C4" s="1078" t="s">
        <v>19</v>
      </c>
      <c r="D4" s="1079" t="s">
        <v>20</v>
      </c>
      <c r="E4" s="1080" t="s">
        <v>12</v>
      </c>
      <c r="F4" s="1080"/>
      <c r="G4" s="490">
        <v>5</v>
      </c>
      <c r="H4" s="490"/>
      <c r="I4" s="127"/>
      <c r="J4" s="127" t="s">
        <v>13</v>
      </c>
      <c r="N4" s="1082"/>
    </row>
    <row r="5" hidden="1" spans="1:14">
      <c r="A5" s="490">
        <v>4</v>
      </c>
      <c r="B5" s="490" t="s">
        <v>21</v>
      </c>
      <c r="C5" s="1078" t="s">
        <v>22</v>
      </c>
      <c r="D5" s="1079" t="s">
        <v>21</v>
      </c>
      <c r="E5" s="1080" t="s">
        <v>12</v>
      </c>
      <c r="F5" s="1080"/>
      <c r="G5" s="490">
        <v>6</v>
      </c>
      <c r="H5" s="490"/>
      <c r="I5" s="127"/>
      <c r="J5" s="1081" t="s">
        <v>23</v>
      </c>
      <c r="N5" s="1082"/>
    </row>
    <row r="6" hidden="1" spans="1:14">
      <c r="A6" s="490">
        <v>5</v>
      </c>
      <c r="B6" s="490" t="s">
        <v>24</v>
      </c>
      <c r="C6" s="1083" t="s">
        <v>25</v>
      </c>
      <c r="D6" s="1079" t="s">
        <v>24</v>
      </c>
      <c r="E6" s="1080" t="s">
        <v>12</v>
      </c>
      <c r="F6" s="1080"/>
      <c r="G6" s="490"/>
      <c r="H6" s="490"/>
      <c r="I6" s="127"/>
      <c r="J6" s="127" t="s">
        <v>13</v>
      </c>
      <c r="N6" s="1082"/>
    </row>
    <row r="7" spans="1:14">
      <c r="A7" s="490">
        <v>6</v>
      </c>
      <c r="B7" s="490" t="s">
        <v>26</v>
      </c>
      <c r="C7" s="1078" t="s">
        <v>27</v>
      </c>
      <c r="D7" s="1079" t="s">
        <v>28</v>
      </c>
      <c r="E7" s="1080" t="s">
        <v>29</v>
      </c>
      <c r="F7" s="1080"/>
      <c r="G7" s="490">
        <v>1</v>
      </c>
      <c r="H7" s="490">
        <v>0</v>
      </c>
      <c r="I7" s="127"/>
      <c r="J7" s="127" t="s">
        <v>13</v>
      </c>
      <c r="N7" s="1084"/>
    </row>
    <row r="8" spans="1:14">
      <c r="A8" s="490">
        <v>7</v>
      </c>
      <c r="B8" s="490" t="s">
        <v>26</v>
      </c>
      <c r="C8" s="1083" t="s">
        <v>30</v>
      </c>
      <c r="D8" s="1079" t="s">
        <v>28</v>
      </c>
      <c r="E8" s="1080" t="s">
        <v>29</v>
      </c>
      <c r="F8" s="1080"/>
      <c r="G8" s="490">
        <v>2</v>
      </c>
      <c r="H8" s="490">
        <v>0</v>
      </c>
      <c r="I8" s="127"/>
      <c r="J8" s="127" t="s">
        <v>13</v>
      </c>
      <c r="N8" s="1084"/>
    </row>
    <row r="9" hidden="1" spans="1:14">
      <c r="A9" s="490">
        <v>8</v>
      </c>
      <c r="B9" s="490" t="s">
        <v>31</v>
      </c>
      <c r="C9" s="1085" t="s">
        <v>32</v>
      </c>
      <c r="D9" s="1079" t="s">
        <v>33</v>
      </c>
      <c r="E9" s="1080" t="s">
        <v>12</v>
      </c>
      <c r="F9" s="1080"/>
      <c r="G9" s="490">
        <v>9</v>
      </c>
      <c r="H9" s="490"/>
      <c r="I9" s="127"/>
      <c r="J9" s="1081" t="s">
        <v>23</v>
      </c>
      <c r="N9" s="1082"/>
    </row>
    <row r="10" hidden="1" spans="1:14">
      <c r="A10" s="490">
        <v>9</v>
      </c>
      <c r="B10" s="490" t="s">
        <v>31</v>
      </c>
      <c r="C10" s="1078" t="s">
        <v>34</v>
      </c>
      <c r="D10" s="1079" t="s">
        <v>35</v>
      </c>
      <c r="E10" s="1080" t="s">
        <v>12</v>
      </c>
      <c r="F10" s="1080"/>
      <c r="G10" s="490">
        <v>7</v>
      </c>
      <c r="H10" s="490"/>
      <c r="I10" s="127"/>
      <c r="J10" s="1081" t="s">
        <v>23</v>
      </c>
      <c r="N10" s="1082"/>
    </row>
    <row r="11" hidden="1" spans="1:14">
      <c r="A11" s="490">
        <v>10</v>
      </c>
      <c r="B11" s="490" t="s">
        <v>31</v>
      </c>
      <c r="C11" s="1078" t="s">
        <v>36</v>
      </c>
      <c r="D11" s="1079" t="s">
        <v>37</v>
      </c>
      <c r="E11" s="1080" t="s">
        <v>12</v>
      </c>
      <c r="F11" s="1080"/>
      <c r="G11" s="490">
        <v>8</v>
      </c>
      <c r="H11" s="490"/>
      <c r="I11" s="127"/>
      <c r="J11" s="1081" t="s">
        <v>23</v>
      </c>
      <c r="N11" s="1082"/>
    </row>
    <row r="12" hidden="1" spans="1:14">
      <c r="A12" s="490">
        <v>11</v>
      </c>
      <c r="B12" s="490" t="s">
        <v>31</v>
      </c>
      <c r="C12" s="1078" t="s">
        <v>38</v>
      </c>
      <c r="D12" s="1079" t="s">
        <v>39</v>
      </c>
      <c r="E12" s="1080" t="s">
        <v>12</v>
      </c>
      <c r="F12" s="1080"/>
      <c r="G12" s="490">
        <v>12</v>
      </c>
      <c r="H12" s="490"/>
      <c r="I12" s="127"/>
      <c r="J12" s="1081" t="s">
        <v>23</v>
      </c>
      <c r="N12" s="1082"/>
    </row>
    <row r="13" hidden="1" spans="1:14">
      <c r="A13" s="490">
        <v>12</v>
      </c>
      <c r="B13" s="490" t="str">
        <f>D13</f>
        <v>毛利表（外销）</v>
      </c>
      <c r="C13" s="1083" t="s">
        <v>40</v>
      </c>
      <c r="D13" s="1086" t="s">
        <v>41</v>
      </c>
      <c r="E13" s="1080" t="s">
        <v>12</v>
      </c>
      <c r="F13" s="1080"/>
      <c r="G13" s="490">
        <v>10</v>
      </c>
      <c r="H13" s="490"/>
      <c r="I13" s="127"/>
      <c r="J13" s="1081" t="s">
        <v>23</v>
      </c>
      <c r="N13" s="1082"/>
    </row>
    <row r="14" hidden="1" spans="1:14">
      <c r="A14" s="490">
        <v>13</v>
      </c>
      <c r="B14" s="490" t="str">
        <f>D14</f>
        <v>毛利表（内销）</v>
      </c>
      <c r="C14" s="1083" t="s">
        <v>42</v>
      </c>
      <c r="D14" s="1079" t="s">
        <v>43</v>
      </c>
      <c r="E14" s="1080" t="s">
        <v>12</v>
      </c>
      <c r="F14" s="1080"/>
      <c r="G14" s="490">
        <v>11</v>
      </c>
      <c r="H14" s="490"/>
      <c r="I14" s="127"/>
      <c r="J14" s="1081" t="s">
        <v>23</v>
      </c>
      <c r="N14" s="1082"/>
    </row>
    <row r="15" hidden="1" spans="1:14">
      <c r="A15" s="490">
        <v>14</v>
      </c>
      <c r="B15" s="490" t="str">
        <f>D15</f>
        <v>生产成本</v>
      </c>
      <c r="C15" s="1078" t="s">
        <v>44</v>
      </c>
      <c r="D15" s="1079" t="s">
        <v>45</v>
      </c>
      <c r="E15" s="1080" t="s">
        <v>12</v>
      </c>
      <c r="F15" s="1080"/>
      <c r="G15" s="490">
        <v>21</v>
      </c>
      <c r="H15" s="490"/>
      <c r="I15" s="127"/>
      <c r="J15" s="127" t="s">
        <v>13</v>
      </c>
      <c r="N15" s="1082"/>
    </row>
    <row r="16" hidden="1" spans="1:14">
      <c r="A16" s="490">
        <v>15</v>
      </c>
      <c r="B16" s="490" t="s">
        <v>46</v>
      </c>
      <c r="C16" s="1087" t="s">
        <v>47</v>
      </c>
      <c r="D16" s="1079" t="s">
        <v>46</v>
      </c>
      <c r="E16" s="1088" t="s">
        <v>12</v>
      </c>
      <c r="F16" s="1080" t="s">
        <v>48</v>
      </c>
      <c r="G16" s="490">
        <v>20</v>
      </c>
      <c r="H16" s="490">
        <v>3</v>
      </c>
      <c r="I16" s="127" t="s">
        <v>49</v>
      </c>
      <c r="J16" s="1081" t="s">
        <v>13</v>
      </c>
      <c r="N16" s="1084"/>
    </row>
    <row r="17" hidden="1" spans="1:14">
      <c r="A17" s="490">
        <v>16</v>
      </c>
      <c r="B17" s="490" t="str">
        <f>D17</f>
        <v>动保毛利</v>
      </c>
      <c r="C17" s="1083" t="s">
        <v>50</v>
      </c>
      <c r="D17" s="1079" t="s">
        <v>51</v>
      </c>
      <c r="E17" s="1080" t="s">
        <v>12</v>
      </c>
      <c r="F17" s="1080"/>
      <c r="G17" s="490">
        <v>26</v>
      </c>
      <c r="H17" s="490"/>
      <c r="I17" s="127"/>
      <c r="J17" s="1081" t="s">
        <v>23</v>
      </c>
      <c r="N17" s="1082"/>
    </row>
    <row r="18" hidden="1" spans="1:14">
      <c r="A18" s="490">
        <v>17</v>
      </c>
      <c r="B18" s="490" t="str">
        <f>D18</f>
        <v>动保大类毛利</v>
      </c>
      <c r="C18" s="1078" t="s">
        <v>52</v>
      </c>
      <c r="D18" s="1079" t="s">
        <v>53</v>
      </c>
      <c r="E18" s="1080" t="s">
        <v>12</v>
      </c>
      <c r="F18" s="1080"/>
      <c r="G18" s="490">
        <v>27</v>
      </c>
      <c r="H18" s="490"/>
      <c r="I18" s="127"/>
      <c r="J18" s="1081" t="s">
        <v>23</v>
      </c>
      <c r="N18" s="1082"/>
    </row>
    <row r="19" hidden="1" spans="1:14">
      <c r="A19" s="490">
        <v>18</v>
      </c>
      <c r="B19" s="490" t="str">
        <f>D19</f>
        <v>动保公司毛利</v>
      </c>
      <c r="C19" s="1083" t="s">
        <v>54</v>
      </c>
      <c r="D19" s="1079" t="s">
        <v>55</v>
      </c>
      <c r="E19" s="1080" t="s">
        <v>12</v>
      </c>
      <c r="F19" s="1080"/>
      <c r="G19" s="490">
        <v>28</v>
      </c>
      <c r="H19" s="490"/>
      <c r="I19" s="127"/>
      <c r="J19" s="1081" t="s">
        <v>23</v>
      </c>
      <c r="N19" s="1082"/>
    </row>
    <row r="20" hidden="1" spans="1:14">
      <c r="A20" s="490">
        <v>19</v>
      </c>
      <c r="B20" s="490" t="str">
        <f>D20</f>
        <v>动保产品毛利</v>
      </c>
      <c r="C20" s="1083" t="s">
        <v>56</v>
      </c>
      <c r="D20" s="1079" t="s">
        <v>57</v>
      </c>
      <c r="E20" s="1080" t="s">
        <v>12</v>
      </c>
      <c r="F20" s="1080"/>
      <c r="G20" s="490">
        <v>29</v>
      </c>
      <c r="H20" s="490"/>
      <c r="I20" s="127"/>
      <c r="J20" s="1081" t="s">
        <v>23</v>
      </c>
      <c r="N20" s="1082"/>
    </row>
    <row r="21" spans="1:14">
      <c r="A21" s="490">
        <v>20</v>
      </c>
      <c r="B21" s="490" t="s">
        <v>58</v>
      </c>
      <c r="C21" s="1089" t="s">
        <v>59</v>
      </c>
      <c r="D21" s="1079" t="s">
        <v>60</v>
      </c>
      <c r="E21" s="1080" t="s">
        <v>29</v>
      </c>
      <c r="F21" s="1080" t="s">
        <v>61</v>
      </c>
      <c r="G21" s="490">
        <v>13</v>
      </c>
      <c r="H21" s="490">
        <v>1</v>
      </c>
      <c r="I21" s="127"/>
      <c r="J21" s="1081" t="s">
        <v>23</v>
      </c>
      <c r="N21" s="1084"/>
    </row>
    <row r="22" spans="1:14">
      <c r="A22" s="490">
        <v>21</v>
      </c>
      <c r="B22" s="490" t="s">
        <v>62</v>
      </c>
      <c r="C22" s="1089" t="s">
        <v>63</v>
      </c>
      <c r="D22" s="1079" t="s">
        <v>62</v>
      </c>
      <c r="E22" s="1080" t="s">
        <v>29</v>
      </c>
      <c r="F22" s="1080" t="s">
        <v>61</v>
      </c>
      <c r="G22" s="490">
        <v>22</v>
      </c>
      <c r="H22" s="490">
        <v>1</v>
      </c>
      <c r="I22" s="127"/>
      <c r="J22" s="1081" t="s">
        <v>23</v>
      </c>
    </row>
    <row r="23" spans="1:14">
      <c r="A23" s="490">
        <v>22</v>
      </c>
      <c r="B23" s="490" t="s">
        <v>58</v>
      </c>
      <c r="C23" s="1089" t="s">
        <v>64</v>
      </c>
      <c r="D23" s="1079" t="s">
        <v>62</v>
      </c>
      <c r="E23" s="1080" t="s">
        <v>29</v>
      </c>
      <c r="F23" s="1080" t="s">
        <v>61</v>
      </c>
      <c r="G23" s="490">
        <v>23</v>
      </c>
      <c r="H23" s="490">
        <v>1</v>
      </c>
      <c r="I23" s="127"/>
      <c r="J23" s="1081" t="s">
        <v>23</v>
      </c>
    </row>
    <row r="24" s="1073" customFormat="1" hidden="1" spans="1:14">
      <c r="A24" s="1090">
        <v>23</v>
      </c>
      <c r="B24" s="1090" t="s">
        <v>62</v>
      </c>
      <c r="C24" s="1089" t="s">
        <v>65</v>
      </c>
      <c r="D24" s="1091" t="s">
        <v>62</v>
      </c>
      <c r="E24" s="1088" t="s">
        <v>29</v>
      </c>
      <c r="F24" s="1088" t="s">
        <v>61</v>
      </c>
      <c r="G24" s="1090"/>
      <c r="H24" s="1090">
        <v>1</v>
      </c>
      <c r="I24" s="1092"/>
      <c r="J24" s="1093" t="s">
        <v>23</v>
      </c>
      <c r="K24" s="1073" t="s">
        <v>66</v>
      </c>
    </row>
    <row r="25" s="1073" customFormat="1" hidden="1" spans="1:14">
      <c r="A25" s="1090">
        <v>24</v>
      </c>
      <c r="B25" s="1090" t="s">
        <v>58</v>
      </c>
      <c r="C25" s="1094" t="s">
        <v>67</v>
      </c>
      <c r="D25" s="1091" t="s">
        <v>68</v>
      </c>
      <c r="E25" s="1088" t="s">
        <v>29</v>
      </c>
      <c r="F25" s="1088" t="s">
        <v>61</v>
      </c>
      <c r="G25" s="1090"/>
      <c r="H25" s="1090">
        <v>1</v>
      </c>
      <c r="I25" s="1092"/>
      <c r="J25" s="1093" t="s">
        <v>23</v>
      </c>
      <c r="K25" s="1073" t="s">
        <v>69</v>
      </c>
    </row>
    <row r="26" spans="1:14">
      <c r="A26" s="490">
        <v>25</v>
      </c>
      <c r="B26" s="490" t="s">
        <v>70</v>
      </c>
      <c r="C26" s="1078" t="s">
        <v>71</v>
      </c>
      <c r="D26" s="1079" t="s">
        <v>70</v>
      </c>
      <c r="E26" s="1080" t="s">
        <v>29</v>
      </c>
      <c r="F26" s="1080" t="s">
        <v>48</v>
      </c>
      <c r="G26" s="490">
        <v>24</v>
      </c>
      <c r="H26" s="490">
        <v>3</v>
      </c>
      <c r="I26" s="127" t="s">
        <v>72</v>
      </c>
      <c r="J26" s="1081" t="s">
        <v>13</v>
      </c>
    </row>
    <row r="27" spans="1:14">
      <c r="A27" s="490">
        <v>26</v>
      </c>
      <c r="B27" s="490" t="s">
        <v>70</v>
      </c>
      <c r="C27" s="1078" t="s">
        <v>73</v>
      </c>
      <c r="D27" s="1079" t="s">
        <v>70</v>
      </c>
      <c r="E27" s="1080" t="s">
        <v>29</v>
      </c>
      <c r="F27" s="1080" t="s">
        <v>48</v>
      </c>
      <c r="G27" s="490">
        <v>25</v>
      </c>
      <c r="H27" s="490">
        <v>3</v>
      </c>
      <c r="I27" s="127" t="s">
        <v>72</v>
      </c>
      <c r="J27" s="1081" t="s">
        <v>13</v>
      </c>
    </row>
    <row r="28" spans="1:14">
      <c r="A28" s="490">
        <v>27</v>
      </c>
      <c r="B28" s="490" t="s">
        <v>74</v>
      </c>
      <c r="C28" s="1078" t="s">
        <v>75</v>
      </c>
      <c r="D28" s="1079" t="s">
        <v>76</v>
      </c>
      <c r="E28" s="1080" t="s">
        <v>29</v>
      </c>
      <c r="F28" s="1080" t="s">
        <v>77</v>
      </c>
      <c r="G28" s="490">
        <v>14</v>
      </c>
      <c r="H28" s="490">
        <v>2</v>
      </c>
      <c r="I28" s="127" t="s">
        <v>78</v>
      </c>
      <c r="J28" s="1081" t="s">
        <v>23</v>
      </c>
    </row>
    <row r="29" spans="1:14">
      <c r="A29" s="490">
        <v>28</v>
      </c>
      <c r="B29" s="490" t="s">
        <v>74</v>
      </c>
      <c r="C29" s="1078" t="s">
        <v>79</v>
      </c>
      <c r="D29" s="1079" t="s">
        <v>76</v>
      </c>
      <c r="E29" s="1080" t="s">
        <v>29</v>
      </c>
      <c r="F29" s="1080" t="s">
        <v>77</v>
      </c>
      <c r="G29" s="490">
        <v>15</v>
      </c>
      <c r="H29" s="490">
        <v>2</v>
      </c>
      <c r="I29" s="127" t="s">
        <v>78</v>
      </c>
      <c r="J29" s="1081" t="s">
        <v>23</v>
      </c>
    </row>
    <row r="30" spans="1:14">
      <c r="A30" s="490">
        <v>29</v>
      </c>
      <c r="B30" s="490" t="s">
        <v>80</v>
      </c>
      <c r="C30" s="1078" t="s">
        <v>81</v>
      </c>
      <c r="D30" s="1079" t="s">
        <v>82</v>
      </c>
      <c r="E30" s="1080" t="s">
        <v>29</v>
      </c>
      <c r="F30" s="1080" t="s">
        <v>48</v>
      </c>
      <c r="G30" s="490">
        <v>16</v>
      </c>
      <c r="H30" s="490">
        <v>2</v>
      </c>
      <c r="I30" s="127" t="s">
        <v>78</v>
      </c>
      <c r="J30" s="1081" t="s">
        <v>23</v>
      </c>
    </row>
    <row r="31" spans="1:14">
      <c r="A31" s="490">
        <v>30</v>
      </c>
      <c r="B31" s="490" t="s">
        <v>83</v>
      </c>
      <c r="C31" s="1078" t="s">
        <v>84</v>
      </c>
      <c r="D31" s="1079" t="s">
        <v>83</v>
      </c>
      <c r="E31" s="1080" t="s">
        <v>29</v>
      </c>
      <c r="F31" s="1080" t="s">
        <v>85</v>
      </c>
      <c r="G31" s="490">
        <v>18</v>
      </c>
      <c r="H31" s="490">
        <v>3</v>
      </c>
      <c r="I31" s="127" t="s">
        <v>72</v>
      </c>
      <c r="J31" s="1081" t="s">
        <v>23</v>
      </c>
    </row>
    <row r="32" spans="1:14">
      <c r="A32" s="490">
        <v>31</v>
      </c>
      <c r="B32" s="490" t="s">
        <v>86</v>
      </c>
      <c r="C32" s="1078" t="s">
        <v>87</v>
      </c>
      <c r="D32" s="1079" t="s">
        <v>86</v>
      </c>
      <c r="E32" s="1080" t="s">
        <v>29</v>
      </c>
      <c r="F32" s="1080" t="s">
        <v>48</v>
      </c>
      <c r="G32" s="490">
        <v>17</v>
      </c>
      <c r="H32" s="490">
        <v>3</v>
      </c>
      <c r="I32" s="127" t="s">
        <v>72</v>
      </c>
      <c r="J32" s="1081" t="s">
        <v>23</v>
      </c>
    </row>
    <row r="33" spans="1:10">
      <c r="A33" s="490">
        <v>32</v>
      </c>
      <c r="B33" s="490" t="s">
        <v>88</v>
      </c>
      <c r="C33" s="1078" t="s">
        <v>89</v>
      </c>
      <c r="D33" s="1079" t="s">
        <v>90</v>
      </c>
      <c r="E33" s="1080" t="s">
        <v>29</v>
      </c>
      <c r="F33" s="1080" t="s">
        <v>48</v>
      </c>
      <c r="G33" s="490">
        <v>19</v>
      </c>
      <c r="H33" s="490">
        <v>3</v>
      </c>
      <c r="I33" s="127" t="s">
        <v>72</v>
      </c>
      <c r="J33" s="1081" t="s">
        <v>23</v>
      </c>
    </row>
    <row r="34" hidden="1" spans="1:10">
      <c r="A34" s="490">
        <v>33</v>
      </c>
      <c r="B34" s="490" t="s">
        <v>91</v>
      </c>
      <c r="C34" s="1089" t="s">
        <v>92</v>
      </c>
      <c r="D34" s="1079" t="s">
        <v>93</v>
      </c>
      <c r="E34" s="1080" t="s">
        <v>29</v>
      </c>
      <c r="F34" s="1080" t="s">
        <v>94</v>
      </c>
      <c r="G34" s="490">
        <v>30</v>
      </c>
      <c r="H34" s="490">
        <v>3</v>
      </c>
      <c r="I34" s="127"/>
      <c r="J34" s="1081" t="s">
        <v>13</v>
      </c>
    </row>
    <row r="35" spans="1:10">
      <c r="A35" s="490">
        <v>34</v>
      </c>
      <c r="B35" s="490" t="s">
        <v>95</v>
      </c>
      <c r="C35" s="1078" t="s">
        <v>96</v>
      </c>
      <c r="D35" s="1079" t="s">
        <v>97</v>
      </c>
      <c r="E35" s="1080" t="s">
        <v>29</v>
      </c>
      <c r="F35" s="1080" t="s">
        <v>98</v>
      </c>
      <c r="G35" s="490">
        <v>22</v>
      </c>
      <c r="H35" s="490">
        <v>2</v>
      </c>
      <c r="I35" s="127" t="s">
        <v>78</v>
      </c>
      <c r="J35" s="1081" t="s">
        <v>13</v>
      </c>
    </row>
    <row r="36" hidden="1" spans="1:10">
      <c r="A36" s="490">
        <v>35</v>
      </c>
      <c r="B36" s="490" t="str">
        <f>D36</f>
        <v>生产产量</v>
      </c>
      <c r="C36" s="1083" t="s">
        <v>99</v>
      </c>
      <c r="D36" s="1079" t="s">
        <v>100</v>
      </c>
      <c r="E36" s="1080" t="s">
        <v>12</v>
      </c>
      <c r="F36" s="1080"/>
      <c r="G36" s="490">
        <v>23</v>
      </c>
      <c r="H36" s="490"/>
      <c r="I36" s="127"/>
      <c r="J36" s="1081" t="s">
        <v>13</v>
      </c>
    </row>
    <row r="37" hidden="1" spans="1:10">
      <c r="A37" s="490">
        <v>36</v>
      </c>
      <c r="B37" s="490" t="s">
        <v>46</v>
      </c>
      <c r="C37" s="1089" t="s">
        <v>101</v>
      </c>
      <c r="D37" s="1095" t="s">
        <v>102</v>
      </c>
      <c r="E37" s="1080" t="s">
        <v>29</v>
      </c>
      <c r="F37" s="1080" t="s">
        <v>98</v>
      </c>
      <c r="G37" s="490">
        <v>24</v>
      </c>
      <c r="H37" s="490">
        <v>3</v>
      </c>
      <c r="I37" s="127" t="s">
        <v>49</v>
      </c>
      <c r="J37" s="1081" t="s">
        <v>13</v>
      </c>
    </row>
    <row r="38" hidden="1" spans="1:10">
      <c r="A38" s="490">
        <v>37</v>
      </c>
      <c r="B38" s="490" t="str">
        <f>D38</f>
        <v>制造费用</v>
      </c>
      <c r="C38" s="1078" t="s">
        <v>103</v>
      </c>
      <c r="D38" s="1095" t="s">
        <v>102</v>
      </c>
      <c r="E38" s="1080" t="s">
        <v>12</v>
      </c>
      <c r="F38" s="1080"/>
      <c r="G38" s="490">
        <v>25</v>
      </c>
      <c r="H38" s="490"/>
      <c r="I38" s="127"/>
      <c r="J38" s="1081" t="s">
        <v>13</v>
      </c>
    </row>
    <row r="39" hidden="1" spans="1:10">
      <c r="A39" s="490">
        <v>38</v>
      </c>
      <c r="B39" s="490" t="s">
        <v>104</v>
      </c>
      <c r="C39" s="1089" t="s">
        <v>105</v>
      </c>
      <c r="D39" s="1079" t="s">
        <v>106</v>
      </c>
      <c r="E39" s="1080" t="s">
        <v>29</v>
      </c>
      <c r="F39" s="1080" t="s">
        <v>107</v>
      </c>
      <c r="G39" s="490">
        <v>31</v>
      </c>
      <c r="H39" s="490">
        <v>3</v>
      </c>
      <c r="I39" s="127" t="s">
        <v>108</v>
      </c>
      <c r="J39" s="1081" t="s">
        <v>109</v>
      </c>
    </row>
    <row r="40" hidden="1" spans="1:10">
      <c r="A40" s="490">
        <v>39</v>
      </c>
      <c r="B40" s="490" t="s">
        <v>110</v>
      </c>
      <c r="C40" s="1089" t="s">
        <v>111</v>
      </c>
      <c r="D40" s="1095" t="s">
        <v>112</v>
      </c>
      <c r="E40" s="1080" t="s">
        <v>29</v>
      </c>
      <c r="F40" s="1080" t="s">
        <v>107</v>
      </c>
      <c r="G40" s="490">
        <v>32</v>
      </c>
      <c r="H40" s="490">
        <v>3</v>
      </c>
      <c r="I40" s="127" t="s">
        <v>113</v>
      </c>
      <c r="J40" s="1081" t="s">
        <v>109</v>
      </c>
    </row>
    <row r="41" hidden="1" spans="1:10">
      <c r="A41" s="490">
        <v>40</v>
      </c>
      <c r="B41" s="490" t="str">
        <f>D41</f>
        <v>销售费用</v>
      </c>
      <c r="C41" s="1083" t="s">
        <v>114</v>
      </c>
      <c r="D41" s="1086" t="s">
        <v>115</v>
      </c>
      <c r="E41" s="1080" t="s">
        <v>12</v>
      </c>
      <c r="F41" s="1080"/>
      <c r="G41" s="490">
        <v>33</v>
      </c>
      <c r="H41" s="490"/>
      <c r="I41" s="127"/>
      <c r="J41" s="1081" t="s">
        <v>109</v>
      </c>
    </row>
    <row r="42" hidden="1" spans="1:10">
      <c r="A42" s="490">
        <v>41</v>
      </c>
      <c r="B42" s="490" t="str">
        <f>D42</f>
        <v>销售费用</v>
      </c>
      <c r="C42" s="1083" t="s">
        <v>116</v>
      </c>
      <c r="D42" s="1086" t="s">
        <v>115</v>
      </c>
      <c r="E42" s="1080" t="s">
        <v>12</v>
      </c>
      <c r="F42" s="1080"/>
      <c r="G42" s="490">
        <v>34</v>
      </c>
      <c r="H42" s="490"/>
      <c r="I42" s="127"/>
      <c r="J42" s="1081" t="s">
        <v>109</v>
      </c>
    </row>
    <row r="43" hidden="1" spans="1:10">
      <c r="A43" s="490">
        <v>42</v>
      </c>
      <c r="B43" s="490" t="s">
        <v>115</v>
      </c>
      <c r="C43" s="1089" t="s">
        <v>117</v>
      </c>
      <c r="D43" s="1086" t="s">
        <v>115</v>
      </c>
      <c r="E43" s="1080" t="s">
        <v>29</v>
      </c>
      <c r="F43" s="1080" t="s">
        <v>107</v>
      </c>
      <c r="G43" s="490">
        <v>35</v>
      </c>
      <c r="H43" s="490">
        <v>3</v>
      </c>
      <c r="I43" s="127" t="s">
        <v>118</v>
      </c>
      <c r="J43" s="1081" t="s">
        <v>109</v>
      </c>
    </row>
    <row r="44" hidden="1" spans="1:10">
      <c r="A44" s="490">
        <v>43</v>
      </c>
      <c r="B44" s="490" t="s">
        <v>115</v>
      </c>
      <c r="C44" s="1089" t="s">
        <v>119</v>
      </c>
      <c r="D44" s="1086" t="s">
        <v>115</v>
      </c>
      <c r="E44" s="1080" t="s">
        <v>29</v>
      </c>
      <c r="F44" s="1080" t="s">
        <v>120</v>
      </c>
      <c r="G44" s="490">
        <v>36</v>
      </c>
      <c r="H44" s="490">
        <v>3</v>
      </c>
      <c r="I44" s="127" t="s">
        <v>72</v>
      </c>
      <c r="J44" s="1081" t="s">
        <v>109</v>
      </c>
    </row>
    <row r="45" hidden="1" spans="1:10">
      <c r="A45" s="490">
        <v>44</v>
      </c>
      <c r="B45" s="490" t="s">
        <v>115</v>
      </c>
      <c r="C45" s="1089" t="s">
        <v>121</v>
      </c>
      <c r="D45" s="1086" t="s">
        <v>115</v>
      </c>
      <c r="E45" s="1080" t="s">
        <v>29</v>
      </c>
      <c r="F45" s="1080" t="s">
        <v>120</v>
      </c>
      <c r="G45" s="490">
        <v>37</v>
      </c>
      <c r="H45" s="490">
        <v>3</v>
      </c>
      <c r="I45" s="127" t="s">
        <v>72</v>
      </c>
      <c r="J45" s="1081" t="s">
        <v>109</v>
      </c>
    </row>
    <row r="46" hidden="1" spans="1:10">
      <c r="A46" s="490">
        <v>45</v>
      </c>
      <c r="B46" s="490" t="s">
        <v>115</v>
      </c>
      <c r="C46" s="1094" t="s">
        <v>122</v>
      </c>
      <c r="D46" s="1086" t="s">
        <v>115</v>
      </c>
      <c r="E46" s="1080" t="s">
        <v>29</v>
      </c>
      <c r="F46" s="1080" t="s">
        <v>120</v>
      </c>
      <c r="G46" s="490">
        <v>38</v>
      </c>
      <c r="H46" s="490">
        <v>3</v>
      </c>
      <c r="I46" s="127" t="s">
        <v>72</v>
      </c>
      <c r="J46" s="1081" t="s">
        <v>109</v>
      </c>
    </row>
    <row r="47" hidden="1" spans="1:10">
      <c r="A47" s="490">
        <v>46</v>
      </c>
      <c r="B47" s="490" t="s">
        <v>115</v>
      </c>
      <c r="C47" s="1089" t="s">
        <v>123</v>
      </c>
      <c r="D47" s="1086" t="s">
        <v>115</v>
      </c>
      <c r="E47" s="1080" t="s">
        <v>29</v>
      </c>
      <c r="F47" s="1080" t="s">
        <v>120</v>
      </c>
      <c r="G47" s="490">
        <v>39</v>
      </c>
      <c r="H47" s="490">
        <v>3</v>
      </c>
      <c r="I47" s="127" t="s">
        <v>72</v>
      </c>
      <c r="J47" s="1081" t="s">
        <v>109</v>
      </c>
    </row>
    <row r="48" hidden="1" spans="1:10">
      <c r="A48" s="490">
        <v>47</v>
      </c>
      <c r="B48" s="490" t="s">
        <v>115</v>
      </c>
      <c r="C48" s="1089" t="s">
        <v>124</v>
      </c>
      <c r="D48" s="1086" t="s">
        <v>115</v>
      </c>
      <c r="E48" s="1080" t="s">
        <v>29</v>
      </c>
      <c r="F48" s="1080" t="s">
        <v>48</v>
      </c>
      <c r="G48" s="490">
        <v>40</v>
      </c>
      <c r="H48" s="490">
        <v>3</v>
      </c>
      <c r="I48" s="127" t="s">
        <v>72</v>
      </c>
      <c r="J48" s="1081" t="s">
        <v>109</v>
      </c>
    </row>
    <row r="49" hidden="1" spans="1:10">
      <c r="A49" s="490">
        <v>48</v>
      </c>
      <c r="B49" s="490" t="str">
        <f>D49</f>
        <v>管理费用</v>
      </c>
      <c r="C49" s="1083" t="s">
        <v>125</v>
      </c>
      <c r="D49" s="1079" t="s">
        <v>126</v>
      </c>
      <c r="E49" s="1080" t="s">
        <v>12</v>
      </c>
      <c r="F49" s="1080"/>
      <c r="G49" s="490">
        <v>41</v>
      </c>
      <c r="H49" s="490"/>
      <c r="I49" s="127"/>
      <c r="J49" s="1081" t="s">
        <v>109</v>
      </c>
    </row>
    <row r="50" hidden="1" spans="1:10">
      <c r="A50" s="490">
        <v>49</v>
      </c>
      <c r="B50" s="490" t="str">
        <f>D50</f>
        <v>管理费用</v>
      </c>
      <c r="C50" s="1083" t="s">
        <v>127</v>
      </c>
      <c r="D50" s="1079" t="s">
        <v>126</v>
      </c>
      <c r="E50" s="1080" t="s">
        <v>12</v>
      </c>
      <c r="F50" s="1080"/>
      <c r="G50" s="490">
        <v>42</v>
      </c>
      <c r="H50" s="490"/>
      <c r="I50" s="127"/>
      <c r="J50" s="1081" t="s">
        <v>109</v>
      </c>
    </row>
    <row r="51" hidden="1" spans="1:10">
      <c r="A51" s="490">
        <v>50</v>
      </c>
      <c r="B51" s="490" t="s">
        <v>126</v>
      </c>
      <c r="C51" s="1089" t="s">
        <v>128</v>
      </c>
      <c r="D51" s="1079" t="s">
        <v>126</v>
      </c>
      <c r="E51" s="1080" t="s">
        <v>29</v>
      </c>
      <c r="F51" s="1080" t="s">
        <v>107</v>
      </c>
      <c r="G51" s="490">
        <v>43</v>
      </c>
      <c r="H51" s="490">
        <v>3</v>
      </c>
      <c r="I51" s="127" t="s">
        <v>129</v>
      </c>
      <c r="J51" s="1081" t="s">
        <v>109</v>
      </c>
    </row>
    <row r="52" hidden="1" spans="1:10">
      <c r="A52" s="490">
        <v>51</v>
      </c>
      <c r="B52" s="490" t="s">
        <v>126</v>
      </c>
      <c r="C52" s="1089" t="s">
        <v>130</v>
      </c>
      <c r="D52" s="1079" t="s">
        <v>126</v>
      </c>
      <c r="E52" s="1080" t="s">
        <v>29</v>
      </c>
      <c r="F52" s="1080" t="s">
        <v>131</v>
      </c>
      <c r="G52" s="490">
        <v>44</v>
      </c>
      <c r="H52" s="490">
        <v>3</v>
      </c>
      <c r="I52" s="127"/>
      <c r="J52" s="1081" t="s">
        <v>109</v>
      </c>
    </row>
    <row r="53" hidden="1" spans="1:10">
      <c r="A53" s="490">
        <v>52</v>
      </c>
      <c r="B53" s="490" t="s">
        <v>126</v>
      </c>
      <c r="C53" s="1089" t="s">
        <v>132</v>
      </c>
      <c r="D53" s="1079" t="s">
        <v>126</v>
      </c>
      <c r="E53" s="1080" t="s">
        <v>29</v>
      </c>
      <c r="F53" s="1080" t="s">
        <v>131</v>
      </c>
      <c r="G53" s="490">
        <v>45</v>
      </c>
      <c r="H53" s="490">
        <v>3</v>
      </c>
      <c r="I53" s="127"/>
      <c r="J53" s="1081" t="s">
        <v>109</v>
      </c>
    </row>
    <row r="54" hidden="1" spans="1:10">
      <c r="A54" s="490">
        <v>53</v>
      </c>
      <c r="B54" s="490" t="s">
        <v>126</v>
      </c>
      <c r="C54" s="1089" t="s">
        <v>133</v>
      </c>
      <c r="D54" s="1079" t="s">
        <v>126</v>
      </c>
      <c r="E54" s="1080" t="s">
        <v>29</v>
      </c>
      <c r="F54" s="1080" t="s">
        <v>134</v>
      </c>
      <c r="G54" s="490">
        <v>46</v>
      </c>
      <c r="H54" s="490">
        <v>3</v>
      </c>
      <c r="I54" s="127"/>
      <c r="J54" s="1081" t="s">
        <v>109</v>
      </c>
    </row>
    <row r="55" hidden="1" spans="1:10">
      <c r="A55" s="490">
        <v>54</v>
      </c>
      <c r="B55" s="490" t="s">
        <v>126</v>
      </c>
      <c r="C55" s="1089" t="s">
        <v>135</v>
      </c>
      <c r="D55" s="1079" t="s">
        <v>126</v>
      </c>
      <c r="E55" s="1080" t="s">
        <v>29</v>
      </c>
      <c r="F55" s="1080" t="s">
        <v>107</v>
      </c>
      <c r="G55" s="490">
        <v>47</v>
      </c>
      <c r="H55" s="490">
        <v>3</v>
      </c>
      <c r="I55" s="127"/>
      <c r="J55" s="1081" t="s">
        <v>109</v>
      </c>
    </row>
    <row r="56" hidden="1" spans="1:10">
      <c r="A56" s="490">
        <v>55</v>
      </c>
      <c r="B56" s="490" t="s">
        <v>126</v>
      </c>
      <c r="C56" s="1089" t="s">
        <v>136</v>
      </c>
      <c r="D56" s="1079" t="s">
        <v>126</v>
      </c>
      <c r="E56" s="1080" t="s">
        <v>29</v>
      </c>
      <c r="F56" s="1080" t="s">
        <v>107</v>
      </c>
      <c r="G56" s="490">
        <v>48</v>
      </c>
      <c r="H56" s="490">
        <v>3</v>
      </c>
      <c r="I56" s="127"/>
      <c r="J56" s="1081" t="s">
        <v>109</v>
      </c>
    </row>
    <row r="57" hidden="1" spans="1:10">
      <c r="A57" s="490">
        <v>56</v>
      </c>
      <c r="B57" s="490" t="s">
        <v>126</v>
      </c>
      <c r="C57" s="1089" t="s">
        <v>137</v>
      </c>
      <c r="D57" s="1079" t="s">
        <v>126</v>
      </c>
      <c r="E57" s="1080" t="s">
        <v>29</v>
      </c>
      <c r="F57" s="1080" t="s">
        <v>131</v>
      </c>
      <c r="G57" s="490">
        <v>49</v>
      </c>
      <c r="H57" s="490">
        <v>3</v>
      </c>
      <c r="I57" s="127"/>
      <c r="J57" s="1081" t="s">
        <v>109</v>
      </c>
    </row>
    <row r="58" hidden="1" spans="1:10">
      <c r="A58" s="490">
        <v>57</v>
      </c>
      <c r="B58" s="490" t="s">
        <v>126</v>
      </c>
      <c r="C58" s="1089" t="s">
        <v>138</v>
      </c>
      <c r="D58" s="1079" t="s">
        <v>126</v>
      </c>
      <c r="E58" s="1080" t="s">
        <v>29</v>
      </c>
      <c r="F58" s="1080" t="s">
        <v>139</v>
      </c>
      <c r="G58" s="490">
        <v>50</v>
      </c>
      <c r="H58" s="490">
        <v>3</v>
      </c>
      <c r="I58" s="127"/>
      <c r="J58" s="1081" t="s">
        <v>109</v>
      </c>
    </row>
    <row r="59" hidden="1" spans="1:10">
      <c r="A59" s="490">
        <v>58</v>
      </c>
      <c r="B59" s="490" t="s">
        <v>126</v>
      </c>
      <c r="C59" s="1089" t="s">
        <v>140</v>
      </c>
      <c r="D59" s="1079" t="s">
        <v>126</v>
      </c>
      <c r="E59" s="1080" t="s">
        <v>29</v>
      </c>
      <c r="F59" s="1080" t="s">
        <v>48</v>
      </c>
      <c r="G59" s="490">
        <v>51</v>
      </c>
      <c r="H59" s="490">
        <v>3</v>
      </c>
      <c r="I59" s="127"/>
      <c r="J59" s="1081" t="s">
        <v>109</v>
      </c>
    </row>
    <row r="60" hidden="1" spans="1:10">
      <c r="A60" s="490">
        <v>59</v>
      </c>
      <c r="B60" s="490" t="s">
        <v>126</v>
      </c>
      <c r="C60" s="1089" t="s">
        <v>141</v>
      </c>
      <c r="D60" s="1079" t="s">
        <v>126</v>
      </c>
      <c r="E60" s="1080" t="s">
        <v>29</v>
      </c>
      <c r="F60" s="1080" t="s">
        <v>139</v>
      </c>
      <c r="G60" s="490">
        <v>52</v>
      </c>
      <c r="H60" s="490">
        <v>3</v>
      </c>
      <c r="I60" s="127"/>
      <c r="J60" s="1081" t="s">
        <v>109</v>
      </c>
    </row>
    <row r="61" hidden="1" spans="1:10">
      <c r="A61" s="490">
        <v>60</v>
      </c>
      <c r="B61" s="490" t="s">
        <v>126</v>
      </c>
      <c r="C61" s="1089" t="s">
        <v>142</v>
      </c>
      <c r="D61" s="1079" t="s">
        <v>126</v>
      </c>
      <c r="E61" s="1080" t="s">
        <v>29</v>
      </c>
      <c r="F61" s="1080" t="s">
        <v>139</v>
      </c>
      <c r="G61" s="490">
        <v>53</v>
      </c>
      <c r="H61" s="490">
        <v>3</v>
      </c>
      <c r="I61" s="127"/>
      <c r="J61" s="1081" t="s">
        <v>109</v>
      </c>
    </row>
    <row r="62" hidden="1" spans="1:10">
      <c r="A62" s="490">
        <v>61</v>
      </c>
      <c r="B62" s="490" t="s">
        <v>126</v>
      </c>
      <c r="C62" s="1089" t="s">
        <v>143</v>
      </c>
      <c r="D62" s="1079" t="s">
        <v>126</v>
      </c>
      <c r="E62" s="1080" t="s">
        <v>29</v>
      </c>
      <c r="F62" s="1080" t="s">
        <v>131</v>
      </c>
      <c r="G62" s="490">
        <v>54</v>
      </c>
      <c r="H62" s="490">
        <v>3</v>
      </c>
      <c r="I62" s="127"/>
      <c r="J62" s="1081" t="s">
        <v>109</v>
      </c>
    </row>
    <row r="63" hidden="1" spans="1:10">
      <c r="A63" s="490">
        <v>62</v>
      </c>
      <c r="B63" s="490" t="s">
        <v>126</v>
      </c>
      <c r="C63" s="1089" t="s">
        <v>144</v>
      </c>
      <c r="D63" s="1079" t="s">
        <v>126</v>
      </c>
      <c r="E63" s="1080" t="s">
        <v>29</v>
      </c>
      <c r="F63" s="1080" t="s">
        <v>131</v>
      </c>
      <c r="G63" s="490">
        <v>55</v>
      </c>
      <c r="H63" s="490">
        <v>3</v>
      </c>
      <c r="I63" s="127"/>
      <c r="J63" s="1081" t="s">
        <v>109</v>
      </c>
    </row>
    <row r="64" hidden="1" spans="1:10">
      <c r="A64" s="490">
        <v>63</v>
      </c>
      <c r="B64" s="490" t="s">
        <v>126</v>
      </c>
      <c r="C64" s="1089" t="s">
        <v>145</v>
      </c>
      <c r="D64" s="1079" t="s">
        <v>126</v>
      </c>
      <c r="E64" s="1080" t="s">
        <v>29</v>
      </c>
      <c r="F64" s="1080" t="s">
        <v>139</v>
      </c>
      <c r="G64" s="490">
        <v>56</v>
      </c>
      <c r="H64" s="490">
        <v>3</v>
      </c>
      <c r="I64" s="127"/>
      <c r="J64" s="1081" t="s">
        <v>109</v>
      </c>
    </row>
    <row r="65" hidden="1" spans="1:10">
      <c r="A65" s="490">
        <v>64</v>
      </c>
      <c r="B65" s="490" t="s">
        <v>126</v>
      </c>
      <c r="C65" s="1089" t="s">
        <v>146</v>
      </c>
      <c r="D65" s="1079" t="s">
        <v>126</v>
      </c>
      <c r="E65" s="1080" t="s">
        <v>29</v>
      </c>
      <c r="F65" s="1080" t="s">
        <v>48</v>
      </c>
      <c r="G65" s="490">
        <v>57</v>
      </c>
      <c r="H65" s="490">
        <v>3</v>
      </c>
      <c r="I65" s="127"/>
      <c r="J65" s="1081" t="s">
        <v>109</v>
      </c>
    </row>
    <row r="66" hidden="1" spans="1:10">
      <c r="A66" s="490">
        <v>65</v>
      </c>
      <c r="B66" s="490" t="s">
        <v>110</v>
      </c>
      <c r="C66" s="1089" t="s">
        <v>147</v>
      </c>
      <c r="D66" s="1079" t="s">
        <v>148</v>
      </c>
      <c r="E66" s="1080" t="s">
        <v>29</v>
      </c>
      <c r="F66" s="1080" t="s">
        <v>149</v>
      </c>
      <c r="G66" s="490">
        <v>58</v>
      </c>
      <c r="H66" s="490">
        <v>4</v>
      </c>
      <c r="I66" s="127"/>
      <c r="J66" s="1081" t="s">
        <v>109</v>
      </c>
    </row>
    <row r="67" hidden="1" spans="1:10">
      <c r="A67" s="490">
        <v>66</v>
      </c>
      <c r="B67" s="490" t="s">
        <v>150</v>
      </c>
      <c r="C67" s="1089" t="s">
        <v>151</v>
      </c>
      <c r="D67" s="1079" t="s">
        <v>150</v>
      </c>
      <c r="E67" s="1080" t="s">
        <v>29</v>
      </c>
      <c r="F67" s="1080" t="s">
        <v>48</v>
      </c>
      <c r="G67" s="490">
        <v>59</v>
      </c>
      <c r="H67" s="490">
        <v>3</v>
      </c>
      <c r="I67" s="127" t="s">
        <v>72</v>
      </c>
      <c r="J67" s="1081" t="s">
        <v>109</v>
      </c>
    </row>
    <row r="68" hidden="1" spans="1:10">
      <c r="A68" s="490">
        <v>67</v>
      </c>
      <c r="B68" s="490" t="s">
        <v>152</v>
      </c>
      <c r="C68" s="1089" t="s">
        <v>152</v>
      </c>
      <c r="D68" s="1079" t="s">
        <v>152</v>
      </c>
      <c r="E68" s="1080" t="s">
        <v>29</v>
      </c>
      <c r="F68" s="1080" t="s">
        <v>48</v>
      </c>
      <c r="G68" s="490">
        <v>60</v>
      </c>
      <c r="H68" s="490">
        <v>3</v>
      </c>
      <c r="I68" s="127"/>
      <c r="J68" s="1081" t="s">
        <v>13</v>
      </c>
    </row>
    <row r="69" hidden="1" spans="1:10">
      <c r="A69" s="490">
        <v>68</v>
      </c>
      <c r="B69" s="490" t="s">
        <v>153</v>
      </c>
      <c r="C69" s="1089" t="s">
        <v>153</v>
      </c>
      <c r="D69" s="1079" t="s">
        <v>153</v>
      </c>
      <c r="E69" s="1080" t="s">
        <v>29</v>
      </c>
      <c r="F69" s="1080" t="s">
        <v>48</v>
      </c>
      <c r="G69" s="490">
        <v>61</v>
      </c>
      <c r="H69" s="490">
        <v>3</v>
      </c>
      <c r="I69" s="127"/>
      <c r="J69" s="1081" t="s">
        <v>13</v>
      </c>
    </row>
    <row r="70" hidden="1" spans="1:10">
      <c r="A70" s="490">
        <v>69</v>
      </c>
      <c r="B70" s="490" t="s">
        <v>150</v>
      </c>
      <c r="C70" s="1089" t="s">
        <v>154</v>
      </c>
      <c r="D70" s="1079" t="s">
        <v>155</v>
      </c>
      <c r="E70" s="1080" t="s">
        <v>29</v>
      </c>
      <c r="F70" s="1080" t="s">
        <v>48</v>
      </c>
      <c r="G70" s="490">
        <v>62</v>
      </c>
      <c r="H70" s="490">
        <v>5</v>
      </c>
      <c r="I70" s="127"/>
      <c r="J70" s="1081" t="s">
        <v>109</v>
      </c>
    </row>
    <row r="71" hidden="1" spans="1:10">
      <c r="A71" s="490">
        <v>70</v>
      </c>
      <c r="B71" s="490" t="s">
        <v>156</v>
      </c>
      <c r="C71" s="1078" t="s">
        <v>157</v>
      </c>
      <c r="D71" s="1086" t="s">
        <v>158</v>
      </c>
      <c r="E71" s="1080" t="s">
        <v>12</v>
      </c>
      <c r="F71" s="1080" t="s">
        <v>48</v>
      </c>
      <c r="G71" s="490">
        <v>63</v>
      </c>
      <c r="H71" s="490">
        <v>4</v>
      </c>
      <c r="I71" s="127"/>
      <c r="J71" s="1081" t="s">
        <v>109</v>
      </c>
    </row>
    <row r="72" hidden="1" spans="1:10">
      <c r="A72" s="490">
        <v>71</v>
      </c>
      <c r="B72" s="490" t="s">
        <v>156</v>
      </c>
      <c r="C72" s="1089" t="s">
        <v>159</v>
      </c>
      <c r="D72" s="1086" t="s">
        <v>158</v>
      </c>
      <c r="E72" s="1080" t="s">
        <v>29</v>
      </c>
      <c r="F72" s="1080" t="s">
        <v>48</v>
      </c>
      <c r="G72" s="490">
        <v>64</v>
      </c>
      <c r="H72" s="490">
        <v>4</v>
      </c>
      <c r="I72" s="127"/>
      <c r="J72" s="1081" t="s">
        <v>109</v>
      </c>
    </row>
    <row r="73" hidden="1" spans="1:10">
      <c r="A73" s="490">
        <v>72</v>
      </c>
      <c r="B73" s="490" t="str">
        <f>D73</f>
        <v>养殖预算</v>
      </c>
      <c r="C73" s="1083" t="s">
        <v>160</v>
      </c>
      <c r="D73" s="1079" t="s">
        <v>161</v>
      </c>
      <c r="E73" s="1080" t="s">
        <v>12</v>
      </c>
      <c r="F73" s="1080"/>
      <c r="G73" s="490">
        <v>65</v>
      </c>
      <c r="H73" s="490"/>
      <c r="I73" s="127"/>
      <c r="J73" s="1081" t="s">
        <v>109</v>
      </c>
    </row>
    <row r="74" hidden="1" spans="1:10">
      <c r="A74" s="490">
        <v>73</v>
      </c>
      <c r="B74" s="490" t="s">
        <v>162</v>
      </c>
      <c r="C74" s="1089" t="s">
        <v>163</v>
      </c>
      <c r="D74" s="1079" t="s">
        <v>161</v>
      </c>
      <c r="E74" s="1080" t="s">
        <v>29</v>
      </c>
      <c r="F74" s="1080" t="s">
        <v>164</v>
      </c>
      <c r="G74" s="490">
        <v>66</v>
      </c>
      <c r="H74" s="490">
        <v>3</v>
      </c>
      <c r="I74" s="127"/>
      <c r="J74" s="1081" t="s">
        <v>109</v>
      </c>
    </row>
    <row r="75" hidden="1" spans="1:10">
      <c r="A75" s="490">
        <v>74</v>
      </c>
      <c r="B75" s="490" t="str">
        <f t="shared" ref="B75:B83" si="0">D75</f>
        <v>折旧费</v>
      </c>
      <c r="C75" s="1085" t="s">
        <v>165</v>
      </c>
      <c r="D75" s="1079" t="s">
        <v>166</v>
      </c>
      <c r="E75" s="1080" t="s">
        <v>12</v>
      </c>
      <c r="F75" s="1080"/>
      <c r="G75" s="490">
        <v>67</v>
      </c>
      <c r="H75" s="490"/>
      <c r="I75" s="127"/>
      <c r="J75" s="1081" t="s">
        <v>13</v>
      </c>
    </row>
    <row r="76" hidden="1" spans="1:10">
      <c r="A76" s="490">
        <v>75</v>
      </c>
      <c r="B76" s="490" t="s">
        <v>167</v>
      </c>
      <c r="C76" s="1096" t="s">
        <v>168</v>
      </c>
      <c r="D76" s="1079" t="s">
        <v>166</v>
      </c>
      <c r="E76" s="1080" t="s">
        <v>29</v>
      </c>
      <c r="F76" s="1080" t="s">
        <v>48</v>
      </c>
      <c r="G76" s="490">
        <v>68</v>
      </c>
      <c r="H76" s="490">
        <v>3</v>
      </c>
      <c r="I76" s="127"/>
      <c r="J76" s="1081" t="s">
        <v>13</v>
      </c>
    </row>
    <row r="77" hidden="1" spans="1:10">
      <c r="A77" s="490">
        <v>76</v>
      </c>
      <c r="B77" s="490" t="str">
        <f t="shared" si="0"/>
        <v>折旧费</v>
      </c>
      <c r="C77" s="328" t="s">
        <v>169</v>
      </c>
      <c r="D77" s="1079" t="s">
        <v>166</v>
      </c>
      <c r="E77" s="1080" t="s">
        <v>12</v>
      </c>
      <c r="F77" s="1080"/>
      <c r="G77" s="490">
        <v>69</v>
      </c>
      <c r="H77" s="490"/>
      <c r="I77" s="127"/>
      <c r="J77" s="1081" t="s">
        <v>13</v>
      </c>
    </row>
    <row r="78" hidden="1" spans="1:10">
      <c r="A78" s="490">
        <v>77</v>
      </c>
      <c r="B78" s="490" t="str">
        <f t="shared" si="0"/>
        <v>资金报表</v>
      </c>
      <c r="C78" s="1078" t="s">
        <v>170</v>
      </c>
      <c r="D78" s="1097" t="s">
        <v>171</v>
      </c>
      <c r="E78" s="1080" t="s">
        <v>12</v>
      </c>
      <c r="F78" s="490"/>
      <c r="G78" s="490">
        <v>70</v>
      </c>
      <c r="H78" s="490"/>
      <c r="I78" s="127"/>
      <c r="J78" s="1081" t="s">
        <v>23</v>
      </c>
    </row>
    <row r="79" hidden="1" spans="1:10">
      <c r="A79" s="490">
        <v>78</v>
      </c>
      <c r="B79" s="490" t="str">
        <f t="shared" si="0"/>
        <v>资金报表</v>
      </c>
      <c r="C79" s="1083" t="s">
        <v>172</v>
      </c>
      <c r="D79" s="1097" t="s">
        <v>171</v>
      </c>
      <c r="E79" s="1080" t="s">
        <v>12</v>
      </c>
      <c r="F79" s="490"/>
      <c r="G79" s="490">
        <v>71</v>
      </c>
      <c r="H79" s="490"/>
      <c r="I79" s="127"/>
      <c r="J79" s="1081" t="s">
        <v>23</v>
      </c>
    </row>
    <row r="80" hidden="1" spans="1:10">
      <c r="A80" s="490">
        <v>79</v>
      </c>
      <c r="B80" s="490" t="str">
        <f t="shared" si="0"/>
        <v>资金报表</v>
      </c>
      <c r="C80" s="1098" t="s">
        <v>173</v>
      </c>
      <c r="D80" s="1097" t="s">
        <v>171</v>
      </c>
      <c r="E80" s="1080" t="s">
        <v>12</v>
      </c>
      <c r="F80" s="490"/>
      <c r="G80" s="490"/>
      <c r="H80" s="490"/>
      <c r="I80" s="127"/>
      <c r="J80" s="1081" t="s">
        <v>23</v>
      </c>
    </row>
    <row r="81" spans="1:10">
      <c r="A81" s="490">
        <v>80</v>
      </c>
      <c r="B81" s="490" t="str">
        <f t="shared" si="0"/>
        <v>资金报表</v>
      </c>
      <c r="C81" s="1078" t="s">
        <v>174</v>
      </c>
      <c r="D81" s="1097" t="s">
        <v>171</v>
      </c>
      <c r="E81" s="1080" t="s">
        <v>29</v>
      </c>
      <c r="F81" s="1080" t="s">
        <v>48</v>
      </c>
      <c r="G81" s="490">
        <v>72</v>
      </c>
      <c r="H81" s="490">
        <v>4</v>
      </c>
      <c r="I81" s="127"/>
      <c r="J81" s="1081" t="s">
        <v>23</v>
      </c>
    </row>
    <row r="82" spans="1:10">
      <c r="A82" s="490">
        <v>81</v>
      </c>
      <c r="B82" s="490" t="str">
        <f t="shared" si="0"/>
        <v>资金报表</v>
      </c>
      <c r="C82" s="1078" t="s">
        <v>175</v>
      </c>
      <c r="D82" s="1097" t="s">
        <v>171</v>
      </c>
      <c r="E82" s="1080" t="s">
        <v>29</v>
      </c>
      <c r="F82" s="1080" t="s">
        <v>176</v>
      </c>
      <c r="G82" s="490">
        <v>73</v>
      </c>
      <c r="H82" s="490">
        <v>4</v>
      </c>
      <c r="I82" s="127"/>
      <c r="J82" s="1081" t="s">
        <v>23</v>
      </c>
    </row>
    <row r="83" spans="1:10">
      <c r="A83" s="490">
        <v>82</v>
      </c>
      <c r="B83" s="490" t="str">
        <f t="shared" si="0"/>
        <v>资金报表</v>
      </c>
      <c r="C83" s="1078" t="s">
        <v>177</v>
      </c>
      <c r="D83" s="1097" t="s">
        <v>171</v>
      </c>
      <c r="E83" s="1080" t="s">
        <v>29</v>
      </c>
      <c r="F83" s="1080" t="s">
        <v>176</v>
      </c>
      <c r="G83" s="490">
        <v>74</v>
      </c>
      <c r="H83" s="490">
        <v>4</v>
      </c>
      <c r="I83" s="127"/>
      <c r="J83" s="1081" t="s">
        <v>23</v>
      </c>
    </row>
    <row r="84" hidden="1" spans="1:10">
      <c r="A84" s="490">
        <v>83</v>
      </c>
      <c r="B84" s="490" t="s">
        <v>178</v>
      </c>
      <c r="C84" s="1089" t="s">
        <v>179</v>
      </c>
      <c r="D84" s="1097" t="s">
        <v>178</v>
      </c>
      <c r="E84" s="1080" t="s">
        <v>29</v>
      </c>
      <c r="F84" s="1080" t="s">
        <v>48</v>
      </c>
      <c r="G84" s="490"/>
      <c r="H84" s="490">
        <v>3</v>
      </c>
      <c r="I84" s="127"/>
      <c r="J84" s="1081" t="s">
        <v>109</v>
      </c>
    </row>
    <row r="85" hidden="1" spans="1:10">
      <c r="A85" s="490">
        <v>84</v>
      </c>
      <c r="B85" s="490" t="s">
        <v>180</v>
      </c>
      <c r="C85" s="1089" t="s">
        <v>181</v>
      </c>
      <c r="D85" s="1097" t="s">
        <v>182</v>
      </c>
      <c r="E85" s="1080" t="s">
        <v>29</v>
      </c>
      <c r="F85" s="1080" t="s">
        <v>48</v>
      </c>
      <c r="G85" s="490"/>
      <c r="H85" s="490">
        <v>3</v>
      </c>
      <c r="I85" s="127"/>
      <c r="J85" s="1081" t="s">
        <v>13</v>
      </c>
    </row>
    <row r="86" hidden="1" spans="1:10">
      <c r="A86" s="490">
        <v>85</v>
      </c>
      <c r="B86" s="490" t="str">
        <f>D86</f>
        <v>摊销费</v>
      </c>
      <c r="C86" s="1083" t="s">
        <v>183</v>
      </c>
      <c r="D86" s="1097" t="s">
        <v>182</v>
      </c>
      <c r="E86" s="1080" t="s">
        <v>12</v>
      </c>
      <c r="F86" s="490"/>
      <c r="G86" s="490"/>
      <c r="H86" s="490"/>
      <c r="I86" s="127"/>
      <c r="J86" s="1081" t="s">
        <v>13</v>
      </c>
    </row>
    <row r="87" hidden="1" spans="1:10">
      <c r="A87" s="490">
        <v>86</v>
      </c>
      <c r="B87" s="490" t="str">
        <f>D87</f>
        <v>摊销费</v>
      </c>
      <c r="C87" s="1078" t="s">
        <v>184</v>
      </c>
      <c r="D87" s="1097" t="s">
        <v>182</v>
      </c>
      <c r="E87" s="1080" t="s">
        <v>12</v>
      </c>
      <c r="F87" s="490"/>
      <c r="G87" s="490"/>
      <c r="H87" s="490"/>
      <c r="I87" s="127"/>
      <c r="J87" s="1081" t="s">
        <v>13</v>
      </c>
    </row>
  </sheetData>
  <autoFilter xmlns:etc="http://www.wps.cn/officeDocument/2017/etCustomData" ref="A1:K87" etc:filterBottomFollowUsedRange="0">
    <filterColumn colId="2">
      <colorFilter dxfId="0"/>
    </filterColumn>
    <filterColumn colId="4">
      <customFilters>
        <customFilter operator="equal" val="填写"/>
      </customFilters>
    </filterColumn>
    <extLst/>
  </autoFilter>
  <mergeCells count="1">
    <mergeCell ref="N2:N21"/>
  </mergeCells>
  <hyperlinks>
    <hyperlink ref="C2" location="'总体指标'!A1" display="总体指标"/>
    <hyperlink ref="C3" location="'年度利润表'!A1" display="年度利润表"/>
    <hyperlink ref="C4" location="'月度利润表'!A1" display="月度利润表"/>
    <hyperlink ref="C5" location="'产线贡献表'!A1" display="产线贡献表"/>
    <hyperlink ref="C6" location="'人效表'!A1" display="人效表"/>
    <hyperlink ref="C7" location="'基础档案'!A1" display="基础档案"/>
    <hyperlink ref="C8" location="'物料档案'!A1" display="物料档案"/>
    <hyperlink ref="C9" location="'A5 表样-聚焦镇量利（查阅）'!A1" display="A5 表样-聚焦镇量利（查阅）"/>
    <hyperlink ref="C10" location="'A6 表样-大类量利（查阅）'!A1" display="A6 表样-大类量利（查阅）"/>
    <hyperlink ref="C11" location="'A7 大类小类量利（查阅）'!A1" display="A7 大类小类量利（查阅）"/>
    <hyperlink ref="C12" location="'新增-产品系列配销差及吨毛利（查阅）'!A1" display="新增-产品系列配销差及吨毛利（查阅）"/>
    <hyperlink ref="C13" location="'A9-表样-客户产品毛利表（外销）'!A1" display="A9-表样-客户产品毛利表（外销）"/>
    <hyperlink ref="C14" location="'A9-表样-客户产品毛利表（内销）'!A1" display="A9-表样-客户产品毛利表（内销）"/>
    <hyperlink ref="C15" location="'查阅-产品生产成本'!A1" display="查阅-产品生产成本"/>
    <hyperlink ref="C17" location="'查阅-动保产品大类毛利'!A1" display="查阅-动保产品大类毛利"/>
    <hyperlink ref="C18" location="'查阅-动保产品大类毛利 (分月)'!A1" display="查阅-动保产品大类毛利 (分月)"/>
    <hyperlink ref="C19" location="'查阅-动保产品公司毛利（分月）'!A1" display="查阅-动保产品公司毛利（分月）"/>
    <hyperlink ref="C20" location="'查阅-动保产品毛利表（明细）'!A1" display="查阅-动保产品毛利表（明细）"/>
    <hyperlink ref="C21" location="'填写-饲料销量-营销部'!A1" display="填写-饲料销量-营销部"/>
    <hyperlink ref="C22" location="'填写-动保销售额-营销部'!A1" display="填写-动保销售额-营销部"/>
    <hyperlink ref="C23" location="'填写-动保发酵料-营销部'!A1" display="填写-动保发酵料-营销部"/>
    <hyperlink ref="C24" location="'填写-动保销售额（除发酵料）-动保公司填写'!A1" display="填写-动保销售额（除发酵料）-动保公司填写"/>
    <hyperlink ref="C25" location="'填写-动保销量（发酵料）--动保公司填写'!A1" display="填写-动保销量（发酵料）--动保公司填写"/>
    <hyperlink ref="C26" location="'填写-动保成本（除发酵料）--动保公司填写'!A1" display="填写-动保成本（除发酵料）--动保公司填写"/>
    <hyperlink ref="C27" location="'填写-动保成本（发酵料）--动保公司填写'!A1" display="填写-动保成本（发酵料）--动保公司填写"/>
    <hyperlink ref="C28" location="'填写-内部代工（需求方）-营业部'!A1" display="填写-内部代工（需求方）-营业部"/>
    <hyperlink ref="C29" location="'填写-内部代工（生产方）-财务'!A1" display="填写-内部代工（生产方）-财务"/>
    <hyperlink ref="C30" location="'填写-产品价目表-财务部'!A1" display="填写-产品价目表-财务部"/>
    <hyperlink ref="C31" location="'填写-配方成本-配方师'!A1" display="填写-配方成本-配方师"/>
    <hyperlink ref="C32" location="'填写-产品折扣-财务部'!A1" display="填写-产品折扣-财务部"/>
    <hyperlink ref="C33" location="'填写-包材成本-采购、财务'!A1" display="填写-包材成本-采购、财务"/>
    <hyperlink ref="C34" location="'填写-主要原料价格-采购'!A1" display="填写-主要原料价格-采购"/>
    <hyperlink ref="C35" location="'表3 产量-生产产量填报表'!A1" display="表3 产量-生产产量填报表"/>
    <hyperlink ref="C36" location="'表3 产量-汇总表（按大类）'!A1" display="表3 产量-汇总表（按大类）"/>
    <hyperlink ref="C37" location="'制造费用-填报生产部'!A1" display="制造费用-填报生产部"/>
    <hyperlink ref="C38" location="'单吨制费计算表'!A1" display="单吨制费计算表"/>
    <hyperlink ref="C39" location="'表4.1 人员定编表（四定表）明细- 人资'!A1" display="表4.1 人员定编表（四定表）明细- 人资"/>
    <hyperlink ref="C40" location="'人工成本明细-人资'!A1" display="人工成本明细-人资"/>
    <hyperlink ref="C41" location="'表7 表样-销费'!A1" display="表7 表样-销费"/>
    <hyperlink ref="C42" location="'表7.1 表样-销费科目明细'!A1" display="表7.1 表样-销费科目明细"/>
    <hyperlink ref="C43" location="'填写-职工福利费'!A1" display="填写-职工福利费"/>
    <hyperlink ref="C44" location="'填写-销售推广费 (广告)'!A1" display="填写-销售推广费 (广告)"/>
    <hyperlink ref="C45" location="'填写-业务招待费'!A1" display="填写-业务招待费"/>
    <hyperlink ref="C46" location="'填写-销售推广费 (物资推广) '!A1" display="填写-销售推广费 (物资推广) "/>
    <hyperlink ref="C47" location="'填写-会务费'!A1" display="填写-会务费"/>
    <hyperlink ref="C48" location="'填写-其他销售费用-财务'!A1" display="填写-其他销售费用-财务"/>
    <hyperlink ref="C49" location="'A8 表样-管费汇总-财务'!A1" display="A8 表样-管费汇总-财务"/>
    <hyperlink ref="C50" location="'A8-1 表样-管费明细-财务'!A1" display="A8-1 表样-管费明细-财务"/>
    <hyperlink ref="C51" location="'管-职工福利费-人资'!A1" display="管-职工福利费-人资"/>
    <hyperlink ref="C52" location="'管-差旅费-各部门'!A1" display="管-差旅费-各部门"/>
    <hyperlink ref="C53" location="'管-业务招待费-各部门'!A1" display="管-业务招待费-各部门"/>
    <hyperlink ref="C54" location="'管-专业及政府费用-各部门'!A1" display="管-专业及政府费用-各部门"/>
    <hyperlink ref="C55" location="'管-员工培训'!A1" display="管-员工培训"/>
    <hyperlink ref="C56" location="'管-招聘费用'!A1" display="管-招聘费用"/>
    <hyperlink ref="C57" location="'管-办公费用'!A1" display="管-办公费用"/>
    <hyperlink ref="C58" location="'管-维修费'!A1" display="管-维修费"/>
    <hyperlink ref="C59" location="'管-房屋租金'!A1" display="管-房屋租金"/>
    <hyperlink ref="C60" location="'管-水电'!A1" display="管-水电"/>
    <hyperlink ref="C61" location="'管-检测费'!A1" display="管-检测费"/>
    <hyperlink ref="C62" location="'管-运输费'!A1" display="管-运输费"/>
    <hyperlink ref="C63" location="'管-会务费'!A1" display="管-会务费"/>
    <hyperlink ref="C64" location="'管-公车费用'!A1" display="管-公车费用"/>
    <hyperlink ref="C65" location="'管-其他管理费用'!A1" display="管-其他管理费用"/>
    <hyperlink ref="C66" location="'专项激励-填报-各部门'!A1" display="专项激励-填报-各部门"/>
    <hyperlink ref="C67" location="'营业税金及附加-财务'!A1" display="营业税金及附加-财务"/>
    <hyperlink ref="C68" location="'其他业务收支'!A1" display="其他业务收支"/>
    <hyperlink ref="C69" location="'营业外收支'!A1" display="营业外收支"/>
    <hyperlink ref="C70" location="'所得税-财务'!A1" display="所得税-财务"/>
    <hyperlink ref="C71" location="'特殊考核调整总数'!A1" display="特殊考核调整总数"/>
    <hyperlink ref="C72" location="'利润调整明细（填写）'!A1" display="利润调整明细（填写）"/>
    <hyperlink ref="C73" location="'养殖基地汇总-查询'!A1" display="养殖基地汇总-查询"/>
    <hyperlink ref="C74" location="'填写-养殖基地-明细'!A1" display="填写-养殖基地-明细"/>
    <hyperlink ref="C78" location="'查阅-公司（聚焦镇、大客户）汇总'!A1" display="查阅-公司（聚焦镇、大客户）汇总"/>
    <hyperlink ref="C79" location="'查阅-各产线汇总'!A1" display="查阅-各产线汇总"/>
    <hyperlink ref="C81" location="'填写-公司汇总表'!A1" display="填写-公司汇总表"/>
    <hyperlink ref="C82" location="'填写-饲料资金预算填报表-业务员'!A1" display="填写-饲料资金预算填报表"/>
    <hyperlink ref="C83" location="'填写-动保资金预算填报表-业务员'!A1" display="填写-动保资金预算填报表"/>
    <hyperlink ref="C84" location="'A9 表样-财务费用汇总-财务'!A1" display="A9 表样-财务费用汇总-财务"/>
    <hyperlink ref="C85" location="'新增无形资产填报表(填报）财务部，信息部'!A1" display="新增无形资产填报表(填报）财务部，信息部"/>
    <hyperlink ref="C86" location="'无形资产摊销汇总-查询'!A1" display="无形资产摊销查询"/>
    <hyperlink ref="C87" location="'无形资产摊销费明细-查询表'!A1" display="无形资产摊销费查询"/>
    <hyperlink ref="C80" location="'饲料资金预算--查询表（财务部）'!A1" display="饲料资金预算--查询表（财务部）"/>
    <hyperlink ref="C75" location="'固定资产折旧费汇总-查询'!A1" display="固定资产折旧费汇总-查询"/>
    <hyperlink ref="C76" location="'新增固定资产填报表(填报）各部门'!A1" display="新增固定资产填报表(填报）各部门"/>
    <hyperlink ref="C77" location="'固定资产折旧费明细-查询表'!A1" display="固定资产折旧费明细-查询表"/>
    <hyperlink ref="C16" location="' 单吨制造费用-生产、财务-查阅'!A1" display="查阅-单吨制造费用-生产、财务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6" tint="0.599993896298105"/>
  </sheetPr>
  <dimension ref="A1:I26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L1" sqref="L$1:M$1048576"/>
    </sheetView>
  </sheetViews>
  <sheetFormatPr defaultColWidth="8.90833333333333" defaultRowHeight="13.5"/>
  <cols>
    <col min="3" max="3" width="23" customWidth="1"/>
    <col min="4" max="9" width="15.0916666666667" customWidth="1"/>
  </cols>
  <sheetData>
    <row r="1" spans="1:9">
      <c r="A1" s="162" t="s">
        <v>185</v>
      </c>
    </row>
    <row r="2" spans="1:9">
      <c r="A2" s="1052" t="s">
        <v>186</v>
      </c>
      <c r="B2" s="1052"/>
      <c r="C2" s="1052"/>
      <c r="D2" s="1052"/>
      <c r="E2" s="1052"/>
      <c r="F2" s="1052"/>
      <c r="G2" s="1052"/>
      <c r="H2" s="1052"/>
      <c r="I2" s="1052"/>
    </row>
    <row r="3" ht="16.5" spans="1:9">
      <c r="A3" s="1053" t="s">
        <v>187</v>
      </c>
      <c r="B3" s="1053" t="s">
        <v>188</v>
      </c>
      <c r="C3" s="1053" t="s">
        <v>189</v>
      </c>
      <c r="D3" s="1023" t="s">
        <v>190</v>
      </c>
      <c r="E3" s="1024" t="s">
        <v>191</v>
      </c>
      <c r="F3" s="1024" t="s">
        <v>192</v>
      </c>
      <c r="G3" s="1023" t="s">
        <v>193</v>
      </c>
      <c r="H3" s="1054" t="s">
        <v>194</v>
      </c>
      <c r="I3" s="1055" t="s">
        <v>195</v>
      </c>
    </row>
    <row r="4" ht="16.5" spans="1:9">
      <c r="A4" s="1056" t="s">
        <v>196</v>
      </c>
      <c r="B4" s="1056" t="s">
        <v>197</v>
      </c>
      <c r="C4" s="1057" t="s">
        <v>198</v>
      </c>
      <c r="D4" s="1058" t="s">
        <v>199</v>
      </c>
      <c r="E4" s="1058" t="s">
        <v>199</v>
      </c>
      <c r="F4" s="1058" t="s">
        <v>199</v>
      </c>
      <c r="G4" s="1058" t="s">
        <v>200</v>
      </c>
      <c r="H4" s="1058" t="s">
        <v>200</v>
      </c>
      <c r="I4" s="1059" t="s">
        <v>201</v>
      </c>
    </row>
    <row r="5" ht="16.5" spans="1:9">
      <c r="A5" s="1060" t="str">
        <f t="shared" ref="A5:A21" si="0">A4</f>
        <v>华东一区</v>
      </c>
      <c r="B5" s="1056" t="s">
        <v>197</v>
      </c>
      <c r="C5" s="1061" t="s">
        <v>202</v>
      </c>
      <c r="D5" s="1058" t="s">
        <v>199</v>
      </c>
      <c r="E5" s="1058" t="s">
        <v>199</v>
      </c>
      <c r="F5" s="1058" t="s">
        <v>199</v>
      </c>
      <c r="G5" s="1058" t="s">
        <v>200</v>
      </c>
      <c r="H5" s="1058" t="s">
        <v>200</v>
      </c>
      <c r="I5" s="1059" t="s">
        <v>201</v>
      </c>
    </row>
    <row r="6" ht="16.5" spans="1:9">
      <c r="A6" s="1060" t="str">
        <f t="shared" si="0"/>
        <v>华东一区</v>
      </c>
      <c r="B6" s="1056" t="s">
        <v>197</v>
      </c>
      <c r="C6" s="1061" t="s">
        <v>203</v>
      </c>
      <c r="D6" s="1058" t="s">
        <v>199</v>
      </c>
      <c r="E6" s="1058" t="s">
        <v>199</v>
      </c>
      <c r="F6" s="1058" t="s">
        <v>199</v>
      </c>
      <c r="G6" s="1058" t="s">
        <v>200</v>
      </c>
      <c r="H6" s="1058" t="s">
        <v>200</v>
      </c>
      <c r="I6" s="1059" t="s">
        <v>201</v>
      </c>
    </row>
    <row r="7" ht="16.5" spans="1:9">
      <c r="A7" s="1056" t="str">
        <f t="shared" si="0"/>
        <v>华东一区</v>
      </c>
      <c r="B7" s="1056" t="s">
        <v>197</v>
      </c>
      <c r="C7" s="1057" t="s">
        <v>204</v>
      </c>
      <c r="D7" s="1058" t="s">
        <v>199</v>
      </c>
      <c r="E7" s="1058" t="s">
        <v>199</v>
      </c>
      <c r="F7" s="1058" t="s">
        <v>199</v>
      </c>
      <c r="G7" s="1058" t="s">
        <v>200</v>
      </c>
      <c r="H7" s="1058" t="s">
        <v>200</v>
      </c>
      <c r="I7" s="1059" t="s">
        <v>201</v>
      </c>
    </row>
    <row r="8" ht="16.5" spans="1:9">
      <c r="A8" s="1060" t="str">
        <f t="shared" si="0"/>
        <v>华东一区</v>
      </c>
      <c r="B8" s="1056" t="s">
        <v>197</v>
      </c>
      <c r="C8" s="1061" t="s">
        <v>205</v>
      </c>
      <c r="D8" s="1058" t="s">
        <v>199</v>
      </c>
      <c r="E8" s="1058" t="s">
        <v>199</v>
      </c>
      <c r="F8" s="1058" t="s">
        <v>199</v>
      </c>
      <c r="G8" s="1058" t="s">
        <v>200</v>
      </c>
      <c r="H8" s="1058" t="s">
        <v>200</v>
      </c>
      <c r="I8" s="1059" t="s">
        <v>201</v>
      </c>
    </row>
    <row r="9" ht="16.5" spans="1:9">
      <c r="A9" s="1060" t="str">
        <f t="shared" si="0"/>
        <v>华东一区</v>
      </c>
      <c r="B9" s="1056" t="s">
        <v>197</v>
      </c>
      <c r="C9" s="1061" t="s">
        <v>158</v>
      </c>
      <c r="D9" s="1058" t="s">
        <v>199</v>
      </c>
      <c r="E9" s="1058" t="s">
        <v>199</v>
      </c>
      <c r="F9" s="1058" t="s">
        <v>199</v>
      </c>
      <c r="G9" s="1058" t="s">
        <v>200</v>
      </c>
      <c r="H9" s="1058" t="s">
        <v>200</v>
      </c>
      <c r="I9" s="1059" t="s">
        <v>201</v>
      </c>
    </row>
    <row r="10" ht="16.5" spans="1:9">
      <c r="A10" s="1056" t="str">
        <f t="shared" si="0"/>
        <v>华东一区</v>
      </c>
      <c r="B10" s="1056" t="s">
        <v>197</v>
      </c>
      <c r="C10" s="1062" t="s">
        <v>206</v>
      </c>
      <c r="D10" s="1058" t="s">
        <v>199</v>
      </c>
      <c r="E10" s="1058" t="s">
        <v>199</v>
      </c>
      <c r="F10" s="1058" t="s">
        <v>199</v>
      </c>
      <c r="G10" s="1058" t="s">
        <v>200</v>
      </c>
      <c r="H10" s="1058" t="s">
        <v>200</v>
      </c>
      <c r="I10" s="1059" t="s">
        <v>201</v>
      </c>
    </row>
    <row r="11" ht="16.5" spans="1:9">
      <c r="A11" s="1060" t="str">
        <f t="shared" si="0"/>
        <v>华东一区</v>
      </c>
      <c r="B11" s="1056" t="s">
        <v>197</v>
      </c>
      <c r="C11" s="1061" t="s">
        <v>207</v>
      </c>
      <c r="D11" s="1058" t="s">
        <v>199</v>
      </c>
      <c r="E11" s="1058" t="s">
        <v>199</v>
      </c>
      <c r="F11" s="1058" t="s">
        <v>199</v>
      </c>
      <c r="G11" s="1058" t="s">
        <v>200</v>
      </c>
      <c r="H11" s="1058" t="s">
        <v>200</v>
      </c>
      <c r="I11" s="1059" t="s">
        <v>201</v>
      </c>
    </row>
    <row r="12" ht="16.5" spans="1:9">
      <c r="A12" s="1060" t="str">
        <f t="shared" si="0"/>
        <v>华东一区</v>
      </c>
      <c r="B12" s="1056" t="s">
        <v>197</v>
      </c>
      <c r="C12" s="1063" t="s">
        <v>115</v>
      </c>
      <c r="D12" s="1058" t="s">
        <v>199</v>
      </c>
      <c r="E12" s="1058" t="s">
        <v>199</v>
      </c>
      <c r="F12" s="1058" t="s">
        <v>199</v>
      </c>
      <c r="G12" s="1058" t="s">
        <v>200</v>
      </c>
      <c r="H12" s="1058" t="s">
        <v>200</v>
      </c>
      <c r="I12" s="1059" t="s">
        <v>201</v>
      </c>
    </row>
    <row r="13" ht="16.5" spans="1:9">
      <c r="A13" s="1060" t="str">
        <f t="shared" si="0"/>
        <v>华东一区</v>
      </c>
      <c r="B13" s="1056" t="s">
        <v>197</v>
      </c>
      <c r="C13" s="1064" t="s">
        <v>126</v>
      </c>
      <c r="D13" s="1058" t="s">
        <v>199</v>
      </c>
      <c r="E13" s="1058" t="s">
        <v>199</v>
      </c>
      <c r="F13" s="1058" t="s">
        <v>199</v>
      </c>
      <c r="G13" s="1058" t="s">
        <v>200</v>
      </c>
      <c r="H13" s="1058" t="s">
        <v>200</v>
      </c>
      <c r="I13" s="1059" t="s">
        <v>201</v>
      </c>
    </row>
    <row r="14" ht="16.5" spans="1:9">
      <c r="A14" s="1060" t="str">
        <f t="shared" si="0"/>
        <v>华东一区</v>
      </c>
      <c r="B14" s="1056" t="s">
        <v>197</v>
      </c>
      <c r="C14" s="1064" t="s">
        <v>178</v>
      </c>
      <c r="D14" s="1058" t="s">
        <v>199</v>
      </c>
      <c r="E14" s="1058" t="s">
        <v>199</v>
      </c>
      <c r="F14" s="1058" t="s">
        <v>199</v>
      </c>
      <c r="G14" s="1058" t="s">
        <v>200</v>
      </c>
      <c r="H14" s="1058" t="s">
        <v>200</v>
      </c>
      <c r="I14" s="1059" t="s">
        <v>201</v>
      </c>
    </row>
    <row r="15" ht="16.5" spans="1:9">
      <c r="A15" s="1060" t="str">
        <f t="shared" si="0"/>
        <v>华东一区</v>
      </c>
      <c r="B15" s="1056" t="s">
        <v>197</v>
      </c>
      <c r="C15" s="1064" t="s">
        <v>208</v>
      </c>
      <c r="D15" s="1058" t="s">
        <v>200</v>
      </c>
      <c r="E15" s="1058" t="s">
        <v>200</v>
      </c>
      <c r="F15" s="1058" t="s">
        <v>200</v>
      </c>
      <c r="G15" s="1058" t="s">
        <v>200</v>
      </c>
      <c r="H15" s="1058" t="s">
        <v>200</v>
      </c>
      <c r="I15" s="1059" t="s">
        <v>201</v>
      </c>
    </row>
    <row r="16" ht="16.5" spans="1:9">
      <c r="A16" s="1060" t="str">
        <f t="shared" si="0"/>
        <v>华东一区</v>
      </c>
      <c r="B16" s="1056" t="s">
        <v>197</v>
      </c>
      <c r="C16" s="1064" t="s">
        <v>209</v>
      </c>
      <c r="D16" s="1058" t="s">
        <v>200</v>
      </c>
      <c r="E16" s="1058" t="s">
        <v>200</v>
      </c>
      <c r="F16" s="1058" t="s">
        <v>200</v>
      </c>
      <c r="G16" s="1058" t="s">
        <v>200</v>
      </c>
      <c r="H16" s="1058" t="s">
        <v>200</v>
      </c>
      <c r="I16" s="1059" t="s">
        <v>201</v>
      </c>
    </row>
    <row r="17" ht="16.5" spans="1:9">
      <c r="A17" s="1060" t="str">
        <f t="shared" si="0"/>
        <v>华东一区</v>
      </c>
      <c r="B17" s="1056" t="s">
        <v>197</v>
      </c>
      <c r="C17" s="1065" t="s">
        <v>210</v>
      </c>
      <c r="D17" s="1058" t="s">
        <v>199</v>
      </c>
      <c r="E17" s="1058" t="s">
        <v>199</v>
      </c>
      <c r="F17" s="1058" t="s">
        <v>199</v>
      </c>
      <c r="G17" s="1058" t="s">
        <v>200</v>
      </c>
      <c r="H17" s="1058" t="s">
        <v>200</v>
      </c>
      <c r="I17" s="1059" t="s">
        <v>201</v>
      </c>
    </row>
    <row r="18" ht="16.5" spans="1:9">
      <c r="A18" s="1060" t="str">
        <f t="shared" si="0"/>
        <v>华东一区</v>
      </c>
      <c r="B18" s="1056" t="s">
        <v>197</v>
      </c>
      <c r="C18" s="1065" t="s">
        <v>211</v>
      </c>
      <c r="D18" s="1058" t="s">
        <v>199</v>
      </c>
      <c r="E18" s="1058" t="s">
        <v>199</v>
      </c>
      <c r="F18" s="1058" t="s">
        <v>199</v>
      </c>
      <c r="G18" s="1058" t="s">
        <v>200</v>
      </c>
      <c r="H18" s="1058" t="s">
        <v>200</v>
      </c>
      <c r="I18" s="1059" t="s">
        <v>201</v>
      </c>
    </row>
    <row r="19" ht="16.5" spans="1:9">
      <c r="A19" s="1060" t="str">
        <f t="shared" si="0"/>
        <v>华东一区</v>
      </c>
      <c r="B19" s="1056" t="s">
        <v>197</v>
      </c>
      <c r="C19" s="1065" t="s">
        <v>212</v>
      </c>
      <c r="D19" s="1058" t="s">
        <v>199</v>
      </c>
      <c r="E19" s="1058" t="s">
        <v>199</v>
      </c>
      <c r="F19" s="1058" t="s">
        <v>199</v>
      </c>
      <c r="G19" s="1058" t="s">
        <v>200</v>
      </c>
      <c r="H19" s="1058" t="s">
        <v>200</v>
      </c>
      <c r="I19" s="1059" t="s">
        <v>201</v>
      </c>
    </row>
    <row r="20" ht="16.5" spans="1:9">
      <c r="A20" s="1060" t="str">
        <f t="shared" si="0"/>
        <v>华东一区</v>
      </c>
      <c r="B20" s="1056" t="s">
        <v>197</v>
      </c>
      <c r="C20" s="1064" t="s">
        <v>213</v>
      </c>
      <c r="D20" s="1058" t="s">
        <v>200</v>
      </c>
      <c r="E20" s="1058" t="s">
        <v>200</v>
      </c>
      <c r="F20" s="1058" t="s">
        <v>200</v>
      </c>
      <c r="G20" s="1058" t="s">
        <v>200</v>
      </c>
      <c r="H20" s="1058" t="s">
        <v>200</v>
      </c>
      <c r="I20" s="1059" t="s">
        <v>201</v>
      </c>
    </row>
    <row r="21" ht="16.5" spans="1:9">
      <c r="A21" s="1060" t="str">
        <f t="shared" si="0"/>
        <v>华东一区</v>
      </c>
      <c r="B21" s="1056" t="s">
        <v>197</v>
      </c>
      <c r="C21" s="1064" t="s">
        <v>214</v>
      </c>
      <c r="D21" s="1058" t="s">
        <v>200</v>
      </c>
      <c r="E21" s="1058" t="s">
        <v>200</v>
      </c>
      <c r="F21" s="1058" t="s">
        <v>200</v>
      </c>
      <c r="G21" s="1058" t="s">
        <v>200</v>
      </c>
      <c r="H21" s="1058" t="s">
        <v>200</v>
      </c>
      <c r="I21" s="1059" t="s">
        <v>201</v>
      </c>
    </row>
    <row r="22" ht="16.5" spans="1:9">
      <c r="A22" s="1056" t="str">
        <f>A20</f>
        <v>华东一区</v>
      </c>
      <c r="B22" s="1056" t="s">
        <v>197</v>
      </c>
      <c r="C22" s="1066" t="s">
        <v>215</v>
      </c>
      <c r="D22" s="1058" t="s">
        <v>200</v>
      </c>
      <c r="E22" s="1058" t="s">
        <v>200</v>
      </c>
      <c r="F22" s="1058" t="s">
        <v>200</v>
      </c>
      <c r="G22" s="1058" t="s">
        <v>200</v>
      </c>
      <c r="H22" s="1058" t="s">
        <v>200</v>
      </c>
      <c r="I22" s="1059" t="s">
        <v>201</v>
      </c>
    </row>
    <row r="23" ht="16.5" spans="1:9">
      <c r="A23" s="1056" t="str">
        <f t="shared" ref="A23:A25" si="1">A22</f>
        <v>华东一区</v>
      </c>
      <c r="B23" s="1056" t="s">
        <v>197</v>
      </c>
      <c r="C23" s="1066" t="s">
        <v>216</v>
      </c>
      <c r="D23" s="1058" t="s">
        <v>200</v>
      </c>
      <c r="E23" s="1058" t="s">
        <v>200</v>
      </c>
      <c r="F23" s="1058" t="s">
        <v>200</v>
      </c>
      <c r="G23" s="1058" t="s">
        <v>200</v>
      </c>
      <c r="H23" s="1058" t="s">
        <v>200</v>
      </c>
      <c r="I23" s="1059" t="s">
        <v>201</v>
      </c>
    </row>
    <row r="24" ht="16.5" spans="1:9">
      <c r="A24" s="1060" t="str">
        <f t="shared" si="1"/>
        <v>华东一区</v>
      </c>
      <c r="B24" s="1056" t="s">
        <v>197</v>
      </c>
      <c r="C24" s="1065" t="s">
        <v>217</v>
      </c>
      <c r="D24" s="1058" t="s">
        <v>200</v>
      </c>
      <c r="E24" s="1058" t="s">
        <v>200</v>
      </c>
      <c r="F24" s="1058" t="s">
        <v>200</v>
      </c>
      <c r="G24" s="1058" t="s">
        <v>200</v>
      </c>
      <c r="H24" s="1058" t="s">
        <v>200</v>
      </c>
      <c r="I24" s="1059" t="s">
        <v>201</v>
      </c>
    </row>
    <row r="25" ht="16.5" spans="1:9">
      <c r="A25" s="1060" t="str">
        <f t="shared" si="1"/>
        <v>华东一区</v>
      </c>
      <c r="B25" s="1056" t="s">
        <v>197</v>
      </c>
      <c r="C25" s="1065" t="s">
        <v>218</v>
      </c>
      <c r="D25" s="1058" t="s">
        <v>200</v>
      </c>
      <c r="E25" s="1058" t="s">
        <v>200</v>
      </c>
      <c r="F25" s="1058" t="s">
        <v>200</v>
      </c>
      <c r="G25" s="1058" t="s">
        <v>200</v>
      </c>
      <c r="H25" s="1058" t="s">
        <v>200</v>
      </c>
      <c r="I25" s="1059" t="s">
        <v>201</v>
      </c>
    </row>
    <row r="26" ht="16.5" spans="1:9">
      <c r="A26" s="1067" t="s">
        <v>219</v>
      </c>
      <c r="B26" s="1068"/>
      <c r="C26" s="1069"/>
      <c r="D26" s="1070"/>
      <c r="E26" s="1070"/>
      <c r="F26" s="1070"/>
      <c r="G26" s="1071"/>
      <c r="H26" s="1072"/>
      <c r="I26" s="1068"/>
    </row>
  </sheetData>
  <mergeCells count="1">
    <mergeCell ref="A2:I2"/>
  </mergeCells>
  <conditionalFormatting sqref="D2:H26">
    <cfRule type="cellIs" dxfId="1" priority="5" operator="lessThan">
      <formula>0</formula>
    </cfRule>
  </conditionalFormatting>
  <hyperlinks>
    <hyperlink ref="A2:I2" location="目录!A1" display="财务指标审核表"/>
    <hyperlink ref="A1" location="目录!A1" display="← 返回目录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theme="6" tint="0.599993896298105"/>
  </sheetPr>
  <dimension ref="A1:M58"/>
  <sheetViews>
    <sheetView workbookViewId="0">
      <pane xSplit="4" ySplit="2" topLeftCell="E5" activePane="bottomRight" state="frozen"/>
      <selection/>
      <selection pane="topRight"/>
      <selection pane="bottomLeft"/>
      <selection pane="bottomRight" activeCell="D1" sqref="D1"/>
    </sheetView>
  </sheetViews>
  <sheetFormatPr defaultColWidth="8.90833333333333" defaultRowHeight="13.5"/>
  <cols>
    <col min="5" max="5" width="33.875" customWidth="1"/>
    <col min="6" max="6" width="13.1833333333333" customWidth="1"/>
  </cols>
  <sheetData>
    <row r="1" spans="1:13">
      <c r="A1" s="162" t="s">
        <v>185</v>
      </c>
    </row>
    <row r="2" s="1020" customFormat="1" ht="16" customHeight="1" spans="1:13">
      <c r="A2" s="1021" t="s">
        <v>187</v>
      </c>
      <c r="B2" s="1021" t="s">
        <v>188</v>
      </c>
      <c r="C2" s="1022" t="s">
        <v>220</v>
      </c>
      <c r="D2" s="1022" t="s">
        <v>0</v>
      </c>
      <c r="E2" s="1007" t="s">
        <v>221</v>
      </c>
      <c r="F2" s="1023" t="s">
        <v>190</v>
      </c>
      <c r="G2" s="1024" t="s">
        <v>191</v>
      </c>
      <c r="H2" s="1024" t="s">
        <v>192</v>
      </c>
      <c r="I2" s="1009" t="s">
        <v>222</v>
      </c>
      <c r="J2" s="1025" t="s">
        <v>223</v>
      </c>
      <c r="K2" s="1026" t="s">
        <v>224</v>
      </c>
    </row>
    <row r="3" s="156" customFormat="1" ht="16.5" spans="1:13">
      <c r="A3" s="1027" t="str">
        <f>'[3]A1 预算指标总览'!$A$3</f>
        <v>华东一区</v>
      </c>
      <c r="B3" s="1027" t="str">
        <f>'[3]A1 预算指标总览'!$B$3</f>
        <v>福建公司</v>
      </c>
      <c r="C3" s="988" t="s">
        <v>225</v>
      </c>
      <c r="D3" s="988">
        <v>1</v>
      </c>
      <c r="E3" s="1028" t="s">
        <v>226</v>
      </c>
      <c r="F3" s="990" t="s">
        <v>227</v>
      </c>
      <c r="G3" s="990" t="s">
        <v>227</v>
      </c>
      <c r="H3" s="990" t="s">
        <v>227</v>
      </c>
      <c r="I3" s="990"/>
      <c r="J3" s="990"/>
      <c r="K3" s="63"/>
    </row>
    <row r="4" s="156" customFormat="1" ht="16.5" spans="1:13">
      <c r="A4" s="63" t="str">
        <f>'[3]A1 预算指标总览'!$A$3</f>
        <v>华东一区</v>
      </c>
      <c r="B4" s="63" t="str">
        <f>'[3]A1 预算指标总览'!$B$3</f>
        <v>福建公司</v>
      </c>
      <c r="C4" s="988" t="s">
        <v>225</v>
      </c>
      <c r="D4" s="992">
        <v>2</v>
      </c>
      <c r="E4" s="993" t="s">
        <v>228</v>
      </c>
      <c r="F4" s="990" t="s">
        <v>199</v>
      </c>
      <c r="G4" s="990" t="s">
        <v>199</v>
      </c>
      <c r="H4" s="990" t="s">
        <v>199</v>
      </c>
      <c r="I4" s="990" t="s">
        <v>200</v>
      </c>
      <c r="J4" s="990" t="s">
        <v>200</v>
      </c>
      <c r="K4" s="63"/>
      <c r="M4" s="1029"/>
    </row>
    <row r="5" s="156" customFormat="1" ht="16.5" spans="1:13">
      <c r="A5" s="1027" t="str">
        <f>'[3]A1 预算指标总览'!$A$3</f>
        <v>华东一区</v>
      </c>
      <c r="B5" s="1027" t="str">
        <f>'[3]A1 预算指标总览'!$B$3</f>
        <v>福建公司</v>
      </c>
      <c r="C5" s="988" t="s">
        <v>225</v>
      </c>
      <c r="D5" s="988">
        <v>3</v>
      </c>
      <c r="E5" s="993" t="s">
        <v>229</v>
      </c>
      <c r="F5" s="990" t="s">
        <v>199</v>
      </c>
      <c r="G5" s="990" t="s">
        <v>199</v>
      </c>
      <c r="H5" s="990" t="s">
        <v>199</v>
      </c>
      <c r="I5" s="990" t="s">
        <v>200</v>
      </c>
      <c r="J5" s="990" t="s">
        <v>200</v>
      </c>
      <c r="K5" s="63"/>
      <c r="M5" s="1029"/>
    </row>
    <row r="6" s="156" customFormat="1" ht="16.5" spans="1:13">
      <c r="A6" s="63" t="str">
        <f>'[3]A1 预算指标总览'!$A$3</f>
        <v>华东一区</v>
      </c>
      <c r="B6" s="63" t="str">
        <f>'[3]A1 预算指标总览'!$B$3</f>
        <v>福建公司</v>
      </c>
      <c r="C6" s="988" t="s">
        <v>225</v>
      </c>
      <c r="D6" s="992">
        <v>4</v>
      </c>
      <c r="E6" s="993" t="s">
        <v>230</v>
      </c>
      <c r="F6" s="990" t="s">
        <v>199</v>
      </c>
      <c r="G6" s="990" t="s">
        <v>199</v>
      </c>
      <c r="H6" s="990" t="s">
        <v>199</v>
      </c>
      <c r="I6" s="990" t="s">
        <v>200</v>
      </c>
      <c r="J6" s="990" t="s">
        <v>200</v>
      </c>
      <c r="K6" s="63"/>
      <c r="M6" s="1029"/>
    </row>
    <row r="7" s="156" customFormat="1" ht="16.5" spans="1:13">
      <c r="A7" s="1027" t="str">
        <f>'[3]A1 预算指标总览'!$A$3</f>
        <v>华东一区</v>
      </c>
      <c r="B7" s="1027" t="str">
        <f>'[3]A1 预算指标总览'!$B$3</f>
        <v>福建公司</v>
      </c>
      <c r="C7" s="988" t="s">
        <v>225</v>
      </c>
      <c r="D7" s="988">
        <v>5</v>
      </c>
      <c r="E7" s="993" t="s">
        <v>231</v>
      </c>
      <c r="F7" s="990" t="s">
        <v>199</v>
      </c>
      <c r="G7" s="990" t="s">
        <v>199</v>
      </c>
      <c r="H7" s="990" t="s">
        <v>199</v>
      </c>
      <c r="I7" s="990" t="s">
        <v>200</v>
      </c>
      <c r="J7" s="990" t="s">
        <v>200</v>
      </c>
      <c r="K7" s="63"/>
      <c r="M7" s="1029"/>
    </row>
    <row r="8" s="156" customFormat="1" ht="16.5" spans="1:13">
      <c r="A8" s="1027" t="str">
        <f>'[3]A1 预算指标总览'!$A$3</f>
        <v>华东一区</v>
      </c>
      <c r="B8" s="1027" t="str">
        <f>'[3]A1 预算指标总览'!$B$3</f>
        <v>福建公司</v>
      </c>
      <c r="C8" s="988" t="s">
        <v>225</v>
      </c>
      <c r="D8" s="988" t="s">
        <v>232</v>
      </c>
      <c r="E8" s="1030" t="s">
        <v>233</v>
      </c>
      <c r="F8" s="990" t="s">
        <v>199</v>
      </c>
      <c r="G8" s="990" t="s">
        <v>199</v>
      </c>
      <c r="H8" s="990" t="s">
        <v>199</v>
      </c>
      <c r="I8" s="990" t="s">
        <v>200</v>
      </c>
      <c r="J8" s="990" t="s">
        <v>200</v>
      </c>
      <c r="K8" s="63"/>
      <c r="M8" s="1029"/>
    </row>
    <row r="9" s="156" customFormat="1" ht="16.5" spans="1:13">
      <c r="A9" s="63" t="str">
        <f>'[3]A1 预算指标总览'!$A$3</f>
        <v>华东一区</v>
      </c>
      <c r="B9" s="63" t="str">
        <f>'[3]A1 预算指标总览'!$B$3</f>
        <v>福建公司</v>
      </c>
      <c r="C9" s="988" t="s">
        <v>225</v>
      </c>
      <c r="D9" s="992">
        <v>6</v>
      </c>
      <c r="E9" s="993" t="s">
        <v>234</v>
      </c>
      <c r="F9" s="990" t="s">
        <v>199</v>
      </c>
      <c r="G9" s="990" t="s">
        <v>199</v>
      </c>
      <c r="H9" s="990" t="s">
        <v>199</v>
      </c>
      <c r="I9" s="990" t="s">
        <v>200</v>
      </c>
      <c r="J9" s="990" t="s">
        <v>200</v>
      </c>
      <c r="K9" s="63"/>
      <c r="M9" s="1029"/>
    </row>
    <row r="10" s="156" customFormat="1" ht="16.5" spans="1:13">
      <c r="A10" s="1027" t="str">
        <f>'[3]A1 预算指标总览'!$A$3</f>
        <v>华东一区</v>
      </c>
      <c r="B10" s="1027" t="str">
        <f>'[3]A1 预算指标总览'!$B$3</f>
        <v>福建公司</v>
      </c>
      <c r="C10" s="988" t="s">
        <v>225</v>
      </c>
      <c r="D10" s="988">
        <v>7</v>
      </c>
      <c r="E10" s="993" t="s">
        <v>235</v>
      </c>
      <c r="F10" s="990" t="s">
        <v>199</v>
      </c>
      <c r="G10" s="990" t="s">
        <v>199</v>
      </c>
      <c r="H10" s="990" t="s">
        <v>199</v>
      </c>
      <c r="I10" s="990" t="s">
        <v>200</v>
      </c>
      <c r="J10" s="990" t="s">
        <v>200</v>
      </c>
      <c r="K10" s="1031"/>
      <c r="M10" s="1029"/>
    </row>
    <row r="11" s="156" customFormat="1" ht="16.5" spans="1:13">
      <c r="A11" s="63" t="str">
        <f>'[3]A1 预算指标总览'!$A$3</f>
        <v>华东一区</v>
      </c>
      <c r="B11" s="63" t="str">
        <f>'[3]A1 预算指标总览'!$B$3</f>
        <v>福建公司</v>
      </c>
      <c r="C11" s="988" t="s">
        <v>225</v>
      </c>
      <c r="D11" s="992">
        <v>8</v>
      </c>
      <c r="E11" s="993" t="s">
        <v>236</v>
      </c>
      <c r="F11" s="990" t="s">
        <v>199</v>
      </c>
      <c r="G11" s="990" t="s">
        <v>199</v>
      </c>
      <c r="H11" s="990" t="s">
        <v>199</v>
      </c>
      <c r="I11" s="990" t="s">
        <v>200</v>
      </c>
      <c r="J11" s="990" t="s">
        <v>200</v>
      </c>
      <c r="K11" s="1031"/>
      <c r="M11" s="1029"/>
    </row>
    <row r="12" s="156" customFormat="1" ht="16.5" spans="1:13">
      <c r="A12" s="1027" t="str">
        <f>'[3]A1 预算指标总览'!$A$3</f>
        <v>华东一区</v>
      </c>
      <c r="B12" s="1027" t="str">
        <f>'[3]A1 预算指标总览'!$B$3</f>
        <v>福建公司</v>
      </c>
      <c r="C12" s="988" t="s">
        <v>225</v>
      </c>
      <c r="D12" s="988">
        <v>9</v>
      </c>
      <c r="E12" s="993" t="s">
        <v>237</v>
      </c>
      <c r="F12" s="990" t="s">
        <v>199</v>
      </c>
      <c r="G12" s="990" t="s">
        <v>199</v>
      </c>
      <c r="H12" s="990" t="s">
        <v>199</v>
      </c>
      <c r="I12" s="990" t="s">
        <v>200</v>
      </c>
      <c r="J12" s="990" t="s">
        <v>200</v>
      </c>
      <c r="K12" s="1031"/>
    </row>
    <row r="13" s="156" customFormat="1" ht="16.5" spans="1:13">
      <c r="A13" s="63" t="str">
        <f>'[3]A1 预算指标总览'!$A$3</f>
        <v>华东一区</v>
      </c>
      <c r="B13" s="63" t="str">
        <f>'[3]A1 预算指标总览'!$B$3</f>
        <v>福建公司</v>
      </c>
      <c r="C13" s="988" t="s">
        <v>225</v>
      </c>
      <c r="D13" s="992">
        <v>10</v>
      </c>
      <c r="E13" s="993" t="s">
        <v>238</v>
      </c>
      <c r="F13" s="990" t="s">
        <v>199</v>
      </c>
      <c r="G13" s="990" t="s">
        <v>199</v>
      </c>
      <c r="H13" s="990" t="s">
        <v>199</v>
      </c>
      <c r="I13" s="990" t="s">
        <v>200</v>
      </c>
      <c r="J13" s="990" t="s">
        <v>200</v>
      </c>
      <c r="K13" s="1031"/>
    </row>
    <row r="14" s="156" customFormat="1" ht="16.5" spans="1:13">
      <c r="A14" s="1027" t="str">
        <f>'[3]A1 预算指标总览'!$A$3</f>
        <v>华东一区</v>
      </c>
      <c r="B14" s="1027" t="str">
        <f>'[3]A1 预算指标总览'!$B$3</f>
        <v>福建公司</v>
      </c>
      <c r="C14" s="988" t="s">
        <v>225</v>
      </c>
      <c r="D14" s="988">
        <v>11</v>
      </c>
      <c r="E14" s="995" t="s">
        <v>239</v>
      </c>
      <c r="F14" s="996" t="s">
        <v>200</v>
      </c>
      <c r="G14" s="996" t="s">
        <v>200</v>
      </c>
      <c r="H14" s="996" t="s">
        <v>200</v>
      </c>
      <c r="I14" s="996" t="s">
        <v>200</v>
      </c>
      <c r="J14" s="996" t="s">
        <v>200</v>
      </c>
      <c r="K14" s="63"/>
      <c r="L14" s="1032"/>
    </row>
    <row r="15" s="156" customFormat="1" ht="16.5" spans="1:13">
      <c r="A15" s="63" t="str">
        <f>'[3]A1 预算指标总览'!$A$3</f>
        <v>华东一区</v>
      </c>
      <c r="B15" s="63" t="str">
        <f>'[3]A1 预算指标总览'!$B$3</f>
        <v>福建公司</v>
      </c>
      <c r="C15" s="988" t="s">
        <v>225</v>
      </c>
      <c r="D15" s="992">
        <v>12</v>
      </c>
      <c r="E15" s="997" t="s">
        <v>240</v>
      </c>
      <c r="F15" s="990" t="s">
        <v>199</v>
      </c>
      <c r="G15" s="990" t="s">
        <v>199</v>
      </c>
      <c r="H15" s="990" t="s">
        <v>199</v>
      </c>
      <c r="I15" s="990" t="s">
        <v>200</v>
      </c>
      <c r="J15" s="990" t="s">
        <v>200</v>
      </c>
      <c r="K15" s="1033"/>
    </row>
    <row r="16" s="156" customFormat="1" ht="16.5" spans="1:13">
      <c r="A16" s="1027" t="str">
        <f>'[3]A1 预算指标总览'!$A$3</f>
        <v>华东一区</v>
      </c>
      <c r="B16" s="1027" t="str">
        <f>'[3]A1 预算指标总览'!$B$3</f>
        <v>福建公司</v>
      </c>
      <c r="C16" s="988" t="s">
        <v>225</v>
      </c>
      <c r="D16" s="988">
        <v>13</v>
      </c>
      <c r="E16" s="997" t="s">
        <v>241</v>
      </c>
      <c r="F16" s="990" t="s">
        <v>199</v>
      </c>
      <c r="G16" s="990" t="s">
        <v>199</v>
      </c>
      <c r="H16" s="990" t="s">
        <v>199</v>
      </c>
      <c r="I16" s="990" t="s">
        <v>200</v>
      </c>
      <c r="J16" s="990" t="s">
        <v>200</v>
      </c>
      <c r="K16" s="63"/>
      <c r="L16" s="1029"/>
    </row>
    <row r="17" s="156" customFormat="1" ht="16.5" spans="1:11">
      <c r="A17" s="63" t="str">
        <f>'[3]A1 预算指标总览'!$A$3</f>
        <v>华东一区</v>
      </c>
      <c r="B17" s="63" t="str">
        <f>'[3]A1 预算指标总览'!$B$3</f>
        <v>福建公司</v>
      </c>
      <c r="C17" s="988" t="s">
        <v>225</v>
      </c>
      <c r="D17" s="992">
        <v>14</v>
      </c>
      <c r="E17" s="998" t="s">
        <v>242</v>
      </c>
      <c r="F17" s="996" t="s">
        <v>200</v>
      </c>
      <c r="G17" s="996" t="s">
        <v>200</v>
      </c>
      <c r="H17" s="996" t="s">
        <v>200</v>
      </c>
      <c r="I17" s="996" t="s">
        <v>200</v>
      </c>
      <c r="J17" s="996" t="s">
        <v>200</v>
      </c>
      <c r="K17" s="63"/>
    </row>
    <row r="18" s="156" customFormat="1" ht="16.5" spans="1:11">
      <c r="A18" s="1027" t="str">
        <f>'[3]A1 预算指标总览'!$A$3</f>
        <v>华东一区</v>
      </c>
      <c r="B18" s="1027" t="str">
        <f>'[3]A1 预算指标总览'!$B$3</f>
        <v>福建公司</v>
      </c>
      <c r="C18" s="988" t="s">
        <v>225</v>
      </c>
      <c r="D18" s="988">
        <v>15</v>
      </c>
      <c r="E18" s="999" t="s">
        <v>243</v>
      </c>
      <c r="F18" s="990" t="s">
        <v>199</v>
      </c>
      <c r="G18" s="990" t="s">
        <v>199</v>
      </c>
      <c r="H18" s="990" t="s">
        <v>199</v>
      </c>
      <c r="I18" s="990" t="s">
        <v>200</v>
      </c>
      <c r="J18" s="990" t="s">
        <v>200</v>
      </c>
      <c r="K18" s="63"/>
    </row>
    <row r="19" s="156" customFormat="1" ht="16.5" spans="1:11">
      <c r="A19" s="63" t="str">
        <f>'[3]A1 预算指标总览'!$A$3</f>
        <v>华东一区</v>
      </c>
      <c r="B19" s="63" t="str">
        <f>'[3]A1 预算指标总览'!$B$3</f>
        <v>福建公司</v>
      </c>
      <c r="C19" s="988" t="s">
        <v>225</v>
      </c>
      <c r="D19" s="992">
        <v>16</v>
      </c>
      <c r="E19" s="999" t="s">
        <v>244</v>
      </c>
      <c r="F19" s="990" t="s">
        <v>199</v>
      </c>
      <c r="G19" s="990" t="s">
        <v>199</v>
      </c>
      <c r="H19" s="990" t="s">
        <v>199</v>
      </c>
      <c r="I19" s="990" t="s">
        <v>200</v>
      </c>
      <c r="J19" s="990" t="s">
        <v>200</v>
      </c>
      <c r="K19" s="1034"/>
    </row>
    <row r="20" s="156" customFormat="1" ht="16.5" spans="1:11">
      <c r="A20" s="1027" t="str">
        <f>'[3]A1 预算指标总览'!$A$3</f>
        <v>华东一区</v>
      </c>
      <c r="B20" s="1027" t="str">
        <f>'[3]A1 预算指标总览'!$B$3</f>
        <v>福建公司</v>
      </c>
      <c r="C20" s="988" t="s">
        <v>225</v>
      </c>
      <c r="D20" s="988">
        <v>17</v>
      </c>
      <c r="E20" s="1000" t="s">
        <v>245</v>
      </c>
      <c r="F20" s="990" t="s">
        <v>199</v>
      </c>
      <c r="G20" s="990" t="s">
        <v>199</v>
      </c>
      <c r="H20" s="990" t="s">
        <v>199</v>
      </c>
      <c r="I20" s="990" t="s">
        <v>200</v>
      </c>
      <c r="J20" s="990" t="s">
        <v>200</v>
      </c>
      <c r="K20" s="63"/>
    </row>
    <row r="21" s="156" customFormat="1" ht="16.5" spans="1:11">
      <c r="A21" s="63" t="str">
        <f>'[3]A1 预算指标总览'!$A$3</f>
        <v>华东一区</v>
      </c>
      <c r="B21" s="63" t="str">
        <f>'[3]A1 预算指标总览'!$B$3</f>
        <v>福建公司</v>
      </c>
      <c r="C21" s="988" t="s">
        <v>225</v>
      </c>
      <c r="D21" s="992">
        <v>18</v>
      </c>
      <c r="E21" s="1000" t="s">
        <v>246</v>
      </c>
      <c r="F21" s="990" t="s">
        <v>199</v>
      </c>
      <c r="G21" s="990" t="s">
        <v>199</v>
      </c>
      <c r="H21" s="990" t="s">
        <v>199</v>
      </c>
      <c r="I21" s="990" t="s">
        <v>200</v>
      </c>
      <c r="J21" s="990" t="s">
        <v>200</v>
      </c>
      <c r="K21" s="1034"/>
    </row>
    <row r="22" s="156" customFormat="1" ht="16.5" spans="1:11">
      <c r="A22" s="1027" t="str">
        <f>'[3]A1 预算指标总览'!$A$3</f>
        <v>华东一区</v>
      </c>
      <c r="B22" s="1027" t="str">
        <f>'[3]A1 预算指标总览'!$B$3</f>
        <v>福建公司</v>
      </c>
      <c r="C22" s="988" t="s">
        <v>225</v>
      </c>
      <c r="D22" s="988">
        <v>19</v>
      </c>
      <c r="E22" s="999" t="s">
        <v>247</v>
      </c>
      <c r="F22" s="990" t="s">
        <v>199</v>
      </c>
      <c r="G22" s="990" t="s">
        <v>199</v>
      </c>
      <c r="H22" s="990" t="s">
        <v>199</v>
      </c>
      <c r="I22" s="990" t="s">
        <v>200</v>
      </c>
      <c r="J22" s="990" t="s">
        <v>200</v>
      </c>
      <c r="K22" s="63"/>
    </row>
    <row r="23" s="156" customFormat="1" ht="16.5" spans="1:11">
      <c r="A23" s="63" t="str">
        <f>'[3]A1 预算指标总览'!$A$3</f>
        <v>华东一区</v>
      </c>
      <c r="B23" s="63" t="str">
        <f>'[3]A1 预算指标总览'!$B$3</f>
        <v>福建公司</v>
      </c>
      <c r="C23" s="988" t="s">
        <v>225</v>
      </c>
      <c r="D23" s="992">
        <v>20</v>
      </c>
      <c r="E23" s="999" t="s">
        <v>248</v>
      </c>
      <c r="F23" s="990" t="s">
        <v>199</v>
      </c>
      <c r="G23" s="990" t="s">
        <v>199</v>
      </c>
      <c r="H23" s="990" t="s">
        <v>199</v>
      </c>
      <c r="I23" s="990" t="s">
        <v>200</v>
      </c>
      <c r="J23" s="990" t="s">
        <v>200</v>
      </c>
      <c r="K23" s="63"/>
    </row>
    <row r="24" s="156" customFormat="1" ht="16.5" spans="1:11">
      <c r="A24" s="1027" t="str">
        <f>'[3]A1 预算指标总览'!$A$3</f>
        <v>华东一区</v>
      </c>
      <c r="B24" s="1027" t="str">
        <f>'[3]A1 预算指标总览'!$B$3</f>
        <v>福建公司</v>
      </c>
      <c r="C24" s="988" t="s">
        <v>225</v>
      </c>
      <c r="D24" s="988">
        <v>21</v>
      </c>
      <c r="E24" s="999" t="s">
        <v>249</v>
      </c>
      <c r="F24" s="990" t="s">
        <v>199</v>
      </c>
      <c r="G24" s="990" t="s">
        <v>199</v>
      </c>
      <c r="H24" s="990" t="s">
        <v>199</v>
      </c>
      <c r="I24" s="990" t="s">
        <v>200</v>
      </c>
      <c r="J24" s="990" t="s">
        <v>200</v>
      </c>
      <c r="K24" s="63"/>
    </row>
    <row r="25" s="156" customFormat="1" ht="16.5" spans="1:11">
      <c r="A25" s="63" t="str">
        <f>'[3]A1 预算指标总览'!$A$3</f>
        <v>华东一区</v>
      </c>
      <c r="B25" s="63" t="str">
        <f>'[3]A1 预算指标总览'!$B$3</f>
        <v>福建公司</v>
      </c>
      <c r="C25" s="988" t="s">
        <v>225</v>
      </c>
      <c r="D25" s="992">
        <v>22</v>
      </c>
      <c r="E25" s="999" t="s">
        <v>115</v>
      </c>
      <c r="F25" s="990" t="s">
        <v>199</v>
      </c>
      <c r="G25" s="990" t="s">
        <v>199</v>
      </c>
      <c r="H25" s="990" t="s">
        <v>199</v>
      </c>
      <c r="I25" s="990" t="s">
        <v>200</v>
      </c>
      <c r="J25" s="990" t="s">
        <v>200</v>
      </c>
      <c r="K25" s="63"/>
    </row>
    <row r="26" s="156" customFormat="1" ht="16.5" spans="1:11">
      <c r="A26" s="1027" t="str">
        <f>'[3]A1 预算指标总览'!$A$3</f>
        <v>华东一区</v>
      </c>
      <c r="B26" s="1027" t="str">
        <f>'[3]A1 预算指标总览'!$B$3</f>
        <v>福建公司</v>
      </c>
      <c r="C26" s="988" t="s">
        <v>225</v>
      </c>
      <c r="D26" s="988">
        <v>23</v>
      </c>
      <c r="E26" s="999" t="s">
        <v>126</v>
      </c>
      <c r="F26" s="990" t="s">
        <v>199</v>
      </c>
      <c r="G26" s="990" t="s">
        <v>199</v>
      </c>
      <c r="H26" s="990" t="s">
        <v>199</v>
      </c>
      <c r="I26" s="990" t="s">
        <v>200</v>
      </c>
      <c r="J26" s="990" t="s">
        <v>200</v>
      </c>
      <c r="K26" s="63"/>
    </row>
    <row r="27" s="156" customFormat="1" ht="16.5" spans="1:11">
      <c r="A27" s="63" t="str">
        <f>'[3]A1 预算指标总览'!$A$3</f>
        <v>华东一区</v>
      </c>
      <c r="B27" s="63" t="str">
        <f>'[3]A1 预算指标总览'!$B$3</f>
        <v>福建公司</v>
      </c>
      <c r="C27" s="988" t="s">
        <v>225</v>
      </c>
      <c r="D27" s="992">
        <v>24</v>
      </c>
      <c r="E27" s="999" t="s">
        <v>250</v>
      </c>
      <c r="F27" s="996" t="s">
        <v>251</v>
      </c>
      <c r="G27" s="996" t="s">
        <v>251</v>
      </c>
      <c r="H27" s="996" t="s">
        <v>251</v>
      </c>
      <c r="I27" s="996" t="s">
        <v>251</v>
      </c>
      <c r="J27" s="996" t="s">
        <v>251</v>
      </c>
      <c r="K27" s="63"/>
    </row>
    <row r="28" s="156" customFormat="1" ht="16.5" spans="1:11">
      <c r="A28" s="1027" t="str">
        <f>'[3]A1 预算指标总览'!$A$3</f>
        <v>华东一区</v>
      </c>
      <c r="B28" s="1027" t="str">
        <f>'[3]A1 预算指标总览'!$B$3</f>
        <v>福建公司</v>
      </c>
      <c r="C28" s="988" t="s">
        <v>225</v>
      </c>
      <c r="D28" s="988">
        <v>25</v>
      </c>
      <c r="E28" s="999" t="s">
        <v>178</v>
      </c>
      <c r="F28" s="990" t="s">
        <v>199</v>
      </c>
      <c r="G28" s="990" t="s">
        <v>199</v>
      </c>
      <c r="H28" s="990" t="s">
        <v>199</v>
      </c>
      <c r="I28" s="990" t="s">
        <v>200</v>
      </c>
      <c r="J28" s="990" t="s">
        <v>200</v>
      </c>
      <c r="K28" s="63"/>
    </row>
    <row r="29" s="156" customFormat="1" ht="16.5" spans="1:11">
      <c r="A29" s="63" t="str">
        <f>'[3]A1 预算指标总览'!$A$3</f>
        <v>华东一区</v>
      </c>
      <c r="B29" s="63" t="str">
        <f>'[3]A1 预算指标总览'!$B$3</f>
        <v>福建公司</v>
      </c>
      <c r="C29" s="988" t="s">
        <v>225</v>
      </c>
      <c r="D29" s="992">
        <v>26</v>
      </c>
      <c r="E29" s="999" t="s">
        <v>252</v>
      </c>
      <c r="F29" s="996" t="s">
        <v>251</v>
      </c>
      <c r="G29" s="996" t="s">
        <v>251</v>
      </c>
      <c r="H29" s="996" t="s">
        <v>251</v>
      </c>
      <c r="I29" s="996" t="s">
        <v>251</v>
      </c>
      <c r="J29" s="996" t="s">
        <v>251</v>
      </c>
      <c r="K29" s="63"/>
    </row>
    <row r="30" s="156" customFormat="1" ht="16.5" spans="1:11">
      <c r="A30" s="1027" t="str">
        <f>'[3]A1 预算指标总览'!$A$3</f>
        <v>华东一区</v>
      </c>
      <c r="B30" s="1027" t="str">
        <f>'[3]A1 预算指标总览'!$B$3</f>
        <v>福建公司</v>
      </c>
      <c r="C30" s="988" t="s">
        <v>225</v>
      </c>
      <c r="D30" s="988">
        <v>27</v>
      </c>
      <c r="E30" s="999" t="s">
        <v>253</v>
      </c>
      <c r="F30" s="996" t="s">
        <v>251</v>
      </c>
      <c r="G30" s="996" t="s">
        <v>251</v>
      </c>
      <c r="H30" s="996" t="s">
        <v>251</v>
      </c>
      <c r="I30" s="996" t="s">
        <v>251</v>
      </c>
      <c r="J30" s="996" t="s">
        <v>251</v>
      </c>
      <c r="K30" s="63"/>
    </row>
    <row r="31" s="156" customFormat="1" ht="16.5" spans="1:11">
      <c r="A31" s="63" t="str">
        <f>'[3]A1 预算指标总览'!$A$3</f>
        <v>华东一区</v>
      </c>
      <c r="B31" s="63" t="str">
        <f>'[3]A1 预算指标总览'!$B$3</f>
        <v>福建公司</v>
      </c>
      <c r="C31" s="988" t="s">
        <v>225</v>
      </c>
      <c r="D31" s="992">
        <v>28</v>
      </c>
      <c r="E31" s="1000" t="s">
        <v>254</v>
      </c>
      <c r="F31" s="990" t="s">
        <v>199</v>
      </c>
      <c r="G31" s="990" t="s">
        <v>199</v>
      </c>
      <c r="H31" s="990" t="s">
        <v>199</v>
      </c>
      <c r="I31" s="990" t="s">
        <v>200</v>
      </c>
      <c r="J31" s="990" t="s">
        <v>200</v>
      </c>
      <c r="K31" s="65"/>
    </row>
    <row r="32" s="156" customFormat="1" ht="16.5" spans="1:11">
      <c r="A32" s="1027" t="str">
        <f>'[3]A1 预算指标总览'!$A$3</f>
        <v>华东一区</v>
      </c>
      <c r="B32" s="1027" t="str">
        <f>'[3]A1 预算指标总览'!$B$3</f>
        <v>福建公司</v>
      </c>
      <c r="C32" s="988" t="s">
        <v>225</v>
      </c>
      <c r="D32" s="988">
        <v>29</v>
      </c>
      <c r="E32" s="999" t="s">
        <v>255</v>
      </c>
      <c r="F32" s="990" t="s">
        <v>199</v>
      </c>
      <c r="G32" s="990" t="s">
        <v>199</v>
      </c>
      <c r="H32" s="990" t="s">
        <v>199</v>
      </c>
      <c r="I32" s="990" t="s">
        <v>200</v>
      </c>
      <c r="J32" s="990" t="s">
        <v>200</v>
      </c>
      <c r="K32" s="63"/>
    </row>
    <row r="33" s="156" customFormat="1" ht="16.5" spans="1:12">
      <c r="A33" s="63" t="str">
        <f>'[3]A1 预算指标总览'!$A$3</f>
        <v>华东一区</v>
      </c>
      <c r="B33" s="63" t="str">
        <f>'[3]A1 预算指标总览'!$B$3</f>
        <v>福建公司</v>
      </c>
      <c r="C33" s="988" t="s">
        <v>225</v>
      </c>
      <c r="D33" s="992">
        <v>30</v>
      </c>
      <c r="E33" s="999" t="s">
        <v>256</v>
      </c>
      <c r="F33" s="990" t="s">
        <v>199</v>
      </c>
      <c r="G33" s="990" t="s">
        <v>199</v>
      </c>
      <c r="H33" s="990" t="s">
        <v>199</v>
      </c>
      <c r="I33" s="990" t="s">
        <v>200</v>
      </c>
      <c r="J33" s="990" t="s">
        <v>200</v>
      </c>
      <c r="K33" s="63"/>
    </row>
    <row r="34" s="156" customFormat="1" ht="16.5" spans="1:12">
      <c r="A34" s="1027" t="str">
        <f>'[3]A1 预算指标总览'!$A$3</f>
        <v>华东一区</v>
      </c>
      <c r="B34" s="1027" t="str">
        <f>'[3]A1 预算指标总览'!$B$3</f>
        <v>福建公司</v>
      </c>
      <c r="C34" s="988" t="s">
        <v>225</v>
      </c>
      <c r="D34" s="988">
        <v>31</v>
      </c>
      <c r="E34" s="999" t="s">
        <v>257</v>
      </c>
      <c r="F34" s="990" t="s">
        <v>199</v>
      </c>
      <c r="G34" s="990" t="s">
        <v>199</v>
      </c>
      <c r="H34" s="990" t="s">
        <v>199</v>
      </c>
      <c r="I34" s="990" t="s">
        <v>200</v>
      </c>
      <c r="J34" s="990" t="s">
        <v>200</v>
      </c>
      <c r="K34" s="63"/>
    </row>
    <row r="35" s="156" customFormat="1" ht="16.5" spans="1:12">
      <c r="A35" s="63" t="str">
        <f>'[3]A1 预算指标总览'!$A$3</f>
        <v>华东一区</v>
      </c>
      <c r="B35" s="63" t="str">
        <f>'[3]A1 预算指标总览'!$B$3</f>
        <v>福建公司</v>
      </c>
      <c r="C35" s="988" t="s">
        <v>225</v>
      </c>
      <c r="D35" s="992">
        <v>32</v>
      </c>
      <c r="E35" s="999" t="s">
        <v>258</v>
      </c>
      <c r="F35" s="996" t="s">
        <v>251</v>
      </c>
      <c r="G35" s="996" t="s">
        <v>251</v>
      </c>
      <c r="H35" s="996" t="s">
        <v>251</v>
      </c>
      <c r="I35" s="996" t="s">
        <v>251</v>
      </c>
      <c r="J35" s="996" t="s">
        <v>251</v>
      </c>
      <c r="K35" s="63"/>
    </row>
    <row r="36" s="156" customFormat="1" ht="16.5" spans="1:12">
      <c r="A36" s="1027" t="str">
        <f>'[3]A1 预算指标总览'!$A$3</f>
        <v>华东一区</v>
      </c>
      <c r="B36" s="1027" t="str">
        <f>'[3]A1 预算指标总览'!$B$3</f>
        <v>福建公司</v>
      </c>
      <c r="C36" s="988" t="s">
        <v>225</v>
      </c>
      <c r="D36" s="988">
        <v>33</v>
      </c>
      <c r="E36" s="999" t="s">
        <v>259</v>
      </c>
      <c r="F36" s="990" t="s">
        <v>199</v>
      </c>
      <c r="G36" s="990" t="s">
        <v>199</v>
      </c>
      <c r="H36" s="990" t="s">
        <v>199</v>
      </c>
      <c r="I36" s="990" t="s">
        <v>200</v>
      </c>
      <c r="J36" s="990" t="s">
        <v>200</v>
      </c>
      <c r="K36" s="63"/>
    </row>
    <row r="37" s="156" customFormat="1" ht="16.5" spans="1:12">
      <c r="A37" s="63" t="str">
        <f>'[3]A1 预算指标总览'!$A$3</f>
        <v>华东一区</v>
      </c>
      <c r="B37" s="63" t="str">
        <f>'[3]A1 预算指标总览'!$B$3</f>
        <v>福建公司</v>
      </c>
      <c r="C37" s="988" t="s">
        <v>225</v>
      </c>
      <c r="D37" s="992">
        <v>34</v>
      </c>
      <c r="E37" s="999" t="s">
        <v>260</v>
      </c>
      <c r="F37" s="990" t="s">
        <v>199</v>
      </c>
      <c r="G37" s="990" t="s">
        <v>199</v>
      </c>
      <c r="H37" s="990" t="s">
        <v>199</v>
      </c>
      <c r="I37" s="990" t="s">
        <v>200</v>
      </c>
      <c r="J37" s="990" t="s">
        <v>200</v>
      </c>
      <c r="K37" s="63"/>
    </row>
    <row r="38" s="156" customFormat="1" ht="16.5" spans="1:12">
      <c r="A38" s="1027" t="str">
        <f>'[3]A1 预算指标总览'!$A$3</f>
        <v>华东一区</v>
      </c>
      <c r="B38" s="1027" t="str">
        <f>'[3]A1 预算指标总览'!$B$3</f>
        <v>福建公司</v>
      </c>
      <c r="C38" s="988" t="s">
        <v>225</v>
      </c>
      <c r="D38" s="988">
        <v>35</v>
      </c>
      <c r="E38" s="998" t="s">
        <v>261</v>
      </c>
      <c r="F38" s="996" t="s">
        <v>200</v>
      </c>
      <c r="G38" s="996" t="s">
        <v>200</v>
      </c>
      <c r="H38" s="996" t="s">
        <v>200</v>
      </c>
      <c r="I38" s="996" t="s">
        <v>200</v>
      </c>
      <c r="J38" s="996" t="s">
        <v>200</v>
      </c>
      <c r="K38" s="63"/>
    </row>
    <row r="39" s="156" customFormat="1" ht="16.5" spans="1:12">
      <c r="A39" s="63" t="str">
        <f>'[3]A1 预算指标总览'!$A$3</f>
        <v>华东一区</v>
      </c>
      <c r="B39" s="63" t="str">
        <f>'[3]A1 预算指标总览'!$B$3</f>
        <v>福建公司</v>
      </c>
      <c r="C39" s="988" t="s">
        <v>225</v>
      </c>
      <c r="D39" s="992">
        <v>36</v>
      </c>
      <c r="E39" s="997" t="s">
        <v>262</v>
      </c>
      <c r="F39" s="990" t="s">
        <v>199</v>
      </c>
      <c r="G39" s="990" t="s">
        <v>199</v>
      </c>
      <c r="H39" s="990" t="s">
        <v>199</v>
      </c>
      <c r="I39" s="990" t="s">
        <v>200</v>
      </c>
      <c r="J39" s="990" t="s">
        <v>200</v>
      </c>
      <c r="K39" s="63"/>
    </row>
    <row r="40" s="156" customFormat="1" ht="16.5" spans="1:12">
      <c r="A40" s="1027" t="str">
        <f>'[3]A1 预算指标总览'!$A$3</f>
        <v>华东一区</v>
      </c>
      <c r="B40" s="1027" t="str">
        <f>'[3]A1 预算指标总览'!$B$3</f>
        <v>福建公司</v>
      </c>
      <c r="C40" s="988" t="s">
        <v>225</v>
      </c>
      <c r="D40" s="988">
        <v>37</v>
      </c>
      <c r="E40" s="997" t="s">
        <v>263</v>
      </c>
      <c r="F40" s="990" t="s">
        <v>199</v>
      </c>
      <c r="G40" s="990" t="s">
        <v>199</v>
      </c>
      <c r="H40" s="990" t="s">
        <v>199</v>
      </c>
      <c r="I40" s="990" t="s">
        <v>200</v>
      </c>
      <c r="J40" s="990" t="s">
        <v>200</v>
      </c>
      <c r="K40" s="63"/>
    </row>
    <row r="41" s="156" customFormat="1" ht="16.5" spans="1:12">
      <c r="A41" s="63" t="str">
        <f>'[3]A1 预算指标总览'!$A$3</f>
        <v>华东一区</v>
      </c>
      <c r="B41" s="63" t="str">
        <f>'[3]A1 预算指标总览'!$B$3</f>
        <v>福建公司</v>
      </c>
      <c r="C41" s="988" t="s">
        <v>225</v>
      </c>
      <c r="D41" s="992">
        <v>38</v>
      </c>
      <c r="E41" s="998" t="s">
        <v>264</v>
      </c>
      <c r="F41" s="996" t="s">
        <v>200</v>
      </c>
      <c r="G41" s="996" t="s">
        <v>200</v>
      </c>
      <c r="H41" s="996" t="s">
        <v>200</v>
      </c>
      <c r="I41" s="996" t="s">
        <v>200</v>
      </c>
      <c r="J41" s="996" t="s">
        <v>200</v>
      </c>
      <c r="K41" s="63"/>
      <c r="L41" s="1035"/>
    </row>
    <row r="42" s="156" customFormat="1" ht="16.5" spans="1:12">
      <c r="A42" s="1027" t="str">
        <f>'[3]A1 预算指标总览'!$A$3</f>
        <v>华东一区</v>
      </c>
      <c r="B42" s="1027" t="str">
        <f>'[3]A1 预算指标总览'!$B$3</f>
        <v>福建公司</v>
      </c>
      <c r="C42" s="988" t="s">
        <v>225</v>
      </c>
      <c r="D42" s="988">
        <v>39</v>
      </c>
      <c r="E42" s="997" t="s">
        <v>265</v>
      </c>
      <c r="F42" s="990" t="s">
        <v>199</v>
      </c>
      <c r="G42" s="990" t="s">
        <v>199</v>
      </c>
      <c r="H42" s="990" t="s">
        <v>199</v>
      </c>
      <c r="I42" s="990" t="s">
        <v>200</v>
      </c>
      <c r="J42" s="990" t="s">
        <v>200</v>
      </c>
      <c r="K42" s="63"/>
    </row>
    <row r="43" s="156" customFormat="1" ht="16.5" spans="1:12">
      <c r="A43" s="63" t="str">
        <f>'[3]A1 预算指标总览'!$A$3</f>
        <v>华东一区</v>
      </c>
      <c r="B43" s="63" t="str">
        <f>'[3]A1 预算指标总览'!$B$3</f>
        <v>福建公司</v>
      </c>
      <c r="C43" s="988" t="s">
        <v>225</v>
      </c>
      <c r="D43" s="992">
        <v>40</v>
      </c>
      <c r="E43" s="998" t="s">
        <v>266</v>
      </c>
      <c r="F43" s="996" t="s">
        <v>200</v>
      </c>
      <c r="G43" s="996" t="s">
        <v>200</v>
      </c>
      <c r="H43" s="996" t="s">
        <v>200</v>
      </c>
      <c r="I43" s="996" t="s">
        <v>200</v>
      </c>
      <c r="J43" s="996" t="s">
        <v>200</v>
      </c>
      <c r="K43" s="1036"/>
    </row>
    <row r="44" s="156" customFormat="1" ht="15" customHeight="1" spans="1:12">
      <c r="A44" s="1027" t="str">
        <f>'[3]A1 预算指标总览'!$A$3</f>
        <v>华东一区</v>
      </c>
      <c r="B44" s="1027" t="str">
        <f>'[3]A1 预算指标总览'!$B$3</f>
        <v>福建公司</v>
      </c>
      <c r="C44" s="988" t="s">
        <v>225</v>
      </c>
      <c r="D44" s="988">
        <v>41</v>
      </c>
      <c r="E44" s="1002"/>
      <c r="F44" s="1037"/>
      <c r="G44" s="1037"/>
      <c r="H44" s="1037"/>
      <c r="I44" s="1037"/>
      <c r="J44" s="1038"/>
      <c r="K44" s="63"/>
    </row>
    <row r="45" s="156" customFormat="1" ht="15" customHeight="1" spans="1:12">
      <c r="A45" s="63" t="str">
        <f>'[3]A1 预算指标总览'!$A$3</f>
        <v>华东一区</v>
      </c>
      <c r="B45" s="63" t="str">
        <f>'[3]A1 预算指标总览'!$B$3</f>
        <v>福建公司</v>
      </c>
      <c r="C45" s="992" t="s">
        <v>225</v>
      </c>
      <c r="D45" s="992">
        <v>42</v>
      </c>
      <c r="E45" s="1039" t="s">
        <v>221</v>
      </c>
      <c r="F45" s="1009"/>
      <c r="G45" s="1009"/>
      <c r="H45" s="1009"/>
      <c r="I45" s="1009"/>
      <c r="J45" s="1026"/>
      <c r="K45" s="1040"/>
    </row>
    <row r="46" s="156" customFormat="1" ht="16.5" spans="1:12">
      <c r="A46" s="1027" t="str">
        <f>'[3]A1 预算指标总览'!$A$3</f>
        <v>华东一区</v>
      </c>
      <c r="B46" s="1027" t="str">
        <f>'[3]A1 预算指标总览'!$B$3</f>
        <v>福建公司</v>
      </c>
      <c r="C46" s="992" t="s">
        <v>225</v>
      </c>
      <c r="D46" s="992">
        <v>43</v>
      </c>
      <c r="E46" s="1039"/>
      <c r="F46" s="1009"/>
      <c r="G46" s="1009"/>
      <c r="H46" s="1009"/>
      <c r="I46" s="1009"/>
      <c r="J46" s="1026"/>
      <c r="K46" s="1040"/>
    </row>
    <row r="47" s="156" customFormat="1" ht="16.5" spans="1:12">
      <c r="A47" s="63" t="str">
        <f>'[3]A1 预算指标总览'!$A$3</f>
        <v>华东一区</v>
      </c>
      <c r="B47" s="63" t="str">
        <f>'[3]A1 预算指标总览'!$B$3</f>
        <v>福建公司</v>
      </c>
      <c r="C47" s="992" t="s">
        <v>225</v>
      </c>
      <c r="D47" s="992">
        <v>44</v>
      </c>
      <c r="E47" s="1041" t="s">
        <v>267</v>
      </c>
      <c r="F47" s="990" t="s">
        <v>199</v>
      </c>
      <c r="G47" s="990" t="s">
        <v>199</v>
      </c>
      <c r="H47" s="990" t="s">
        <v>199</v>
      </c>
      <c r="I47" s="990" t="s">
        <v>200</v>
      </c>
      <c r="J47" s="990" t="s">
        <v>200</v>
      </c>
      <c r="K47" s="1042"/>
      <c r="L47" s="1043" t="s">
        <v>268</v>
      </c>
    </row>
    <row r="48" s="156" customFormat="1" ht="16.5" spans="1:12">
      <c r="A48" s="1027" t="str">
        <f>'[3]A1 预算指标总览'!$A$3</f>
        <v>华东一区</v>
      </c>
      <c r="B48" s="1027" t="str">
        <f>'[3]A1 预算指标总览'!$B$3</f>
        <v>福建公司</v>
      </c>
      <c r="C48" s="992" t="s">
        <v>225</v>
      </c>
      <c r="D48" s="992">
        <v>45</v>
      </c>
      <c r="E48" s="1041" t="s">
        <v>269</v>
      </c>
      <c r="F48" s="990" t="s">
        <v>199</v>
      </c>
      <c r="G48" s="990" t="s">
        <v>199</v>
      </c>
      <c r="H48" s="990" t="s">
        <v>199</v>
      </c>
      <c r="I48" s="990" t="s">
        <v>200</v>
      </c>
      <c r="J48" s="990" t="s">
        <v>200</v>
      </c>
      <c r="K48" s="1044"/>
      <c r="L48" s="1043"/>
    </row>
    <row r="49" s="156" customFormat="1" ht="16.5" spans="1:12">
      <c r="A49" s="63" t="str">
        <f>'[3]A1 预算指标总览'!$A$3</f>
        <v>华东一区</v>
      </c>
      <c r="B49" s="63" t="str">
        <f>'[3]A1 预算指标总览'!$B$3</f>
        <v>福建公司</v>
      </c>
      <c r="C49" s="992" t="s">
        <v>225</v>
      </c>
      <c r="D49" s="992">
        <v>46</v>
      </c>
      <c r="E49" s="1041" t="s">
        <v>270</v>
      </c>
      <c r="F49" s="990" t="s">
        <v>199</v>
      </c>
      <c r="G49" s="990" t="s">
        <v>199</v>
      </c>
      <c r="H49" s="990" t="s">
        <v>199</v>
      </c>
      <c r="I49" s="990" t="s">
        <v>200</v>
      </c>
      <c r="J49" s="990" t="s">
        <v>200</v>
      </c>
      <c r="K49" s="1044"/>
      <c r="L49" s="1043"/>
    </row>
    <row r="50" s="156" customFormat="1" ht="16.5" spans="1:12">
      <c r="A50" s="1027" t="str">
        <f>'[3]A1 预算指标总览'!$A$3</f>
        <v>华东一区</v>
      </c>
      <c r="B50" s="1027" t="str">
        <f>'[3]A1 预算指标总览'!$B$3</f>
        <v>福建公司</v>
      </c>
      <c r="C50" s="992" t="s">
        <v>225</v>
      </c>
      <c r="D50" s="992">
        <v>47</v>
      </c>
      <c r="E50" s="1041" t="s">
        <v>271</v>
      </c>
      <c r="F50" s="990" t="s">
        <v>199</v>
      </c>
      <c r="G50" s="990" t="s">
        <v>199</v>
      </c>
      <c r="H50" s="990" t="s">
        <v>199</v>
      </c>
      <c r="I50" s="990" t="s">
        <v>200</v>
      </c>
      <c r="J50" s="990" t="s">
        <v>200</v>
      </c>
      <c r="K50" s="1044"/>
      <c r="L50" s="1043"/>
    </row>
    <row r="51" s="156" customFormat="1" ht="16.5" spans="1:12">
      <c r="A51" s="63" t="str">
        <f>'[3]A1 预算指标总览'!$A$3</f>
        <v>华东一区</v>
      </c>
      <c r="B51" s="63" t="str">
        <f>'[3]A1 预算指标总览'!$B$3</f>
        <v>福建公司</v>
      </c>
      <c r="C51" s="992" t="s">
        <v>225</v>
      </c>
      <c r="D51" s="992">
        <v>48</v>
      </c>
      <c r="E51" s="1045" t="s">
        <v>272</v>
      </c>
      <c r="F51" s="990" t="s">
        <v>199</v>
      </c>
      <c r="G51" s="990" t="s">
        <v>199</v>
      </c>
      <c r="H51" s="990" t="s">
        <v>199</v>
      </c>
      <c r="I51" s="990" t="s">
        <v>200</v>
      </c>
      <c r="J51" s="990" t="s">
        <v>200</v>
      </c>
      <c r="K51" s="1044"/>
      <c r="L51" s="1043"/>
    </row>
    <row r="52" s="156" customFormat="1" ht="16.5" spans="1:12">
      <c r="A52" s="1027" t="str">
        <f>'[3]A1 预算指标总览'!$A$3</f>
        <v>华东一区</v>
      </c>
      <c r="B52" s="1027" t="str">
        <f>'[3]A1 预算指标总览'!$B$3</f>
        <v>福建公司</v>
      </c>
      <c r="C52" s="992" t="s">
        <v>225</v>
      </c>
      <c r="D52" s="992">
        <v>49</v>
      </c>
      <c r="E52" s="1045" t="s">
        <v>273</v>
      </c>
      <c r="F52" s="990" t="s">
        <v>199</v>
      </c>
      <c r="G52" s="990" t="s">
        <v>199</v>
      </c>
      <c r="H52" s="990" t="s">
        <v>199</v>
      </c>
      <c r="I52" s="990" t="s">
        <v>200</v>
      </c>
      <c r="J52" s="990" t="s">
        <v>200</v>
      </c>
      <c r="K52" s="1044"/>
      <c r="L52" s="1043"/>
    </row>
    <row r="53" s="156" customFormat="1" ht="16.5" spans="1:12">
      <c r="A53" s="63" t="str">
        <f>'[3]A1 预算指标总览'!$A$3</f>
        <v>华东一区</v>
      </c>
      <c r="B53" s="63" t="str">
        <f>'[3]A1 预算指标总览'!$B$3</f>
        <v>福建公司</v>
      </c>
      <c r="C53" s="992" t="s">
        <v>225</v>
      </c>
      <c r="D53" s="992">
        <v>50</v>
      </c>
      <c r="E53" s="1045" t="s">
        <v>274</v>
      </c>
      <c r="F53" s="990" t="s">
        <v>199</v>
      </c>
      <c r="G53" s="990" t="s">
        <v>199</v>
      </c>
      <c r="H53" s="990" t="s">
        <v>199</v>
      </c>
      <c r="I53" s="990" t="s">
        <v>200</v>
      </c>
      <c r="J53" s="990" t="s">
        <v>200</v>
      </c>
      <c r="K53" s="1044"/>
      <c r="L53" s="1043"/>
    </row>
    <row r="54" s="156" customFormat="1" ht="16.5" spans="1:12">
      <c r="A54" s="1027" t="str">
        <f>'[3]A1 预算指标总览'!$A$3</f>
        <v>华东一区</v>
      </c>
      <c r="B54" s="1027" t="str">
        <f>'[3]A1 预算指标总览'!$B$3</f>
        <v>福建公司</v>
      </c>
      <c r="C54" s="992" t="s">
        <v>225</v>
      </c>
      <c r="D54" s="992">
        <v>51</v>
      </c>
      <c r="E54" s="1041" t="s">
        <v>275</v>
      </c>
      <c r="F54" s="990" t="s">
        <v>199</v>
      </c>
      <c r="G54" s="990" t="s">
        <v>199</v>
      </c>
      <c r="H54" s="990" t="s">
        <v>199</v>
      </c>
      <c r="I54" s="990" t="s">
        <v>200</v>
      </c>
      <c r="J54" s="990" t="s">
        <v>200</v>
      </c>
      <c r="K54" s="1044"/>
      <c r="L54" s="1043"/>
    </row>
    <row r="55" s="156" customFormat="1" ht="16.5" spans="1:12">
      <c r="A55" s="63" t="str">
        <f>'[3]A1 预算指标总览'!$A$3</f>
        <v>华东一区</v>
      </c>
      <c r="B55" s="63" t="str">
        <f>'[3]A1 预算指标总览'!$B$3</f>
        <v>福建公司</v>
      </c>
      <c r="C55" s="992" t="s">
        <v>225</v>
      </c>
      <c r="D55" s="992">
        <v>52</v>
      </c>
      <c r="E55" s="1046" t="s">
        <v>276</v>
      </c>
      <c r="F55" s="996" t="s">
        <v>200</v>
      </c>
      <c r="G55" s="996" t="s">
        <v>200</v>
      </c>
      <c r="H55" s="996" t="s">
        <v>200</v>
      </c>
      <c r="I55" s="996" t="s">
        <v>200</v>
      </c>
      <c r="J55" s="996" t="s">
        <v>200</v>
      </c>
      <c r="K55" s="1047"/>
      <c r="L55" s="1043"/>
    </row>
    <row r="56" s="156" customFormat="1" ht="16.5" spans="1:12">
      <c r="A56" s="1027" t="str">
        <f>'[3]A1 预算指标总览'!$A$3</f>
        <v>华东一区</v>
      </c>
      <c r="B56" s="1027" t="str">
        <f>'[3]A1 预算指标总览'!$B$3</f>
        <v>福建公司</v>
      </c>
      <c r="C56" s="992" t="s">
        <v>225</v>
      </c>
      <c r="D56" s="992">
        <v>53</v>
      </c>
      <c r="E56" s="1048"/>
      <c r="F56" s="1015"/>
      <c r="G56" s="1015"/>
      <c r="H56" s="1015"/>
      <c r="I56" s="1015"/>
      <c r="J56" s="1049"/>
      <c r="K56" s="1044"/>
      <c r="L56" s="1043"/>
    </row>
    <row r="57" s="156" customFormat="1" ht="16.5" spans="1:12">
      <c r="A57" s="63" t="str">
        <f>'[3]A1 预算指标总览'!$A$3</f>
        <v>华东一区</v>
      </c>
      <c r="B57" s="63" t="str">
        <f>'[3]A1 预算指标总览'!$B$3</f>
        <v>福建公司</v>
      </c>
      <c r="C57" s="992" t="s">
        <v>225</v>
      </c>
      <c r="D57" s="992">
        <v>54</v>
      </c>
      <c r="E57" s="1050" t="s">
        <v>205</v>
      </c>
      <c r="F57" s="996" t="s">
        <v>200</v>
      </c>
      <c r="G57" s="996" t="s">
        <v>200</v>
      </c>
      <c r="H57" s="996" t="s">
        <v>200</v>
      </c>
      <c r="I57" s="996" t="s">
        <v>200</v>
      </c>
      <c r="J57" s="996" t="s">
        <v>200</v>
      </c>
      <c r="K57" s="1042"/>
      <c r="L57" s="1043"/>
    </row>
    <row r="58" s="156" customFormat="1" ht="16.5" spans="1:12">
      <c r="A58" s="1027" t="str">
        <f>'[3]A1 预算指标总览'!$A$3</f>
        <v>华东一区</v>
      </c>
      <c r="B58" s="1027" t="str">
        <f>'[3]A1 预算指标总览'!$B$3</f>
        <v>福建公司</v>
      </c>
      <c r="C58" s="992" t="s">
        <v>225</v>
      </c>
      <c r="D58" s="992">
        <v>55</v>
      </c>
      <c r="E58" s="1051"/>
      <c r="F58" s="992"/>
      <c r="G58" s="992"/>
      <c r="H58" s="992"/>
      <c r="I58" s="992"/>
      <c r="J58" s="139"/>
      <c r="K58" s="63"/>
      <c r="L58" s="1043"/>
    </row>
  </sheetData>
  <mergeCells count="8">
    <mergeCell ref="E45:E46"/>
    <mergeCell ref="F45:F46"/>
    <mergeCell ref="G45:G46"/>
    <mergeCell ref="H45:H46"/>
    <mergeCell ref="I45:I46"/>
    <mergeCell ref="J45:J46"/>
    <mergeCell ref="K45:K46"/>
    <mergeCell ref="L47:L58"/>
  </mergeCells>
  <conditionalFormatting sqref="F2:J58">
    <cfRule type="cellIs" dxfId="1" priority="2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theme="6" tint="0.599993896298105"/>
  </sheetPr>
  <dimension ref="A1:AR59"/>
  <sheetViews>
    <sheetView workbookViewId="0">
      <pane xSplit="5" ySplit="3" topLeftCell="F4" activePane="bottomRight" state="frozen"/>
      <selection/>
      <selection pane="topRight"/>
      <selection pane="bottomLeft"/>
      <selection pane="bottomRight" activeCell="F3" sqref="F3:F5"/>
    </sheetView>
  </sheetViews>
  <sheetFormatPr defaultColWidth="8.90833333333333" defaultRowHeight="13.5"/>
  <cols>
    <col min="5" max="5" width="28.625" customWidth="1"/>
  </cols>
  <sheetData>
    <row r="1" spans="1:44">
      <c r="A1" s="162" t="s">
        <v>185</v>
      </c>
      <c r="AF1" s="966" t="s">
        <v>277</v>
      </c>
    </row>
    <row r="2" ht="16.5" spans="1:44">
      <c r="A2" s="975" t="s">
        <v>187</v>
      </c>
      <c r="B2" s="975" t="s">
        <v>188</v>
      </c>
      <c r="C2" s="976" t="s">
        <v>278</v>
      </c>
      <c r="D2" s="977" t="s">
        <v>279</v>
      </c>
      <c r="E2" s="978" t="s">
        <v>221</v>
      </c>
      <c r="F2" s="979" t="s">
        <v>190</v>
      </c>
      <c r="G2" s="980"/>
      <c r="H2" s="980"/>
      <c r="I2" s="980"/>
      <c r="J2" s="980"/>
      <c r="K2" s="980"/>
      <c r="L2" s="980"/>
      <c r="M2" s="980"/>
      <c r="N2" s="980"/>
      <c r="O2" s="980"/>
      <c r="P2" s="980"/>
      <c r="Q2" s="980"/>
      <c r="R2" s="981"/>
      <c r="S2" s="980" t="s">
        <v>280</v>
      </c>
      <c r="T2" s="980"/>
      <c r="U2" s="980"/>
      <c r="V2" s="980"/>
      <c r="W2" s="980"/>
      <c r="X2" s="980"/>
      <c r="Y2" s="980"/>
      <c r="Z2" s="980"/>
      <c r="AA2" s="980"/>
      <c r="AB2" s="980"/>
      <c r="AC2" s="980"/>
      <c r="AD2" s="980"/>
      <c r="AE2" s="981"/>
      <c r="AF2" s="980" t="s">
        <v>280</v>
      </c>
      <c r="AG2" s="980"/>
      <c r="AH2" s="980"/>
      <c r="AI2" s="980"/>
      <c r="AJ2" s="980"/>
      <c r="AK2" s="980"/>
      <c r="AL2" s="980"/>
      <c r="AM2" s="980"/>
      <c r="AN2" s="980"/>
      <c r="AO2" s="980"/>
      <c r="AP2" s="980"/>
      <c r="AQ2" s="980"/>
      <c r="AR2" s="981"/>
    </row>
    <row r="3" ht="16.5" spans="1:44">
      <c r="A3" s="975"/>
      <c r="B3" s="975"/>
      <c r="C3" s="982"/>
      <c r="D3" s="983"/>
      <c r="E3" s="984"/>
      <c r="F3" s="985">
        <v>1</v>
      </c>
      <c r="G3" s="985">
        <v>2</v>
      </c>
      <c r="H3" s="985">
        <v>3</v>
      </c>
      <c r="I3" s="985">
        <v>4</v>
      </c>
      <c r="J3" s="985">
        <v>5</v>
      </c>
      <c r="K3" s="985">
        <v>6</v>
      </c>
      <c r="L3" s="985">
        <v>7</v>
      </c>
      <c r="M3" s="985">
        <v>8</v>
      </c>
      <c r="N3" s="985">
        <v>9</v>
      </c>
      <c r="O3" s="985">
        <v>10</v>
      </c>
      <c r="P3" s="985">
        <v>11</v>
      </c>
      <c r="Q3" s="985">
        <v>12</v>
      </c>
      <c r="R3" s="986" t="s">
        <v>281</v>
      </c>
      <c r="S3" s="987">
        <v>1</v>
      </c>
      <c r="T3" s="985">
        <v>2</v>
      </c>
      <c r="U3" s="985">
        <v>3</v>
      </c>
      <c r="V3" s="985">
        <v>4</v>
      </c>
      <c r="W3" s="985">
        <v>5</v>
      </c>
      <c r="X3" s="985">
        <v>6</v>
      </c>
      <c r="Y3" s="985">
        <v>7</v>
      </c>
      <c r="Z3" s="985">
        <v>8</v>
      </c>
      <c r="AA3" s="985">
        <v>9</v>
      </c>
      <c r="AB3" s="985">
        <v>10</v>
      </c>
      <c r="AC3" s="985">
        <v>11</v>
      </c>
      <c r="AD3" s="985">
        <v>12</v>
      </c>
      <c r="AE3" s="985" t="s">
        <v>281</v>
      </c>
      <c r="AF3" s="987">
        <v>1</v>
      </c>
      <c r="AG3" s="985">
        <v>2</v>
      </c>
      <c r="AH3" s="985">
        <v>3</v>
      </c>
      <c r="AI3" s="985">
        <v>4</v>
      </c>
      <c r="AJ3" s="985">
        <v>5</v>
      </c>
      <c r="AK3" s="985">
        <v>6</v>
      </c>
      <c r="AL3" s="985">
        <v>7</v>
      </c>
      <c r="AM3" s="985">
        <v>8</v>
      </c>
      <c r="AN3" s="985">
        <v>9</v>
      </c>
      <c r="AO3" s="985">
        <v>10</v>
      </c>
      <c r="AP3" s="985">
        <v>11</v>
      </c>
      <c r="AQ3" s="985">
        <v>12</v>
      </c>
      <c r="AR3" s="985" t="s">
        <v>281</v>
      </c>
    </row>
    <row r="4" ht="16.5" spans="1:44">
      <c r="A4" s="63" t="str">
        <f>'[3]A1 预算指标总览'!$A$3</f>
        <v>华东一区</v>
      </c>
      <c r="B4" s="63" t="str">
        <f>'[3]A1 预算指标总览'!$B$3</f>
        <v>福建公司</v>
      </c>
      <c r="C4" s="988" t="s">
        <v>225</v>
      </c>
      <c r="D4" s="988">
        <v>1</v>
      </c>
      <c r="E4" s="989" t="s">
        <v>226</v>
      </c>
      <c r="F4" s="990" t="s">
        <v>227</v>
      </c>
      <c r="G4" s="990" t="s">
        <v>227</v>
      </c>
      <c r="H4" s="990" t="s">
        <v>227</v>
      </c>
      <c r="I4" s="990" t="s">
        <v>227</v>
      </c>
      <c r="J4" s="990" t="s">
        <v>227</v>
      </c>
      <c r="K4" s="990" t="s">
        <v>227</v>
      </c>
      <c r="L4" s="990" t="s">
        <v>227</v>
      </c>
      <c r="M4" s="990" t="s">
        <v>227</v>
      </c>
      <c r="N4" s="990" t="s">
        <v>227</v>
      </c>
      <c r="O4" s="990" t="s">
        <v>227</v>
      </c>
      <c r="P4" s="990" t="s">
        <v>227</v>
      </c>
      <c r="Q4" s="990" t="s">
        <v>227</v>
      </c>
      <c r="R4" s="991" t="s">
        <v>200</v>
      </c>
      <c r="S4" s="990" t="s">
        <v>227</v>
      </c>
      <c r="T4" s="990" t="s">
        <v>227</v>
      </c>
      <c r="U4" s="990" t="s">
        <v>227</v>
      </c>
      <c r="V4" s="990" t="s">
        <v>227</v>
      </c>
      <c r="W4" s="990" t="s">
        <v>227</v>
      </c>
      <c r="X4" s="990" t="s">
        <v>227</v>
      </c>
      <c r="Y4" s="990" t="s">
        <v>227</v>
      </c>
      <c r="Z4" s="990" t="s">
        <v>227</v>
      </c>
      <c r="AA4" s="990" t="s">
        <v>227</v>
      </c>
      <c r="AB4" s="990" t="s">
        <v>227</v>
      </c>
      <c r="AC4" s="990" t="s">
        <v>227</v>
      </c>
      <c r="AD4" s="990" t="s">
        <v>227</v>
      </c>
      <c r="AE4" s="991" t="s">
        <v>200</v>
      </c>
      <c r="AF4" s="990" t="s">
        <v>227</v>
      </c>
      <c r="AG4" s="990" t="s">
        <v>227</v>
      </c>
      <c r="AH4" s="990" t="s">
        <v>227</v>
      </c>
      <c r="AI4" s="990" t="s">
        <v>227</v>
      </c>
      <c r="AJ4" s="990" t="s">
        <v>227</v>
      </c>
      <c r="AK4" s="990" t="s">
        <v>227</v>
      </c>
      <c r="AL4" s="990" t="s">
        <v>227</v>
      </c>
      <c r="AM4" s="990" t="s">
        <v>227</v>
      </c>
      <c r="AN4" s="990" t="s">
        <v>227</v>
      </c>
      <c r="AO4" s="990" t="s">
        <v>227</v>
      </c>
      <c r="AP4" s="990" t="s">
        <v>227</v>
      </c>
      <c r="AQ4" s="990" t="s">
        <v>227</v>
      </c>
      <c r="AR4" s="991" t="s">
        <v>200</v>
      </c>
    </row>
    <row r="5" ht="16.5" spans="1:44">
      <c r="A5" s="63" t="str">
        <f>'[3]A1 预算指标总览'!$A$3</f>
        <v>华东一区</v>
      </c>
      <c r="B5" s="63" t="str">
        <f>'[3]A1 预算指标总览'!$B$3</f>
        <v>福建公司</v>
      </c>
      <c r="C5" s="988" t="s">
        <v>225</v>
      </c>
      <c r="D5" s="992">
        <v>2</v>
      </c>
      <c r="E5" s="993" t="s">
        <v>228</v>
      </c>
      <c r="F5" s="990" t="s">
        <v>199</v>
      </c>
      <c r="G5" s="990" t="s">
        <v>199</v>
      </c>
      <c r="H5" s="990" t="s">
        <v>199</v>
      </c>
      <c r="I5" s="990" t="s">
        <v>199</v>
      </c>
      <c r="J5" s="990" t="s">
        <v>199</v>
      </c>
      <c r="K5" s="990" t="s">
        <v>199</v>
      </c>
      <c r="L5" s="990" t="s">
        <v>199</v>
      </c>
      <c r="M5" s="990" t="s">
        <v>199</v>
      </c>
      <c r="N5" s="990" t="s">
        <v>199</v>
      </c>
      <c r="O5" s="990" t="s">
        <v>199</v>
      </c>
      <c r="P5" s="990" t="s">
        <v>199</v>
      </c>
      <c r="Q5" s="990" t="s">
        <v>199</v>
      </c>
      <c r="R5" s="991" t="s">
        <v>200</v>
      </c>
      <c r="S5" s="990" t="s">
        <v>199</v>
      </c>
      <c r="T5" s="990" t="s">
        <v>199</v>
      </c>
      <c r="U5" s="990" t="s">
        <v>199</v>
      </c>
      <c r="V5" s="990" t="s">
        <v>199</v>
      </c>
      <c r="W5" s="990" t="s">
        <v>199</v>
      </c>
      <c r="X5" s="990" t="s">
        <v>199</v>
      </c>
      <c r="Y5" s="990" t="s">
        <v>199</v>
      </c>
      <c r="Z5" s="990" t="s">
        <v>199</v>
      </c>
      <c r="AA5" s="990" t="s">
        <v>199</v>
      </c>
      <c r="AB5" s="990" t="s">
        <v>199</v>
      </c>
      <c r="AC5" s="990" t="s">
        <v>199</v>
      </c>
      <c r="AD5" s="990" t="s">
        <v>199</v>
      </c>
      <c r="AE5" s="991" t="s">
        <v>200</v>
      </c>
      <c r="AF5" s="990" t="s">
        <v>199</v>
      </c>
      <c r="AG5" s="990" t="s">
        <v>199</v>
      </c>
      <c r="AH5" s="990" t="s">
        <v>199</v>
      </c>
      <c r="AI5" s="990" t="s">
        <v>199</v>
      </c>
      <c r="AJ5" s="990" t="s">
        <v>199</v>
      </c>
      <c r="AK5" s="990" t="s">
        <v>199</v>
      </c>
      <c r="AL5" s="990" t="s">
        <v>199</v>
      </c>
      <c r="AM5" s="990" t="s">
        <v>199</v>
      </c>
      <c r="AN5" s="990" t="s">
        <v>199</v>
      </c>
      <c r="AO5" s="990" t="s">
        <v>199</v>
      </c>
      <c r="AP5" s="990" t="s">
        <v>199</v>
      </c>
      <c r="AQ5" s="990" t="s">
        <v>199</v>
      </c>
      <c r="AR5" s="991" t="s">
        <v>200</v>
      </c>
    </row>
    <row r="6" ht="16.5" spans="1:44">
      <c r="A6" s="63" t="str">
        <f>'[3]A1 预算指标总览'!$A$3</f>
        <v>华东一区</v>
      </c>
      <c r="B6" s="63" t="str">
        <f>'[3]A1 预算指标总览'!$B$3</f>
        <v>福建公司</v>
      </c>
      <c r="C6" s="988" t="s">
        <v>225</v>
      </c>
      <c r="D6" s="988">
        <v>3</v>
      </c>
      <c r="E6" s="993" t="s">
        <v>282</v>
      </c>
      <c r="F6" s="990" t="s">
        <v>199</v>
      </c>
      <c r="G6" s="990" t="s">
        <v>199</v>
      </c>
      <c r="H6" s="990" t="s">
        <v>199</v>
      </c>
      <c r="I6" s="990" t="s">
        <v>199</v>
      </c>
      <c r="J6" s="990" t="s">
        <v>199</v>
      </c>
      <c r="K6" s="990" t="s">
        <v>199</v>
      </c>
      <c r="L6" s="990" t="s">
        <v>199</v>
      </c>
      <c r="M6" s="990" t="s">
        <v>199</v>
      </c>
      <c r="N6" s="990" t="s">
        <v>199</v>
      </c>
      <c r="O6" s="990" t="s">
        <v>199</v>
      </c>
      <c r="P6" s="990" t="s">
        <v>199</v>
      </c>
      <c r="Q6" s="990" t="s">
        <v>199</v>
      </c>
      <c r="R6" s="991" t="s">
        <v>200</v>
      </c>
      <c r="S6" s="990" t="s">
        <v>199</v>
      </c>
      <c r="T6" s="990" t="s">
        <v>199</v>
      </c>
      <c r="U6" s="990" t="s">
        <v>199</v>
      </c>
      <c r="V6" s="990" t="s">
        <v>199</v>
      </c>
      <c r="W6" s="990" t="s">
        <v>199</v>
      </c>
      <c r="X6" s="990" t="s">
        <v>199</v>
      </c>
      <c r="Y6" s="990" t="s">
        <v>199</v>
      </c>
      <c r="Z6" s="990" t="s">
        <v>199</v>
      </c>
      <c r="AA6" s="990" t="s">
        <v>199</v>
      </c>
      <c r="AB6" s="990" t="s">
        <v>199</v>
      </c>
      <c r="AC6" s="990" t="s">
        <v>199</v>
      </c>
      <c r="AD6" s="990" t="s">
        <v>199</v>
      </c>
      <c r="AE6" s="991" t="s">
        <v>200</v>
      </c>
      <c r="AF6" s="990" t="s">
        <v>199</v>
      </c>
      <c r="AG6" s="990" t="s">
        <v>199</v>
      </c>
      <c r="AH6" s="990" t="s">
        <v>199</v>
      </c>
      <c r="AI6" s="990" t="s">
        <v>199</v>
      </c>
      <c r="AJ6" s="990" t="s">
        <v>199</v>
      </c>
      <c r="AK6" s="990" t="s">
        <v>199</v>
      </c>
      <c r="AL6" s="990" t="s">
        <v>199</v>
      </c>
      <c r="AM6" s="990" t="s">
        <v>199</v>
      </c>
      <c r="AN6" s="990" t="s">
        <v>199</v>
      </c>
      <c r="AO6" s="990" t="s">
        <v>199</v>
      </c>
      <c r="AP6" s="990" t="s">
        <v>199</v>
      </c>
      <c r="AQ6" s="990" t="s">
        <v>199</v>
      </c>
      <c r="AR6" s="991" t="s">
        <v>200</v>
      </c>
    </row>
    <row r="7" ht="16.5" spans="1:44">
      <c r="A7" s="63" t="str">
        <f>'[3]A1 预算指标总览'!$A$3</f>
        <v>华东一区</v>
      </c>
      <c r="B7" s="63" t="str">
        <f>'[3]A1 预算指标总览'!$B$3</f>
        <v>福建公司</v>
      </c>
      <c r="C7" s="988" t="s">
        <v>225</v>
      </c>
      <c r="D7" s="992">
        <v>4</v>
      </c>
      <c r="E7" s="993" t="s">
        <v>230</v>
      </c>
      <c r="F7" s="990" t="s">
        <v>199</v>
      </c>
      <c r="G7" s="990" t="s">
        <v>199</v>
      </c>
      <c r="H7" s="990" t="s">
        <v>199</v>
      </c>
      <c r="I7" s="990" t="s">
        <v>199</v>
      </c>
      <c r="J7" s="990" t="s">
        <v>199</v>
      </c>
      <c r="K7" s="990" t="s">
        <v>199</v>
      </c>
      <c r="L7" s="990" t="s">
        <v>199</v>
      </c>
      <c r="M7" s="990" t="s">
        <v>199</v>
      </c>
      <c r="N7" s="990" t="s">
        <v>199</v>
      </c>
      <c r="O7" s="990" t="s">
        <v>199</v>
      </c>
      <c r="P7" s="990" t="s">
        <v>199</v>
      </c>
      <c r="Q7" s="990" t="s">
        <v>199</v>
      </c>
      <c r="R7" s="991" t="s">
        <v>200</v>
      </c>
      <c r="S7" s="990" t="s">
        <v>199</v>
      </c>
      <c r="T7" s="990" t="s">
        <v>199</v>
      </c>
      <c r="U7" s="990" t="s">
        <v>199</v>
      </c>
      <c r="V7" s="990" t="s">
        <v>199</v>
      </c>
      <c r="W7" s="990" t="s">
        <v>199</v>
      </c>
      <c r="X7" s="990" t="s">
        <v>199</v>
      </c>
      <c r="Y7" s="990" t="s">
        <v>199</v>
      </c>
      <c r="Z7" s="990" t="s">
        <v>199</v>
      </c>
      <c r="AA7" s="990" t="s">
        <v>199</v>
      </c>
      <c r="AB7" s="990" t="s">
        <v>199</v>
      </c>
      <c r="AC7" s="990" t="s">
        <v>199</v>
      </c>
      <c r="AD7" s="990" t="s">
        <v>199</v>
      </c>
      <c r="AE7" s="991" t="s">
        <v>200</v>
      </c>
      <c r="AF7" s="990" t="s">
        <v>199</v>
      </c>
      <c r="AG7" s="990" t="s">
        <v>199</v>
      </c>
      <c r="AH7" s="990" t="s">
        <v>199</v>
      </c>
      <c r="AI7" s="990" t="s">
        <v>199</v>
      </c>
      <c r="AJ7" s="990" t="s">
        <v>199</v>
      </c>
      <c r="AK7" s="990" t="s">
        <v>199</v>
      </c>
      <c r="AL7" s="990" t="s">
        <v>199</v>
      </c>
      <c r="AM7" s="990" t="s">
        <v>199</v>
      </c>
      <c r="AN7" s="990" t="s">
        <v>199</v>
      </c>
      <c r="AO7" s="990" t="s">
        <v>199</v>
      </c>
      <c r="AP7" s="990" t="s">
        <v>199</v>
      </c>
      <c r="AQ7" s="990" t="s">
        <v>199</v>
      </c>
      <c r="AR7" s="991" t="s">
        <v>200</v>
      </c>
    </row>
    <row r="8" ht="16.5" spans="1:44">
      <c r="A8" s="63" t="str">
        <f>'[3]A1 预算指标总览'!$A$3</f>
        <v>华东一区</v>
      </c>
      <c r="B8" s="63" t="str">
        <f>'[3]A1 预算指标总览'!$B$3</f>
        <v>福建公司</v>
      </c>
      <c r="C8" s="988" t="s">
        <v>225</v>
      </c>
      <c r="D8" s="988">
        <v>5</v>
      </c>
      <c r="E8" s="993" t="s">
        <v>231</v>
      </c>
      <c r="F8" s="990" t="s">
        <v>199</v>
      </c>
      <c r="G8" s="990" t="s">
        <v>199</v>
      </c>
      <c r="H8" s="990" t="s">
        <v>199</v>
      </c>
      <c r="I8" s="990" t="s">
        <v>199</v>
      </c>
      <c r="J8" s="990" t="s">
        <v>199</v>
      </c>
      <c r="K8" s="990" t="s">
        <v>199</v>
      </c>
      <c r="L8" s="990" t="s">
        <v>199</v>
      </c>
      <c r="M8" s="990" t="s">
        <v>199</v>
      </c>
      <c r="N8" s="990" t="s">
        <v>199</v>
      </c>
      <c r="O8" s="990" t="s">
        <v>199</v>
      </c>
      <c r="P8" s="990" t="s">
        <v>199</v>
      </c>
      <c r="Q8" s="990" t="s">
        <v>199</v>
      </c>
      <c r="R8" s="991" t="s">
        <v>200</v>
      </c>
      <c r="S8" s="990" t="s">
        <v>199</v>
      </c>
      <c r="T8" s="990" t="s">
        <v>199</v>
      </c>
      <c r="U8" s="990" t="s">
        <v>199</v>
      </c>
      <c r="V8" s="990" t="s">
        <v>199</v>
      </c>
      <c r="W8" s="990" t="s">
        <v>199</v>
      </c>
      <c r="X8" s="990" t="s">
        <v>199</v>
      </c>
      <c r="Y8" s="990" t="s">
        <v>199</v>
      </c>
      <c r="Z8" s="990" t="s">
        <v>199</v>
      </c>
      <c r="AA8" s="990" t="s">
        <v>199</v>
      </c>
      <c r="AB8" s="990" t="s">
        <v>199</v>
      </c>
      <c r="AC8" s="990" t="s">
        <v>199</v>
      </c>
      <c r="AD8" s="990" t="s">
        <v>199</v>
      </c>
      <c r="AE8" s="991" t="s">
        <v>200</v>
      </c>
      <c r="AF8" s="990" t="s">
        <v>199</v>
      </c>
      <c r="AG8" s="990" t="s">
        <v>199</v>
      </c>
      <c r="AH8" s="990" t="s">
        <v>199</v>
      </c>
      <c r="AI8" s="990" t="s">
        <v>199</v>
      </c>
      <c r="AJ8" s="990" t="s">
        <v>199</v>
      </c>
      <c r="AK8" s="990" t="s">
        <v>199</v>
      </c>
      <c r="AL8" s="990" t="s">
        <v>199</v>
      </c>
      <c r="AM8" s="990" t="s">
        <v>199</v>
      </c>
      <c r="AN8" s="990" t="s">
        <v>199</v>
      </c>
      <c r="AO8" s="990" t="s">
        <v>199</v>
      </c>
      <c r="AP8" s="990" t="s">
        <v>199</v>
      </c>
      <c r="AQ8" s="990" t="s">
        <v>199</v>
      </c>
      <c r="AR8" s="991" t="s">
        <v>200</v>
      </c>
    </row>
    <row r="9" ht="16.5" spans="1:44">
      <c r="A9" s="63" t="str">
        <f>'[3]A1 预算指标总览'!$A$3</f>
        <v>华东一区</v>
      </c>
      <c r="B9" s="63" t="str">
        <f>'[3]A1 预算指标总览'!$B$3</f>
        <v>福建公司</v>
      </c>
      <c r="C9" s="988" t="s">
        <v>225</v>
      </c>
      <c r="D9" s="988" t="s">
        <v>232</v>
      </c>
      <c r="E9" s="994" t="s">
        <v>233</v>
      </c>
      <c r="F9" s="990" t="s">
        <v>199</v>
      </c>
      <c r="G9" s="990" t="s">
        <v>199</v>
      </c>
      <c r="H9" s="990" t="s">
        <v>199</v>
      </c>
      <c r="I9" s="990" t="s">
        <v>199</v>
      </c>
      <c r="J9" s="990" t="s">
        <v>199</v>
      </c>
      <c r="K9" s="990" t="s">
        <v>199</v>
      </c>
      <c r="L9" s="990" t="s">
        <v>199</v>
      </c>
      <c r="M9" s="990" t="s">
        <v>199</v>
      </c>
      <c r="N9" s="990" t="s">
        <v>199</v>
      </c>
      <c r="O9" s="990" t="s">
        <v>199</v>
      </c>
      <c r="P9" s="990" t="s">
        <v>199</v>
      </c>
      <c r="Q9" s="990" t="s">
        <v>199</v>
      </c>
      <c r="R9" s="991" t="s">
        <v>200</v>
      </c>
      <c r="S9" s="990" t="s">
        <v>199</v>
      </c>
      <c r="T9" s="990" t="s">
        <v>199</v>
      </c>
      <c r="U9" s="990" t="s">
        <v>199</v>
      </c>
      <c r="V9" s="990" t="s">
        <v>199</v>
      </c>
      <c r="W9" s="990" t="s">
        <v>199</v>
      </c>
      <c r="X9" s="990" t="s">
        <v>199</v>
      </c>
      <c r="Y9" s="990" t="s">
        <v>199</v>
      </c>
      <c r="Z9" s="990" t="s">
        <v>199</v>
      </c>
      <c r="AA9" s="990" t="s">
        <v>199</v>
      </c>
      <c r="AB9" s="990" t="s">
        <v>199</v>
      </c>
      <c r="AC9" s="990" t="s">
        <v>199</v>
      </c>
      <c r="AD9" s="990" t="s">
        <v>199</v>
      </c>
      <c r="AE9" s="991" t="s">
        <v>200</v>
      </c>
      <c r="AF9" s="990" t="s">
        <v>199</v>
      </c>
      <c r="AG9" s="990" t="s">
        <v>199</v>
      </c>
      <c r="AH9" s="990" t="s">
        <v>199</v>
      </c>
      <c r="AI9" s="990" t="s">
        <v>199</v>
      </c>
      <c r="AJ9" s="990" t="s">
        <v>199</v>
      </c>
      <c r="AK9" s="990" t="s">
        <v>199</v>
      </c>
      <c r="AL9" s="990" t="s">
        <v>199</v>
      </c>
      <c r="AM9" s="990" t="s">
        <v>199</v>
      </c>
      <c r="AN9" s="990" t="s">
        <v>199</v>
      </c>
      <c r="AO9" s="990" t="s">
        <v>199</v>
      </c>
      <c r="AP9" s="990" t="s">
        <v>199</v>
      </c>
      <c r="AQ9" s="990" t="s">
        <v>199</v>
      </c>
      <c r="AR9" s="991" t="s">
        <v>200</v>
      </c>
    </row>
    <row r="10" ht="16.5" spans="1:44">
      <c r="A10" s="63" t="str">
        <f>'[3]A1 预算指标总览'!$A$3</f>
        <v>华东一区</v>
      </c>
      <c r="B10" s="63" t="str">
        <f>'[3]A1 预算指标总览'!$B$3</f>
        <v>福建公司</v>
      </c>
      <c r="C10" s="988" t="s">
        <v>225</v>
      </c>
      <c r="D10" s="992">
        <v>6</v>
      </c>
      <c r="E10" s="993" t="s">
        <v>234</v>
      </c>
      <c r="F10" s="990" t="s">
        <v>199</v>
      </c>
      <c r="G10" s="990" t="s">
        <v>199</v>
      </c>
      <c r="H10" s="990" t="s">
        <v>199</v>
      </c>
      <c r="I10" s="990" t="s">
        <v>199</v>
      </c>
      <c r="J10" s="990" t="s">
        <v>199</v>
      </c>
      <c r="K10" s="990" t="s">
        <v>199</v>
      </c>
      <c r="L10" s="990" t="s">
        <v>199</v>
      </c>
      <c r="M10" s="990" t="s">
        <v>199</v>
      </c>
      <c r="N10" s="990" t="s">
        <v>199</v>
      </c>
      <c r="O10" s="990" t="s">
        <v>199</v>
      </c>
      <c r="P10" s="990" t="s">
        <v>199</v>
      </c>
      <c r="Q10" s="990" t="s">
        <v>199</v>
      </c>
      <c r="R10" s="991" t="s">
        <v>200</v>
      </c>
      <c r="S10" s="990" t="s">
        <v>199</v>
      </c>
      <c r="T10" s="990" t="s">
        <v>199</v>
      </c>
      <c r="U10" s="990" t="s">
        <v>199</v>
      </c>
      <c r="V10" s="990" t="s">
        <v>199</v>
      </c>
      <c r="W10" s="990" t="s">
        <v>199</v>
      </c>
      <c r="X10" s="990" t="s">
        <v>199</v>
      </c>
      <c r="Y10" s="990" t="s">
        <v>199</v>
      </c>
      <c r="Z10" s="990" t="s">
        <v>199</v>
      </c>
      <c r="AA10" s="990" t="s">
        <v>199</v>
      </c>
      <c r="AB10" s="990" t="s">
        <v>199</v>
      </c>
      <c r="AC10" s="990" t="s">
        <v>199</v>
      </c>
      <c r="AD10" s="990" t="s">
        <v>199</v>
      </c>
      <c r="AE10" s="991" t="s">
        <v>200</v>
      </c>
      <c r="AF10" s="990" t="s">
        <v>199</v>
      </c>
      <c r="AG10" s="990" t="s">
        <v>199</v>
      </c>
      <c r="AH10" s="990" t="s">
        <v>199</v>
      </c>
      <c r="AI10" s="990" t="s">
        <v>199</v>
      </c>
      <c r="AJ10" s="990" t="s">
        <v>199</v>
      </c>
      <c r="AK10" s="990" t="s">
        <v>199</v>
      </c>
      <c r="AL10" s="990" t="s">
        <v>199</v>
      </c>
      <c r="AM10" s="990" t="s">
        <v>199</v>
      </c>
      <c r="AN10" s="990" t="s">
        <v>199</v>
      </c>
      <c r="AO10" s="990" t="s">
        <v>199</v>
      </c>
      <c r="AP10" s="990" t="s">
        <v>199</v>
      </c>
      <c r="AQ10" s="990" t="s">
        <v>199</v>
      </c>
      <c r="AR10" s="991" t="s">
        <v>200</v>
      </c>
    </row>
    <row r="11" ht="16.5" spans="1:44">
      <c r="A11" s="63" t="str">
        <f>'[3]A1 预算指标总览'!$A$3</f>
        <v>华东一区</v>
      </c>
      <c r="B11" s="63" t="str">
        <f>'[3]A1 预算指标总览'!$B$3</f>
        <v>福建公司</v>
      </c>
      <c r="C11" s="988" t="s">
        <v>225</v>
      </c>
      <c r="D11" s="988">
        <v>7</v>
      </c>
      <c r="E11" s="993" t="s">
        <v>235</v>
      </c>
      <c r="F11" s="990" t="s">
        <v>199</v>
      </c>
      <c r="G11" s="990" t="s">
        <v>199</v>
      </c>
      <c r="H11" s="990" t="s">
        <v>199</v>
      </c>
      <c r="I11" s="990" t="s">
        <v>199</v>
      </c>
      <c r="J11" s="990" t="s">
        <v>199</v>
      </c>
      <c r="K11" s="990" t="s">
        <v>199</v>
      </c>
      <c r="L11" s="990" t="s">
        <v>199</v>
      </c>
      <c r="M11" s="990" t="s">
        <v>199</v>
      </c>
      <c r="N11" s="990" t="s">
        <v>199</v>
      </c>
      <c r="O11" s="990" t="s">
        <v>199</v>
      </c>
      <c r="P11" s="990" t="s">
        <v>199</v>
      </c>
      <c r="Q11" s="990" t="s">
        <v>199</v>
      </c>
      <c r="R11" s="991" t="s">
        <v>200</v>
      </c>
      <c r="S11" s="990" t="s">
        <v>199</v>
      </c>
      <c r="T11" s="990" t="s">
        <v>199</v>
      </c>
      <c r="U11" s="990" t="s">
        <v>199</v>
      </c>
      <c r="V11" s="990" t="s">
        <v>199</v>
      </c>
      <c r="W11" s="990" t="s">
        <v>199</v>
      </c>
      <c r="X11" s="990" t="s">
        <v>199</v>
      </c>
      <c r="Y11" s="990" t="s">
        <v>199</v>
      </c>
      <c r="Z11" s="990" t="s">
        <v>199</v>
      </c>
      <c r="AA11" s="990" t="s">
        <v>199</v>
      </c>
      <c r="AB11" s="990" t="s">
        <v>199</v>
      </c>
      <c r="AC11" s="990" t="s">
        <v>199</v>
      </c>
      <c r="AD11" s="990" t="s">
        <v>199</v>
      </c>
      <c r="AE11" s="991" t="s">
        <v>200</v>
      </c>
      <c r="AF11" s="990" t="s">
        <v>199</v>
      </c>
      <c r="AG11" s="990" t="s">
        <v>199</v>
      </c>
      <c r="AH11" s="990" t="s">
        <v>199</v>
      </c>
      <c r="AI11" s="990" t="s">
        <v>199</v>
      </c>
      <c r="AJ11" s="990" t="s">
        <v>199</v>
      </c>
      <c r="AK11" s="990" t="s">
        <v>199</v>
      </c>
      <c r="AL11" s="990" t="s">
        <v>199</v>
      </c>
      <c r="AM11" s="990" t="s">
        <v>199</v>
      </c>
      <c r="AN11" s="990" t="s">
        <v>199</v>
      </c>
      <c r="AO11" s="990" t="s">
        <v>199</v>
      </c>
      <c r="AP11" s="990" t="s">
        <v>199</v>
      </c>
      <c r="AQ11" s="990" t="s">
        <v>199</v>
      </c>
      <c r="AR11" s="991" t="s">
        <v>200</v>
      </c>
    </row>
    <row r="12" ht="16.5" spans="1:44">
      <c r="A12" s="63" t="str">
        <f>'[3]A1 预算指标总览'!$A$3</f>
        <v>华东一区</v>
      </c>
      <c r="B12" s="63" t="str">
        <f>'[3]A1 预算指标总览'!$B$3</f>
        <v>福建公司</v>
      </c>
      <c r="C12" s="988" t="s">
        <v>225</v>
      </c>
      <c r="D12" s="992">
        <v>8</v>
      </c>
      <c r="E12" s="993" t="s">
        <v>236</v>
      </c>
      <c r="F12" s="990" t="s">
        <v>199</v>
      </c>
      <c r="G12" s="990" t="s">
        <v>199</v>
      </c>
      <c r="H12" s="990" t="s">
        <v>199</v>
      </c>
      <c r="I12" s="990" t="s">
        <v>199</v>
      </c>
      <c r="J12" s="990" t="s">
        <v>199</v>
      </c>
      <c r="K12" s="990" t="s">
        <v>199</v>
      </c>
      <c r="L12" s="990" t="s">
        <v>199</v>
      </c>
      <c r="M12" s="990" t="s">
        <v>199</v>
      </c>
      <c r="N12" s="990" t="s">
        <v>199</v>
      </c>
      <c r="O12" s="990" t="s">
        <v>199</v>
      </c>
      <c r="P12" s="990" t="s">
        <v>199</v>
      </c>
      <c r="Q12" s="990" t="s">
        <v>199</v>
      </c>
      <c r="R12" s="991" t="s">
        <v>200</v>
      </c>
      <c r="S12" s="990" t="s">
        <v>199</v>
      </c>
      <c r="T12" s="990" t="s">
        <v>199</v>
      </c>
      <c r="U12" s="990" t="s">
        <v>199</v>
      </c>
      <c r="V12" s="990" t="s">
        <v>199</v>
      </c>
      <c r="W12" s="990" t="s">
        <v>199</v>
      </c>
      <c r="X12" s="990" t="s">
        <v>199</v>
      </c>
      <c r="Y12" s="990" t="s">
        <v>199</v>
      </c>
      <c r="Z12" s="990" t="s">
        <v>199</v>
      </c>
      <c r="AA12" s="990" t="s">
        <v>199</v>
      </c>
      <c r="AB12" s="990" t="s">
        <v>199</v>
      </c>
      <c r="AC12" s="990" t="s">
        <v>199</v>
      </c>
      <c r="AD12" s="990" t="s">
        <v>199</v>
      </c>
      <c r="AE12" s="991" t="s">
        <v>200</v>
      </c>
      <c r="AF12" s="990" t="s">
        <v>199</v>
      </c>
      <c r="AG12" s="990" t="s">
        <v>199</v>
      </c>
      <c r="AH12" s="990" t="s">
        <v>199</v>
      </c>
      <c r="AI12" s="990" t="s">
        <v>199</v>
      </c>
      <c r="AJ12" s="990" t="s">
        <v>199</v>
      </c>
      <c r="AK12" s="990" t="s">
        <v>199</v>
      </c>
      <c r="AL12" s="990" t="s">
        <v>199</v>
      </c>
      <c r="AM12" s="990" t="s">
        <v>199</v>
      </c>
      <c r="AN12" s="990" t="s">
        <v>199</v>
      </c>
      <c r="AO12" s="990" t="s">
        <v>199</v>
      </c>
      <c r="AP12" s="990" t="s">
        <v>199</v>
      </c>
      <c r="AQ12" s="990" t="s">
        <v>199</v>
      </c>
      <c r="AR12" s="991" t="s">
        <v>200</v>
      </c>
    </row>
    <row r="13" ht="16.5" spans="1:44">
      <c r="A13" s="63" t="str">
        <f>'[3]A1 预算指标总览'!$A$3</f>
        <v>华东一区</v>
      </c>
      <c r="B13" s="63" t="str">
        <f>'[3]A1 预算指标总览'!$B$3</f>
        <v>福建公司</v>
      </c>
      <c r="C13" s="988" t="s">
        <v>225</v>
      </c>
      <c r="D13" s="988">
        <v>9</v>
      </c>
      <c r="E13" s="993" t="s">
        <v>237</v>
      </c>
      <c r="F13" s="990" t="s">
        <v>199</v>
      </c>
      <c r="G13" s="990" t="s">
        <v>199</v>
      </c>
      <c r="H13" s="990" t="s">
        <v>199</v>
      </c>
      <c r="I13" s="990" t="s">
        <v>199</v>
      </c>
      <c r="J13" s="990" t="s">
        <v>199</v>
      </c>
      <c r="K13" s="990" t="s">
        <v>199</v>
      </c>
      <c r="L13" s="990" t="s">
        <v>199</v>
      </c>
      <c r="M13" s="990" t="s">
        <v>199</v>
      </c>
      <c r="N13" s="990" t="s">
        <v>199</v>
      </c>
      <c r="O13" s="990" t="s">
        <v>199</v>
      </c>
      <c r="P13" s="990" t="s">
        <v>199</v>
      </c>
      <c r="Q13" s="990" t="s">
        <v>199</v>
      </c>
      <c r="R13" s="991" t="s">
        <v>200</v>
      </c>
      <c r="S13" s="990" t="s">
        <v>199</v>
      </c>
      <c r="T13" s="990" t="s">
        <v>199</v>
      </c>
      <c r="U13" s="990" t="s">
        <v>199</v>
      </c>
      <c r="V13" s="990" t="s">
        <v>199</v>
      </c>
      <c r="W13" s="990" t="s">
        <v>199</v>
      </c>
      <c r="X13" s="990" t="s">
        <v>199</v>
      </c>
      <c r="Y13" s="990" t="s">
        <v>199</v>
      </c>
      <c r="Z13" s="990" t="s">
        <v>199</v>
      </c>
      <c r="AA13" s="990" t="s">
        <v>199</v>
      </c>
      <c r="AB13" s="990" t="s">
        <v>199</v>
      </c>
      <c r="AC13" s="990" t="s">
        <v>199</v>
      </c>
      <c r="AD13" s="990" t="s">
        <v>199</v>
      </c>
      <c r="AE13" s="991" t="s">
        <v>200</v>
      </c>
      <c r="AF13" s="990" t="s">
        <v>199</v>
      </c>
      <c r="AG13" s="990" t="s">
        <v>199</v>
      </c>
      <c r="AH13" s="990" t="s">
        <v>199</v>
      </c>
      <c r="AI13" s="990" t="s">
        <v>199</v>
      </c>
      <c r="AJ13" s="990" t="s">
        <v>199</v>
      </c>
      <c r="AK13" s="990" t="s">
        <v>199</v>
      </c>
      <c r="AL13" s="990" t="s">
        <v>199</v>
      </c>
      <c r="AM13" s="990" t="s">
        <v>199</v>
      </c>
      <c r="AN13" s="990" t="s">
        <v>199</v>
      </c>
      <c r="AO13" s="990" t="s">
        <v>199</v>
      </c>
      <c r="AP13" s="990" t="s">
        <v>199</v>
      </c>
      <c r="AQ13" s="990" t="s">
        <v>199</v>
      </c>
      <c r="AR13" s="991" t="s">
        <v>200</v>
      </c>
    </row>
    <row r="14" ht="16.5" spans="1:44">
      <c r="A14" s="63" t="str">
        <f>'[3]A1 预算指标总览'!$A$3</f>
        <v>华东一区</v>
      </c>
      <c r="B14" s="63" t="str">
        <f>'[3]A1 预算指标总览'!$B$3</f>
        <v>福建公司</v>
      </c>
      <c r="C14" s="988" t="s">
        <v>225</v>
      </c>
      <c r="D14" s="992">
        <v>10</v>
      </c>
      <c r="E14" s="993" t="s">
        <v>238</v>
      </c>
      <c r="F14" s="990" t="s">
        <v>199</v>
      </c>
      <c r="G14" s="990" t="s">
        <v>199</v>
      </c>
      <c r="H14" s="990" t="s">
        <v>199</v>
      </c>
      <c r="I14" s="990" t="s">
        <v>199</v>
      </c>
      <c r="J14" s="990" t="s">
        <v>199</v>
      </c>
      <c r="K14" s="990" t="s">
        <v>199</v>
      </c>
      <c r="L14" s="990" t="s">
        <v>199</v>
      </c>
      <c r="M14" s="990" t="s">
        <v>199</v>
      </c>
      <c r="N14" s="990" t="s">
        <v>199</v>
      </c>
      <c r="O14" s="990" t="s">
        <v>199</v>
      </c>
      <c r="P14" s="990" t="s">
        <v>199</v>
      </c>
      <c r="Q14" s="990" t="s">
        <v>199</v>
      </c>
      <c r="R14" s="991" t="s">
        <v>200</v>
      </c>
      <c r="S14" s="990" t="s">
        <v>199</v>
      </c>
      <c r="T14" s="990" t="s">
        <v>199</v>
      </c>
      <c r="U14" s="990" t="s">
        <v>199</v>
      </c>
      <c r="V14" s="990" t="s">
        <v>199</v>
      </c>
      <c r="W14" s="990" t="s">
        <v>199</v>
      </c>
      <c r="X14" s="990" t="s">
        <v>199</v>
      </c>
      <c r="Y14" s="990" t="s">
        <v>199</v>
      </c>
      <c r="Z14" s="990" t="s">
        <v>199</v>
      </c>
      <c r="AA14" s="990" t="s">
        <v>199</v>
      </c>
      <c r="AB14" s="990" t="s">
        <v>199</v>
      </c>
      <c r="AC14" s="990" t="s">
        <v>199</v>
      </c>
      <c r="AD14" s="990" t="s">
        <v>199</v>
      </c>
      <c r="AE14" s="991" t="s">
        <v>200</v>
      </c>
      <c r="AF14" s="990" t="s">
        <v>199</v>
      </c>
      <c r="AG14" s="990" t="s">
        <v>199</v>
      </c>
      <c r="AH14" s="990" t="s">
        <v>199</v>
      </c>
      <c r="AI14" s="990" t="s">
        <v>199</v>
      </c>
      <c r="AJ14" s="990" t="s">
        <v>199</v>
      </c>
      <c r="AK14" s="990" t="s">
        <v>199</v>
      </c>
      <c r="AL14" s="990" t="s">
        <v>199</v>
      </c>
      <c r="AM14" s="990" t="s">
        <v>199</v>
      </c>
      <c r="AN14" s="990" t="s">
        <v>199</v>
      </c>
      <c r="AO14" s="990" t="s">
        <v>199</v>
      </c>
      <c r="AP14" s="990" t="s">
        <v>199</v>
      </c>
      <c r="AQ14" s="990" t="s">
        <v>199</v>
      </c>
      <c r="AR14" s="991" t="s">
        <v>200</v>
      </c>
    </row>
    <row r="15" ht="16.5" spans="1:44">
      <c r="A15" s="63" t="str">
        <f>'[3]A1 预算指标总览'!$A$3</f>
        <v>华东一区</v>
      </c>
      <c r="B15" s="63" t="str">
        <f>'[3]A1 预算指标总览'!$B$3</f>
        <v>福建公司</v>
      </c>
      <c r="C15" s="988" t="s">
        <v>225</v>
      </c>
      <c r="D15" s="988">
        <v>11</v>
      </c>
      <c r="E15" s="995" t="s">
        <v>239</v>
      </c>
      <c r="F15" s="996" t="s">
        <v>200</v>
      </c>
      <c r="G15" s="996" t="s">
        <v>200</v>
      </c>
      <c r="H15" s="996" t="s">
        <v>200</v>
      </c>
      <c r="I15" s="996" t="s">
        <v>200</v>
      </c>
      <c r="J15" s="996" t="s">
        <v>200</v>
      </c>
      <c r="K15" s="996" t="s">
        <v>200</v>
      </c>
      <c r="L15" s="996" t="s">
        <v>200</v>
      </c>
      <c r="M15" s="996" t="s">
        <v>200</v>
      </c>
      <c r="N15" s="996" t="s">
        <v>200</v>
      </c>
      <c r="O15" s="996" t="s">
        <v>200</v>
      </c>
      <c r="P15" s="996" t="s">
        <v>200</v>
      </c>
      <c r="Q15" s="996" t="s">
        <v>200</v>
      </c>
      <c r="R15" s="991" t="s">
        <v>200</v>
      </c>
      <c r="S15" s="996" t="s">
        <v>200</v>
      </c>
      <c r="T15" s="996" t="s">
        <v>200</v>
      </c>
      <c r="U15" s="996" t="s">
        <v>200</v>
      </c>
      <c r="V15" s="996" t="s">
        <v>200</v>
      </c>
      <c r="W15" s="996" t="s">
        <v>200</v>
      </c>
      <c r="X15" s="996" t="s">
        <v>200</v>
      </c>
      <c r="Y15" s="996" t="s">
        <v>200</v>
      </c>
      <c r="Z15" s="996" t="s">
        <v>200</v>
      </c>
      <c r="AA15" s="996" t="s">
        <v>200</v>
      </c>
      <c r="AB15" s="996" t="s">
        <v>200</v>
      </c>
      <c r="AC15" s="996" t="s">
        <v>200</v>
      </c>
      <c r="AD15" s="996" t="s">
        <v>200</v>
      </c>
      <c r="AE15" s="991" t="s">
        <v>200</v>
      </c>
      <c r="AF15" s="996" t="s">
        <v>200</v>
      </c>
      <c r="AG15" s="996" t="s">
        <v>200</v>
      </c>
      <c r="AH15" s="996" t="s">
        <v>200</v>
      </c>
      <c r="AI15" s="996" t="s">
        <v>200</v>
      </c>
      <c r="AJ15" s="996" t="s">
        <v>200</v>
      </c>
      <c r="AK15" s="996" t="s">
        <v>200</v>
      </c>
      <c r="AL15" s="996" t="s">
        <v>200</v>
      </c>
      <c r="AM15" s="996" t="s">
        <v>200</v>
      </c>
      <c r="AN15" s="996" t="s">
        <v>200</v>
      </c>
      <c r="AO15" s="996" t="s">
        <v>200</v>
      </c>
      <c r="AP15" s="996" t="s">
        <v>200</v>
      </c>
      <c r="AQ15" s="996" t="s">
        <v>200</v>
      </c>
      <c r="AR15" s="991" t="s">
        <v>200</v>
      </c>
    </row>
    <row r="16" ht="16.5" spans="1:44">
      <c r="A16" s="63" t="str">
        <f>'[3]A1 预算指标总览'!$A$3</f>
        <v>华东一区</v>
      </c>
      <c r="B16" s="63" t="str">
        <f>'[3]A1 预算指标总览'!$B$3</f>
        <v>福建公司</v>
      </c>
      <c r="C16" s="988" t="s">
        <v>225</v>
      </c>
      <c r="D16" s="992">
        <v>12</v>
      </c>
      <c r="E16" s="997" t="s">
        <v>240</v>
      </c>
      <c r="F16" s="990" t="s">
        <v>199</v>
      </c>
      <c r="G16" s="990" t="s">
        <v>199</v>
      </c>
      <c r="H16" s="990" t="s">
        <v>199</v>
      </c>
      <c r="I16" s="990" t="s">
        <v>199</v>
      </c>
      <c r="J16" s="990" t="s">
        <v>199</v>
      </c>
      <c r="K16" s="990" t="s">
        <v>199</v>
      </c>
      <c r="L16" s="990" t="s">
        <v>199</v>
      </c>
      <c r="M16" s="990" t="s">
        <v>199</v>
      </c>
      <c r="N16" s="990" t="s">
        <v>199</v>
      </c>
      <c r="O16" s="990" t="s">
        <v>199</v>
      </c>
      <c r="P16" s="990" t="s">
        <v>199</v>
      </c>
      <c r="Q16" s="990" t="s">
        <v>199</v>
      </c>
      <c r="R16" s="991" t="s">
        <v>200</v>
      </c>
      <c r="S16" s="990" t="s">
        <v>199</v>
      </c>
      <c r="T16" s="990" t="s">
        <v>199</v>
      </c>
      <c r="U16" s="990" t="s">
        <v>199</v>
      </c>
      <c r="V16" s="990" t="s">
        <v>199</v>
      </c>
      <c r="W16" s="990" t="s">
        <v>199</v>
      </c>
      <c r="X16" s="990" t="s">
        <v>199</v>
      </c>
      <c r="Y16" s="990" t="s">
        <v>199</v>
      </c>
      <c r="Z16" s="990" t="s">
        <v>199</v>
      </c>
      <c r="AA16" s="990" t="s">
        <v>199</v>
      </c>
      <c r="AB16" s="990" t="s">
        <v>199</v>
      </c>
      <c r="AC16" s="990" t="s">
        <v>199</v>
      </c>
      <c r="AD16" s="990" t="s">
        <v>199</v>
      </c>
      <c r="AE16" s="991" t="s">
        <v>200</v>
      </c>
      <c r="AF16" s="990" t="s">
        <v>199</v>
      </c>
      <c r="AG16" s="990" t="s">
        <v>199</v>
      </c>
      <c r="AH16" s="990" t="s">
        <v>199</v>
      </c>
      <c r="AI16" s="990" t="s">
        <v>199</v>
      </c>
      <c r="AJ16" s="990" t="s">
        <v>199</v>
      </c>
      <c r="AK16" s="990" t="s">
        <v>199</v>
      </c>
      <c r="AL16" s="990" t="s">
        <v>199</v>
      </c>
      <c r="AM16" s="990" t="s">
        <v>199</v>
      </c>
      <c r="AN16" s="990" t="s">
        <v>199</v>
      </c>
      <c r="AO16" s="990" t="s">
        <v>199</v>
      </c>
      <c r="AP16" s="990" t="s">
        <v>199</v>
      </c>
      <c r="AQ16" s="990" t="s">
        <v>199</v>
      </c>
      <c r="AR16" s="991" t="s">
        <v>200</v>
      </c>
    </row>
    <row r="17" ht="16.5" spans="1:44">
      <c r="A17" s="63" t="str">
        <f>'[3]A1 预算指标总览'!$A$3</f>
        <v>华东一区</v>
      </c>
      <c r="B17" s="63" t="str">
        <f>'[3]A1 预算指标总览'!$B$3</f>
        <v>福建公司</v>
      </c>
      <c r="C17" s="988" t="s">
        <v>225</v>
      </c>
      <c r="D17" s="988">
        <v>13</v>
      </c>
      <c r="E17" s="997" t="s">
        <v>241</v>
      </c>
      <c r="F17" s="990" t="s">
        <v>199</v>
      </c>
      <c r="G17" s="990" t="s">
        <v>199</v>
      </c>
      <c r="H17" s="990" t="s">
        <v>199</v>
      </c>
      <c r="I17" s="990" t="s">
        <v>199</v>
      </c>
      <c r="J17" s="990" t="s">
        <v>199</v>
      </c>
      <c r="K17" s="990" t="s">
        <v>199</v>
      </c>
      <c r="L17" s="990" t="s">
        <v>199</v>
      </c>
      <c r="M17" s="990" t="s">
        <v>199</v>
      </c>
      <c r="N17" s="990" t="s">
        <v>199</v>
      </c>
      <c r="O17" s="990" t="s">
        <v>199</v>
      </c>
      <c r="P17" s="990" t="s">
        <v>199</v>
      </c>
      <c r="Q17" s="990" t="s">
        <v>199</v>
      </c>
      <c r="R17" s="991" t="s">
        <v>200</v>
      </c>
      <c r="S17" s="990" t="s">
        <v>199</v>
      </c>
      <c r="T17" s="990" t="s">
        <v>199</v>
      </c>
      <c r="U17" s="990" t="s">
        <v>199</v>
      </c>
      <c r="V17" s="990" t="s">
        <v>199</v>
      </c>
      <c r="W17" s="990" t="s">
        <v>199</v>
      </c>
      <c r="X17" s="990" t="s">
        <v>199</v>
      </c>
      <c r="Y17" s="990" t="s">
        <v>199</v>
      </c>
      <c r="Z17" s="990" t="s">
        <v>199</v>
      </c>
      <c r="AA17" s="990" t="s">
        <v>199</v>
      </c>
      <c r="AB17" s="990" t="s">
        <v>199</v>
      </c>
      <c r="AC17" s="990" t="s">
        <v>199</v>
      </c>
      <c r="AD17" s="990" t="s">
        <v>199</v>
      </c>
      <c r="AE17" s="991" t="s">
        <v>200</v>
      </c>
      <c r="AF17" s="990" t="s">
        <v>199</v>
      </c>
      <c r="AG17" s="990" t="s">
        <v>199</v>
      </c>
      <c r="AH17" s="990" t="s">
        <v>199</v>
      </c>
      <c r="AI17" s="990" t="s">
        <v>199</v>
      </c>
      <c r="AJ17" s="990" t="s">
        <v>199</v>
      </c>
      <c r="AK17" s="990" t="s">
        <v>199</v>
      </c>
      <c r="AL17" s="990" t="s">
        <v>199</v>
      </c>
      <c r="AM17" s="990" t="s">
        <v>199</v>
      </c>
      <c r="AN17" s="990" t="s">
        <v>199</v>
      </c>
      <c r="AO17" s="990" t="s">
        <v>199</v>
      </c>
      <c r="AP17" s="990" t="s">
        <v>199</v>
      </c>
      <c r="AQ17" s="990" t="s">
        <v>199</v>
      </c>
      <c r="AR17" s="991" t="s">
        <v>200</v>
      </c>
    </row>
    <row r="18" ht="16.5" spans="1:44">
      <c r="A18" s="63" t="str">
        <f>'[3]A1 预算指标总览'!$A$3</f>
        <v>华东一区</v>
      </c>
      <c r="B18" s="63" t="str">
        <f>'[3]A1 预算指标总览'!$B$3</f>
        <v>福建公司</v>
      </c>
      <c r="C18" s="988" t="s">
        <v>225</v>
      </c>
      <c r="D18" s="992">
        <v>14</v>
      </c>
      <c r="E18" s="998" t="s">
        <v>242</v>
      </c>
      <c r="F18" s="996" t="s">
        <v>200</v>
      </c>
      <c r="G18" s="996" t="s">
        <v>200</v>
      </c>
      <c r="H18" s="996" t="s">
        <v>200</v>
      </c>
      <c r="I18" s="996" t="s">
        <v>200</v>
      </c>
      <c r="J18" s="996" t="s">
        <v>200</v>
      </c>
      <c r="K18" s="996" t="s">
        <v>200</v>
      </c>
      <c r="L18" s="996" t="s">
        <v>200</v>
      </c>
      <c r="M18" s="996" t="s">
        <v>200</v>
      </c>
      <c r="N18" s="996" t="s">
        <v>200</v>
      </c>
      <c r="O18" s="996" t="s">
        <v>200</v>
      </c>
      <c r="P18" s="996" t="s">
        <v>200</v>
      </c>
      <c r="Q18" s="996" t="s">
        <v>200</v>
      </c>
      <c r="R18" s="991" t="s">
        <v>200</v>
      </c>
      <c r="S18" s="996" t="s">
        <v>200</v>
      </c>
      <c r="T18" s="996" t="s">
        <v>200</v>
      </c>
      <c r="U18" s="996" t="s">
        <v>200</v>
      </c>
      <c r="V18" s="996" t="s">
        <v>200</v>
      </c>
      <c r="W18" s="996" t="s">
        <v>200</v>
      </c>
      <c r="X18" s="996" t="s">
        <v>200</v>
      </c>
      <c r="Y18" s="996" t="s">
        <v>200</v>
      </c>
      <c r="Z18" s="996" t="s">
        <v>200</v>
      </c>
      <c r="AA18" s="996" t="s">
        <v>200</v>
      </c>
      <c r="AB18" s="996" t="s">
        <v>200</v>
      </c>
      <c r="AC18" s="996" t="s">
        <v>200</v>
      </c>
      <c r="AD18" s="996" t="s">
        <v>200</v>
      </c>
      <c r="AE18" s="991" t="s">
        <v>200</v>
      </c>
      <c r="AF18" s="996" t="s">
        <v>200</v>
      </c>
      <c r="AG18" s="996" t="s">
        <v>200</v>
      </c>
      <c r="AH18" s="996" t="s">
        <v>200</v>
      </c>
      <c r="AI18" s="996" t="s">
        <v>200</v>
      </c>
      <c r="AJ18" s="996" t="s">
        <v>200</v>
      </c>
      <c r="AK18" s="996" t="s">
        <v>200</v>
      </c>
      <c r="AL18" s="996" t="s">
        <v>200</v>
      </c>
      <c r="AM18" s="996" t="s">
        <v>200</v>
      </c>
      <c r="AN18" s="996" t="s">
        <v>200</v>
      </c>
      <c r="AO18" s="996" t="s">
        <v>200</v>
      </c>
      <c r="AP18" s="996" t="s">
        <v>200</v>
      </c>
      <c r="AQ18" s="996" t="s">
        <v>200</v>
      </c>
      <c r="AR18" s="991" t="s">
        <v>200</v>
      </c>
    </row>
    <row r="19" ht="16.5" spans="1:44">
      <c r="A19" s="63" t="str">
        <f>'[3]A1 预算指标总览'!$A$3</f>
        <v>华东一区</v>
      </c>
      <c r="B19" s="63" t="str">
        <f>'[3]A1 预算指标总览'!$B$3</f>
        <v>福建公司</v>
      </c>
      <c r="C19" s="988" t="s">
        <v>225</v>
      </c>
      <c r="D19" s="988">
        <v>15</v>
      </c>
      <c r="E19" s="999" t="s">
        <v>243</v>
      </c>
      <c r="F19" s="990" t="s">
        <v>199</v>
      </c>
      <c r="G19" s="990" t="s">
        <v>199</v>
      </c>
      <c r="H19" s="990" t="s">
        <v>199</v>
      </c>
      <c r="I19" s="990" t="s">
        <v>199</v>
      </c>
      <c r="J19" s="990" t="s">
        <v>199</v>
      </c>
      <c r="K19" s="990" t="s">
        <v>199</v>
      </c>
      <c r="L19" s="990" t="s">
        <v>199</v>
      </c>
      <c r="M19" s="990" t="s">
        <v>199</v>
      </c>
      <c r="N19" s="990" t="s">
        <v>199</v>
      </c>
      <c r="O19" s="990" t="s">
        <v>199</v>
      </c>
      <c r="P19" s="990" t="s">
        <v>199</v>
      </c>
      <c r="Q19" s="990" t="s">
        <v>199</v>
      </c>
      <c r="R19" s="991" t="s">
        <v>200</v>
      </c>
      <c r="S19" s="990" t="s">
        <v>199</v>
      </c>
      <c r="T19" s="990" t="s">
        <v>199</v>
      </c>
      <c r="U19" s="990" t="s">
        <v>199</v>
      </c>
      <c r="V19" s="990" t="s">
        <v>199</v>
      </c>
      <c r="W19" s="990" t="s">
        <v>199</v>
      </c>
      <c r="X19" s="990" t="s">
        <v>199</v>
      </c>
      <c r="Y19" s="990" t="s">
        <v>199</v>
      </c>
      <c r="Z19" s="990" t="s">
        <v>199</v>
      </c>
      <c r="AA19" s="990" t="s">
        <v>199</v>
      </c>
      <c r="AB19" s="990" t="s">
        <v>199</v>
      </c>
      <c r="AC19" s="990" t="s">
        <v>199</v>
      </c>
      <c r="AD19" s="990" t="s">
        <v>199</v>
      </c>
      <c r="AE19" s="991" t="s">
        <v>200</v>
      </c>
      <c r="AF19" s="990" t="s">
        <v>199</v>
      </c>
      <c r="AG19" s="990" t="s">
        <v>199</v>
      </c>
      <c r="AH19" s="990" t="s">
        <v>199</v>
      </c>
      <c r="AI19" s="990" t="s">
        <v>199</v>
      </c>
      <c r="AJ19" s="990" t="s">
        <v>199</v>
      </c>
      <c r="AK19" s="990" t="s">
        <v>199</v>
      </c>
      <c r="AL19" s="990" t="s">
        <v>199</v>
      </c>
      <c r="AM19" s="990" t="s">
        <v>199</v>
      </c>
      <c r="AN19" s="990" t="s">
        <v>199</v>
      </c>
      <c r="AO19" s="990" t="s">
        <v>199</v>
      </c>
      <c r="AP19" s="990" t="s">
        <v>199</v>
      </c>
      <c r="AQ19" s="990" t="s">
        <v>199</v>
      </c>
      <c r="AR19" s="991" t="s">
        <v>200</v>
      </c>
    </row>
    <row r="20" ht="16.5" spans="1:44">
      <c r="A20" s="63" t="str">
        <f>'[3]A1 预算指标总览'!$A$3</f>
        <v>华东一区</v>
      </c>
      <c r="B20" s="63" t="str">
        <f>'[3]A1 预算指标总览'!$B$3</f>
        <v>福建公司</v>
      </c>
      <c r="C20" s="988" t="s">
        <v>225</v>
      </c>
      <c r="D20" s="992">
        <v>16</v>
      </c>
      <c r="E20" s="999" t="s">
        <v>244</v>
      </c>
      <c r="F20" s="990" t="s">
        <v>199</v>
      </c>
      <c r="G20" s="990" t="s">
        <v>199</v>
      </c>
      <c r="H20" s="990" t="s">
        <v>199</v>
      </c>
      <c r="I20" s="990" t="s">
        <v>199</v>
      </c>
      <c r="J20" s="990" t="s">
        <v>199</v>
      </c>
      <c r="K20" s="990" t="s">
        <v>199</v>
      </c>
      <c r="L20" s="990" t="s">
        <v>199</v>
      </c>
      <c r="M20" s="990" t="s">
        <v>199</v>
      </c>
      <c r="N20" s="990" t="s">
        <v>199</v>
      </c>
      <c r="O20" s="990" t="s">
        <v>199</v>
      </c>
      <c r="P20" s="990" t="s">
        <v>199</v>
      </c>
      <c r="Q20" s="990" t="s">
        <v>199</v>
      </c>
      <c r="R20" s="991" t="s">
        <v>200</v>
      </c>
      <c r="S20" s="990" t="s">
        <v>199</v>
      </c>
      <c r="T20" s="990" t="s">
        <v>199</v>
      </c>
      <c r="U20" s="990" t="s">
        <v>199</v>
      </c>
      <c r="V20" s="990" t="s">
        <v>199</v>
      </c>
      <c r="W20" s="990" t="s">
        <v>199</v>
      </c>
      <c r="X20" s="990" t="s">
        <v>199</v>
      </c>
      <c r="Y20" s="990" t="s">
        <v>199</v>
      </c>
      <c r="Z20" s="990" t="s">
        <v>199</v>
      </c>
      <c r="AA20" s="990" t="s">
        <v>199</v>
      </c>
      <c r="AB20" s="990" t="s">
        <v>199</v>
      </c>
      <c r="AC20" s="990" t="s">
        <v>199</v>
      </c>
      <c r="AD20" s="990" t="s">
        <v>199</v>
      </c>
      <c r="AE20" s="991" t="s">
        <v>200</v>
      </c>
      <c r="AF20" s="990" t="s">
        <v>199</v>
      </c>
      <c r="AG20" s="990" t="s">
        <v>199</v>
      </c>
      <c r="AH20" s="990" t="s">
        <v>199</v>
      </c>
      <c r="AI20" s="990" t="s">
        <v>199</v>
      </c>
      <c r="AJ20" s="990" t="s">
        <v>199</v>
      </c>
      <c r="AK20" s="990" t="s">
        <v>199</v>
      </c>
      <c r="AL20" s="990" t="s">
        <v>199</v>
      </c>
      <c r="AM20" s="990" t="s">
        <v>199</v>
      </c>
      <c r="AN20" s="990" t="s">
        <v>199</v>
      </c>
      <c r="AO20" s="990" t="s">
        <v>199</v>
      </c>
      <c r="AP20" s="990" t="s">
        <v>199</v>
      </c>
      <c r="AQ20" s="990" t="s">
        <v>199</v>
      </c>
      <c r="AR20" s="991" t="s">
        <v>200</v>
      </c>
    </row>
    <row r="21" ht="16.5" spans="1:44">
      <c r="A21" s="63" t="str">
        <f>'[3]A1 预算指标总览'!$A$3</f>
        <v>华东一区</v>
      </c>
      <c r="B21" s="63" t="str">
        <f>'[3]A1 预算指标总览'!$B$3</f>
        <v>福建公司</v>
      </c>
      <c r="C21" s="988" t="s">
        <v>225</v>
      </c>
      <c r="D21" s="988">
        <v>17</v>
      </c>
      <c r="E21" s="1000" t="s">
        <v>245</v>
      </c>
      <c r="F21" s="990" t="s">
        <v>199</v>
      </c>
      <c r="G21" s="990" t="s">
        <v>199</v>
      </c>
      <c r="H21" s="990" t="s">
        <v>199</v>
      </c>
      <c r="I21" s="990" t="s">
        <v>199</v>
      </c>
      <c r="J21" s="990" t="s">
        <v>199</v>
      </c>
      <c r="K21" s="990" t="s">
        <v>199</v>
      </c>
      <c r="L21" s="990" t="s">
        <v>199</v>
      </c>
      <c r="M21" s="990" t="s">
        <v>199</v>
      </c>
      <c r="N21" s="990" t="s">
        <v>199</v>
      </c>
      <c r="O21" s="990" t="s">
        <v>199</v>
      </c>
      <c r="P21" s="990" t="s">
        <v>199</v>
      </c>
      <c r="Q21" s="990" t="s">
        <v>199</v>
      </c>
      <c r="R21" s="991" t="s">
        <v>200</v>
      </c>
      <c r="S21" s="990" t="s">
        <v>199</v>
      </c>
      <c r="T21" s="990" t="s">
        <v>199</v>
      </c>
      <c r="U21" s="990" t="s">
        <v>199</v>
      </c>
      <c r="V21" s="990" t="s">
        <v>199</v>
      </c>
      <c r="W21" s="990" t="s">
        <v>199</v>
      </c>
      <c r="X21" s="990" t="s">
        <v>199</v>
      </c>
      <c r="Y21" s="990" t="s">
        <v>199</v>
      </c>
      <c r="Z21" s="990" t="s">
        <v>199</v>
      </c>
      <c r="AA21" s="990" t="s">
        <v>199</v>
      </c>
      <c r="AB21" s="990" t="s">
        <v>199</v>
      </c>
      <c r="AC21" s="990" t="s">
        <v>199</v>
      </c>
      <c r="AD21" s="990" t="s">
        <v>199</v>
      </c>
      <c r="AE21" s="991" t="s">
        <v>200</v>
      </c>
      <c r="AF21" s="990" t="s">
        <v>199</v>
      </c>
      <c r="AG21" s="990" t="s">
        <v>199</v>
      </c>
      <c r="AH21" s="990" t="s">
        <v>199</v>
      </c>
      <c r="AI21" s="990" t="s">
        <v>199</v>
      </c>
      <c r="AJ21" s="990" t="s">
        <v>199</v>
      </c>
      <c r="AK21" s="990" t="s">
        <v>199</v>
      </c>
      <c r="AL21" s="990" t="s">
        <v>199</v>
      </c>
      <c r="AM21" s="990" t="s">
        <v>199</v>
      </c>
      <c r="AN21" s="990" t="s">
        <v>199</v>
      </c>
      <c r="AO21" s="990" t="s">
        <v>199</v>
      </c>
      <c r="AP21" s="990" t="s">
        <v>199</v>
      </c>
      <c r="AQ21" s="990" t="s">
        <v>199</v>
      </c>
      <c r="AR21" s="991" t="s">
        <v>200</v>
      </c>
    </row>
    <row r="22" ht="16.5" spans="1:44">
      <c r="A22" s="63" t="str">
        <f>'[3]A1 预算指标总览'!$A$3</f>
        <v>华东一区</v>
      </c>
      <c r="B22" s="63" t="str">
        <f>'[3]A1 预算指标总览'!$B$3</f>
        <v>福建公司</v>
      </c>
      <c r="C22" s="988" t="s">
        <v>225</v>
      </c>
      <c r="D22" s="992">
        <v>18</v>
      </c>
      <c r="E22" s="1000" t="s">
        <v>246</v>
      </c>
      <c r="F22" s="990" t="s">
        <v>199</v>
      </c>
      <c r="G22" s="990" t="s">
        <v>199</v>
      </c>
      <c r="H22" s="990" t="s">
        <v>199</v>
      </c>
      <c r="I22" s="990" t="s">
        <v>199</v>
      </c>
      <c r="J22" s="990" t="s">
        <v>199</v>
      </c>
      <c r="K22" s="990" t="s">
        <v>199</v>
      </c>
      <c r="L22" s="990" t="s">
        <v>199</v>
      </c>
      <c r="M22" s="990" t="s">
        <v>199</v>
      </c>
      <c r="N22" s="990" t="s">
        <v>199</v>
      </c>
      <c r="O22" s="990" t="s">
        <v>199</v>
      </c>
      <c r="P22" s="990" t="s">
        <v>199</v>
      </c>
      <c r="Q22" s="990" t="s">
        <v>199</v>
      </c>
      <c r="R22" s="991" t="s">
        <v>200</v>
      </c>
      <c r="S22" s="990" t="s">
        <v>199</v>
      </c>
      <c r="T22" s="990" t="s">
        <v>199</v>
      </c>
      <c r="U22" s="990" t="s">
        <v>199</v>
      </c>
      <c r="V22" s="990" t="s">
        <v>199</v>
      </c>
      <c r="W22" s="990" t="s">
        <v>199</v>
      </c>
      <c r="X22" s="990" t="s">
        <v>199</v>
      </c>
      <c r="Y22" s="990" t="s">
        <v>199</v>
      </c>
      <c r="Z22" s="990" t="s">
        <v>199</v>
      </c>
      <c r="AA22" s="990" t="s">
        <v>199</v>
      </c>
      <c r="AB22" s="990" t="s">
        <v>199</v>
      </c>
      <c r="AC22" s="990" t="s">
        <v>199</v>
      </c>
      <c r="AD22" s="990" t="s">
        <v>199</v>
      </c>
      <c r="AE22" s="991" t="s">
        <v>200</v>
      </c>
      <c r="AF22" s="990" t="s">
        <v>199</v>
      </c>
      <c r="AG22" s="990" t="s">
        <v>199</v>
      </c>
      <c r="AH22" s="990" t="s">
        <v>199</v>
      </c>
      <c r="AI22" s="990" t="s">
        <v>199</v>
      </c>
      <c r="AJ22" s="990" t="s">
        <v>199</v>
      </c>
      <c r="AK22" s="990" t="s">
        <v>199</v>
      </c>
      <c r="AL22" s="990" t="s">
        <v>199</v>
      </c>
      <c r="AM22" s="990" t="s">
        <v>199</v>
      </c>
      <c r="AN22" s="990" t="s">
        <v>199</v>
      </c>
      <c r="AO22" s="990" t="s">
        <v>199</v>
      </c>
      <c r="AP22" s="990" t="s">
        <v>199</v>
      </c>
      <c r="AQ22" s="990" t="s">
        <v>199</v>
      </c>
      <c r="AR22" s="991" t="s">
        <v>200</v>
      </c>
    </row>
    <row r="23" ht="16.5" spans="1:44">
      <c r="A23" s="63" t="str">
        <f>'[3]A1 预算指标总览'!$A$3</f>
        <v>华东一区</v>
      </c>
      <c r="B23" s="63" t="str">
        <f>'[3]A1 预算指标总览'!$B$3</f>
        <v>福建公司</v>
      </c>
      <c r="C23" s="988" t="s">
        <v>225</v>
      </c>
      <c r="D23" s="988">
        <v>19</v>
      </c>
      <c r="E23" s="999" t="s">
        <v>247</v>
      </c>
      <c r="F23" s="990" t="s">
        <v>199</v>
      </c>
      <c r="G23" s="990" t="s">
        <v>199</v>
      </c>
      <c r="H23" s="990" t="s">
        <v>199</v>
      </c>
      <c r="I23" s="990" t="s">
        <v>199</v>
      </c>
      <c r="J23" s="990" t="s">
        <v>199</v>
      </c>
      <c r="K23" s="990" t="s">
        <v>199</v>
      </c>
      <c r="L23" s="990" t="s">
        <v>199</v>
      </c>
      <c r="M23" s="990" t="s">
        <v>199</v>
      </c>
      <c r="N23" s="990" t="s">
        <v>199</v>
      </c>
      <c r="O23" s="990" t="s">
        <v>199</v>
      </c>
      <c r="P23" s="990" t="s">
        <v>199</v>
      </c>
      <c r="Q23" s="990" t="s">
        <v>199</v>
      </c>
      <c r="R23" s="991" t="s">
        <v>200</v>
      </c>
      <c r="S23" s="990" t="s">
        <v>199</v>
      </c>
      <c r="T23" s="990" t="s">
        <v>199</v>
      </c>
      <c r="U23" s="990" t="s">
        <v>199</v>
      </c>
      <c r="V23" s="990" t="s">
        <v>199</v>
      </c>
      <c r="W23" s="990" t="s">
        <v>199</v>
      </c>
      <c r="X23" s="990" t="s">
        <v>199</v>
      </c>
      <c r="Y23" s="990" t="s">
        <v>199</v>
      </c>
      <c r="Z23" s="990" t="s">
        <v>199</v>
      </c>
      <c r="AA23" s="990" t="s">
        <v>199</v>
      </c>
      <c r="AB23" s="990" t="s">
        <v>199</v>
      </c>
      <c r="AC23" s="990" t="s">
        <v>199</v>
      </c>
      <c r="AD23" s="990" t="s">
        <v>199</v>
      </c>
      <c r="AE23" s="991" t="s">
        <v>200</v>
      </c>
      <c r="AF23" s="990" t="s">
        <v>199</v>
      </c>
      <c r="AG23" s="990" t="s">
        <v>199</v>
      </c>
      <c r="AH23" s="990" t="s">
        <v>199</v>
      </c>
      <c r="AI23" s="990" t="s">
        <v>199</v>
      </c>
      <c r="AJ23" s="990" t="s">
        <v>199</v>
      </c>
      <c r="AK23" s="990" t="s">
        <v>199</v>
      </c>
      <c r="AL23" s="990" t="s">
        <v>199</v>
      </c>
      <c r="AM23" s="990" t="s">
        <v>199</v>
      </c>
      <c r="AN23" s="990" t="s">
        <v>199</v>
      </c>
      <c r="AO23" s="990" t="s">
        <v>199</v>
      </c>
      <c r="AP23" s="990" t="s">
        <v>199</v>
      </c>
      <c r="AQ23" s="990" t="s">
        <v>199</v>
      </c>
      <c r="AR23" s="991" t="s">
        <v>200</v>
      </c>
    </row>
    <row r="24" ht="16.5" spans="1:44">
      <c r="A24" s="63" t="str">
        <f>'[3]A1 预算指标总览'!$A$3</f>
        <v>华东一区</v>
      </c>
      <c r="B24" s="63" t="str">
        <f>'[3]A1 预算指标总览'!$B$3</f>
        <v>福建公司</v>
      </c>
      <c r="C24" s="988" t="s">
        <v>225</v>
      </c>
      <c r="D24" s="992">
        <v>20</v>
      </c>
      <c r="E24" s="999" t="s">
        <v>248</v>
      </c>
      <c r="F24" s="990" t="s">
        <v>199</v>
      </c>
      <c r="G24" s="990" t="s">
        <v>199</v>
      </c>
      <c r="H24" s="990" t="s">
        <v>199</v>
      </c>
      <c r="I24" s="990" t="s">
        <v>199</v>
      </c>
      <c r="J24" s="990" t="s">
        <v>199</v>
      </c>
      <c r="K24" s="990" t="s">
        <v>199</v>
      </c>
      <c r="L24" s="990" t="s">
        <v>199</v>
      </c>
      <c r="M24" s="990" t="s">
        <v>199</v>
      </c>
      <c r="N24" s="990" t="s">
        <v>199</v>
      </c>
      <c r="O24" s="990" t="s">
        <v>199</v>
      </c>
      <c r="P24" s="990" t="s">
        <v>199</v>
      </c>
      <c r="Q24" s="990" t="s">
        <v>199</v>
      </c>
      <c r="R24" s="991" t="s">
        <v>200</v>
      </c>
      <c r="S24" s="990" t="s">
        <v>199</v>
      </c>
      <c r="T24" s="990" t="s">
        <v>199</v>
      </c>
      <c r="U24" s="990" t="s">
        <v>199</v>
      </c>
      <c r="V24" s="990" t="s">
        <v>199</v>
      </c>
      <c r="W24" s="990" t="s">
        <v>199</v>
      </c>
      <c r="X24" s="990" t="s">
        <v>199</v>
      </c>
      <c r="Y24" s="990" t="s">
        <v>199</v>
      </c>
      <c r="Z24" s="990" t="s">
        <v>199</v>
      </c>
      <c r="AA24" s="990" t="s">
        <v>199</v>
      </c>
      <c r="AB24" s="990" t="s">
        <v>199</v>
      </c>
      <c r="AC24" s="990" t="s">
        <v>199</v>
      </c>
      <c r="AD24" s="990" t="s">
        <v>199</v>
      </c>
      <c r="AE24" s="991" t="s">
        <v>200</v>
      </c>
      <c r="AF24" s="990" t="s">
        <v>199</v>
      </c>
      <c r="AG24" s="990" t="s">
        <v>199</v>
      </c>
      <c r="AH24" s="990" t="s">
        <v>199</v>
      </c>
      <c r="AI24" s="990" t="s">
        <v>199</v>
      </c>
      <c r="AJ24" s="990" t="s">
        <v>199</v>
      </c>
      <c r="AK24" s="990" t="s">
        <v>199</v>
      </c>
      <c r="AL24" s="990" t="s">
        <v>199</v>
      </c>
      <c r="AM24" s="990" t="s">
        <v>199</v>
      </c>
      <c r="AN24" s="990" t="s">
        <v>199</v>
      </c>
      <c r="AO24" s="990" t="s">
        <v>199</v>
      </c>
      <c r="AP24" s="990" t="s">
        <v>199</v>
      </c>
      <c r="AQ24" s="990" t="s">
        <v>199</v>
      </c>
      <c r="AR24" s="991" t="s">
        <v>200</v>
      </c>
    </row>
    <row r="25" ht="16.5" spans="1:44">
      <c r="A25" s="63" t="str">
        <f>'[3]A1 预算指标总览'!$A$3</f>
        <v>华东一区</v>
      </c>
      <c r="B25" s="63" t="str">
        <f>'[3]A1 预算指标总览'!$B$3</f>
        <v>福建公司</v>
      </c>
      <c r="C25" s="988" t="s">
        <v>225</v>
      </c>
      <c r="D25" s="988">
        <v>21</v>
      </c>
      <c r="E25" s="999" t="s">
        <v>249</v>
      </c>
      <c r="F25" s="990" t="s">
        <v>199</v>
      </c>
      <c r="G25" s="990" t="s">
        <v>199</v>
      </c>
      <c r="H25" s="990" t="s">
        <v>199</v>
      </c>
      <c r="I25" s="990" t="s">
        <v>199</v>
      </c>
      <c r="J25" s="990" t="s">
        <v>199</v>
      </c>
      <c r="K25" s="990" t="s">
        <v>199</v>
      </c>
      <c r="L25" s="990" t="s">
        <v>199</v>
      </c>
      <c r="M25" s="990" t="s">
        <v>199</v>
      </c>
      <c r="N25" s="990" t="s">
        <v>199</v>
      </c>
      <c r="O25" s="990" t="s">
        <v>199</v>
      </c>
      <c r="P25" s="990" t="s">
        <v>199</v>
      </c>
      <c r="Q25" s="990" t="s">
        <v>199</v>
      </c>
      <c r="R25" s="991" t="s">
        <v>200</v>
      </c>
      <c r="S25" s="990" t="s">
        <v>199</v>
      </c>
      <c r="T25" s="990" t="s">
        <v>199</v>
      </c>
      <c r="U25" s="990" t="s">
        <v>199</v>
      </c>
      <c r="V25" s="990" t="s">
        <v>199</v>
      </c>
      <c r="W25" s="990" t="s">
        <v>199</v>
      </c>
      <c r="X25" s="990" t="s">
        <v>199</v>
      </c>
      <c r="Y25" s="990" t="s">
        <v>199</v>
      </c>
      <c r="Z25" s="990" t="s">
        <v>199</v>
      </c>
      <c r="AA25" s="990" t="s">
        <v>199</v>
      </c>
      <c r="AB25" s="990" t="s">
        <v>199</v>
      </c>
      <c r="AC25" s="990" t="s">
        <v>199</v>
      </c>
      <c r="AD25" s="990" t="s">
        <v>199</v>
      </c>
      <c r="AE25" s="991" t="s">
        <v>200</v>
      </c>
      <c r="AF25" s="990" t="s">
        <v>199</v>
      </c>
      <c r="AG25" s="990" t="s">
        <v>199</v>
      </c>
      <c r="AH25" s="990" t="s">
        <v>199</v>
      </c>
      <c r="AI25" s="990" t="s">
        <v>199</v>
      </c>
      <c r="AJ25" s="990" t="s">
        <v>199</v>
      </c>
      <c r="AK25" s="990" t="s">
        <v>199</v>
      </c>
      <c r="AL25" s="990" t="s">
        <v>199</v>
      </c>
      <c r="AM25" s="990" t="s">
        <v>199</v>
      </c>
      <c r="AN25" s="990" t="s">
        <v>199</v>
      </c>
      <c r="AO25" s="990" t="s">
        <v>199</v>
      </c>
      <c r="AP25" s="990" t="s">
        <v>199</v>
      </c>
      <c r="AQ25" s="990" t="s">
        <v>199</v>
      </c>
      <c r="AR25" s="991" t="s">
        <v>200</v>
      </c>
    </row>
    <row r="26" ht="16.5" spans="1:44">
      <c r="A26" s="63" t="str">
        <f>'[3]A1 预算指标总览'!$A$3</f>
        <v>华东一区</v>
      </c>
      <c r="B26" s="63" t="str">
        <f>'[3]A1 预算指标总览'!$B$3</f>
        <v>福建公司</v>
      </c>
      <c r="C26" s="988" t="s">
        <v>225</v>
      </c>
      <c r="D26" s="992">
        <v>22</v>
      </c>
      <c r="E26" s="999" t="s">
        <v>115</v>
      </c>
      <c r="F26" s="990" t="s">
        <v>199</v>
      </c>
      <c r="G26" s="990" t="s">
        <v>199</v>
      </c>
      <c r="H26" s="990" t="s">
        <v>199</v>
      </c>
      <c r="I26" s="990" t="s">
        <v>199</v>
      </c>
      <c r="J26" s="990" t="s">
        <v>199</v>
      </c>
      <c r="K26" s="990" t="s">
        <v>199</v>
      </c>
      <c r="L26" s="990" t="s">
        <v>199</v>
      </c>
      <c r="M26" s="990" t="s">
        <v>199</v>
      </c>
      <c r="N26" s="990" t="s">
        <v>199</v>
      </c>
      <c r="O26" s="990" t="s">
        <v>199</v>
      </c>
      <c r="P26" s="990" t="s">
        <v>199</v>
      </c>
      <c r="Q26" s="990" t="s">
        <v>199</v>
      </c>
      <c r="R26" s="991" t="s">
        <v>200</v>
      </c>
      <c r="S26" s="990" t="s">
        <v>199</v>
      </c>
      <c r="T26" s="990" t="s">
        <v>199</v>
      </c>
      <c r="U26" s="990" t="s">
        <v>199</v>
      </c>
      <c r="V26" s="990" t="s">
        <v>199</v>
      </c>
      <c r="W26" s="990" t="s">
        <v>199</v>
      </c>
      <c r="X26" s="990" t="s">
        <v>199</v>
      </c>
      <c r="Y26" s="990" t="s">
        <v>199</v>
      </c>
      <c r="Z26" s="990" t="s">
        <v>199</v>
      </c>
      <c r="AA26" s="990" t="s">
        <v>199</v>
      </c>
      <c r="AB26" s="990" t="s">
        <v>199</v>
      </c>
      <c r="AC26" s="990" t="s">
        <v>199</v>
      </c>
      <c r="AD26" s="990" t="s">
        <v>199</v>
      </c>
      <c r="AE26" s="991" t="s">
        <v>200</v>
      </c>
      <c r="AF26" s="990" t="s">
        <v>199</v>
      </c>
      <c r="AG26" s="990" t="s">
        <v>199</v>
      </c>
      <c r="AH26" s="990" t="s">
        <v>199</v>
      </c>
      <c r="AI26" s="990" t="s">
        <v>199</v>
      </c>
      <c r="AJ26" s="990" t="s">
        <v>199</v>
      </c>
      <c r="AK26" s="990" t="s">
        <v>199</v>
      </c>
      <c r="AL26" s="990" t="s">
        <v>199</v>
      </c>
      <c r="AM26" s="990" t="s">
        <v>199</v>
      </c>
      <c r="AN26" s="990" t="s">
        <v>199</v>
      </c>
      <c r="AO26" s="990" t="s">
        <v>199</v>
      </c>
      <c r="AP26" s="990" t="s">
        <v>199</v>
      </c>
      <c r="AQ26" s="990" t="s">
        <v>199</v>
      </c>
      <c r="AR26" s="991" t="s">
        <v>200</v>
      </c>
    </row>
    <row r="27" ht="16.5" spans="1:44">
      <c r="A27" s="63" t="str">
        <f>'[3]A1 预算指标总览'!$A$3</f>
        <v>华东一区</v>
      </c>
      <c r="B27" s="63" t="str">
        <f>'[3]A1 预算指标总览'!$B$3</f>
        <v>福建公司</v>
      </c>
      <c r="C27" s="988" t="s">
        <v>225</v>
      </c>
      <c r="D27" s="988">
        <v>23</v>
      </c>
      <c r="E27" s="999" t="s">
        <v>126</v>
      </c>
      <c r="F27" s="990" t="s">
        <v>199</v>
      </c>
      <c r="G27" s="990" t="s">
        <v>199</v>
      </c>
      <c r="H27" s="990" t="s">
        <v>199</v>
      </c>
      <c r="I27" s="990" t="s">
        <v>199</v>
      </c>
      <c r="J27" s="990" t="s">
        <v>199</v>
      </c>
      <c r="K27" s="990" t="s">
        <v>199</v>
      </c>
      <c r="L27" s="990" t="s">
        <v>199</v>
      </c>
      <c r="M27" s="990" t="s">
        <v>199</v>
      </c>
      <c r="N27" s="990" t="s">
        <v>199</v>
      </c>
      <c r="O27" s="990" t="s">
        <v>199</v>
      </c>
      <c r="P27" s="990" t="s">
        <v>199</v>
      </c>
      <c r="Q27" s="990" t="s">
        <v>199</v>
      </c>
      <c r="R27" s="991" t="s">
        <v>200</v>
      </c>
      <c r="S27" s="990" t="s">
        <v>199</v>
      </c>
      <c r="T27" s="990" t="s">
        <v>199</v>
      </c>
      <c r="U27" s="990" t="s">
        <v>199</v>
      </c>
      <c r="V27" s="990" t="s">
        <v>199</v>
      </c>
      <c r="W27" s="990" t="s">
        <v>199</v>
      </c>
      <c r="X27" s="990" t="s">
        <v>199</v>
      </c>
      <c r="Y27" s="990" t="s">
        <v>199</v>
      </c>
      <c r="Z27" s="990" t="s">
        <v>199</v>
      </c>
      <c r="AA27" s="990" t="s">
        <v>199</v>
      </c>
      <c r="AB27" s="990" t="s">
        <v>199</v>
      </c>
      <c r="AC27" s="990" t="s">
        <v>199</v>
      </c>
      <c r="AD27" s="990" t="s">
        <v>199</v>
      </c>
      <c r="AE27" s="991" t="s">
        <v>200</v>
      </c>
      <c r="AF27" s="990" t="s">
        <v>199</v>
      </c>
      <c r="AG27" s="990" t="s">
        <v>199</v>
      </c>
      <c r="AH27" s="990" t="s">
        <v>199</v>
      </c>
      <c r="AI27" s="990" t="s">
        <v>199</v>
      </c>
      <c r="AJ27" s="990" t="s">
        <v>199</v>
      </c>
      <c r="AK27" s="990" t="s">
        <v>199</v>
      </c>
      <c r="AL27" s="990" t="s">
        <v>199</v>
      </c>
      <c r="AM27" s="990" t="s">
        <v>199</v>
      </c>
      <c r="AN27" s="990" t="s">
        <v>199</v>
      </c>
      <c r="AO27" s="990" t="s">
        <v>199</v>
      </c>
      <c r="AP27" s="990" t="s">
        <v>199</v>
      </c>
      <c r="AQ27" s="990" t="s">
        <v>199</v>
      </c>
      <c r="AR27" s="991" t="s">
        <v>200</v>
      </c>
    </row>
    <row r="28" ht="16.5" spans="1:44">
      <c r="A28" s="63" t="str">
        <f>'[3]A1 预算指标总览'!$A$3</f>
        <v>华东一区</v>
      </c>
      <c r="B28" s="63" t="str">
        <f>'[3]A1 预算指标总览'!$B$3</f>
        <v>福建公司</v>
      </c>
      <c r="C28" s="988" t="s">
        <v>225</v>
      </c>
      <c r="D28" s="992">
        <v>24</v>
      </c>
      <c r="E28" s="999" t="s">
        <v>250</v>
      </c>
      <c r="F28" s="996" t="s">
        <v>251</v>
      </c>
      <c r="G28" s="996" t="s">
        <v>251</v>
      </c>
      <c r="H28" s="996" t="s">
        <v>251</v>
      </c>
      <c r="I28" s="996" t="s">
        <v>251</v>
      </c>
      <c r="J28" s="996" t="s">
        <v>251</v>
      </c>
      <c r="K28" s="996" t="s">
        <v>251</v>
      </c>
      <c r="L28" s="996" t="s">
        <v>251</v>
      </c>
      <c r="M28" s="996" t="s">
        <v>251</v>
      </c>
      <c r="N28" s="996" t="s">
        <v>251</v>
      </c>
      <c r="O28" s="996" t="s">
        <v>251</v>
      </c>
      <c r="P28" s="996" t="s">
        <v>251</v>
      </c>
      <c r="Q28" s="996" t="s">
        <v>251</v>
      </c>
      <c r="R28" s="991" t="s">
        <v>200</v>
      </c>
      <c r="S28" s="996" t="s">
        <v>251</v>
      </c>
      <c r="T28" s="996" t="s">
        <v>251</v>
      </c>
      <c r="U28" s="996" t="s">
        <v>251</v>
      </c>
      <c r="V28" s="996" t="s">
        <v>251</v>
      </c>
      <c r="W28" s="996" t="s">
        <v>251</v>
      </c>
      <c r="X28" s="996" t="s">
        <v>251</v>
      </c>
      <c r="Y28" s="996" t="s">
        <v>251</v>
      </c>
      <c r="Z28" s="996" t="s">
        <v>251</v>
      </c>
      <c r="AA28" s="996" t="s">
        <v>251</v>
      </c>
      <c r="AB28" s="996" t="s">
        <v>251</v>
      </c>
      <c r="AC28" s="996" t="s">
        <v>251</v>
      </c>
      <c r="AD28" s="996" t="s">
        <v>251</v>
      </c>
      <c r="AE28" s="991" t="s">
        <v>200</v>
      </c>
      <c r="AF28" s="996" t="s">
        <v>251</v>
      </c>
      <c r="AG28" s="996" t="s">
        <v>251</v>
      </c>
      <c r="AH28" s="996" t="s">
        <v>251</v>
      </c>
      <c r="AI28" s="996" t="s">
        <v>251</v>
      </c>
      <c r="AJ28" s="996" t="s">
        <v>251</v>
      </c>
      <c r="AK28" s="996" t="s">
        <v>251</v>
      </c>
      <c r="AL28" s="996" t="s">
        <v>251</v>
      </c>
      <c r="AM28" s="996" t="s">
        <v>251</v>
      </c>
      <c r="AN28" s="996" t="s">
        <v>251</v>
      </c>
      <c r="AO28" s="996" t="s">
        <v>251</v>
      </c>
      <c r="AP28" s="996" t="s">
        <v>251</v>
      </c>
      <c r="AQ28" s="996" t="s">
        <v>251</v>
      </c>
      <c r="AR28" s="991" t="s">
        <v>200</v>
      </c>
    </row>
    <row r="29" ht="16.5" spans="1:44">
      <c r="A29" s="63" t="str">
        <f>'[3]A1 预算指标总览'!$A$3</f>
        <v>华东一区</v>
      </c>
      <c r="B29" s="63" t="str">
        <f>'[3]A1 预算指标总览'!$B$3</f>
        <v>福建公司</v>
      </c>
      <c r="C29" s="988" t="s">
        <v>225</v>
      </c>
      <c r="D29" s="988">
        <v>25</v>
      </c>
      <c r="E29" s="999" t="s">
        <v>178</v>
      </c>
      <c r="F29" s="990" t="s">
        <v>199</v>
      </c>
      <c r="G29" s="990" t="s">
        <v>199</v>
      </c>
      <c r="H29" s="990" t="s">
        <v>199</v>
      </c>
      <c r="I29" s="990" t="s">
        <v>199</v>
      </c>
      <c r="J29" s="990" t="s">
        <v>199</v>
      </c>
      <c r="K29" s="990" t="s">
        <v>199</v>
      </c>
      <c r="L29" s="990" t="s">
        <v>199</v>
      </c>
      <c r="M29" s="990" t="s">
        <v>199</v>
      </c>
      <c r="N29" s="990" t="s">
        <v>199</v>
      </c>
      <c r="O29" s="990" t="s">
        <v>199</v>
      </c>
      <c r="P29" s="990" t="s">
        <v>199</v>
      </c>
      <c r="Q29" s="990" t="s">
        <v>199</v>
      </c>
      <c r="R29" s="991" t="s">
        <v>200</v>
      </c>
      <c r="S29" s="990" t="s">
        <v>199</v>
      </c>
      <c r="T29" s="990" t="s">
        <v>199</v>
      </c>
      <c r="U29" s="990" t="s">
        <v>199</v>
      </c>
      <c r="V29" s="990" t="s">
        <v>199</v>
      </c>
      <c r="W29" s="990" t="s">
        <v>199</v>
      </c>
      <c r="X29" s="990" t="s">
        <v>199</v>
      </c>
      <c r="Y29" s="990" t="s">
        <v>199</v>
      </c>
      <c r="Z29" s="990" t="s">
        <v>199</v>
      </c>
      <c r="AA29" s="990" t="s">
        <v>199</v>
      </c>
      <c r="AB29" s="990" t="s">
        <v>199</v>
      </c>
      <c r="AC29" s="990" t="s">
        <v>199</v>
      </c>
      <c r="AD29" s="990" t="s">
        <v>199</v>
      </c>
      <c r="AE29" s="991" t="s">
        <v>200</v>
      </c>
      <c r="AF29" s="990" t="s">
        <v>199</v>
      </c>
      <c r="AG29" s="990" t="s">
        <v>199</v>
      </c>
      <c r="AH29" s="990" t="s">
        <v>199</v>
      </c>
      <c r="AI29" s="990" t="s">
        <v>199</v>
      </c>
      <c r="AJ29" s="990" t="s">
        <v>199</v>
      </c>
      <c r="AK29" s="990" t="s">
        <v>199</v>
      </c>
      <c r="AL29" s="990" t="s">
        <v>199</v>
      </c>
      <c r="AM29" s="990" t="s">
        <v>199</v>
      </c>
      <c r="AN29" s="990" t="s">
        <v>199</v>
      </c>
      <c r="AO29" s="990" t="s">
        <v>199</v>
      </c>
      <c r="AP29" s="990" t="s">
        <v>199</v>
      </c>
      <c r="AQ29" s="990" t="s">
        <v>199</v>
      </c>
      <c r="AR29" s="991" t="s">
        <v>200</v>
      </c>
    </row>
    <row r="30" ht="16.5" spans="1:44">
      <c r="A30" s="63" t="str">
        <f>'[3]A1 预算指标总览'!$A$3</f>
        <v>华东一区</v>
      </c>
      <c r="B30" s="63" t="str">
        <f>'[3]A1 预算指标总览'!$B$3</f>
        <v>福建公司</v>
      </c>
      <c r="C30" s="988" t="s">
        <v>225</v>
      </c>
      <c r="D30" s="992">
        <v>26</v>
      </c>
      <c r="E30" s="999" t="s">
        <v>252</v>
      </c>
      <c r="F30" s="996" t="s">
        <v>251</v>
      </c>
      <c r="G30" s="996" t="s">
        <v>251</v>
      </c>
      <c r="H30" s="996" t="s">
        <v>251</v>
      </c>
      <c r="I30" s="996" t="s">
        <v>251</v>
      </c>
      <c r="J30" s="996" t="s">
        <v>251</v>
      </c>
      <c r="K30" s="996" t="s">
        <v>251</v>
      </c>
      <c r="L30" s="996" t="s">
        <v>251</v>
      </c>
      <c r="M30" s="996" t="s">
        <v>251</v>
      </c>
      <c r="N30" s="996" t="s">
        <v>251</v>
      </c>
      <c r="O30" s="996" t="s">
        <v>251</v>
      </c>
      <c r="P30" s="996" t="s">
        <v>251</v>
      </c>
      <c r="Q30" s="996" t="s">
        <v>251</v>
      </c>
      <c r="R30" s="991" t="s">
        <v>200</v>
      </c>
      <c r="S30" s="996" t="s">
        <v>251</v>
      </c>
      <c r="T30" s="996" t="s">
        <v>251</v>
      </c>
      <c r="U30" s="996" t="s">
        <v>251</v>
      </c>
      <c r="V30" s="996" t="s">
        <v>251</v>
      </c>
      <c r="W30" s="996" t="s">
        <v>251</v>
      </c>
      <c r="X30" s="996" t="s">
        <v>251</v>
      </c>
      <c r="Y30" s="996" t="s">
        <v>251</v>
      </c>
      <c r="Z30" s="996" t="s">
        <v>251</v>
      </c>
      <c r="AA30" s="996" t="s">
        <v>251</v>
      </c>
      <c r="AB30" s="996" t="s">
        <v>251</v>
      </c>
      <c r="AC30" s="996" t="s">
        <v>251</v>
      </c>
      <c r="AD30" s="996" t="s">
        <v>251</v>
      </c>
      <c r="AE30" s="991" t="s">
        <v>200</v>
      </c>
      <c r="AF30" s="996" t="s">
        <v>251</v>
      </c>
      <c r="AG30" s="996" t="s">
        <v>251</v>
      </c>
      <c r="AH30" s="996" t="s">
        <v>251</v>
      </c>
      <c r="AI30" s="996" t="s">
        <v>251</v>
      </c>
      <c r="AJ30" s="996" t="s">
        <v>251</v>
      </c>
      <c r="AK30" s="996" t="s">
        <v>251</v>
      </c>
      <c r="AL30" s="996" t="s">
        <v>251</v>
      </c>
      <c r="AM30" s="996" t="s">
        <v>251</v>
      </c>
      <c r="AN30" s="996" t="s">
        <v>251</v>
      </c>
      <c r="AO30" s="996" t="s">
        <v>251</v>
      </c>
      <c r="AP30" s="996" t="s">
        <v>251</v>
      </c>
      <c r="AQ30" s="996" t="s">
        <v>251</v>
      </c>
      <c r="AR30" s="991" t="s">
        <v>200</v>
      </c>
    </row>
    <row r="31" ht="16.5" spans="1:44">
      <c r="A31" s="63" t="str">
        <f>'[3]A1 预算指标总览'!$A$3</f>
        <v>华东一区</v>
      </c>
      <c r="B31" s="63" t="str">
        <f>'[3]A1 预算指标总览'!$B$3</f>
        <v>福建公司</v>
      </c>
      <c r="C31" s="988" t="s">
        <v>225</v>
      </c>
      <c r="D31" s="988">
        <v>27</v>
      </c>
      <c r="E31" s="999" t="s">
        <v>253</v>
      </c>
      <c r="F31" s="996" t="s">
        <v>251</v>
      </c>
      <c r="G31" s="996" t="s">
        <v>251</v>
      </c>
      <c r="H31" s="996" t="s">
        <v>251</v>
      </c>
      <c r="I31" s="996" t="s">
        <v>251</v>
      </c>
      <c r="J31" s="996" t="s">
        <v>251</v>
      </c>
      <c r="K31" s="996" t="s">
        <v>251</v>
      </c>
      <c r="L31" s="996" t="s">
        <v>251</v>
      </c>
      <c r="M31" s="996" t="s">
        <v>251</v>
      </c>
      <c r="N31" s="996" t="s">
        <v>251</v>
      </c>
      <c r="O31" s="996" t="s">
        <v>251</v>
      </c>
      <c r="P31" s="996" t="s">
        <v>251</v>
      </c>
      <c r="Q31" s="996" t="s">
        <v>251</v>
      </c>
      <c r="R31" s="991" t="s">
        <v>200</v>
      </c>
      <c r="S31" s="996" t="s">
        <v>251</v>
      </c>
      <c r="T31" s="996" t="s">
        <v>251</v>
      </c>
      <c r="U31" s="996" t="s">
        <v>251</v>
      </c>
      <c r="V31" s="996" t="s">
        <v>251</v>
      </c>
      <c r="W31" s="996" t="s">
        <v>251</v>
      </c>
      <c r="X31" s="996" t="s">
        <v>251</v>
      </c>
      <c r="Y31" s="996" t="s">
        <v>251</v>
      </c>
      <c r="Z31" s="996" t="s">
        <v>251</v>
      </c>
      <c r="AA31" s="996" t="s">
        <v>251</v>
      </c>
      <c r="AB31" s="996" t="s">
        <v>251</v>
      </c>
      <c r="AC31" s="996" t="s">
        <v>251</v>
      </c>
      <c r="AD31" s="996" t="s">
        <v>251</v>
      </c>
      <c r="AE31" s="991" t="s">
        <v>200</v>
      </c>
      <c r="AF31" s="996" t="s">
        <v>251</v>
      </c>
      <c r="AG31" s="996" t="s">
        <v>251</v>
      </c>
      <c r="AH31" s="996" t="s">
        <v>251</v>
      </c>
      <c r="AI31" s="996" t="s">
        <v>251</v>
      </c>
      <c r="AJ31" s="996" t="s">
        <v>251</v>
      </c>
      <c r="AK31" s="996" t="s">
        <v>251</v>
      </c>
      <c r="AL31" s="996" t="s">
        <v>251</v>
      </c>
      <c r="AM31" s="996" t="s">
        <v>251</v>
      </c>
      <c r="AN31" s="996" t="s">
        <v>251</v>
      </c>
      <c r="AO31" s="996" t="s">
        <v>251</v>
      </c>
      <c r="AP31" s="996" t="s">
        <v>251</v>
      </c>
      <c r="AQ31" s="996" t="s">
        <v>251</v>
      </c>
      <c r="AR31" s="991" t="s">
        <v>200</v>
      </c>
    </row>
    <row r="32" ht="16.5" spans="1:44">
      <c r="A32" s="63" t="str">
        <f>'[3]A1 预算指标总览'!$A$3</f>
        <v>华东一区</v>
      </c>
      <c r="B32" s="63" t="str">
        <f>'[3]A1 预算指标总览'!$B$3</f>
        <v>福建公司</v>
      </c>
      <c r="C32" s="988" t="s">
        <v>225</v>
      </c>
      <c r="D32" s="992">
        <v>28</v>
      </c>
      <c r="E32" s="1000" t="s">
        <v>254</v>
      </c>
      <c r="F32" s="990" t="s">
        <v>199</v>
      </c>
      <c r="G32" s="990" t="s">
        <v>199</v>
      </c>
      <c r="H32" s="990" t="s">
        <v>199</v>
      </c>
      <c r="I32" s="990" t="s">
        <v>199</v>
      </c>
      <c r="J32" s="990" t="s">
        <v>199</v>
      </c>
      <c r="K32" s="990" t="s">
        <v>199</v>
      </c>
      <c r="L32" s="990" t="s">
        <v>199</v>
      </c>
      <c r="M32" s="990" t="s">
        <v>199</v>
      </c>
      <c r="N32" s="990" t="s">
        <v>199</v>
      </c>
      <c r="O32" s="990" t="s">
        <v>199</v>
      </c>
      <c r="P32" s="990" t="s">
        <v>199</v>
      </c>
      <c r="Q32" s="990" t="s">
        <v>199</v>
      </c>
      <c r="R32" s="991" t="s">
        <v>200</v>
      </c>
      <c r="S32" s="990" t="s">
        <v>199</v>
      </c>
      <c r="T32" s="990" t="s">
        <v>199</v>
      </c>
      <c r="U32" s="990" t="s">
        <v>199</v>
      </c>
      <c r="V32" s="990" t="s">
        <v>199</v>
      </c>
      <c r="W32" s="990" t="s">
        <v>199</v>
      </c>
      <c r="X32" s="990" t="s">
        <v>199</v>
      </c>
      <c r="Y32" s="990" t="s">
        <v>199</v>
      </c>
      <c r="Z32" s="990" t="s">
        <v>199</v>
      </c>
      <c r="AA32" s="990" t="s">
        <v>199</v>
      </c>
      <c r="AB32" s="990" t="s">
        <v>199</v>
      </c>
      <c r="AC32" s="990" t="s">
        <v>199</v>
      </c>
      <c r="AD32" s="990" t="s">
        <v>199</v>
      </c>
      <c r="AE32" s="991" t="s">
        <v>200</v>
      </c>
      <c r="AF32" s="990" t="s">
        <v>199</v>
      </c>
      <c r="AG32" s="990" t="s">
        <v>199</v>
      </c>
      <c r="AH32" s="990" t="s">
        <v>199</v>
      </c>
      <c r="AI32" s="990" t="s">
        <v>199</v>
      </c>
      <c r="AJ32" s="990" t="s">
        <v>199</v>
      </c>
      <c r="AK32" s="990" t="s">
        <v>199</v>
      </c>
      <c r="AL32" s="990" t="s">
        <v>199</v>
      </c>
      <c r="AM32" s="990" t="s">
        <v>199</v>
      </c>
      <c r="AN32" s="990" t="s">
        <v>199</v>
      </c>
      <c r="AO32" s="990" t="s">
        <v>199</v>
      </c>
      <c r="AP32" s="990" t="s">
        <v>199</v>
      </c>
      <c r="AQ32" s="990" t="s">
        <v>199</v>
      </c>
      <c r="AR32" s="991" t="s">
        <v>200</v>
      </c>
    </row>
    <row r="33" ht="16.5" spans="1:44">
      <c r="A33" s="63" t="str">
        <f>'[3]A1 预算指标总览'!$A$3</f>
        <v>华东一区</v>
      </c>
      <c r="B33" s="63" t="str">
        <f>'[3]A1 预算指标总览'!$B$3</f>
        <v>福建公司</v>
      </c>
      <c r="C33" s="988" t="s">
        <v>225</v>
      </c>
      <c r="D33" s="988">
        <v>29</v>
      </c>
      <c r="E33" s="999" t="s">
        <v>255</v>
      </c>
      <c r="F33" s="990" t="s">
        <v>199</v>
      </c>
      <c r="G33" s="990" t="s">
        <v>199</v>
      </c>
      <c r="H33" s="990" t="s">
        <v>199</v>
      </c>
      <c r="I33" s="990" t="s">
        <v>199</v>
      </c>
      <c r="J33" s="990" t="s">
        <v>199</v>
      </c>
      <c r="K33" s="990" t="s">
        <v>199</v>
      </c>
      <c r="L33" s="990" t="s">
        <v>199</v>
      </c>
      <c r="M33" s="990" t="s">
        <v>199</v>
      </c>
      <c r="N33" s="990" t="s">
        <v>199</v>
      </c>
      <c r="O33" s="990" t="s">
        <v>199</v>
      </c>
      <c r="P33" s="990" t="s">
        <v>199</v>
      </c>
      <c r="Q33" s="990" t="s">
        <v>199</v>
      </c>
      <c r="R33" s="991" t="s">
        <v>200</v>
      </c>
      <c r="S33" s="990" t="s">
        <v>199</v>
      </c>
      <c r="T33" s="990" t="s">
        <v>199</v>
      </c>
      <c r="U33" s="990" t="s">
        <v>199</v>
      </c>
      <c r="V33" s="990" t="s">
        <v>199</v>
      </c>
      <c r="W33" s="990" t="s">
        <v>199</v>
      </c>
      <c r="X33" s="990" t="s">
        <v>199</v>
      </c>
      <c r="Y33" s="990" t="s">
        <v>199</v>
      </c>
      <c r="Z33" s="990" t="s">
        <v>199</v>
      </c>
      <c r="AA33" s="990" t="s">
        <v>199</v>
      </c>
      <c r="AB33" s="990" t="s">
        <v>199</v>
      </c>
      <c r="AC33" s="990" t="s">
        <v>199</v>
      </c>
      <c r="AD33" s="990" t="s">
        <v>199</v>
      </c>
      <c r="AE33" s="991" t="s">
        <v>200</v>
      </c>
      <c r="AF33" s="990" t="s">
        <v>199</v>
      </c>
      <c r="AG33" s="990" t="s">
        <v>199</v>
      </c>
      <c r="AH33" s="990" t="s">
        <v>199</v>
      </c>
      <c r="AI33" s="990" t="s">
        <v>199</v>
      </c>
      <c r="AJ33" s="990" t="s">
        <v>199</v>
      </c>
      <c r="AK33" s="990" t="s">
        <v>199</v>
      </c>
      <c r="AL33" s="990" t="s">
        <v>199</v>
      </c>
      <c r="AM33" s="990" t="s">
        <v>199</v>
      </c>
      <c r="AN33" s="990" t="s">
        <v>199</v>
      </c>
      <c r="AO33" s="990" t="s">
        <v>199</v>
      </c>
      <c r="AP33" s="990" t="s">
        <v>199</v>
      </c>
      <c r="AQ33" s="990" t="s">
        <v>199</v>
      </c>
      <c r="AR33" s="991" t="s">
        <v>200</v>
      </c>
    </row>
    <row r="34" ht="16.5" spans="1:44">
      <c r="A34" s="63" t="str">
        <f>'[3]A1 预算指标总览'!$A$3</f>
        <v>华东一区</v>
      </c>
      <c r="B34" s="63" t="str">
        <f>'[3]A1 预算指标总览'!$B$3</f>
        <v>福建公司</v>
      </c>
      <c r="C34" s="988" t="s">
        <v>225</v>
      </c>
      <c r="D34" s="992">
        <v>30</v>
      </c>
      <c r="E34" s="999" t="s">
        <v>256</v>
      </c>
      <c r="F34" s="990" t="s">
        <v>199</v>
      </c>
      <c r="G34" s="990" t="s">
        <v>199</v>
      </c>
      <c r="H34" s="990" t="s">
        <v>199</v>
      </c>
      <c r="I34" s="990" t="s">
        <v>199</v>
      </c>
      <c r="J34" s="990" t="s">
        <v>199</v>
      </c>
      <c r="K34" s="990" t="s">
        <v>199</v>
      </c>
      <c r="L34" s="990" t="s">
        <v>199</v>
      </c>
      <c r="M34" s="990" t="s">
        <v>199</v>
      </c>
      <c r="N34" s="990" t="s">
        <v>199</v>
      </c>
      <c r="O34" s="990" t="s">
        <v>199</v>
      </c>
      <c r="P34" s="990" t="s">
        <v>199</v>
      </c>
      <c r="Q34" s="990" t="s">
        <v>199</v>
      </c>
      <c r="R34" s="991" t="s">
        <v>200</v>
      </c>
      <c r="S34" s="990" t="s">
        <v>199</v>
      </c>
      <c r="T34" s="990" t="s">
        <v>199</v>
      </c>
      <c r="U34" s="990" t="s">
        <v>199</v>
      </c>
      <c r="V34" s="990" t="s">
        <v>199</v>
      </c>
      <c r="W34" s="990" t="s">
        <v>199</v>
      </c>
      <c r="X34" s="990" t="s">
        <v>199</v>
      </c>
      <c r="Y34" s="990" t="s">
        <v>199</v>
      </c>
      <c r="Z34" s="990" t="s">
        <v>199</v>
      </c>
      <c r="AA34" s="990" t="s">
        <v>199</v>
      </c>
      <c r="AB34" s="990" t="s">
        <v>199</v>
      </c>
      <c r="AC34" s="990" t="s">
        <v>199</v>
      </c>
      <c r="AD34" s="990" t="s">
        <v>199</v>
      </c>
      <c r="AE34" s="991" t="s">
        <v>200</v>
      </c>
      <c r="AF34" s="990" t="s">
        <v>199</v>
      </c>
      <c r="AG34" s="990" t="s">
        <v>199</v>
      </c>
      <c r="AH34" s="990" t="s">
        <v>199</v>
      </c>
      <c r="AI34" s="990" t="s">
        <v>199</v>
      </c>
      <c r="AJ34" s="990" t="s">
        <v>199</v>
      </c>
      <c r="AK34" s="990" t="s">
        <v>199</v>
      </c>
      <c r="AL34" s="990" t="s">
        <v>199</v>
      </c>
      <c r="AM34" s="990" t="s">
        <v>199</v>
      </c>
      <c r="AN34" s="990" t="s">
        <v>199</v>
      </c>
      <c r="AO34" s="990" t="s">
        <v>199</v>
      </c>
      <c r="AP34" s="990" t="s">
        <v>199</v>
      </c>
      <c r="AQ34" s="990" t="s">
        <v>199</v>
      </c>
      <c r="AR34" s="991" t="s">
        <v>200</v>
      </c>
    </row>
    <row r="35" ht="16.5" spans="1:44">
      <c r="A35" s="63" t="str">
        <f>'[3]A1 预算指标总览'!$A$3</f>
        <v>华东一区</v>
      </c>
      <c r="B35" s="63" t="str">
        <f>'[3]A1 预算指标总览'!$B$3</f>
        <v>福建公司</v>
      </c>
      <c r="C35" s="988" t="s">
        <v>225</v>
      </c>
      <c r="D35" s="988">
        <v>31</v>
      </c>
      <c r="E35" s="999" t="s">
        <v>257</v>
      </c>
      <c r="F35" s="990" t="s">
        <v>199</v>
      </c>
      <c r="G35" s="990" t="s">
        <v>199</v>
      </c>
      <c r="H35" s="990" t="s">
        <v>199</v>
      </c>
      <c r="I35" s="990" t="s">
        <v>199</v>
      </c>
      <c r="J35" s="990" t="s">
        <v>199</v>
      </c>
      <c r="K35" s="990" t="s">
        <v>199</v>
      </c>
      <c r="L35" s="990" t="s">
        <v>199</v>
      </c>
      <c r="M35" s="990" t="s">
        <v>199</v>
      </c>
      <c r="N35" s="990" t="s">
        <v>199</v>
      </c>
      <c r="O35" s="990" t="s">
        <v>199</v>
      </c>
      <c r="P35" s="990" t="s">
        <v>199</v>
      </c>
      <c r="Q35" s="990" t="s">
        <v>199</v>
      </c>
      <c r="R35" s="991" t="s">
        <v>200</v>
      </c>
      <c r="S35" s="990" t="s">
        <v>199</v>
      </c>
      <c r="T35" s="990" t="s">
        <v>199</v>
      </c>
      <c r="U35" s="990" t="s">
        <v>199</v>
      </c>
      <c r="V35" s="990" t="s">
        <v>199</v>
      </c>
      <c r="W35" s="990" t="s">
        <v>199</v>
      </c>
      <c r="X35" s="990" t="s">
        <v>199</v>
      </c>
      <c r="Y35" s="990" t="s">
        <v>199</v>
      </c>
      <c r="Z35" s="990" t="s">
        <v>199</v>
      </c>
      <c r="AA35" s="990" t="s">
        <v>199</v>
      </c>
      <c r="AB35" s="990" t="s">
        <v>199</v>
      </c>
      <c r="AC35" s="990" t="s">
        <v>199</v>
      </c>
      <c r="AD35" s="990" t="s">
        <v>199</v>
      </c>
      <c r="AE35" s="991" t="s">
        <v>200</v>
      </c>
      <c r="AF35" s="990" t="s">
        <v>199</v>
      </c>
      <c r="AG35" s="990" t="s">
        <v>199</v>
      </c>
      <c r="AH35" s="990" t="s">
        <v>199</v>
      </c>
      <c r="AI35" s="990" t="s">
        <v>199</v>
      </c>
      <c r="AJ35" s="990" t="s">
        <v>199</v>
      </c>
      <c r="AK35" s="990" t="s">
        <v>199</v>
      </c>
      <c r="AL35" s="990" t="s">
        <v>199</v>
      </c>
      <c r="AM35" s="990" t="s">
        <v>199</v>
      </c>
      <c r="AN35" s="990" t="s">
        <v>199</v>
      </c>
      <c r="AO35" s="990" t="s">
        <v>199</v>
      </c>
      <c r="AP35" s="990" t="s">
        <v>199</v>
      </c>
      <c r="AQ35" s="990" t="s">
        <v>199</v>
      </c>
      <c r="AR35" s="991" t="s">
        <v>200</v>
      </c>
    </row>
    <row r="36" ht="16.5" spans="1:44">
      <c r="A36" s="63" t="str">
        <f>'[3]A1 预算指标总览'!$A$3</f>
        <v>华东一区</v>
      </c>
      <c r="B36" s="63" t="str">
        <f>'[3]A1 预算指标总览'!$B$3</f>
        <v>福建公司</v>
      </c>
      <c r="C36" s="988" t="s">
        <v>225</v>
      </c>
      <c r="D36" s="992">
        <v>32</v>
      </c>
      <c r="E36" s="999" t="s">
        <v>258</v>
      </c>
      <c r="F36" s="996" t="s">
        <v>251</v>
      </c>
      <c r="G36" s="996" t="s">
        <v>251</v>
      </c>
      <c r="H36" s="996" t="s">
        <v>251</v>
      </c>
      <c r="I36" s="996" t="s">
        <v>251</v>
      </c>
      <c r="J36" s="996" t="s">
        <v>251</v>
      </c>
      <c r="K36" s="996" t="s">
        <v>251</v>
      </c>
      <c r="L36" s="996" t="s">
        <v>251</v>
      </c>
      <c r="M36" s="996" t="s">
        <v>251</v>
      </c>
      <c r="N36" s="996" t="s">
        <v>251</v>
      </c>
      <c r="O36" s="996" t="s">
        <v>251</v>
      </c>
      <c r="P36" s="996" t="s">
        <v>251</v>
      </c>
      <c r="Q36" s="996" t="s">
        <v>251</v>
      </c>
      <c r="R36" s="991" t="s">
        <v>200</v>
      </c>
      <c r="S36" s="996" t="s">
        <v>251</v>
      </c>
      <c r="T36" s="996" t="s">
        <v>251</v>
      </c>
      <c r="U36" s="996" t="s">
        <v>251</v>
      </c>
      <c r="V36" s="996" t="s">
        <v>251</v>
      </c>
      <c r="W36" s="996" t="s">
        <v>251</v>
      </c>
      <c r="X36" s="996" t="s">
        <v>251</v>
      </c>
      <c r="Y36" s="996" t="s">
        <v>251</v>
      </c>
      <c r="Z36" s="996" t="s">
        <v>251</v>
      </c>
      <c r="AA36" s="996" t="s">
        <v>251</v>
      </c>
      <c r="AB36" s="996" t="s">
        <v>251</v>
      </c>
      <c r="AC36" s="996" t="s">
        <v>251</v>
      </c>
      <c r="AD36" s="996" t="s">
        <v>251</v>
      </c>
      <c r="AE36" s="991" t="s">
        <v>200</v>
      </c>
      <c r="AF36" s="996" t="s">
        <v>251</v>
      </c>
      <c r="AG36" s="996" t="s">
        <v>251</v>
      </c>
      <c r="AH36" s="996" t="s">
        <v>251</v>
      </c>
      <c r="AI36" s="996" t="s">
        <v>251</v>
      </c>
      <c r="AJ36" s="996" t="s">
        <v>251</v>
      </c>
      <c r="AK36" s="996" t="s">
        <v>251</v>
      </c>
      <c r="AL36" s="996" t="s">
        <v>251</v>
      </c>
      <c r="AM36" s="996" t="s">
        <v>251</v>
      </c>
      <c r="AN36" s="996" t="s">
        <v>251</v>
      </c>
      <c r="AO36" s="996" t="s">
        <v>251</v>
      </c>
      <c r="AP36" s="996" t="s">
        <v>251</v>
      </c>
      <c r="AQ36" s="996" t="s">
        <v>251</v>
      </c>
      <c r="AR36" s="991" t="s">
        <v>200</v>
      </c>
    </row>
    <row r="37" ht="16.5" spans="1:44">
      <c r="A37" s="63" t="str">
        <f>'[3]A1 预算指标总览'!$A$3</f>
        <v>华东一区</v>
      </c>
      <c r="B37" s="63" t="str">
        <f>'[3]A1 预算指标总览'!$B$3</f>
        <v>福建公司</v>
      </c>
      <c r="C37" s="988" t="s">
        <v>225</v>
      </c>
      <c r="D37" s="988">
        <v>33</v>
      </c>
      <c r="E37" s="999" t="s">
        <v>259</v>
      </c>
      <c r="F37" s="990" t="s">
        <v>199</v>
      </c>
      <c r="G37" s="990" t="s">
        <v>199</v>
      </c>
      <c r="H37" s="990" t="s">
        <v>199</v>
      </c>
      <c r="I37" s="990" t="s">
        <v>199</v>
      </c>
      <c r="J37" s="990" t="s">
        <v>199</v>
      </c>
      <c r="K37" s="990" t="s">
        <v>199</v>
      </c>
      <c r="L37" s="990" t="s">
        <v>199</v>
      </c>
      <c r="M37" s="990" t="s">
        <v>199</v>
      </c>
      <c r="N37" s="990" t="s">
        <v>199</v>
      </c>
      <c r="O37" s="990" t="s">
        <v>199</v>
      </c>
      <c r="P37" s="990" t="s">
        <v>199</v>
      </c>
      <c r="Q37" s="990" t="s">
        <v>199</v>
      </c>
      <c r="R37" s="991" t="s">
        <v>200</v>
      </c>
      <c r="S37" s="990" t="s">
        <v>199</v>
      </c>
      <c r="T37" s="990" t="s">
        <v>199</v>
      </c>
      <c r="U37" s="990" t="s">
        <v>199</v>
      </c>
      <c r="V37" s="990" t="s">
        <v>199</v>
      </c>
      <c r="W37" s="990" t="s">
        <v>199</v>
      </c>
      <c r="X37" s="990" t="s">
        <v>199</v>
      </c>
      <c r="Y37" s="990" t="s">
        <v>199</v>
      </c>
      <c r="Z37" s="990" t="s">
        <v>199</v>
      </c>
      <c r="AA37" s="990" t="s">
        <v>199</v>
      </c>
      <c r="AB37" s="990" t="s">
        <v>199</v>
      </c>
      <c r="AC37" s="990" t="s">
        <v>199</v>
      </c>
      <c r="AD37" s="990" t="s">
        <v>199</v>
      </c>
      <c r="AE37" s="991" t="s">
        <v>200</v>
      </c>
      <c r="AF37" s="990" t="s">
        <v>199</v>
      </c>
      <c r="AG37" s="990" t="s">
        <v>199</v>
      </c>
      <c r="AH37" s="990" t="s">
        <v>199</v>
      </c>
      <c r="AI37" s="990" t="s">
        <v>199</v>
      </c>
      <c r="AJ37" s="990" t="s">
        <v>199</v>
      </c>
      <c r="AK37" s="990" t="s">
        <v>199</v>
      </c>
      <c r="AL37" s="990" t="s">
        <v>199</v>
      </c>
      <c r="AM37" s="990" t="s">
        <v>199</v>
      </c>
      <c r="AN37" s="990" t="s">
        <v>199</v>
      </c>
      <c r="AO37" s="990" t="s">
        <v>199</v>
      </c>
      <c r="AP37" s="990" t="s">
        <v>199</v>
      </c>
      <c r="AQ37" s="990" t="s">
        <v>199</v>
      </c>
      <c r="AR37" s="991" t="s">
        <v>200</v>
      </c>
    </row>
    <row r="38" ht="16.5" spans="1:44">
      <c r="A38" s="63" t="str">
        <f>'[3]A1 预算指标总览'!$A$3</f>
        <v>华东一区</v>
      </c>
      <c r="B38" s="63" t="str">
        <f>'[3]A1 预算指标总览'!$B$3</f>
        <v>福建公司</v>
      </c>
      <c r="C38" s="988" t="s">
        <v>225</v>
      </c>
      <c r="D38" s="992">
        <v>34</v>
      </c>
      <c r="E38" s="999" t="s">
        <v>260</v>
      </c>
      <c r="F38" s="990" t="s">
        <v>199</v>
      </c>
      <c r="G38" s="990" t="s">
        <v>199</v>
      </c>
      <c r="H38" s="990" t="s">
        <v>199</v>
      </c>
      <c r="I38" s="990" t="s">
        <v>199</v>
      </c>
      <c r="J38" s="990" t="s">
        <v>199</v>
      </c>
      <c r="K38" s="990" t="s">
        <v>199</v>
      </c>
      <c r="L38" s="990" t="s">
        <v>199</v>
      </c>
      <c r="M38" s="990" t="s">
        <v>199</v>
      </c>
      <c r="N38" s="990" t="s">
        <v>199</v>
      </c>
      <c r="O38" s="990" t="s">
        <v>199</v>
      </c>
      <c r="P38" s="990" t="s">
        <v>199</v>
      </c>
      <c r="Q38" s="990" t="s">
        <v>199</v>
      </c>
      <c r="R38" s="991" t="s">
        <v>200</v>
      </c>
      <c r="S38" s="990" t="s">
        <v>199</v>
      </c>
      <c r="T38" s="990" t="s">
        <v>199</v>
      </c>
      <c r="U38" s="990" t="s">
        <v>199</v>
      </c>
      <c r="V38" s="990" t="s">
        <v>199</v>
      </c>
      <c r="W38" s="990" t="s">
        <v>199</v>
      </c>
      <c r="X38" s="990" t="s">
        <v>199</v>
      </c>
      <c r="Y38" s="990" t="s">
        <v>199</v>
      </c>
      <c r="Z38" s="990" t="s">
        <v>199</v>
      </c>
      <c r="AA38" s="990" t="s">
        <v>199</v>
      </c>
      <c r="AB38" s="990" t="s">
        <v>199</v>
      </c>
      <c r="AC38" s="990" t="s">
        <v>199</v>
      </c>
      <c r="AD38" s="990" t="s">
        <v>199</v>
      </c>
      <c r="AE38" s="991" t="s">
        <v>200</v>
      </c>
      <c r="AF38" s="990" t="s">
        <v>199</v>
      </c>
      <c r="AG38" s="990" t="s">
        <v>199</v>
      </c>
      <c r="AH38" s="990" t="s">
        <v>199</v>
      </c>
      <c r="AI38" s="990" t="s">
        <v>199</v>
      </c>
      <c r="AJ38" s="990" t="s">
        <v>199</v>
      </c>
      <c r="AK38" s="990" t="s">
        <v>199</v>
      </c>
      <c r="AL38" s="990" t="s">
        <v>199</v>
      </c>
      <c r="AM38" s="990" t="s">
        <v>199</v>
      </c>
      <c r="AN38" s="990" t="s">
        <v>199</v>
      </c>
      <c r="AO38" s="990" t="s">
        <v>199</v>
      </c>
      <c r="AP38" s="990" t="s">
        <v>199</v>
      </c>
      <c r="AQ38" s="990" t="s">
        <v>199</v>
      </c>
      <c r="AR38" s="991" t="s">
        <v>200</v>
      </c>
    </row>
    <row r="39" ht="16.5" spans="1:44">
      <c r="A39" s="657" t="str">
        <f>'[3]A1 预算指标总览'!$A$3</f>
        <v>华东一区</v>
      </c>
      <c r="B39" s="657" t="str">
        <f>'[3]A1 预算指标总览'!$B$3</f>
        <v>福建公司</v>
      </c>
      <c r="C39" s="679" t="s">
        <v>225</v>
      </c>
      <c r="D39" s="679">
        <v>35</v>
      </c>
      <c r="E39" s="1001" t="s">
        <v>261</v>
      </c>
      <c r="F39" s="996" t="s">
        <v>200</v>
      </c>
      <c r="G39" s="996" t="s">
        <v>200</v>
      </c>
      <c r="H39" s="996" t="s">
        <v>200</v>
      </c>
      <c r="I39" s="996" t="s">
        <v>200</v>
      </c>
      <c r="J39" s="996" t="s">
        <v>200</v>
      </c>
      <c r="K39" s="996" t="s">
        <v>200</v>
      </c>
      <c r="L39" s="996" t="s">
        <v>200</v>
      </c>
      <c r="M39" s="996" t="s">
        <v>200</v>
      </c>
      <c r="N39" s="996" t="s">
        <v>200</v>
      </c>
      <c r="O39" s="996" t="s">
        <v>200</v>
      </c>
      <c r="P39" s="996" t="s">
        <v>200</v>
      </c>
      <c r="Q39" s="996" t="s">
        <v>200</v>
      </c>
      <c r="R39" s="991" t="s">
        <v>200</v>
      </c>
      <c r="S39" s="996" t="s">
        <v>200</v>
      </c>
      <c r="T39" s="996" t="s">
        <v>200</v>
      </c>
      <c r="U39" s="996" t="s">
        <v>200</v>
      </c>
      <c r="V39" s="996" t="s">
        <v>200</v>
      </c>
      <c r="W39" s="996" t="s">
        <v>200</v>
      </c>
      <c r="X39" s="996" t="s">
        <v>200</v>
      </c>
      <c r="Y39" s="996" t="s">
        <v>200</v>
      </c>
      <c r="Z39" s="996" t="s">
        <v>200</v>
      </c>
      <c r="AA39" s="996" t="s">
        <v>200</v>
      </c>
      <c r="AB39" s="996" t="s">
        <v>200</v>
      </c>
      <c r="AC39" s="996" t="s">
        <v>200</v>
      </c>
      <c r="AD39" s="996" t="s">
        <v>200</v>
      </c>
      <c r="AE39" s="991" t="s">
        <v>200</v>
      </c>
      <c r="AF39" s="996" t="s">
        <v>200</v>
      </c>
      <c r="AG39" s="996" t="s">
        <v>200</v>
      </c>
      <c r="AH39" s="996" t="s">
        <v>200</v>
      </c>
      <c r="AI39" s="996" t="s">
        <v>200</v>
      </c>
      <c r="AJ39" s="996" t="s">
        <v>200</v>
      </c>
      <c r="AK39" s="996" t="s">
        <v>200</v>
      </c>
      <c r="AL39" s="996" t="s">
        <v>200</v>
      </c>
      <c r="AM39" s="996" t="s">
        <v>200</v>
      </c>
      <c r="AN39" s="996" t="s">
        <v>200</v>
      </c>
      <c r="AO39" s="996" t="s">
        <v>200</v>
      </c>
      <c r="AP39" s="996" t="s">
        <v>200</v>
      </c>
      <c r="AQ39" s="996" t="s">
        <v>200</v>
      </c>
      <c r="AR39" s="991" t="s">
        <v>200</v>
      </c>
    </row>
    <row r="40" ht="16.5" spans="1:44">
      <c r="A40" s="63" t="str">
        <f>'[3]A1 预算指标总览'!$A$3</f>
        <v>华东一区</v>
      </c>
      <c r="B40" s="63" t="str">
        <f>'[3]A1 预算指标总览'!$B$3</f>
        <v>福建公司</v>
      </c>
      <c r="C40" s="988" t="s">
        <v>225</v>
      </c>
      <c r="D40" s="992">
        <v>36</v>
      </c>
      <c r="E40" s="997" t="s">
        <v>262</v>
      </c>
      <c r="F40" s="990" t="s">
        <v>199</v>
      </c>
      <c r="G40" s="990" t="s">
        <v>199</v>
      </c>
      <c r="H40" s="990" t="s">
        <v>199</v>
      </c>
      <c r="I40" s="990" t="s">
        <v>199</v>
      </c>
      <c r="J40" s="990" t="s">
        <v>199</v>
      </c>
      <c r="K40" s="990" t="s">
        <v>199</v>
      </c>
      <c r="L40" s="990" t="s">
        <v>199</v>
      </c>
      <c r="M40" s="990" t="s">
        <v>199</v>
      </c>
      <c r="N40" s="990" t="s">
        <v>199</v>
      </c>
      <c r="O40" s="990" t="s">
        <v>199</v>
      </c>
      <c r="P40" s="990" t="s">
        <v>199</v>
      </c>
      <c r="Q40" s="990" t="s">
        <v>199</v>
      </c>
      <c r="R40" s="991" t="s">
        <v>200</v>
      </c>
      <c r="S40" s="990" t="s">
        <v>199</v>
      </c>
      <c r="T40" s="990" t="s">
        <v>199</v>
      </c>
      <c r="U40" s="990" t="s">
        <v>199</v>
      </c>
      <c r="V40" s="990" t="s">
        <v>199</v>
      </c>
      <c r="W40" s="990" t="s">
        <v>199</v>
      </c>
      <c r="X40" s="990" t="s">
        <v>199</v>
      </c>
      <c r="Y40" s="990" t="s">
        <v>199</v>
      </c>
      <c r="Z40" s="990" t="s">
        <v>199</v>
      </c>
      <c r="AA40" s="990" t="s">
        <v>199</v>
      </c>
      <c r="AB40" s="990" t="s">
        <v>199</v>
      </c>
      <c r="AC40" s="990" t="s">
        <v>199</v>
      </c>
      <c r="AD40" s="990" t="s">
        <v>199</v>
      </c>
      <c r="AE40" s="991" t="s">
        <v>200</v>
      </c>
      <c r="AF40" s="990" t="s">
        <v>199</v>
      </c>
      <c r="AG40" s="990" t="s">
        <v>199</v>
      </c>
      <c r="AH40" s="990" t="s">
        <v>199</v>
      </c>
      <c r="AI40" s="990" t="s">
        <v>199</v>
      </c>
      <c r="AJ40" s="990" t="s">
        <v>199</v>
      </c>
      <c r="AK40" s="990" t="s">
        <v>199</v>
      </c>
      <c r="AL40" s="990" t="s">
        <v>199</v>
      </c>
      <c r="AM40" s="990" t="s">
        <v>199</v>
      </c>
      <c r="AN40" s="990" t="s">
        <v>199</v>
      </c>
      <c r="AO40" s="990" t="s">
        <v>199</v>
      </c>
      <c r="AP40" s="990" t="s">
        <v>199</v>
      </c>
      <c r="AQ40" s="990" t="s">
        <v>199</v>
      </c>
      <c r="AR40" s="991" t="s">
        <v>200</v>
      </c>
    </row>
    <row r="41" ht="16.5" spans="1:44">
      <c r="A41" s="63" t="str">
        <f>'[3]A1 预算指标总览'!$A$3</f>
        <v>华东一区</v>
      </c>
      <c r="B41" s="63" t="str">
        <f>'[3]A1 预算指标总览'!$B$3</f>
        <v>福建公司</v>
      </c>
      <c r="C41" s="988" t="s">
        <v>225</v>
      </c>
      <c r="D41" s="988">
        <v>37</v>
      </c>
      <c r="E41" s="997" t="s">
        <v>263</v>
      </c>
      <c r="F41" s="990" t="s">
        <v>199</v>
      </c>
      <c r="G41" s="990" t="s">
        <v>199</v>
      </c>
      <c r="H41" s="990" t="s">
        <v>199</v>
      </c>
      <c r="I41" s="990" t="s">
        <v>199</v>
      </c>
      <c r="J41" s="990" t="s">
        <v>199</v>
      </c>
      <c r="K41" s="990" t="s">
        <v>199</v>
      </c>
      <c r="L41" s="990" t="s">
        <v>199</v>
      </c>
      <c r="M41" s="990" t="s">
        <v>199</v>
      </c>
      <c r="N41" s="990" t="s">
        <v>199</v>
      </c>
      <c r="O41" s="990" t="s">
        <v>199</v>
      </c>
      <c r="P41" s="990" t="s">
        <v>199</v>
      </c>
      <c r="Q41" s="990" t="s">
        <v>199</v>
      </c>
      <c r="R41" s="991" t="s">
        <v>200</v>
      </c>
      <c r="S41" s="990" t="s">
        <v>199</v>
      </c>
      <c r="T41" s="990" t="s">
        <v>199</v>
      </c>
      <c r="U41" s="990" t="s">
        <v>199</v>
      </c>
      <c r="V41" s="990" t="s">
        <v>199</v>
      </c>
      <c r="W41" s="990" t="s">
        <v>199</v>
      </c>
      <c r="X41" s="990" t="s">
        <v>199</v>
      </c>
      <c r="Y41" s="990" t="s">
        <v>199</v>
      </c>
      <c r="Z41" s="990" t="s">
        <v>199</v>
      </c>
      <c r="AA41" s="990" t="s">
        <v>199</v>
      </c>
      <c r="AB41" s="990" t="s">
        <v>199</v>
      </c>
      <c r="AC41" s="990" t="s">
        <v>199</v>
      </c>
      <c r="AD41" s="990" t="s">
        <v>199</v>
      </c>
      <c r="AE41" s="991" t="s">
        <v>200</v>
      </c>
      <c r="AF41" s="990" t="s">
        <v>199</v>
      </c>
      <c r="AG41" s="990" t="s">
        <v>199</v>
      </c>
      <c r="AH41" s="990" t="s">
        <v>199</v>
      </c>
      <c r="AI41" s="990" t="s">
        <v>199</v>
      </c>
      <c r="AJ41" s="990" t="s">
        <v>199</v>
      </c>
      <c r="AK41" s="990" t="s">
        <v>199</v>
      </c>
      <c r="AL41" s="990" t="s">
        <v>199</v>
      </c>
      <c r="AM41" s="990" t="s">
        <v>199</v>
      </c>
      <c r="AN41" s="990" t="s">
        <v>199</v>
      </c>
      <c r="AO41" s="990" t="s">
        <v>199</v>
      </c>
      <c r="AP41" s="990" t="s">
        <v>199</v>
      </c>
      <c r="AQ41" s="990" t="s">
        <v>199</v>
      </c>
      <c r="AR41" s="991" t="s">
        <v>200</v>
      </c>
    </row>
    <row r="42" ht="16.5" spans="1:44">
      <c r="A42" s="63" t="str">
        <f>'[3]A1 预算指标总览'!$A$3</f>
        <v>华东一区</v>
      </c>
      <c r="B42" s="63" t="str">
        <f>'[3]A1 预算指标总览'!$B$3</f>
        <v>福建公司</v>
      </c>
      <c r="C42" s="988" t="s">
        <v>225</v>
      </c>
      <c r="D42" s="992">
        <v>38</v>
      </c>
      <c r="E42" s="998" t="s">
        <v>264</v>
      </c>
      <c r="F42" s="996" t="s">
        <v>200</v>
      </c>
      <c r="G42" s="996" t="s">
        <v>200</v>
      </c>
      <c r="H42" s="996" t="s">
        <v>200</v>
      </c>
      <c r="I42" s="996" t="s">
        <v>200</v>
      </c>
      <c r="J42" s="996" t="s">
        <v>200</v>
      </c>
      <c r="K42" s="996" t="s">
        <v>200</v>
      </c>
      <c r="L42" s="996" t="s">
        <v>200</v>
      </c>
      <c r="M42" s="996" t="s">
        <v>200</v>
      </c>
      <c r="N42" s="996" t="s">
        <v>200</v>
      </c>
      <c r="O42" s="996" t="s">
        <v>200</v>
      </c>
      <c r="P42" s="996" t="s">
        <v>200</v>
      </c>
      <c r="Q42" s="996" t="s">
        <v>200</v>
      </c>
      <c r="R42" s="991" t="s">
        <v>200</v>
      </c>
      <c r="S42" s="996" t="s">
        <v>200</v>
      </c>
      <c r="T42" s="996" t="s">
        <v>200</v>
      </c>
      <c r="U42" s="996" t="s">
        <v>200</v>
      </c>
      <c r="V42" s="996" t="s">
        <v>200</v>
      </c>
      <c r="W42" s="996" t="s">
        <v>200</v>
      </c>
      <c r="X42" s="996" t="s">
        <v>200</v>
      </c>
      <c r="Y42" s="996" t="s">
        <v>200</v>
      </c>
      <c r="Z42" s="996" t="s">
        <v>200</v>
      </c>
      <c r="AA42" s="996" t="s">
        <v>200</v>
      </c>
      <c r="AB42" s="996" t="s">
        <v>200</v>
      </c>
      <c r="AC42" s="996" t="s">
        <v>200</v>
      </c>
      <c r="AD42" s="996" t="s">
        <v>200</v>
      </c>
      <c r="AE42" s="991" t="s">
        <v>200</v>
      </c>
      <c r="AF42" s="996" t="s">
        <v>200</v>
      </c>
      <c r="AG42" s="996" t="s">
        <v>200</v>
      </c>
      <c r="AH42" s="996" t="s">
        <v>200</v>
      </c>
      <c r="AI42" s="996" t="s">
        <v>200</v>
      </c>
      <c r="AJ42" s="996" t="s">
        <v>200</v>
      </c>
      <c r="AK42" s="996" t="s">
        <v>200</v>
      </c>
      <c r="AL42" s="996" t="s">
        <v>200</v>
      </c>
      <c r="AM42" s="996" t="s">
        <v>200</v>
      </c>
      <c r="AN42" s="996" t="s">
        <v>200</v>
      </c>
      <c r="AO42" s="996" t="s">
        <v>200</v>
      </c>
      <c r="AP42" s="996" t="s">
        <v>200</v>
      </c>
      <c r="AQ42" s="996" t="s">
        <v>200</v>
      </c>
      <c r="AR42" s="991" t="s">
        <v>200</v>
      </c>
    </row>
    <row r="43" ht="16.5" spans="1:44">
      <c r="A43" s="63" t="str">
        <f>'[3]A1 预算指标总览'!$A$3</f>
        <v>华东一区</v>
      </c>
      <c r="B43" s="63" t="str">
        <f>'[3]A1 预算指标总览'!$B$3</f>
        <v>福建公司</v>
      </c>
      <c r="C43" s="988" t="s">
        <v>225</v>
      </c>
      <c r="D43" s="988">
        <v>39</v>
      </c>
      <c r="E43" s="997" t="s">
        <v>265</v>
      </c>
      <c r="F43" s="990" t="s">
        <v>199</v>
      </c>
      <c r="G43" s="990" t="s">
        <v>199</v>
      </c>
      <c r="H43" s="990" t="s">
        <v>199</v>
      </c>
      <c r="I43" s="990" t="s">
        <v>199</v>
      </c>
      <c r="J43" s="990" t="s">
        <v>199</v>
      </c>
      <c r="K43" s="990" t="s">
        <v>199</v>
      </c>
      <c r="L43" s="990" t="s">
        <v>199</v>
      </c>
      <c r="M43" s="990" t="s">
        <v>199</v>
      </c>
      <c r="N43" s="990" t="s">
        <v>199</v>
      </c>
      <c r="O43" s="990" t="s">
        <v>199</v>
      </c>
      <c r="P43" s="990" t="s">
        <v>199</v>
      </c>
      <c r="Q43" s="990" t="s">
        <v>199</v>
      </c>
      <c r="R43" s="991" t="s">
        <v>200</v>
      </c>
      <c r="S43" s="990" t="s">
        <v>199</v>
      </c>
      <c r="T43" s="990" t="s">
        <v>199</v>
      </c>
      <c r="U43" s="990" t="s">
        <v>199</v>
      </c>
      <c r="V43" s="990" t="s">
        <v>199</v>
      </c>
      <c r="W43" s="990" t="s">
        <v>199</v>
      </c>
      <c r="X43" s="990" t="s">
        <v>199</v>
      </c>
      <c r="Y43" s="990" t="s">
        <v>199</v>
      </c>
      <c r="Z43" s="990" t="s">
        <v>199</v>
      </c>
      <c r="AA43" s="990" t="s">
        <v>199</v>
      </c>
      <c r="AB43" s="990" t="s">
        <v>199</v>
      </c>
      <c r="AC43" s="990" t="s">
        <v>199</v>
      </c>
      <c r="AD43" s="990" t="s">
        <v>199</v>
      </c>
      <c r="AE43" s="991" t="s">
        <v>200</v>
      </c>
      <c r="AF43" s="990" t="s">
        <v>199</v>
      </c>
      <c r="AG43" s="990" t="s">
        <v>199</v>
      </c>
      <c r="AH43" s="990" t="s">
        <v>199</v>
      </c>
      <c r="AI43" s="990" t="s">
        <v>199</v>
      </c>
      <c r="AJ43" s="990" t="s">
        <v>199</v>
      </c>
      <c r="AK43" s="990" t="s">
        <v>199</v>
      </c>
      <c r="AL43" s="990" t="s">
        <v>199</v>
      </c>
      <c r="AM43" s="990" t="s">
        <v>199</v>
      </c>
      <c r="AN43" s="990" t="s">
        <v>199</v>
      </c>
      <c r="AO43" s="990" t="s">
        <v>199</v>
      </c>
      <c r="AP43" s="990" t="s">
        <v>199</v>
      </c>
      <c r="AQ43" s="990" t="s">
        <v>199</v>
      </c>
      <c r="AR43" s="991" t="s">
        <v>200</v>
      </c>
    </row>
    <row r="44" ht="16.5" spans="1:44">
      <c r="A44" s="63" t="str">
        <f>'[3]A1 预算指标总览'!$A$3</f>
        <v>华东一区</v>
      </c>
      <c r="B44" s="63" t="str">
        <f>'[3]A1 预算指标总览'!$B$3</f>
        <v>福建公司</v>
      </c>
      <c r="C44" s="988" t="s">
        <v>225</v>
      </c>
      <c r="D44" s="992">
        <v>40</v>
      </c>
      <c r="E44" s="998" t="s">
        <v>266</v>
      </c>
      <c r="F44" s="996" t="s">
        <v>200</v>
      </c>
      <c r="G44" s="996" t="s">
        <v>200</v>
      </c>
      <c r="H44" s="996" t="s">
        <v>200</v>
      </c>
      <c r="I44" s="996" t="s">
        <v>200</v>
      </c>
      <c r="J44" s="996" t="s">
        <v>200</v>
      </c>
      <c r="K44" s="996" t="s">
        <v>200</v>
      </c>
      <c r="L44" s="996" t="s">
        <v>200</v>
      </c>
      <c r="M44" s="996" t="s">
        <v>200</v>
      </c>
      <c r="N44" s="996" t="s">
        <v>200</v>
      </c>
      <c r="O44" s="996" t="s">
        <v>200</v>
      </c>
      <c r="P44" s="996" t="s">
        <v>200</v>
      </c>
      <c r="Q44" s="996" t="s">
        <v>200</v>
      </c>
      <c r="R44" s="991" t="s">
        <v>200</v>
      </c>
      <c r="S44" s="996" t="s">
        <v>200</v>
      </c>
      <c r="T44" s="996" t="s">
        <v>200</v>
      </c>
      <c r="U44" s="996" t="s">
        <v>200</v>
      </c>
      <c r="V44" s="996" t="s">
        <v>200</v>
      </c>
      <c r="W44" s="996" t="s">
        <v>200</v>
      </c>
      <c r="X44" s="996" t="s">
        <v>200</v>
      </c>
      <c r="Y44" s="996" t="s">
        <v>200</v>
      </c>
      <c r="Z44" s="996" t="s">
        <v>200</v>
      </c>
      <c r="AA44" s="996" t="s">
        <v>200</v>
      </c>
      <c r="AB44" s="996" t="s">
        <v>200</v>
      </c>
      <c r="AC44" s="996" t="s">
        <v>200</v>
      </c>
      <c r="AD44" s="996" t="s">
        <v>200</v>
      </c>
      <c r="AE44" s="991" t="s">
        <v>200</v>
      </c>
      <c r="AF44" s="996" t="s">
        <v>200</v>
      </c>
      <c r="AG44" s="996" t="s">
        <v>200</v>
      </c>
      <c r="AH44" s="996" t="s">
        <v>200</v>
      </c>
      <c r="AI44" s="996" t="s">
        <v>200</v>
      </c>
      <c r="AJ44" s="996" t="s">
        <v>200</v>
      </c>
      <c r="AK44" s="996" t="s">
        <v>200</v>
      </c>
      <c r="AL44" s="996" t="s">
        <v>200</v>
      </c>
      <c r="AM44" s="996" t="s">
        <v>200</v>
      </c>
      <c r="AN44" s="996" t="s">
        <v>200</v>
      </c>
      <c r="AO44" s="996" t="s">
        <v>200</v>
      </c>
      <c r="AP44" s="996" t="s">
        <v>200</v>
      </c>
      <c r="AQ44" s="996" t="s">
        <v>200</v>
      </c>
      <c r="AR44" s="991" t="s">
        <v>200</v>
      </c>
    </row>
    <row r="45" ht="16.5" spans="1:44">
      <c r="A45" s="63" t="str">
        <f>'[3]A1 预算指标总览'!$A$3</f>
        <v>华东一区</v>
      </c>
      <c r="B45" s="63" t="str">
        <f>'[3]A1 预算指标总览'!$B$3</f>
        <v>福建公司</v>
      </c>
      <c r="C45" s="988" t="s">
        <v>225</v>
      </c>
      <c r="D45" s="988">
        <v>41</v>
      </c>
      <c r="E45" s="1002"/>
      <c r="F45" s="1003"/>
      <c r="G45" s="1003"/>
      <c r="H45" s="1003"/>
      <c r="I45" s="1003"/>
      <c r="J45" s="1004"/>
      <c r="K45" s="1004"/>
      <c r="L45" s="1004"/>
      <c r="M45" s="1004"/>
      <c r="N45" s="1004"/>
      <c r="O45" s="1004"/>
      <c r="P45" s="1004"/>
      <c r="Q45" s="1004"/>
      <c r="R45" s="1005"/>
      <c r="S45" s="1006"/>
      <c r="T45" s="1006"/>
      <c r="U45" s="1006"/>
      <c r="V45" s="1006"/>
      <c r="W45" s="1006"/>
      <c r="X45" s="1006"/>
      <c r="Y45" s="1006"/>
      <c r="Z45" s="1006"/>
      <c r="AA45" s="1006"/>
      <c r="AB45" s="1006"/>
      <c r="AC45" s="1006"/>
      <c r="AD45" s="1006"/>
      <c r="AE45" s="1003"/>
      <c r="AF45" s="1006"/>
      <c r="AG45" s="1006"/>
      <c r="AH45" s="1006"/>
      <c r="AI45" s="1006"/>
      <c r="AJ45" s="1006"/>
      <c r="AK45" s="1006"/>
      <c r="AL45" s="1006"/>
      <c r="AM45" s="1006"/>
      <c r="AN45" s="1006"/>
      <c r="AO45" s="1006"/>
      <c r="AP45" s="1006"/>
      <c r="AQ45" s="1006"/>
      <c r="AR45" s="1003"/>
    </row>
    <row r="46" ht="16.5" spans="1:44">
      <c r="A46" s="63" t="str">
        <f>'[3]A1 预算指标总览'!$A$3</f>
        <v>华东一区</v>
      </c>
      <c r="B46" s="63" t="str">
        <f>'[3]A1 预算指标总览'!$B$3</f>
        <v>福建公司</v>
      </c>
      <c r="C46" s="988" t="s">
        <v>225</v>
      </c>
      <c r="D46" s="992">
        <v>42</v>
      </c>
      <c r="E46" s="1007" t="s">
        <v>221</v>
      </c>
      <c r="F46" s="979" t="s">
        <v>190</v>
      </c>
      <c r="G46" s="980"/>
      <c r="H46" s="980"/>
      <c r="I46" s="980"/>
      <c r="J46" s="980"/>
      <c r="K46" s="980"/>
      <c r="L46" s="980"/>
      <c r="M46" s="980"/>
      <c r="N46" s="980"/>
      <c r="O46" s="980"/>
      <c r="P46" s="980"/>
      <c r="Q46" s="980"/>
      <c r="R46" s="981"/>
      <c r="S46" s="980" t="s">
        <v>280</v>
      </c>
      <c r="T46" s="980"/>
      <c r="U46" s="980"/>
      <c r="V46" s="980"/>
      <c r="W46" s="980"/>
      <c r="X46" s="980"/>
      <c r="Y46" s="980"/>
      <c r="Z46" s="980"/>
      <c r="AA46" s="980"/>
      <c r="AB46" s="980"/>
      <c r="AC46" s="980"/>
      <c r="AD46" s="980"/>
      <c r="AE46" s="981"/>
      <c r="AF46" s="980" t="s">
        <v>283</v>
      </c>
      <c r="AG46" s="980"/>
      <c r="AH46" s="980"/>
      <c r="AI46" s="980"/>
      <c r="AJ46" s="980"/>
      <c r="AK46" s="980"/>
      <c r="AL46" s="980"/>
      <c r="AM46" s="980"/>
      <c r="AN46" s="980"/>
      <c r="AO46" s="980"/>
      <c r="AP46" s="980"/>
      <c r="AQ46" s="980"/>
      <c r="AR46" s="981"/>
    </row>
    <row r="47" ht="16.5" spans="1:44">
      <c r="A47" s="63" t="str">
        <f>'[3]A1 预算指标总览'!$A$3</f>
        <v>华东一区</v>
      </c>
      <c r="B47" s="63" t="str">
        <f>'[3]A1 预算指标总览'!$B$3</f>
        <v>福建公司</v>
      </c>
      <c r="C47" s="988" t="s">
        <v>225</v>
      </c>
      <c r="D47" s="988">
        <v>43</v>
      </c>
      <c r="E47" s="1008"/>
      <c r="F47" s="1009">
        <v>1</v>
      </c>
      <c r="G47" s="1009">
        <v>2</v>
      </c>
      <c r="H47" s="1009">
        <v>3</v>
      </c>
      <c r="I47" s="1009">
        <v>4</v>
      </c>
      <c r="J47" s="1009">
        <v>5</v>
      </c>
      <c r="K47" s="1009">
        <v>6</v>
      </c>
      <c r="L47" s="1009">
        <v>7</v>
      </c>
      <c r="M47" s="1009">
        <v>8</v>
      </c>
      <c r="N47" s="1009">
        <v>9</v>
      </c>
      <c r="O47" s="1009">
        <v>10</v>
      </c>
      <c r="P47" s="1009">
        <v>11</v>
      </c>
      <c r="Q47" s="1009">
        <v>12</v>
      </c>
      <c r="R47" s="1010" t="s">
        <v>281</v>
      </c>
      <c r="S47" s="1011">
        <v>1</v>
      </c>
      <c r="T47" s="1009">
        <v>2</v>
      </c>
      <c r="U47" s="1009">
        <v>3</v>
      </c>
      <c r="V47" s="1009">
        <v>4</v>
      </c>
      <c r="W47" s="1009">
        <v>5</v>
      </c>
      <c r="X47" s="1009">
        <v>6</v>
      </c>
      <c r="Y47" s="1009">
        <v>7</v>
      </c>
      <c r="Z47" s="1009">
        <v>8</v>
      </c>
      <c r="AA47" s="1009">
        <v>9</v>
      </c>
      <c r="AB47" s="1009">
        <v>10</v>
      </c>
      <c r="AC47" s="1009">
        <v>11</v>
      </c>
      <c r="AD47" s="1009">
        <v>12</v>
      </c>
      <c r="AE47" s="1009" t="s">
        <v>281</v>
      </c>
      <c r="AF47" s="1011">
        <v>1</v>
      </c>
      <c r="AG47" s="1009">
        <v>2</v>
      </c>
      <c r="AH47" s="1009">
        <v>3</v>
      </c>
      <c r="AI47" s="1009">
        <v>4</v>
      </c>
      <c r="AJ47" s="1009">
        <v>5</v>
      </c>
      <c r="AK47" s="1009">
        <v>6</v>
      </c>
      <c r="AL47" s="1009">
        <v>7</v>
      </c>
      <c r="AM47" s="1009">
        <v>8</v>
      </c>
      <c r="AN47" s="1009">
        <v>9</v>
      </c>
      <c r="AO47" s="1009">
        <v>10</v>
      </c>
      <c r="AP47" s="1009">
        <v>11</v>
      </c>
      <c r="AQ47" s="1009">
        <v>12</v>
      </c>
      <c r="AR47" s="1009" t="s">
        <v>281</v>
      </c>
    </row>
    <row r="48" ht="16.5" spans="1:44">
      <c r="A48" s="63" t="str">
        <f>'[3]A1 预算指标总览'!$A$3</f>
        <v>华东一区</v>
      </c>
      <c r="B48" s="63" t="str">
        <f>'[3]A1 预算指标总览'!$B$3</f>
        <v>福建公司</v>
      </c>
      <c r="C48" s="988" t="s">
        <v>225</v>
      </c>
      <c r="D48" s="992">
        <v>44</v>
      </c>
      <c r="E48" s="997" t="s">
        <v>267</v>
      </c>
      <c r="F48" s="990" t="s">
        <v>199</v>
      </c>
      <c r="G48" s="990" t="s">
        <v>199</v>
      </c>
      <c r="H48" s="990" t="s">
        <v>199</v>
      </c>
      <c r="I48" s="990" t="s">
        <v>199</v>
      </c>
      <c r="J48" s="990" t="s">
        <v>199</v>
      </c>
      <c r="K48" s="990" t="s">
        <v>199</v>
      </c>
      <c r="L48" s="990" t="s">
        <v>199</v>
      </c>
      <c r="M48" s="990" t="s">
        <v>199</v>
      </c>
      <c r="N48" s="990" t="s">
        <v>199</v>
      </c>
      <c r="O48" s="990" t="s">
        <v>199</v>
      </c>
      <c r="P48" s="990" t="s">
        <v>199</v>
      </c>
      <c r="Q48" s="990" t="s">
        <v>199</v>
      </c>
      <c r="R48" s="991" t="s">
        <v>200</v>
      </c>
      <c r="S48" s="990" t="s">
        <v>199</v>
      </c>
      <c r="T48" s="990" t="s">
        <v>199</v>
      </c>
      <c r="U48" s="990" t="s">
        <v>199</v>
      </c>
      <c r="V48" s="990" t="s">
        <v>199</v>
      </c>
      <c r="W48" s="990" t="s">
        <v>199</v>
      </c>
      <c r="X48" s="990" t="s">
        <v>199</v>
      </c>
      <c r="Y48" s="990" t="s">
        <v>199</v>
      </c>
      <c r="Z48" s="990" t="s">
        <v>199</v>
      </c>
      <c r="AA48" s="990" t="s">
        <v>199</v>
      </c>
      <c r="AB48" s="990" t="s">
        <v>199</v>
      </c>
      <c r="AC48" s="990" t="s">
        <v>199</v>
      </c>
      <c r="AD48" s="990" t="s">
        <v>199</v>
      </c>
      <c r="AE48" s="991" t="s">
        <v>200</v>
      </c>
      <c r="AF48" s="990" t="s">
        <v>199</v>
      </c>
      <c r="AG48" s="990" t="s">
        <v>199</v>
      </c>
      <c r="AH48" s="990" t="s">
        <v>199</v>
      </c>
      <c r="AI48" s="990" t="s">
        <v>199</v>
      </c>
      <c r="AJ48" s="990" t="s">
        <v>199</v>
      </c>
      <c r="AK48" s="990" t="s">
        <v>199</v>
      </c>
      <c r="AL48" s="990" t="s">
        <v>199</v>
      </c>
      <c r="AM48" s="990" t="s">
        <v>199</v>
      </c>
      <c r="AN48" s="990" t="s">
        <v>199</v>
      </c>
      <c r="AO48" s="990" t="s">
        <v>199</v>
      </c>
      <c r="AP48" s="990" t="s">
        <v>199</v>
      </c>
      <c r="AQ48" s="990" t="s">
        <v>199</v>
      </c>
      <c r="AR48" s="991" t="s">
        <v>200</v>
      </c>
    </row>
    <row r="49" ht="16.5" spans="1:44">
      <c r="A49" s="63" t="str">
        <f>'[3]A1 预算指标总览'!$A$3</f>
        <v>华东一区</v>
      </c>
      <c r="B49" s="63" t="str">
        <f>'[3]A1 预算指标总览'!$B$3</f>
        <v>福建公司</v>
      </c>
      <c r="C49" s="988" t="s">
        <v>225</v>
      </c>
      <c r="D49" s="988">
        <v>45</v>
      </c>
      <c r="E49" s="997" t="s">
        <v>269</v>
      </c>
      <c r="F49" s="990" t="s">
        <v>199</v>
      </c>
      <c r="G49" s="990" t="s">
        <v>199</v>
      </c>
      <c r="H49" s="990" t="s">
        <v>199</v>
      </c>
      <c r="I49" s="990" t="s">
        <v>199</v>
      </c>
      <c r="J49" s="990" t="s">
        <v>199</v>
      </c>
      <c r="K49" s="990" t="s">
        <v>199</v>
      </c>
      <c r="L49" s="990" t="s">
        <v>199</v>
      </c>
      <c r="M49" s="990" t="s">
        <v>199</v>
      </c>
      <c r="N49" s="990" t="s">
        <v>199</v>
      </c>
      <c r="O49" s="990" t="s">
        <v>199</v>
      </c>
      <c r="P49" s="990" t="s">
        <v>199</v>
      </c>
      <c r="Q49" s="990" t="s">
        <v>199</v>
      </c>
      <c r="R49" s="991" t="s">
        <v>200</v>
      </c>
      <c r="S49" s="990" t="s">
        <v>199</v>
      </c>
      <c r="T49" s="990" t="s">
        <v>199</v>
      </c>
      <c r="U49" s="990" t="s">
        <v>199</v>
      </c>
      <c r="V49" s="990" t="s">
        <v>199</v>
      </c>
      <c r="W49" s="990" t="s">
        <v>199</v>
      </c>
      <c r="X49" s="990" t="s">
        <v>199</v>
      </c>
      <c r="Y49" s="990" t="s">
        <v>199</v>
      </c>
      <c r="Z49" s="990" t="s">
        <v>199</v>
      </c>
      <c r="AA49" s="990" t="s">
        <v>199</v>
      </c>
      <c r="AB49" s="990" t="s">
        <v>199</v>
      </c>
      <c r="AC49" s="990" t="s">
        <v>199</v>
      </c>
      <c r="AD49" s="990" t="s">
        <v>199</v>
      </c>
      <c r="AE49" s="991" t="s">
        <v>200</v>
      </c>
      <c r="AF49" s="990" t="s">
        <v>199</v>
      </c>
      <c r="AG49" s="990" t="s">
        <v>199</v>
      </c>
      <c r="AH49" s="990" t="s">
        <v>199</v>
      </c>
      <c r="AI49" s="990" t="s">
        <v>199</v>
      </c>
      <c r="AJ49" s="990" t="s">
        <v>199</v>
      </c>
      <c r="AK49" s="990" t="s">
        <v>199</v>
      </c>
      <c r="AL49" s="990" t="s">
        <v>199</v>
      </c>
      <c r="AM49" s="990" t="s">
        <v>199</v>
      </c>
      <c r="AN49" s="990" t="s">
        <v>199</v>
      </c>
      <c r="AO49" s="990" t="s">
        <v>199</v>
      </c>
      <c r="AP49" s="990" t="s">
        <v>199</v>
      </c>
      <c r="AQ49" s="990" t="s">
        <v>199</v>
      </c>
      <c r="AR49" s="991" t="s">
        <v>200</v>
      </c>
    </row>
    <row r="50" ht="16.5" spans="1:44">
      <c r="A50" s="63" t="str">
        <f>'[3]A1 预算指标总览'!$A$3</f>
        <v>华东一区</v>
      </c>
      <c r="B50" s="63" t="str">
        <f>'[3]A1 预算指标总览'!$B$3</f>
        <v>福建公司</v>
      </c>
      <c r="C50" s="988" t="s">
        <v>225</v>
      </c>
      <c r="D50" s="992">
        <v>46</v>
      </c>
      <c r="E50" s="997" t="s">
        <v>270</v>
      </c>
      <c r="F50" s="990" t="s">
        <v>199</v>
      </c>
      <c r="G50" s="990" t="s">
        <v>199</v>
      </c>
      <c r="H50" s="990" t="s">
        <v>199</v>
      </c>
      <c r="I50" s="990" t="s">
        <v>199</v>
      </c>
      <c r="J50" s="990" t="s">
        <v>199</v>
      </c>
      <c r="K50" s="990" t="s">
        <v>199</v>
      </c>
      <c r="L50" s="990" t="s">
        <v>199</v>
      </c>
      <c r="M50" s="990" t="s">
        <v>199</v>
      </c>
      <c r="N50" s="990" t="s">
        <v>199</v>
      </c>
      <c r="O50" s="990" t="s">
        <v>199</v>
      </c>
      <c r="P50" s="990" t="s">
        <v>199</v>
      </c>
      <c r="Q50" s="990" t="s">
        <v>199</v>
      </c>
      <c r="R50" s="991" t="s">
        <v>200</v>
      </c>
      <c r="S50" s="990" t="s">
        <v>199</v>
      </c>
      <c r="T50" s="990" t="s">
        <v>199</v>
      </c>
      <c r="U50" s="990" t="s">
        <v>199</v>
      </c>
      <c r="V50" s="990" t="s">
        <v>199</v>
      </c>
      <c r="W50" s="990" t="s">
        <v>199</v>
      </c>
      <c r="X50" s="990" t="s">
        <v>199</v>
      </c>
      <c r="Y50" s="990" t="s">
        <v>199</v>
      </c>
      <c r="Z50" s="990" t="s">
        <v>199</v>
      </c>
      <c r="AA50" s="990" t="s">
        <v>199</v>
      </c>
      <c r="AB50" s="990" t="s">
        <v>199</v>
      </c>
      <c r="AC50" s="990" t="s">
        <v>199</v>
      </c>
      <c r="AD50" s="990" t="s">
        <v>199</v>
      </c>
      <c r="AE50" s="991" t="s">
        <v>200</v>
      </c>
      <c r="AF50" s="990" t="s">
        <v>199</v>
      </c>
      <c r="AG50" s="990" t="s">
        <v>199</v>
      </c>
      <c r="AH50" s="990" t="s">
        <v>199</v>
      </c>
      <c r="AI50" s="990" t="s">
        <v>199</v>
      </c>
      <c r="AJ50" s="990" t="s">
        <v>199</v>
      </c>
      <c r="AK50" s="990" t="s">
        <v>199</v>
      </c>
      <c r="AL50" s="990" t="s">
        <v>199</v>
      </c>
      <c r="AM50" s="990" t="s">
        <v>199</v>
      </c>
      <c r="AN50" s="990" t="s">
        <v>199</v>
      </c>
      <c r="AO50" s="990" t="s">
        <v>199</v>
      </c>
      <c r="AP50" s="990" t="s">
        <v>199</v>
      </c>
      <c r="AQ50" s="990" t="s">
        <v>199</v>
      </c>
      <c r="AR50" s="991" t="s">
        <v>200</v>
      </c>
    </row>
    <row r="51" ht="16.5" spans="1:44">
      <c r="A51" s="63" t="str">
        <f>'[3]A1 预算指标总览'!$A$3</f>
        <v>华东一区</v>
      </c>
      <c r="B51" s="63" t="str">
        <f>'[3]A1 预算指标总览'!$B$3</f>
        <v>福建公司</v>
      </c>
      <c r="C51" s="988" t="s">
        <v>225</v>
      </c>
      <c r="D51" s="988">
        <v>47</v>
      </c>
      <c r="E51" s="997" t="s">
        <v>271</v>
      </c>
      <c r="F51" s="990" t="s">
        <v>199</v>
      </c>
      <c r="G51" s="990" t="s">
        <v>199</v>
      </c>
      <c r="H51" s="990" t="s">
        <v>199</v>
      </c>
      <c r="I51" s="990" t="s">
        <v>199</v>
      </c>
      <c r="J51" s="990" t="s">
        <v>199</v>
      </c>
      <c r="K51" s="990" t="s">
        <v>199</v>
      </c>
      <c r="L51" s="990" t="s">
        <v>199</v>
      </c>
      <c r="M51" s="990" t="s">
        <v>199</v>
      </c>
      <c r="N51" s="990" t="s">
        <v>199</v>
      </c>
      <c r="O51" s="990" t="s">
        <v>199</v>
      </c>
      <c r="P51" s="990" t="s">
        <v>199</v>
      </c>
      <c r="Q51" s="990" t="s">
        <v>199</v>
      </c>
      <c r="R51" s="991" t="s">
        <v>200</v>
      </c>
      <c r="S51" s="990" t="s">
        <v>199</v>
      </c>
      <c r="T51" s="990" t="s">
        <v>199</v>
      </c>
      <c r="U51" s="990" t="s">
        <v>199</v>
      </c>
      <c r="V51" s="990" t="s">
        <v>199</v>
      </c>
      <c r="W51" s="990" t="s">
        <v>199</v>
      </c>
      <c r="X51" s="990" t="s">
        <v>199</v>
      </c>
      <c r="Y51" s="990" t="s">
        <v>199</v>
      </c>
      <c r="Z51" s="990" t="s">
        <v>199</v>
      </c>
      <c r="AA51" s="990" t="s">
        <v>199</v>
      </c>
      <c r="AB51" s="990" t="s">
        <v>199</v>
      </c>
      <c r="AC51" s="990" t="s">
        <v>199</v>
      </c>
      <c r="AD51" s="990" t="s">
        <v>199</v>
      </c>
      <c r="AE51" s="991" t="s">
        <v>200</v>
      </c>
      <c r="AF51" s="990" t="s">
        <v>199</v>
      </c>
      <c r="AG51" s="990" t="s">
        <v>199</v>
      </c>
      <c r="AH51" s="990" t="s">
        <v>199</v>
      </c>
      <c r="AI51" s="990" t="s">
        <v>199</v>
      </c>
      <c r="AJ51" s="990" t="s">
        <v>199</v>
      </c>
      <c r="AK51" s="990" t="s">
        <v>199</v>
      </c>
      <c r="AL51" s="990" t="s">
        <v>199</v>
      </c>
      <c r="AM51" s="990" t="s">
        <v>199</v>
      </c>
      <c r="AN51" s="990" t="s">
        <v>199</v>
      </c>
      <c r="AO51" s="990" t="s">
        <v>199</v>
      </c>
      <c r="AP51" s="990" t="s">
        <v>199</v>
      </c>
      <c r="AQ51" s="990" t="s">
        <v>199</v>
      </c>
      <c r="AR51" s="991" t="s">
        <v>200</v>
      </c>
    </row>
    <row r="52" ht="16.5" spans="1:44">
      <c r="A52" s="63" t="str">
        <f>'[3]A1 预算指标总览'!$A$3</f>
        <v>华东一区</v>
      </c>
      <c r="B52" s="63" t="str">
        <f>'[3]A1 预算指标总览'!$B$3</f>
        <v>福建公司</v>
      </c>
      <c r="C52" s="988" t="s">
        <v>225</v>
      </c>
      <c r="D52" s="992">
        <v>48</v>
      </c>
      <c r="E52" s="1012" t="s">
        <v>272</v>
      </c>
      <c r="F52" s="990" t="s">
        <v>199</v>
      </c>
      <c r="G52" s="990" t="s">
        <v>199</v>
      </c>
      <c r="H52" s="990" t="s">
        <v>199</v>
      </c>
      <c r="I52" s="990" t="s">
        <v>199</v>
      </c>
      <c r="J52" s="990" t="s">
        <v>199</v>
      </c>
      <c r="K52" s="990" t="s">
        <v>199</v>
      </c>
      <c r="L52" s="990" t="s">
        <v>199</v>
      </c>
      <c r="M52" s="990" t="s">
        <v>199</v>
      </c>
      <c r="N52" s="990" t="s">
        <v>199</v>
      </c>
      <c r="O52" s="990" t="s">
        <v>199</v>
      </c>
      <c r="P52" s="990" t="s">
        <v>199</v>
      </c>
      <c r="Q52" s="990" t="s">
        <v>199</v>
      </c>
      <c r="R52" s="991" t="s">
        <v>200</v>
      </c>
      <c r="S52" s="990" t="s">
        <v>199</v>
      </c>
      <c r="T52" s="990" t="s">
        <v>199</v>
      </c>
      <c r="U52" s="990" t="s">
        <v>199</v>
      </c>
      <c r="V52" s="990" t="s">
        <v>199</v>
      </c>
      <c r="W52" s="990" t="s">
        <v>199</v>
      </c>
      <c r="X52" s="990" t="s">
        <v>199</v>
      </c>
      <c r="Y52" s="990" t="s">
        <v>199</v>
      </c>
      <c r="Z52" s="990" t="s">
        <v>199</v>
      </c>
      <c r="AA52" s="990" t="s">
        <v>199</v>
      </c>
      <c r="AB52" s="990" t="s">
        <v>199</v>
      </c>
      <c r="AC52" s="990" t="s">
        <v>199</v>
      </c>
      <c r="AD52" s="990" t="s">
        <v>199</v>
      </c>
      <c r="AE52" s="991" t="s">
        <v>200</v>
      </c>
      <c r="AF52" s="990" t="s">
        <v>199</v>
      </c>
      <c r="AG52" s="990" t="s">
        <v>199</v>
      </c>
      <c r="AH52" s="990" t="s">
        <v>199</v>
      </c>
      <c r="AI52" s="990" t="s">
        <v>199</v>
      </c>
      <c r="AJ52" s="990" t="s">
        <v>199</v>
      </c>
      <c r="AK52" s="990" t="s">
        <v>199</v>
      </c>
      <c r="AL52" s="990" t="s">
        <v>199</v>
      </c>
      <c r="AM52" s="990" t="s">
        <v>199</v>
      </c>
      <c r="AN52" s="990" t="s">
        <v>199</v>
      </c>
      <c r="AO52" s="990" t="s">
        <v>199</v>
      </c>
      <c r="AP52" s="990" t="s">
        <v>199</v>
      </c>
      <c r="AQ52" s="990" t="s">
        <v>199</v>
      </c>
      <c r="AR52" s="991" t="s">
        <v>200</v>
      </c>
    </row>
    <row r="53" ht="16.5" spans="1:44">
      <c r="A53" s="63" t="str">
        <f>'[3]A1 预算指标总览'!$A$3</f>
        <v>华东一区</v>
      </c>
      <c r="B53" s="63" t="str">
        <f>'[3]A1 预算指标总览'!$B$3</f>
        <v>福建公司</v>
      </c>
      <c r="C53" s="988" t="s">
        <v>225</v>
      </c>
      <c r="D53" s="988">
        <v>49</v>
      </c>
      <c r="E53" s="1012" t="s">
        <v>273</v>
      </c>
      <c r="F53" s="990" t="s">
        <v>199</v>
      </c>
      <c r="G53" s="990" t="s">
        <v>199</v>
      </c>
      <c r="H53" s="990" t="s">
        <v>199</v>
      </c>
      <c r="I53" s="990" t="s">
        <v>199</v>
      </c>
      <c r="J53" s="990" t="s">
        <v>199</v>
      </c>
      <c r="K53" s="990" t="s">
        <v>199</v>
      </c>
      <c r="L53" s="990" t="s">
        <v>199</v>
      </c>
      <c r="M53" s="990" t="s">
        <v>199</v>
      </c>
      <c r="N53" s="990" t="s">
        <v>199</v>
      </c>
      <c r="O53" s="990" t="s">
        <v>199</v>
      </c>
      <c r="P53" s="990" t="s">
        <v>199</v>
      </c>
      <c r="Q53" s="990" t="s">
        <v>199</v>
      </c>
      <c r="R53" s="991" t="s">
        <v>200</v>
      </c>
      <c r="S53" s="990" t="s">
        <v>199</v>
      </c>
      <c r="T53" s="990" t="s">
        <v>199</v>
      </c>
      <c r="U53" s="990" t="s">
        <v>199</v>
      </c>
      <c r="V53" s="990" t="s">
        <v>199</v>
      </c>
      <c r="W53" s="990" t="s">
        <v>199</v>
      </c>
      <c r="X53" s="990" t="s">
        <v>199</v>
      </c>
      <c r="Y53" s="990" t="s">
        <v>199</v>
      </c>
      <c r="Z53" s="990" t="s">
        <v>199</v>
      </c>
      <c r="AA53" s="990" t="s">
        <v>199</v>
      </c>
      <c r="AB53" s="990" t="s">
        <v>199</v>
      </c>
      <c r="AC53" s="990" t="s">
        <v>199</v>
      </c>
      <c r="AD53" s="990" t="s">
        <v>199</v>
      </c>
      <c r="AE53" s="991" t="s">
        <v>200</v>
      </c>
      <c r="AF53" s="990" t="s">
        <v>199</v>
      </c>
      <c r="AG53" s="990" t="s">
        <v>199</v>
      </c>
      <c r="AH53" s="990" t="s">
        <v>199</v>
      </c>
      <c r="AI53" s="990" t="s">
        <v>199</v>
      </c>
      <c r="AJ53" s="990" t="s">
        <v>199</v>
      </c>
      <c r="AK53" s="990" t="s">
        <v>199</v>
      </c>
      <c r="AL53" s="990" t="s">
        <v>199</v>
      </c>
      <c r="AM53" s="990" t="s">
        <v>199</v>
      </c>
      <c r="AN53" s="990" t="s">
        <v>199</v>
      </c>
      <c r="AO53" s="990" t="s">
        <v>199</v>
      </c>
      <c r="AP53" s="990" t="s">
        <v>199</v>
      </c>
      <c r="AQ53" s="990" t="s">
        <v>199</v>
      </c>
      <c r="AR53" s="991" t="s">
        <v>200</v>
      </c>
    </row>
    <row r="54" ht="16.5" spans="1:44">
      <c r="A54" s="63" t="str">
        <f>'[3]A1 预算指标总览'!$A$3</f>
        <v>华东一区</v>
      </c>
      <c r="B54" s="63" t="str">
        <f>'[3]A1 预算指标总览'!$B$3</f>
        <v>福建公司</v>
      </c>
      <c r="C54" s="988" t="s">
        <v>225</v>
      </c>
      <c r="D54" s="992">
        <v>50</v>
      </c>
      <c r="E54" s="1012" t="s">
        <v>274</v>
      </c>
      <c r="F54" s="990" t="s">
        <v>199</v>
      </c>
      <c r="G54" s="990" t="s">
        <v>199</v>
      </c>
      <c r="H54" s="990" t="s">
        <v>199</v>
      </c>
      <c r="I54" s="990" t="s">
        <v>199</v>
      </c>
      <c r="J54" s="990" t="s">
        <v>199</v>
      </c>
      <c r="K54" s="990" t="s">
        <v>199</v>
      </c>
      <c r="L54" s="990" t="s">
        <v>199</v>
      </c>
      <c r="M54" s="990" t="s">
        <v>199</v>
      </c>
      <c r="N54" s="990" t="s">
        <v>199</v>
      </c>
      <c r="O54" s="990" t="s">
        <v>199</v>
      </c>
      <c r="P54" s="990" t="s">
        <v>199</v>
      </c>
      <c r="Q54" s="990" t="s">
        <v>199</v>
      </c>
      <c r="R54" s="991" t="s">
        <v>200</v>
      </c>
      <c r="S54" s="990" t="s">
        <v>199</v>
      </c>
      <c r="T54" s="990" t="s">
        <v>199</v>
      </c>
      <c r="U54" s="990" t="s">
        <v>199</v>
      </c>
      <c r="V54" s="990" t="s">
        <v>199</v>
      </c>
      <c r="W54" s="990" t="s">
        <v>199</v>
      </c>
      <c r="X54" s="990" t="s">
        <v>199</v>
      </c>
      <c r="Y54" s="990" t="s">
        <v>199</v>
      </c>
      <c r="Z54" s="990" t="s">
        <v>199</v>
      </c>
      <c r="AA54" s="990" t="s">
        <v>199</v>
      </c>
      <c r="AB54" s="990" t="s">
        <v>199</v>
      </c>
      <c r="AC54" s="990" t="s">
        <v>199</v>
      </c>
      <c r="AD54" s="990" t="s">
        <v>199</v>
      </c>
      <c r="AE54" s="991" t="s">
        <v>200</v>
      </c>
      <c r="AF54" s="990" t="s">
        <v>199</v>
      </c>
      <c r="AG54" s="990" t="s">
        <v>199</v>
      </c>
      <c r="AH54" s="990" t="s">
        <v>199</v>
      </c>
      <c r="AI54" s="990" t="s">
        <v>199</v>
      </c>
      <c r="AJ54" s="990" t="s">
        <v>199</v>
      </c>
      <c r="AK54" s="990" t="s">
        <v>199</v>
      </c>
      <c r="AL54" s="990" t="s">
        <v>199</v>
      </c>
      <c r="AM54" s="990" t="s">
        <v>199</v>
      </c>
      <c r="AN54" s="990" t="s">
        <v>199</v>
      </c>
      <c r="AO54" s="990" t="s">
        <v>199</v>
      </c>
      <c r="AP54" s="990" t="s">
        <v>199</v>
      </c>
      <c r="AQ54" s="990" t="s">
        <v>199</v>
      </c>
      <c r="AR54" s="991" t="s">
        <v>200</v>
      </c>
    </row>
    <row r="55" ht="16.5" spans="1:44">
      <c r="A55" s="63" t="str">
        <f>'[3]A1 预算指标总览'!$A$3</f>
        <v>华东一区</v>
      </c>
      <c r="B55" s="63" t="str">
        <f>'[3]A1 预算指标总览'!$B$3</f>
        <v>福建公司</v>
      </c>
      <c r="C55" s="988" t="s">
        <v>225</v>
      </c>
      <c r="D55" s="988">
        <v>51</v>
      </c>
      <c r="E55" s="997" t="s">
        <v>275</v>
      </c>
      <c r="F55" s="990" t="s">
        <v>199</v>
      </c>
      <c r="G55" s="990" t="s">
        <v>199</v>
      </c>
      <c r="H55" s="990" t="s">
        <v>199</v>
      </c>
      <c r="I55" s="990" t="s">
        <v>199</v>
      </c>
      <c r="J55" s="990" t="s">
        <v>199</v>
      </c>
      <c r="K55" s="990" t="s">
        <v>199</v>
      </c>
      <c r="L55" s="990" t="s">
        <v>199</v>
      </c>
      <c r="M55" s="990" t="s">
        <v>199</v>
      </c>
      <c r="N55" s="990" t="s">
        <v>199</v>
      </c>
      <c r="O55" s="990" t="s">
        <v>199</v>
      </c>
      <c r="P55" s="990" t="s">
        <v>199</v>
      </c>
      <c r="Q55" s="990" t="s">
        <v>199</v>
      </c>
      <c r="R55" s="991" t="s">
        <v>200</v>
      </c>
      <c r="S55" s="990" t="s">
        <v>199</v>
      </c>
      <c r="T55" s="990" t="s">
        <v>199</v>
      </c>
      <c r="U55" s="990" t="s">
        <v>199</v>
      </c>
      <c r="V55" s="990" t="s">
        <v>199</v>
      </c>
      <c r="W55" s="990" t="s">
        <v>199</v>
      </c>
      <c r="X55" s="990" t="s">
        <v>199</v>
      </c>
      <c r="Y55" s="990" t="s">
        <v>199</v>
      </c>
      <c r="Z55" s="990" t="s">
        <v>199</v>
      </c>
      <c r="AA55" s="990" t="s">
        <v>199</v>
      </c>
      <c r="AB55" s="990" t="s">
        <v>199</v>
      </c>
      <c r="AC55" s="990" t="s">
        <v>199</v>
      </c>
      <c r="AD55" s="990" t="s">
        <v>199</v>
      </c>
      <c r="AE55" s="991" t="s">
        <v>200</v>
      </c>
      <c r="AF55" s="990" t="s">
        <v>199</v>
      </c>
      <c r="AG55" s="990" t="s">
        <v>199</v>
      </c>
      <c r="AH55" s="990" t="s">
        <v>199</v>
      </c>
      <c r="AI55" s="990" t="s">
        <v>199</v>
      </c>
      <c r="AJ55" s="990" t="s">
        <v>199</v>
      </c>
      <c r="AK55" s="990" t="s">
        <v>199</v>
      </c>
      <c r="AL55" s="990" t="s">
        <v>199</v>
      </c>
      <c r="AM55" s="990" t="s">
        <v>199</v>
      </c>
      <c r="AN55" s="990" t="s">
        <v>199</v>
      </c>
      <c r="AO55" s="990" t="s">
        <v>199</v>
      </c>
      <c r="AP55" s="990" t="s">
        <v>199</v>
      </c>
      <c r="AQ55" s="990" t="s">
        <v>199</v>
      </c>
      <c r="AR55" s="991" t="s">
        <v>200</v>
      </c>
    </row>
    <row r="56" ht="17.25" spans="1:44">
      <c r="A56" s="63" t="str">
        <f>'[3]A1 预算指标总览'!$A$3</f>
        <v>华东一区</v>
      </c>
      <c r="B56" s="63" t="str">
        <f>'[3]A1 预算指标总览'!$B$3</f>
        <v>福建公司</v>
      </c>
      <c r="C56" s="988" t="s">
        <v>225</v>
      </c>
      <c r="D56" s="992">
        <v>52</v>
      </c>
      <c r="E56" s="1013" t="s">
        <v>276</v>
      </c>
      <c r="F56" s="996" t="s">
        <v>200</v>
      </c>
      <c r="G56" s="996" t="s">
        <v>200</v>
      </c>
      <c r="H56" s="996" t="s">
        <v>200</v>
      </c>
      <c r="I56" s="996" t="s">
        <v>200</v>
      </c>
      <c r="J56" s="996" t="s">
        <v>200</v>
      </c>
      <c r="K56" s="996" t="s">
        <v>200</v>
      </c>
      <c r="L56" s="996" t="s">
        <v>200</v>
      </c>
      <c r="M56" s="996" t="s">
        <v>200</v>
      </c>
      <c r="N56" s="996" t="s">
        <v>200</v>
      </c>
      <c r="O56" s="996" t="s">
        <v>200</v>
      </c>
      <c r="P56" s="996" t="s">
        <v>200</v>
      </c>
      <c r="Q56" s="996" t="s">
        <v>200</v>
      </c>
      <c r="R56" s="991" t="s">
        <v>200</v>
      </c>
      <c r="S56" s="996" t="s">
        <v>200</v>
      </c>
      <c r="T56" s="996" t="s">
        <v>200</v>
      </c>
      <c r="U56" s="996" t="s">
        <v>200</v>
      </c>
      <c r="V56" s="996" t="s">
        <v>200</v>
      </c>
      <c r="W56" s="996" t="s">
        <v>200</v>
      </c>
      <c r="X56" s="996" t="s">
        <v>200</v>
      </c>
      <c r="Y56" s="996" t="s">
        <v>200</v>
      </c>
      <c r="Z56" s="996" t="s">
        <v>200</v>
      </c>
      <c r="AA56" s="996" t="s">
        <v>200</v>
      </c>
      <c r="AB56" s="996" t="s">
        <v>200</v>
      </c>
      <c r="AC56" s="996" t="s">
        <v>200</v>
      </c>
      <c r="AD56" s="996" t="s">
        <v>200</v>
      </c>
      <c r="AE56" s="991" t="s">
        <v>200</v>
      </c>
      <c r="AF56" s="996" t="s">
        <v>200</v>
      </c>
      <c r="AG56" s="996" t="s">
        <v>200</v>
      </c>
      <c r="AH56" s="996" t="s">
        <v>200</v>
      </c>
      <c r="AI56" s="996" t="s">
        <v>200</v>
      </c>
      <c r="AJ56" s="996" t="s">
        <v>200</v>
      </c>
      <c r="AK56" s="996" t="s">
        <v>200</v>
      </c>
      <c r="AL56" s="996" t="s">
        <v>200</v>
      </c>
      <c r="AM56" s="996" t="s">
        <v>200</v>
      </c>
      <c r="AN56" s="996" t="s">
        <v>200</v>
      </c>
      <c r="AO56" s="996" t="s">
        <v>200</v>
      </c>
      <c r="AP56" s="996" t="s">
        <v>200</v>
      </c>
      <c r="AQ56" s="996" t="s">
        <v>200</v>
      </c>
      <c r="AR56" s="991" t="s">
        <v>200</v>
      </c>
    </row>
    <row r="57" ht="16.5" spans="1:44">
      <c r="A57" s="63" t="str">
        <f>'[3]A1 预算指标总览'!$A$3</f>
        <v>华东一区</v>
      </c>
      <c r="B57" s="63" t="str">
        <f>'[3]A1 预算指标总览'!$B$3</f>
        <v>福建公司</v>
      </c>
      <c r="C57" s="988" t="s">
        <v>225</v>
      </c>
      <c r="D57" s="988">
        <v>53</v>
      </c>
      <c r="E57" s="1014"/>
      <c r="F57" s="1015"/>
      <c r="G57" s="1015"/>
      <c r="H57" s="1015"/>
      <c r="I57" s="1015"/>
      <c r="J57" s="1015"/>
      <c r="K57" s="1015"/>
      <c r="L57" s="1015"/>
      <c r="M57" s="1015"/>
      <c r="N57" s="1015"/>
      <c r="O57" s="1015"/>
      <c r="P57" s="1015"/>
      <c r="Q57" s="1015"/>
      <c r="R57" s="991" t="s">
        <v>200</v>
      </c>
      <c r="S57" s="1015"/>
      <c r="T57" s="1015"/>
      <c r="U57" s="1015"/>
      <c r="V57" s="1015"/>
      <c r="W57" s="1015"/>
      <c r="X57" s="1015"/>
      <c r="Y57" s="1015"/>
      <c r="Z57" s="1015"/>
      <c r="AA57" s="1015"/>
      <c r="AB57" s="1015"/>
      <c r="AC57" s="1015"/>
      <c r="AD57" s="1015"/>
      <c r="AE57" s="991" t="s">
        <v>200</v>
      </c>
      <c r="AF57" s="1015"/>
      <c r="AG57" s="1015"/>
      <c r="AH57" s="1015"/>
      <c r="AI57" s="1015"/>
      <c r="AJ57" s="1015"/>
      <c r="AK57" s="1015"/>
      <c r="AL57" s="1015"/>
      <c r="AM57" s="1015"/>
      <c r="AN57" s="1015"/>
      <c r="AO57" s="1015"/>
      <c r="AP57" s="1015"/>
      <c r="AQ57" s="1015"/>
      <c r="AR57" s="991" t="s">
        <v>200</v>
      </c>
    </row>
    <row r="58" ht="16.5" spans="1:44">
      <c r="A58" s="1016" t="str">
        <f>'[3]A1 预算指标总览'!$A$3</f>
        <v>华东一区</v>
      </c>
      <c r="B58" s="1016" t="str">
        <f>'[3]A1 预算指标总览'!$B$3</f>
        <v>福建公司</v>
      </c>
      <c r="C58" s="1017" t="s">
        <v>225</v>
      </c>
      <c r="D58" s="1018">
        <v>54</v>
      </c>
      <c r="E58" s="1019" t="s">
        <v>205</v>
      </c>
      <c r="F58" s="996" t="s">
        <v>200</v>
      </c>
      <c r="G58" s="996" t="s">
        <v>200</v>
      </c>
      <c r="H58" s="996" t="s">
        <v>200</v>
      </c>
      <c r="I58" s="996" t="s">
        <v>200</v>
      </c>
      <c r="J58" s="996" t="s">
        <v>200</v>
      </c>
      <c r="K58" s="996" t="s">
        <v>200</v>
      </c>
      <c r="L58" s="996" t="s">
        <v>200</v>
      </c>
      <c r="M58" s="996" t="s">
        <v>200</v>
      </c>
      <c r="N58" s="996" t="s">
        <v>200</v>
      </c>
      <c r="O58" s="996" t="s">
        <v>200</v>
      </c>
      <c r="P58" s="996" t="s">
        <v>200</v>
      </c>
      <c r="Q58" s="996" t="s">
        <v>200</v>
      </c>
      <c r="R58" s="991" t="s">
        <v>200</v>
      </c>
      <c r="S58" s="996" t="s">
        <v>200</v>
      </c>
      <c r="T58" s="996" t="s">
        <v>200</v>
      </c>
      <c r="U58" s="996" t="s">
        <v>200</v>
      </c>
      <c r="V58" s="996" t="s">
        <v>200</v>
      </c>
      <c r="W58" s="996" t="s">
        <v>200</v>
      </c>
      <c r="X58" s="996" t="s">
        <v>200</v>
      </c>
      <c r="Y58" s="996" t="s">
        <v>200</v>
      </c>
      <c r="Z58" s="996" t="s">
        <v>200</v>
      </c>
      <c r="AA58" s="996" t="s">
        <v>200</v>
      </c>
      <c r="AB58" s="996" t="s">
        <v>200</v>
      </c>
      <c r="AC58" s="996" t="s">
        <v>200</v>
      </c>
      <c r="AD58" s="996" t="s">
        <v>200</v>
      </c>
      <c r="AE58" s="991" t="s">
        <v>200</v>
      </c>
      <c r="AF58" s="996" t="s">
        <v>200</v>
      </c>
      <c r="AG58" s="996" t="s">
        <v>200</v>
      </c>
      <c r="AH58" s="996" t="s">
        <v>200</v>
      </c>
      <c r="AI58" s="996" t="s">
        <v>200</v>
      </c>
      <c r="AJ58" s="996" t="s">
        <v>200</v>
      </c>
      <c r="AK58" s="996" t="s">
        <v>200</v>
      </c>
      <c r="AL58" s="996" t="s">
        <v>200</v>
      </c>
      <c r="AM58" s="996" t="s">
        <v>200</v>
      </c>
      <c r="AN58" s="996" t="s">
        <v>200</v>
      </c>
      <c r="AO58" s="996" t="s">
        <v>200</v>
      </c>
      <c r="AP58" s="996" t="s">
        <v>200</v>
      </c>
      <c r="AQ58" s="996" t="s">
        <v>200</v>
      </c>
      <c r="AR58" s="991" t="s">
        <v>200</v>
      </c>
    </row>
    <row r="59" ht="16.5" spans="1:44">
      <c r="F59" s="992"/>
    </row>
  </sheetData>
  <mergeCells count="12">
    <mergeCell ref="F2:R2"/>
    <mergeCell ref="S2:AE2"/>
    <mergeCell ref="AF2:AR2"/>
    <mergeCell ref="F46:R46"/>
    <mergeCell ref="S46:AE46"/>
    <mergeCell ref="AF46:AR46"/>
    <mergeCell ref="A2:A3"/>
    <mergeCell ref="B2:B3"/>
    <mergeCell ref="C2:C3"/>
    <mergeCell ref="D2:D3"/>
    <mergeCell ref="E2:E3"/>
    <mergeCell ref="E46:E47"/>
  </mergeCells>
  <conditionalFormatting sqref="F48:F59">
    <cfRule type="cellIs" dxfId="1" priority="6" operator="lessThan">
      <formula>0</formula>
    </cfRule>
  </conditionalFormatting>
  <conditionalFormatting sqref="F4:Q44">
    <cfRule type="cellIs" dxfId="1" priority="11" operator="lessThan">
      <formula>0</formula>
    </cfRule>
  </conditionalFormatting>
  <conditionalFormatting sqref="S4:AD44">
    <cfRule type="cellIs" dxfId="1" priority="9" operator="lessThan">
      <formula>0</formula>
    </cfRule>
  </conditionalFormatting>
  <conditionalFormatting sqref="AF4:AQ44">
    <cfRule type="cellIs" dxfId="1" priority="7" operator="lessThan">
      <formula>0</formula>
    </cfRule>
  </conditionalFormatting>
  <conditionalFormatting sqref="G48:Q58">
    <cfRule type="cellIs" dxfId="1" priority="5" operator="lessThan">
      <formula>0</formula>
    </cfRule>
  </conditionalFormatting>
  <conditionalFormatting sqref="S48:AD58">
    <cfRule type="cellIs" dxfId="1" priority="3" operator="lessThan">
      <formula>0</formula>
    </cfRule>
  </conditionalFormatting>
  <conditionalFormatting sqref="AF48:AQ58">
    <cfRule type="cellIs" dxfId="1" priority="1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theme="6" tint="0.599993896298105"/>
  </sheetPr>
  <dimension ref="A1:AF9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B5" sqref="B5"/>
    </sheetView>
  </sheetViews>
  <sheetFormatPr defaultColWidth="8.90833333333333" defaultRowHeight="13.5"/>
  <cols>
    <col min="7" max="8" width="12.5416666666667" customWidth="1"/>
    <col min="9" max="9" width="11.9083333333333" customWidth="1"/>
    <col min="10" max="12" width="10.0916666666667" customWidth="1"/>
    <col min="17" max="17" width="12.5416666666667" customWidth="1"/>
  </cols>
  <sheetData>
    <row r="1" spans="1:32">
      <c r="A1" s="162" t="s">
        <v>185</v>
      </c>
    </row>
    <row r="2" spans="1:32">
      <c r="E2" s="966" t="s">
        <v>284</v>
      </c>
    </row>
    <row r="3" spans="1:32">
      <c r="A3" s="967" t="s">
        <v>188</v>
      </c>
      <c r="B3" s="967" t="s">
        <v>285</v>
      </c>
      <c r="C3" s="967" t="s">
        <v>286</v>
      </c>
      <c r="D3" s="967"/>
      <c r="E3" s="967"/>
      <c r="F3" s="967"/>
      <c r="G3" s="967"/>
      <c r="H3" s="967"/>
      <c r="I3" s="967"/>
      <c r="J3" s="967"/>
      <c r="K3" s="967"/>
      <c r="L3" s="967"/>
      <c r="M3" s="968" t="s">
        <v>287</v>
      </c>
      <c r="N3" s="969"/>
      <c r="O3" s="969"/>
      <c r="P3" s="969"/>
      <c r="Q3" s="969"/>
      <c r="R3" s="969"/>
      <c r="S3" s="969"/>
      <c r="T3" s="969"/>
      <c r="U3" s="969"/>
      <c r="V3" s="970"/>
      <c r="W3" s="967" t="s">
        <v>288</v>
      </c>
      <c r="X3" s="967"/>
      <c r="Y3" s="967"/>
      <c r="Z3" s="967"/>
      <c r="AA3" s="967"/>
      <c r="AB3" s="967"/>
      <c r="AC3" s="967"/>
      <c r="AD3" s="967"/>
      <c r="AE3" s="967"/>
      <c r="AF3" s="967"/>
    </row>
    <row r="4" spans="1:32">
      <c r="A4" s="967"/>
      <c r="B4" s="967"/>
      <c r="C4" s="967" t="s">
        <v>58</v>
      </c>
      <c r="D4" s="967" t="s">
        <v>289</v>
      </c>
      <c r="E4" s="967" t="s">
        <v>210</v>
      </c>
      <c r="F4" s="967" t="s">
        <v>110</v>
      </c>
      <c r="G4" s="967" t="s">
        <v>290</v>
      </c>
      <c r="H4" s="967" t="s">
        <v>291</v>
      </c>
      <c r="I4" s="967" t="s">
        <v>292</v>
      </c>
      <c r="J4" s="967" t="s">
        <v>293</v>
      </c>
      <c r="K4" s="967" t="s">
        <v>294</v>
      </c>
      <c r="L4" s="967" t="s">
        <v>295</v>
      </c>
      <c r="M4" s="967" t="s">
        <v>58</v>
      </c>
      <c r="N4" s="967" t="s">
        <v>289</v>
      </c>
      <c r="O4" s="967" t="s">
        <v>210</v>
      </c>
      <c r="P4" s="967" t="s">
        <v>110</v>
      </c>
      <c r="Q4" s="967" t="s">
        <v>290</v>
      </c>
      <c r="R4" s="967" t="s">
        <v>291</v>
      </c>
      <c r="S4" s="967" t="s">
        <v>292</v>
      </c>
      <c r="T4" s="967" t="s">
        <v>293</v>
      </c>
      <c r="U4" s="967" t="s">
        <v>294</v>
      </c>
      <c r="V4" s="967" t="s">
        <v>295</v>
      </c>
      <c r="W4" s="967" t="s">
        <v>58</v>
      </c>
      <c r="X4" s="967" t="s">
        <v>289</v>
      </c>
      <c r="Y4" s="967" t="s">
        <v>210</v>
      </c>
      <c r="Z4" s="967" t="s">
        <v>110</v>
      </c>
      <c r="AA4" s="967" t="s">
        <v>290</v>
      </c>
      <c r="AB4" s="967" t="s">
        <v>291</v>
      </c>
      <c r="AC4" s="967" t="s">
        <v>292</v>
      </c>
      <c r="AD4" s="967" t="s">
        <v>293</v>
      </c>
      <c r="AE4" s="967" t="s">
        <v>294</v>
      </c>
      <c r="AF4" s="967" t="s">
        <v>295</v>
      </c>
    </row>
    <row r="5" spans="1:32">
      <c r="A5" s="127"/>
      <c r="B5" s="490" t="s">
        <v>296</v>
      </c>
      <c r="C5" s="971" t="s">
        <v>199</v>
      </c>
      <c r="D5" s="971" t="s">
        <v>199</v>
      </c>
      <c r="E5" s="972" t="s">
        <v>199</v>
      </c>
      <c r="F5" s="971" t="s">
        <v>199</v>
      </c>
      <c r="G5" s="971" t="s">
        <v>199</v>
      </c>
      <c r="H5" s="971" t="s">
        <v>199</v>
      </c>
      <c r="I5" s="973" t="s">
        <v>200</v>
      </c>
      <c r="J5" s="973" t="s">
        <v>200</v>
      </c>
      <c r="K5" s="973" t="s">
        <v>200</v>
      </c>
      <c r="L5" s="973" t="s">
        <v>200</v>
      </c>
      <c r="M5" s="973" t="s">
        <v>200</v>
      </c>
      <c r="N5" s="973" t="s">
        <v>200</v>
      </c>
      <c r="O5" s="973" t="s">
        <v>200</v>
      </c>
      <c r="P5" s="973" t="s">
        <v>200</v>
      </c>
      <c r="Q5" s="973" t="s">
        <v>200</v>
      </c>
      <c r="R5" s="973" t="s">
        <v>200</v>
      </c>
      <c r="S5" s="973" t="s">
        <v>200</v>
      </c>
      <c r="T5" s="973" t="s">
        <v>200</v>
      </c>
      <c r="U5" s="973" t="s">
        <v>200</v>
      </c>
      <c r="V5" s="973" t="s">
        <v>200</v>
      </c>
      <c r="W5" s="971" t="s">
        <v>199</v>
      </c>
      <c r="X5" s="971" t="s">
        <v>199</v>
      </c>
      <c r="Y5" s="972" t="s">
        <v>199</v>
      </c>
      <c r="Z5" s="971" t="s">
        <v>199</v>
      </c>
      <c r="AA5" s="971" t="s">
        <v>199</v>
      </c>
      <c r="AB5" s="971" t="s">
        <v>199</v>
      </c>
      <c r="AC5" s="973" t="s">
        <v>200</v>
      </c>
      <c r="AD5" s="973" t="s">
        <v>200</v>
      </c>
      <c r="AE5" s="973" t="s">
        <v>200</v>
      </c>
      <c r="AF5" s="973" t="s">
        <v>200</v>
      </c>
    </row>
    <row r="6" spans="1:32">
      <c r="A6" s="127"/>
      <c r="B6" s="490" t="s">
        <v>297</v>
      </c>
      <c r="C6" s="971" t="s">
        <v>199</v>
      </c>
      <c r="D6" s="971" t="s">
        <v>199</v>
      </c>
      <c r="E6" s="972" t="s">
        <v>199</v>
      </c>
      <c r="F6" s="971" t="s">
        <v>199</v>
      </c>
      <c r="G6" s="971" t="s">
        <v>199</v>
      </c>
      <c r="H6" s="971" t="s">
        <v>199</v>
      </c>
      <c r="I6" s="973" t="s">
        <v>200</v>
      </c>
      <c r="J6" s="973" t="s">
        <v>200</v>
      </c>
      <c r="K6" s="973" t="s">
        <v>200</v>
      </c>
      <c r="L6" s="973" t="s">
        <v>200</v>
      </c>
      <c r="M6" s="973" t="s">
        <v>200</v>
      </c>
      <c r="N6" s="973" t="s">
        <v>200</v>
      </c>
      <c r="O6" s="973" t="s">
        <v>200</v>
      </c>
      <c r="P6" s="973" t="s">
        <v>200</v>
      </c>
      <c r="Q6" s="973" t="s">
        <v>200</v>
      </c>
      <c r="R6" s="973" t="s">
        <v>200</v>
      </c>
      <c r="S6" s="973" t="s">
        <v>200</v>
      </c>
      <c r="T6" s="973" t="s">
        <v>200</v>
      </c>
      <c r="U6" s="973" t="s">
        <v>200</v>
      </c>
      <c r="V6" s="973" t="s">
        <v>200</v>
      </c>
      <c r="W6" s="971" t="s">
        <v>199</v>
      </c>
      <c r="X6" s="971" t="s">
        <v>199</v>
      </c>
      <c r="Y6" s="972" t="s">
        <v>199</v>
      </c>
      <c r="Z6" s="971" t="s">
        <v>199</v>
      </c>
      <c r="AA6" s="971" t="s">
        <v>199</v>
      </c>
      <c r="AB6" s="971" t="s">
        <v>199</v>
      </c>
      <c r="AC6" s="973" t="s">
        <v>200</v>
      </c>
      <c r="AD6" s="973" t="s">
        <v>200</v>
      </c>
      <c r="AE6" s="973" t="s">
        <v>200</v>
      </c>
      <c r="AF6" s="973" t="s">
        <v>200</v>
      </c>
    </row>
    <row r="7" spans="1:32">
      <c r="A7" s="127"/>
      <c r="B7" s="490" t="s">
        <v>298</v>
      </c>
      <c r="C7" s="971" t="s">
        <v>199</v>
      </c>
      <c r="D7" s="971" t="s">
        <v>199</v>
      </c>
      <c r="E7" s="972" t="s">
        <v>199</v>
      </c>
      <c r="F7" s="971" t="s">
        <v>199</v>
      </c>
      <c r="G7" s="971" t="s">
        <v>199</v>
      </c>
      <c r="H7" s="971" t="s">
        <v>199</v>
      </c>
      <c r="I7" s="973" t="s">
        <v>200</v>
      </c>
      <c r="J7" s="973" t="s">
        <v>200</v>
      </c>
      <c r="K7" s="973" t="s">
        <v>200</v>
      </c>
      <c r="L7" s="973" t="s">
        <v>200</v>
      </c>
      <c r="M7" s="973" t="s">
        <v>200</v>
      </c>
      <c r="N7" s="973" t="s">
        <v>200</v>
      </c>
      <c r="O7" s="973" t="s">
        <v>200</v>
      </c>
      <c r="P7" s="973" t="s">
        <v>200</v>
      </c>
      <c r="Q7" s="973" t="s">
        <v>200</v>
      </c>
      <c r="R7" s="973" t="s">
        <v>200</v>
      </c>
      <c r="S7" s="973" t="s">
        <v>200</v>
      </c>
      <c r="T7" s="973" t="s">
        <v>200</v>
      </c>
      <c r="U7" s="973" t="s">
        <v>200</v>
      </c>
      <c r="V7" s="973" t="s">
        <v>200</v>
      </c>
      <c r="W7" s="971" t="s">
        <v>199</v>
      </c>
      <c r="X7" s="971" t="s">
        <v>199</v>
      </c>
      <c r="Y7" s="972" t="s">
        <v>199</v>
      </c>
      <c r="Z7" s="971" t="s">
        <v>199</v>
      </c>
      <c r="AA7" s="971" t="s">
        <v>199</v>
      </c>
      <c r="AB7" s="971" t="s">
        <v>199</v>
      </c>
      <c r="AC7" s="973" t="s">
        <v>200</v>
      </c>
      <c r="AD7" s="973" t="s">
        <v>200</v>
      </c>
      <c r="AE7" s="973" t="s">
        <v>200</v>
      </c>
      <c r="AF7" s="973" t="s">
        <v>200</v>
      </c>
    </row>
    <row r="8" spans="1:32">
      <c r="A8" s="127"/>
      <c r="B8" s="490" t="s">
        <v>299</v>
      </c>
      <c r="C8" s="971" t="s">
        <v>199</v>
      </c>
      <c r="D8" s="971" t="s">
        <v>199</v>
      </c>
      <c r="E8" s="972" t="s">
        <v>199</v>
      </c>
      <c r="F8" s="971" t="s">
        <v>199</v>
      </c>
      <c r="G8" s="971" t="s">
        <v>199</v>
      </c>
      <c r="H8" s="971" t="s">
        <v>199</v>
      </c>
      <c r="I8" s="973" t="s">
        <v>200</v>
      </c>
      <c r="J8" s="973" t="s">
        <v>200</v>
      </c>
      <c r="K8" s="973" t="s">
        <v>200</v>
      </c>
      <c r="L8" s="973" t="s">
        <v>200</v>
      </c>
      <c r="M8" s="973" t="s">
        <v>200</v>
      </c>
      <c r="N8" s="973" t="s">
        <v>200</v>
      </c>
      <c r="O8" s="973" t="s">
        <v>200</v>
      </c>
      <c r="P8" s="973" t="s">
        <v>200</v>
      </c>
      <c r="Q8" s="973" t="s">
        <v>200</v>
      </c>
      <c r="R8" s="973" t="s">
        <v>200</v>
      </c>
      <c r="S8" s="973" t="s">
        <v>200</v>
      </c>
      <c r="T8" s="973" t="s">
        <v>200</v>
      </c>
      <c r="U8" s="973" t="s">
        <v>200</v>
      </c>
      <c r="V8" s="973" t="s">
        <v>200</v>
      </c>
      <c r="W8" s="971" t="s">
        <v>199</v>
      </c>
      <c r="X8" s="971" t="s">
        <v>199</v>
      </c>
      <c r="Y8" s="972" t="s">
        <v>199</v>
      </c>
      <c r="Z8" s="971" t="s">
        <v>199</v>
      </c>
      <c r="AA8" s="971" t="s">
        <v>199</v>
      </c>
      <c r="AB8" s="971" t="s">
        <v>199</v>
      </c>
      <c r="AC8" s="973" t="s">
        <v>200</v>
      </c>
      <c r="AD8" s="973" t="s">
        <v>200</v>
      </c>
      <c r="AE8" s="973" t="s">
        <v>200</v>
      </c>
      <c r="AF8" s="973" t="s">
        <v>200</v>
      </c>
    </row>
    <row r="9" spans="1:32">
      <c r="A9" s="127"/>
      <c r="B9" s="490" t="s">
        <v>281</v>
      </c>
      <c r="C9" s="973" t="s">
        <v>200</v>
      </c>
      <c r="D9" s="973" t="s">
        <v>200</v>
      </c>
      <c r="E9" s="974" t="s">
        <v>200</v>
      </c>
      <c r="F9" s="973" t="s">
        <v>200</v>
      </c>
      <c r="G9" s="973" t="s">
        <v>200</v>
      </c>
      <c r="H9" s="973" t="s">
        <v>200</v>
      </c>
      <c r="I9" s="973" t="s">
        <v>200</v>
      </c>
      <c r="J9" s="973" t="s">
        <v>200</v>
      </c>
      <c r="K9" s="973" t="s">
        <v>200</v>
      </c>
      <c r="L9" s="973" t="s">
        <v>200</v>
      </c>
      <c r="M9" s="973" t="s">
        <v>200</v>
      </c>
      <c r="N9" s="973" t="s">
        <v>200</v>
      </c>
      <c r="O9" s="973" t="s">
        <v>200</v>
      </c>
      <c r="P9" s="973" t="s">
        <v>200</v>
      </c>
      <c r="Q9" s="973" t="s">
        <v>200</v>
      </c>
      <c r="R9" s="973" t="s">
        <v>200</v>
      </c>
      <c r="S9" s="973" t="s">
        <v>200</v>
      </c>
      <c r="T9" s="973" t="s">
        <v>200</v>
      </c>
      <c r="U9" s="973" t="s">
        <v>200</v>
      </c>
      <c r="V9" s="973" t="s">
        <v>200</v>
      </c>
      <c r="W9" s="973" t="s">
        <v>200</v>
      </c>
      <c r="X9" s="973" t="s">
        <v>200</v>
      </c>
      <c r="Y9" s="974" t="s">
        <v>200</v>
      </c>
      <c r="Z9" s="973" t="s">
        <v>200</v>
      </c>
      <c r="AA9" s="973" t="s">
        <v>200</v>
      </c>
      <c r="AB9" s="973" t="s">
        <v>200</v>
      </c>
      <c r="AC9" s="973" t="s">
        <v>200</v>
      </c>
      <c r="AD9" s="973" t="s">
        <v>200</v>
      </c>
      <c r="AE9" s="973" t="s">
        <v>200</v>
      </c>
      <c r="AF9" s="973" t="s">
        <v>200</v>
      </c>
    </row>
  </sheetData>
  <mergeCells count="5">
    <mergeCell ref="C3:L3"/>
    <mergeCell ref="M3:V3"/>
    <mergeCell ref="W3:AF3"/>
    <mergeCell ref="A3:A4"/>
    <mergeCell ref="B3:B4"/>
  </mergeCells>
  <hyperlinks>
    <hyperlink ref="A1" location="目录!A1" display="← 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theme="6" tint="0.599993896298105"/>
  </sheetPr>
  <dimension ref="A1:AT8"/>
  <sheetViews>
    <sheetView zoomScale="115" zoomScaleNormal="115" workbookViewId="0">
      <selection activeCell="G25" sqref="G25"/>
    </sheetView>
  </sheetViews>
  <sheetFormatPr defaultColWidth="7.49166666666667" defaultRowHeight="13.5" outlineLevelRow="7"/>
  <cols>
    <col min="1" max="2" width="7.49166666666667" customWidth="1"/>
    <col min="3" max="46" width="7.49166666666667" style="964" customWidth="1"/>
    <col min="47" max="16384" width="7.49166666666667" customWidth="1"/>
  </cols>
  <sheetData>
    <row r="1" spans="1:46">
      <c r="A1" s="162" t="s">
        <v>185</v>
      </c>
      <c r="B1" s="490" t="s">
        <v>188</v>
      </c>
      <c r="C1" s="490" t="s">
        <v>300</v>
      </c>
      <c r="D1" s="490" t="s">
        <v>294</v>
      </c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  <c r="R1" s="490"/>
      <c r="S1" s="490" t="s">
        <v>301</v>
      </c>
      <c r="T1" s="490"/>
      <c r="U1" s="490"/>
      <c r="V1" s="490"/>
      <c r="W1" s="490"/>
      <c r="X1" s="490"/>
      <c r="Y1" s="490"/>
      <c r="Z1" s="490"/>
      <c r="AA1" s="490"/>
      <c r="AB1" s="490"/>
      <c r="AC1" s="490"/>
      <c r="AD1" s="490"/>
      <c r="AE1" s="490"/>
      <c r="AF1" s="490"/>
      <c r="AG1" s="965" t="s">
        <v>58</v>
      </c>
      <c r="AH1" s="965"/>
      <c r="AI1" s="965"/>
      <c r="AJ1" s="965"/>
      <c r="AK1" s="965"/>
      <c r="AL1" s="965"/>
      <c r="AM1" s="965"/>
      <c r="AN1" s="965"/>
      <c r="AO1" s="965"/>
      <c r="AP1" s="965"/>
      <c r="AQ1" s="965"/>
      <c r="AR1" s="965"/>
      <c r="AS1" s="965"/>
      <c r="AT1" s="965"/>
    </row>
    <row r="2" spans="1:46">
      <c r="A2" s="490"/>
      <c r="B2" s="490"/>
      <c r="C2" s="490"/>
      <c r="D2" s="490" t="s">
        <v>302</v>
      </c>
      <c r="E2" s="490" t="s">
        <v>303</v>
      </c>
      <c r="F2" s="965" t="s">
        <v>287</v>
      </c>
      <c r="G2" s="490" t="s">
        <v>304</v>
      </c>
      <c r="H2" s="490" t="s">
        <v>305</v>
      </c>
      <c r="I2" s="490" t="s">
        <v>306</v>
      </c>
      <c r="J2" s="490" t="s">
        <v>307</v>
      </c>
      <c r="K2" s="490" t="s">
        <v>308</v>
      </c>
      <c r="L2" s="490" t="s">
        <v>309</v>
      </c>
      <c r="M2" s="490" t="s">
        <v>310</v>
      </c>
      <c r="N2" s="490" t="s">
        <v>311</v>
      </c>
      <c r="O2" s="490" t="s">
        <v>312</v>
      </c>
      <c r="P2" s="490" t="s">
        <v>313</v>
      </c>
      <c r="Q2" s="490" t="s">
        <v>314</v>
      </c>
      <c r="R2" s="490" t="s">
        <v>315</v>
      </c>
      <c r="S2" s="490" t="s">
        <v>302</v>
      </c>
      <c r="T2" s="490" t="s">
        <v>303</v>
      </c>
      <c r="U2" s="490" t="s">
        <v>304</v>
      </c>
      <c r="V2" s="490" t="s">
        <v>305</v>
      </c>
      <c r="W2" s="490" t="s">
        <v>306</v>
      </c>
      <c r="X2" s="490" t="s">
        <v>307</v>
      </c>
      <c r="Y2" s="490" t="s">
        <v>308</v>
      </c>
      <c r="Z2" s="490" t="s">
        <v>309</v>
      </c>
      <c r="AA2" s="490" t="s">
        <v>310</v>
      </c>
      <c r="AB2" s="490" t="s">
        <v>311</v>
      </c>
      <c r="AC2" s="490" t="s">
        <v>312</v>
      </c>
      <c r="AD2" s="490" t="s">
        <v>313</v>
      </c>
      <c r="AE2" s="490" t="s">
        <v>314</v>
      </c>
      <c r="AF2" s="490" t="s">
        <v>315</v>
      </c>
      <c r="AG2" s="965" t="s">
        <v>302</v>
      </c>
      <c r="AH2" s="965" t="s">
        <v>303</v>
      </c>
      <c r="AI2" s="965" t="s">
        <v>304</v>
      </c>
      <c r="AJ2" s="965" t="s">
        <v>305</v>
      </c>
      <c r="AK2" s="965" t="s">
        <v>306</v>
      </c>
      <c r="AL2" s="965" t="s">
        <v>307</v>
      </c>
      <c r="AM2" s="965" t="s">
        <v>308</v>
      </c>
      <c r="AN2" s="965" t="s">
        <v>309</v>
      </c>
      <c r="AO2" s="965" t="s">
        <v>310</v>
      </c>
      <c r="AP2" s="965" t="s">
        <v>311</v>
      </c>
      <c r="AQ2" s="965" t="s">
        <v>312</v>
      </c>
      <c r="AR2" s="965" t="s">
        <v>313</v>
      </c>
      <c r="AS2" s="965" t="s">
        <v>314</v>
      </c>
      <c r="AT2" s="965" t="s">
        <v>315</v>
      </c>
    </row>
    <row r="3" spans="1:46">
      <c r="A3" s="127"/>
      <c r="B3" s="127"/>
      <c r="C3" s="490" t="s">
        <v>316</v>
      </c>
      <c r="D3" s="490"/>
      <c r="E3" s="490"/>
      <c r="F3" s="965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90"/>
      <c r="Y3" s="490"/>
      <c r="Z3" s="490"/>
      <c r="AA3" s="490"/>
      <c r="AB3" s="490"/>
      <c r="AC3" s="490"/>
      <c r="AD3" s="490"/>
      <c r="AE3" s="490"/>
      <c r="AF3" s="490"/>
      <c r="AG3" s="965"/>
      <c r="AH3" s="965"/>
      <c r="AI3" s="965"/>
      <c r="AJ3" s="965"/>
      <c r="AK3" s="965"/>
      <c r="AL3" s="965"/>
      <c r="AM3" s="965"/>
      <c r="AN3" s="965"/>
      <c r="AO3" s="965"/>
      <c r="AP3" s="965"/>
      <c r="AQ3" s="965"/>
      <c r="AR3" s="965"/>
      <c r="AS3" s="965"/>
      <c r="AT3" s="965"/>
    </row>
    <row r="4" spans="1:46">
      <c r="A4" s="127"/>
      <c r="B4" s="127"/>
      <c r="C4" s="490" t="s">
        <v>296</v>
      </c>
      <c r="D4" s="490"/>
      <c r="E4" s="490"/>
      <c r="F4" s="965"/>
      <c r="G4" s="490"/>
      <c r="H4" s="490"/>
      <c r="I4" s="490"/>
      <c r="J4" s="490"/>
      <c r="K4" s="490"/>
      <c r="L4" s="490"/>
      <c r="M4" s="490"/>
      <c r="N4" s="490"/>
      <c r="O4" s="490"/>
      <c r="P4" s="490"/>
      <c r="Q4" s="490"/>
      <c r="R4" s="490"/>
      <c r="S4" s="490"/>
      <c r="T4" s="490"/>
      <c r="U4" s="490"/>
      <c r="V4" s="490"/>
      <c r="W4" s="490"/>
      <c r="X4" s="490"/>
      <c r="Y4" s="490"/>
      <c r="Z4" s="490"/>
      <c r="AA4" s="490"/>
      <c r="AB4" s="490"/>
      <c r="AC4" s="490"/>
      <c r="AD4" s="490"/>
      <c r="AE4" s="490"/>
      <c r="AF4" s="490"/>
      <c r="AG4" s="490"/>
      <c r="AH4" s="490"/>
      <c r="AI4" s="490"/>
      <c r="AJ4" s="490"/>
      <c r="AK4" s="490"/>
      <c r="AL4" s="490"/>
      <c r="AM4" s="490"/>
      <c r="AN4" s="490"/>
      <c r="AO4" s="490"/>
      <c r="AP4" s="490"/>
      <c r="AQ4" s="490"/>
      <c r="AR4" s="490"/>
      <c r="AS4" s="490"/>
      <c r="AT4" s="490"/>
    </row>
    <row r="5" spans="1:46">
      <c r="A5" s="127"/>
      <c r="B5" s="127"/>
      <c r="C5" s="490" t="s">
        <v>297</v>
      </c>
      <c r="D5" s="490"/>
      <c r="E5" s="490"/>
      <c r="F5" s="965"/>
      <c r="G5" s="490"/>
      <c r="H5" s="490"/>
      <c r="I5" s="490"/>
      <c r="J5" s="490"/>
      <c r="K5" s="490"/>
      <c r="L5" s="490"/>
      <c r="M5" s="490"/>
      <c r="N5" s="490"/>
      <c r="O5" s="490"/>
      <c r="P5" s="490"/>
      <c r="Q5" s="490"/>
      <c r="R5" s="490"/>
      <c r="S5" s="490"/>
      <c r="T5" s="490"/>
      <c r="U5" s="490"/>
      <c r="V5" s="490"/>
      <c r="W5" s="490"/>
      <c r="X5" s="490"/>
      <c r="Y5" s="490"/>
      <c r="Z5" s="490"/>
      <c r="AA5" s="490"/>
      <c r="AB5" s="490"/>
      <c r="AC5" s="490"/>
      <c r="AD5" s="490"/>
      <c r="AE5" s="490"/>
      <c r="AF5" s="490"/>
      <c r="AG5" s="490"/>
      <c r="AH5" s="490"/>
      <c r="AI5" s="490"/>
      <c r="AJ5" s="490"/>
      <c r="AK5" s="490"/>
      <c r="AL5" s="490"/>
      <c r="AM5" s="490"/>
      <c r="AN5" s="490"/>
      <c r="AO5" s="490"/>
      <c r="AP5" s="490"/>
      <c r="AQ5" s="490"/>
      <c r="AR5" s="490"/>
      <c r="AS5" s="490"/>
      <c r="AT5" s="490"/>
    </row>
    <row r="6" spans="1:46">
      <c r="A6" s="127"/>
      <c r="B6" s="127"/>
      <c r="C6" s="490" t="s">
        <v>317</v>
      </c>
      <c r="D6" s="490"/>
      <c r="E6" s="490"/>
      <c r="F6" s="965"/>
      <c r="G6" s="490"/>
      <c r="H6" s="490"/>
      <c r="I6" s="490"/>
      <c r="J6" s="490"/>
      <c r="K6" s="490"/>
      <c r="L6" s="490"/>
      <c r="M6" s="490"/>
      <c r="N6" s="490"/>
      <c r="O6" s="490"/>
      <c r="P6" s="490"/>
      <c r="Q6" s="490"/>
      <c r="R6" s="490"/>
      <c r="S6" s="490"/>
      <c r="T6" s="490"/>
      <c r="U6" s="490"/>
      <c r="V6" s="490"/>
      <c r="W6" s="490"/>
      <c r="X6" s="490"/>
      <c r="Y6" s="490"/>
      <c r="Z6" s="490"/>
      <c r="AA6" s="490"/>
      <c r="AB6" s="490"/>
      <c r="AC6" s="490"/>
      <c r="AD6" s="490"/>
      <c r="AE6" s="490"/>
      <c r="AF6" s="490"/>
      <c r="AG6" s="490"/>
      <c r="AH6" s="490"/>
      <c r="AI6" s="490"/>
      <c r="AJ6" s="490"/>
      <c r="AK6" s="490"/>
      <c r="AL6" s="490"/>
      <c r="AM6" s="490"/>
      <c r="AN6" s="490"/>
      <c r="AO6" s="490"/>
      <c r="AP6" s="490"/>
      <c r="AQ6" s="490"/>
      <c r="AR6" s="490"/>
      <c r="AS6" s="490"/>
      <c r="AT6" s="490"/>
    </row>
    <row r="7" spans="1:46">
      <c r="A7" s="127"/>
      <c r="B7" s="127"/>
      <c r="C7" s="490" t="s">
        <v>299</v>
      </c>
      <c r="D7" s="490"/>
      <c r="E7" s="490"/>
      <c r="F7" s="965"/>
      <c r="G7" s="490"/>
      <c r="H7" s="490"/>
      <c r="I7" s="490"/>
      <c r="J7" s="490"/>
      <c r="K7" s="490"/>
      <c r="L7" s="490"/>
      <c r="M7" s="490"/>
      <c r="N7" s="490"/>
      <c r="O7" s="490"/>
      <c r="P7" s="490"/>
      <c r="Q7" s="490"/>
      <c r="R7" s="490"/>
      <c r="S7" s="490"/>
      <c r="T7" s="490"/>
      <c r="U7" s="490"/>
      <c r="V7" s="490"/>
      <c r="W7" s="490"/>
      <c r="X7" s="490"/>
      <c r="Y7" s="490"/>
      <c r="Z7" s="490"/>
      <c r="AA7" s="490"/>
      <c r="AB7" s="490"/>
      <c r="AC7" s="490"/>
      <c r="AD7" s="490"/>
      <c r="AE7" s="490"/>
      <c r="AF7" s="490"/>
      <c r="AG7" s="490"/>
      <c r="AH7" s="490"/>
      <c r="AI7" s="490"/>
      <c r="AJ7" s="490"/>
      <c r="AK7" s="490"/>
      <c r="AL7" s="490"/>
      <c r="AM7" s="490"/>
      <c r="AN7" s="490"/>
      <c r="AO7" s="490"/>
      <c r="AP7" s="490"/>
      <c r="AQ7" s="490"/>
      <c r="AR7" s="490"/>
      <c r="AS7" s="490"/>
      <c r="AT7" s="490"/>
    </row>
    <row r="8" spans="1:46">
      <c r="A8" s="127"/>
      <c r="B8" s="127"/>
      <c r="C8" s="490" t="s">
        <v>318</v>
      </c>
      <c r="D8" s="490"/>
      <c r="E8" s="490"/>
      <c r="F8" s="965"/>
      <c r="G8" s="490"/>
      <c r="H8" s="490"/>
      <c r="I8" s="490"/>
      <c r="J8" s="490"/>
      <c r="K8" s="490"/>
      <c r="L8" s="490"/>
      <c r="M8" s="490"/>
      <c r="N8" s="490"/>
      <c r="O8" s="490"/>
      <c r="P8" s="490"/>
      <c r="Q8" s="490"/>
      <c r="R8" s="490"/>
      <c r="S8" s="490"/>
      <c r="T8" s="490"/>
      <c r="U8" s="490"/>
      <c r="V8" s="490"/>
      <c r="W8" s="490"/>
      <c r="X8" s="490"/>
      <c r="Y8" s="490"/>
      <c r="Z8" s="490"/>
      <c r="AA8" s="490"/>
      <c r="AB8" s="490"/>
      <c r="AC8" s="490"/>
      <c r="AD8" s="490"/>
      <c r="AE8" s="490"/>
      <c r="AF8" s="490"/>
      <c r="AG8" s="490"/>
      <c r="AH8" s="490"/>
      <c r="AI8" s="490"/>
      <c r="AJ8" s="490"/>
      <c r="AK8" s="490"/>
      <c r="AL8" s="490"/>
      <c r="AM8" s="490"/>
      <c r="AN8" s="490"/>
      <c r="AO8" s="490"/>
      <c r="AP8" s="490"/>
      <c r="AQ8" s="490"/>
      <c r="AR8" s="490"/>
      <c r="AS8" s="490"/>
      <c r="AT8" s="490"/>
    </row>
  </sheetData>
  <mergeCells count="6">
    <mergeCell ref="D1:R1"/>
    <mergeCell ref="S1:AF1"/>
    <mergeCell ref="AG1:AT1"/>
    <mergeCell ref="A1:A2"/>
    <mergeCell ref="B1:B2"/>
    <mergeCell ref="C1:C2"/>
  </mergeCells>
  <hyperlinks>
    <hyperlink ref="A1" location="目录!A1" display="← 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18">
    <tabColor theme="6" tint="0.599993896298105"/>
  </sheetPr>
  <dimension ref="A1:AD31"/>
  <sheetViews>
    <sheetView workbookViewId="0">
      <selection activeCell="J1" sqref="J$1:J$1048576"/>
    </sheetView>
  </sheetViews>
  <sheetFormatPr defaultColWidth="8.90833333333333" defaultRowHeight="13.5"/>
  <cols>
    <col min="1" max="1" width="13.8166666666667" customWidth="1"/>
    <col min="4" max="4" width="29.25" customWidth="1"/>
    <col min="5" max="5" width="15.625" customWidth="1"/>
    <col min="6" max="6" width="17.375" customWidth="1"/>
    <col min="8" max="8" width="30.125" customWidth="1"/>
    <col min="10" max="10" width="14.875" customWidth="1"/>
    <col min="11" max="11" width="14.25" customWidth="1"/>
  </cols>
  <sheetData>
    <row r="1" s="920" customFormat="1" ht="14.25" spans="1:30">
      <c r="A1" s="202" t="s">
        <v>185</v>
      </c>
      <c r="B1" s="921"/>
      <c r="C1" s="328" t="s">
        <v>319</v>
      </c>
      <c r="E1" s="922" t="s">
        <v>115</v>
      </c>
      <c r="F1" s="922"/>
      <c r="H1" s="923" t="s">
        <v>162</v>
      </c>
      <c r="I1" s="924" t="s">
        <v>320</v>
      </c>
      <c r="J1" s="924"/>
      <c r="K1" s="925" t="s">
        <v>187</v>
      </c>
      <c r="L1" s="925" t="s">
        <v>0</v>
      </c>
      <c r="M1" s="926" t="s">
        <v>321</v>
      </c>
      <c r="N1" s="926" t="s">
        <v>322</v>
      </c>
      <c r="O1" s="927" t="s">
        <v>323</v>
      </c>
      <c r="P1" s="928" t="s">
        <v>324</v>
      </c>
      <c r="Q1" s="925" t="s">
        <v>325</v>
      </c>
      <c r="R1" s="929"/>
      <c r="S1" s="925" t="s">
        <v>326</v>
      </c>
      <c r="T1" s="925" t="s">
        <v>327</v>
      </c>
      <c r="U1" s="925" t="s">
        <v>328</v>
      </c>
      <c r="V1" s="925" t="s">
        <v>329</v>
      </c>
      <c r="W1" s="924"/>
      <c r="X1" s="930" t="s">
        <v>330</v>
      </c>
      <c r="Y1" s="930"/>
      <c r="Z1" s="924"/>
      <c r="AA1" s="931" t="s">
        <v>324</v>
      </c>
      <c r="AB1" s="931" t="s">
        <v>331</v>
      </c>
      <c r="AC1" s="932" t="s">
        <v>332</v>
      </c>
      <c r="AD1" s="920" t="s">
        <v>300</v>
      </c>
    </row>
    <row r="2" s="920" customFormat="1" ht="14.25" spans="1:30">
      <c r="A2" s="933" t="s">
        <v>221</v>
      </c>
      <c r="B2" s="933"/>
      <c r="C2" s="933"/>
      <c r="E2" s="934" t="s">
        <v>333</v>
      </c>
      <c r="F2" s="934" t="s">
        <v>334</v>
      </c>
      <c r="H2" s="935" t="s">
        <v>221</v>
      </c>
      <c r="I2" s="936" t="s">
        <v>335</v>
      </c>
      <c r="J2" s="936" t="s">
        <v>336</v>
      </c>
      <c r="K2" s="937" t="s">
        <v>327</v>
      </c>
      <c r="L2" s="938">
        <v>1</v>
      </c>
      <c r="M2" s="938" t="s">
        <v>337</v>
      </c>
      <c r="N2" s="938" t="s">
        <v>338</v>
      </c>
      <c r="O2" s="939" t="s">
        <v>339</v>
      </c>
      <c r="P2" s="940" t="s">
        <v>340</v>
      </c>
      <c r="Q2" s="941" t="s">
        <v>231</v>
      </c>
      <c r="R2" s="942" t="s">
        <v>341</v>
      </c>
      <c r="S2" s="943" t="s">
        <v>337</v>
      </c>
      <c r="T2" s="943" t="s">
        <v>342</v>
      </c>
      <c r="U2" s="943" t="s">
        <v>343</v>
      </c>
      <c r="V2" s="943" t="s">
        <v>344</v>
      </c>
      <c r="W2" s="924"/>
      <c r="X2" s="944">
        <v>1</v>
      </c>
      <c r="Y2" s="930">
        <v>1</v>
      </c>
      <c r="Z2" s="924"/>
      <c r="AA2" s="931" t="s">
        <v>345</v>
      </c>
      <c r="AB2" s="931" t="s">
        <v>346</v>
      </c>
      <c r="AC2" s="932" t="s">
        <v>231</v>
      </c>
      <c r="AD2" s="920" t="s">
        <v>296</v>
      </c>
    </row>
    <row r="3" s="920" customFormat="1" ht="14.25" spans="1:30">
      <c r="A3" s="933"/>
      <c r="B3" s="945" t="s">
        <v>347</v>
      </c>
      <c r="C3" s="945" t="s">
        <v>348</v>
      </c>
      <c r="E3" s="946"/>
      <c r="F3" s="946"/>
      <c r="H3" s="947" t="s">
        <v>349</v>
      </c>
      <c r="I3" s="937" t="s">
        <v>126</v>
      </c>
      <c r="J3" s="937" t="s">
        <v>166</v>
      </c>
      <c r="K3" s="937" t="s">
        <v>326</v>
      </c>
      <c r="L3" s="938">
        <v>2</v>
      </c>
      <c r="M3" s="938" t="s">
        <v>350</v>
      </c>
      <c r="N3" s="938" t="s">
        <v>351</v>
      </c>
      <c r="O3" s="939" t="s">
        <v>339</v>
      </c>
      <c r="P3" s="940" t="s">
        <v>345</v>
      </c>
      <c r="Q3" s="941" t="s">
        <v>234</v>
      </c>
      <c r="R3" s="924"/>
      <c r="S3" s="943" t="s">
        <v>350</v>
      </c>
      <c r="T3" s="943" t="s">
        <v>352</v>
      </c>
      <c r="U3" s="943" t="s">
        <v>353</v>
      </c>
      <c r="V3" s="943" t="s">
        <v>354</v>
      </c>
      <c r="W3" s="924"/>
      <c r="X3" s="944">
        <v>2</v>
      </c>
      <c r="Y3" s="930">
        <v>2</v>
      </c>
      <c r="Z3" s="924"/>
      <c r="AA3" s="931" t="s">
        <v>340</v>
      </c>
      <c r="AB3" s="931" t="s">
        <v>355</v>
      </c>
      <c r="AC3" s="932" t="s">
        <v>233</v>
      </c>
      <c r="AD3" s="920" t="s">
        <v>297</v>
      </c>
    </row>
    <row r="4" s="920" customFormat="1" ht="14.25" spans="1:30">
      <c r="A4" s="948" t="s">
        <v>356</v>
      </c>
      <c r="B4" s="948"/>
      <c r="C4" s="948"/>
      <c r="E4" s="949" t="s">
        <v>357</v>
      </c>
      <c r="F4" s="949"/>
      <c r="H4" s="947" t="s">
        <v>358</v>
      </c>
      <c r="I4" s="937" t="s">
        <v>126</v>
      </c>
      <c r="J4" s="937" t="s">
        <v>359</v>
      </c>
      <c r="K4" s="937" t="s">
        <v>328</v>
      </c>
      <c r="L4" s="938">
        <v>3</v>
      </c>
      <c r="M4" s="938" t="s">
        <v>360</v>
      </c>
      <c r="N4" s="938" t="s">
        <v>361</v>
      </c>
      <c r="O4" s="939" t="s">
        <v>339</v>
      </c>
      <c r="P4" s="930"/>
      <c r="Q4" s="937" t="s">
        <v>228</v>
      </c>
      <c r="R4" s="924"/>
      <c r="S4" s="943" t="s">
        <v>360</v>
      </c>
      <c r="T4" s="943" t="s">
        <v>362</v>
      </c>
      <c r="U4" s="943" t="s">
        <v>363</v>
      </c>
      <c r="V4" s="943" t="s">
        <v>364</v>
      </c>
      <c r="W4" s="924"/>
      <c r="X4" s="944">
        <v>3</v>
      </c>
      <c r="Y4" s="930">
        <v>3</v>
      </c>
      <c r="Z4" s="924"/>
      <c r="AA4" s="931"/>
      <c r="AB4" s="950" t="s">
        <v>365</v>
      </c>
      <c r="AC4" s="932" t="s">
        <v>234</v>
      </c>
      <c r="AD4" s="920" t="s">
        <v>317</v>
      </c>
    </row>
    <row r="5" s="920" customFormat="1" ht="14.25" spans="1:30">
      <c r="A5" s="948" t="s">
        <v>366</v>
      </c>
      <c r="B5" s="948"/>
      <c r="C5" s="948"/>
      <c r="E5" s="937" t="s">
        <v>367</v>
      </c>
      <c r="F5" s="937"/>
      <c r="H5" s="947" t="s">
        <v>368</v>
      </c>
      <c r="I5" s="937" t="s">
        <v>126</v>
      </c>
      <c r="J5" s="937" t="s">
        <v>359</v>
      </c>
      <c r="K5" s="937" t="s">
        <v>329</v>
      </c>
      <c r="L5" s="938">
        <v>4</v>
      </c>
      <c r="M5" s="938" t="s">
        <v>369</v>
      </c>
      <c r="N5" s="938" t="s">
        <v>370</v>
      </c>
      <c r="O5" s="939" t="s">
        <v>339</v>
      </c>
      <c r="P5" s="930"/>
      <c r="Q5" s="937" t="s">
        <v>230</v>
      </c>
      <c r="R5" s="924"/>
      <c r="S5" s="943" t="s">
        <v>369</v>
      </c>
      <c r="T5" s="943" t="s">
        <v>371</v>
      </c>
      <c r="U5" s="943" t="s">
        <v>372</v>
      </c>
      <c r="V5" s="943" t="s">
        <v>373</v>
      </c>
      <c r="W5" s="924"/>
      <c r="X5" s="944">
        <v>4</v>
      </c>
      <c r="Y5" s="930">
        <v>4</v>
      </c>
      <c r="Z5" s="924"/>
      <c r="AA5" s="931"/>
      <c r="AB5" s="931"/>
      <c r="AC5" s="932" t="s">
        <v>282</v>
      </c>
      <c r="AD5" s="920" t="s">
        <v>299</v>
      </c>
    </row>
    <row r="6" s="920" customFormat="1" ht="14.25" spans="1:30">
      <c r="A6" s="948" t="s">
        <v>210</v>
      </c>
      <c r="B6" s="948"/>
      <c r="C6" s="948"/>
      <c r="E6" s="937" t="s">
        <v>374</v>
      </c>
      <c r="F6" s="937"/>
      <c r="H6" s="951" t="s">
        <v>375</v>
      </c>
      <c r="I6" s="952" t="s">
        <v>46</v>
      </c>
      <c r="J6" s="952" t="s">
        <v>376</v>
      </c>
      <c r="K6" s="924"/>
      <c r="L6" s="938">
        <v>5</v>
      </c>
      <c r="M6" s="938" t="s">
        <v>377</v>
      </c>
      <c r="N6" s="938" t="s">
        <v>378</v>
      </c>
      <c r="O6" s="939" t="s">
        <v>339</v>
      </c>
      <c r="P6" s="930"/>
      <c r="Q6" s="937" t="s">
        <v>229</v>
      </c>
      <c r="R6" s="924"/>
      <c r="S6" s="943" t="s">
        <v>379</v>
      </c>
      <c r="T6" s="943" t="s">
        <v>380</v>
      </c>
      <c r="U6" s="943" t="s">
        <v>381</v>
      </c>
      <c r="V6" s="943" t="s">
        <v>382</v>
      </c>
      <c r="W6" s="924"/>
      <c r="X6" s="944">
        <v>5</v>
      </c>
      <c r="Y6" s="930">
        <v>5</v>
      </c>
      <c r="Z6" s="924"/>
      <c r="AA6" s="931"/>
      <c r="AB6" s="931"/>
      <c r="AC6" s="932" t="s">
        <v>228</v>
      </c>
    </row>
    <row r="7" s="920" customFormat="1" ht="14.25" spans="1:30">
      <c r="A7" s="603" t="s">
        <v>383</v>
      </c>
      <c r="B7" s="603" t="s">
        <v>384</v>
      </c>
      <c r="C7" s="603" t="s">
        <v>385</v>
      </c>
      <c r="E7" s="937" t="s">
        <v>386</v>
      </c>
      <c r="F7" s="937"/>
      <c r="H7" s="947" t="s">
        <v>387</v>
      </c>
      <c r="I7" s="937" t="s">
        <v>126</v>
      </c>
      <c r="J7" s="937" t="s">
        <v>359</v>
      </c>
      <c r="K7" s="924"/>
      <c r="L7" s="938">
        <v>6</v>
      </c>
      <c r="M7" s="938" t="s">
        <v>388</v>
      </c>
      <c r="N7" s="938" t="s">
        <v>389</v>
      </c>
      <c r="O7" s="939" t="s">
        <v>339</v>
      </c>
      <c r="P7" s="930"/>
      <c r="Q7" s="937" t="s">
        <v>235</v>
      </c>
      <c r="R7" s="924"/>
      <c r="S7" s="943" t="s">
        <v>377</v>
      </c>
      <c r="T7" s="943" t="s">
        <v>390</v>
      </c>
      <c r="U7" s="943" t="s">
        <v>391</v>
      </c>
      <c r="V7" s="930"/>
      <c r="W7" s="924"/>
      <c r="X7" s="944">
        <v>6</v>
      </c>
      <c r="Y7" s="930">
        <v>6</v>
      </c>
      <c r="Z7" s="924"/>
      <c r="AA7" s="931"/>
      <c r="AB7" s="931"/>
      <c r="AC7" s="932" t="s">
        <v>230</v>
      </c>
    </row>
    <row r="8" s="920" customFormat="1" ht="14.25" spans="1:30">
      <c r="A8" s="953" t="s">
        <v>367</v>
      </c>
      <c r="B8" s="953" t="s">
        <v>392</v>
      </c>
      <c r="C8" s="953" t="s">
        <v>367</v>
      </c>
      <c r="E8" s="937" t="s">
        <v>393</v>
      </c>
      <c r="F8" s="937"/>
      <c r="H8" s="947" t="s">
        <v>394</v>
      </c>
      <c r="I8" s="937" t="s">
        <v>126</v>
      </c>
      <c r="J8" s="937" t="s">
        <v>359</v>
      </c>
      <c r="K8" s="924"/>
      <c r="L8" s="938">
        <v>7</v>
      </c>
      <c r="M8" s="938" t="s">
        <v>395</v>
      </c>
      <c r="N8" s="938" t="s">
        <v>396</v>
      </c>
      <c r="O8" s="939" t="s">
        <v>339</v>
      </c>
      <c r="P8" s="930"/>
      <c r="Q8" s="937" t="s">
        <v>236</v>
      </c>
      <c r="R8" s="924"/>
      <c r="S8" s="943" t="s">
        <v>388</v>
      </c>
      <c r="T8" s="943" t="s">
        <v>397</v>
      </c>
      <c r="U8" s="943" t="s">
        <v>398</v>
      </c>
      <c r="V8" s="930"/>
      <c r="W8" s="924"/>
      <c r="X8" s="944">
        <v>7</v>
      </c>
      <c r="Y8" s="930">
        <v>7</v>
      </c>
      <c r="Z8" s="924"/>
      <c r="AA8" s="924"/>
      <c r="AB8" s="924"/>
      <c r="AC8" s="932" t="s">
        <v>236</v>
      </c>
    </row>
    <row r="9" s="920" customFormat="1" ht="14.25" spans="1:30">
      <c r="A9" s="953" t="s">
        <v>374</v>
      </c>
      <c r="B9" s="953" t="s">
        <v>392</v>
      </c>
      <c r="C9" s="953" t="s">
        <v>374</v>
      </c>
      <c r="E9" s="937" t="s">
        <v>399</v>
      </c>
      <c r="F9" s="937"/>
      <c r="H9" s="947" t="s">
        <v>400</v>
      </c>
      <c r="I9" s="937" t="s">
        <v>126</v>
      </c>
      <c r="J9" s="937" t="s">
        <v>359</v>
      </c>
      <c r="K9" s="924"/>
      <c r="L9" s="943">
        <v>8</v>
      </c>
      <c r="M9" s="954" t="s">
        <v>342</v>
      </c>
      <c r="N9" s="954" t="s">
        <v>401</v>
      </c>
      <c r="O9" s="955" t="s">
        <v>339</v>
      </c>
      <c r="P9" s="930"/>
      <c r="Q9" s="937" t="s">
        <v>237</v>
      </c>
      <c r="R9" s="924"/>
      <c r="S9" s="943" t="s">
        <v>395</v>
      </c>
      <c r="T9" s="943" t="s">
        <v>402</v>
      </c>
      <c r="U9" s="943" t="s">
        <v>403</v>
      </c>
      <c r="V9" s="930"/>
      <c r="W9" s="924"/>
      <c r="X9" s="944">
        <v>8</v>
      </c>
      <c r="Y9" s="930">
        <v>8</v>
      </c>
      <c r="Z9" s="924"/>
      <c r="AA9" s="924"/>
      <c r="AB9" s="924"/>
      <c r="AC9" s="932" t="s">
        <v>237</v>
      </c>
    </row>
    <row r="10" s="920" customFormat="1" ht="14.25" spans="1:30">
      <c r="A10" s="953" t="s">
        <v>386</v>
      </c>
      <c r="B10" s="953" t="s">
        <v>392</v>
      </c>
      <c r="C10" s="953" t="s">
        <v>386</v>
      </c>
      <c r="E10" s="949" t="s">
        <v>404</v>
      </c>
      <c r="F10" s="949"/>
      <c r="H10" s="947" t="s">
        <v>405</v>
      </c>
      <c r="I10" s="937" t="s">
        <v>126</v>
      </c>
      <c r="J10" s="937" t="s">
        <v>359</v>
      </c>
      <c r="K10" s="924"/>
      <c r="L10" s="943">
        <v>9</v>
      </c>
      <c r="M10" s="954" t="s">
        <v>352</v>
      </c>
      <c r="N10" s="954" t="s">
        <v>406</v>
      </c>
      <c r="O10" s="955" t="s">
        <v>339</v>
      </c>
      <c r="P10" s="930"/>
      <c r="Q10" s="937" t="s">
        <v>238</v>
      </c>
      <c r="R10" s="924"/>
      <c r="S10" s="943" t="s">
        <v>407</v>
      </c>
      <c r="T10" s="943" t="s">
        <v>408</v>
      </c>
      <c r="U10" s="943" t="s">
        <v>409</v>
      </c>
      <c r="V10" s="930"/>
      <c r="W10" s="924"/>
      <c r="X10" s="944">
        <v>9</v>
      </c>
      <c r="Y10" s="930">
        <v>9</v>
      </c>
      <c r="Z10" s="924"/>
      <c r="AA10" s="924"/>
      <c r="AB10" s="924"/>
      <c r="AC10" s="932" t="s">
        <v>238</v>
      </c>
    </row>
    <row r="11" s="920" customFormat="1" ht="14.25" spans="1:30">
      <c r="A11" s="603" t="s">
        <v>410</v>
      </c>
      <c r="B11" s="603" t="s">
        <v>384</v>
      </c>
      <c r="C11" s="603" t="s">
        <v>385</v>
      </c>
      <c r="E11" s="937" t="s">
        <v>385</v>
      </c>
      <c r="F11" s="937"/>
      <c r="H11" s="947" t="s">
        <v>411</v>
      </c>
      <c r="I11" s="937" t="s">
        <v>126</v>
      </c>
      <c r="J11" s="937" t="s">
        <v>359</v>
      </c>
      <c r="K11" s="924"/>
      <c r="L11" s="943">
        <v>10</v>
      </c>
      <c r="M11" s="954" t="s">
        <v>371</v>
      </c>
      <c r="N11" s="954" t="s">
        <v>412</v>
      </c>
      <c r="O11" s="955" t="s">
        <v>339</v>
      </c>
      <c r="P11" s="930"/>
      <c r="Q11" s="924"/>
      <c r="R11" s="924"/>
      <c r="S11" s="930"/>
      <c r="T11" s="943" t="s">
        <v>413</v>
      </c>
      <c r="U11" s="943" t="s">
        <v>414</v>
      </c>
      <c r="V11" s="930"/>
      <c r="W11" s="924"/>
      <c r="X11" s="944">
        <v>10</v>
      </c>
      <c r="Y11" s="930">
        <v>10</v>
      </c>
      <c r="Z11" s="924"/>
      <c r="AA11" s="924"/>
      <c r="AB11" s="924"/>
      <c r="AC11" s="931" t="s">
        <v>415</v>
      </c>
    </row>
    <row r="12" s="920" customFormat="1" ht="14.25" spans="1:30">
      <c r="A12" s="603" t="s">
        <v>416</v>
      </c>
      <c r="B12" s="603" t="s">
        <v>384</v>
      </c>
      <c r="C12" s="603" t="s">
        <v>385</v>
      </c>
      <c r="E12" s="937" t="s">
        <v>417</v>
      </c>
      <c r="F12" s="937"/>
      <c r="H12" s="947" t="s">
        <v>418</v>
      </c>
      <c r="I12" s="937" t="s">
        <v>126</v>
      </c>
      <c r="J12" s="937" t="s">
        <v>359</v>
      </c>
      <c r="K12" s="924"/>
      <c r="L12" s="943">
        <v>11</v>
      </c>
      <c r="M12" s="954" t="s">
        <v>413</v>
      </c>
      <c r="N12" s="954" t="s">
        <v>419</v>
      </c>
      <c r="O12" s="955" t="s">
        <v>420</v>
      </c>
      <c r="P12" s="930"/>
      <c r="Q12" s="924"/>
      <c r="R12" s="924"/>
      <c r="S12" s="930"/>
      <c r="T12" s="930"/>
      <c r="U12" s="943" t="s">
        <v>421</v>
      </c>
      <c r="V12" s="930"/>
      <c r="W12" s="924"/>
      <c r="X12" s="944">
        <v>11</v>
      </c>
      <c r="Y12" s="930">
        <v>11</v>
      </c>
      <c r="Z12" s="924"/>
      <c r="AA12" s="924"/>
      <c r="AB12" s="924"/>
      <c r="AC12" s="924" t="s">
        <v>422</v>
      </c>
    </row>
    <row r="13" s="920" customFormat="1" ht="14.25" spans="1:30">
      <c r="A13" s="603" t="s">
        <v>423</v>
      </c>
      <c r="B13" s="603" t="s">
        <v>384</v>
      </c>
      <c r="C13" s="603" t="s">
        <v>385</v>
      </c>
      <c r="E13" s="937" t="s">
        <v>424</v>
      </c>
      <c r="F13" s="937"/>
      <c r="H13" s="947" t="s">
        <v>425</v>
      </c>
      <c r="I13" s="937" t="s">
        <v>126</v>
      </c>
      <c r="J13" s="937" t="s">
        <v>386</v>
      </c>
      <c r="K13" s="924"/>
      <c r="L13" s="943">
        <v>12</v>
      </c>
      <c r="M13" s="954" t="s">
        <v>380</v>
      </c>
      <c r="N13" s="954" t="s">
        <v>426</v>
      </c>
      <c r="O13" s="955" t="s">
        <v>420</v>
      </c>
      <c r="P13" s="930"/>
      <c r="Q13" s="924"/>
      <c r="R13" s="924"/>
      <c r="S13" s="930"/>
      <c r="T13" s="930"/>
      <c r="U13" s="943" t="s">
        <v>427</v>
      </c>
      <c r="V13" s="930"/>
      <c r="W13" s="924"/>
      <c r="X13" s="944">
        <v>12</v>
      </c>
      <c r="Y13" s="930">
        <v>12</v>
      </c>
      <c r="Z13" s="924"/>
      <c r="AA13" s="924"/>
      <c r="AB13" s="924"/>
      <c r="AC13" s="924"/>
    </row>
    <row r="14" s="920" customFormat="1" ht="14.25" spans="1:30">
      <c r="A14" s="603" t="s">
        <v>428</v>
      </c>
      <c r="B14" s="603" t="s">
        <v>384</v>
      </c>
      <c r="C14" s="603" t="s">
        <v>385</v>
      </c>
      <c r="E14" s="937" t="s">
        <v>429</v>
      </c>
      <c r="F14" s="937"/>
      <c r="H14" s="951" t="s">
        <v>430</v>
      </c>
      <c r="I14" s="956" t="s">
        <v>46</v>
      </c>
      <c r="J14" s="956" t="s">
        <v>166</v>
      </c>
      <c r="K14" s="924"/>
      <c r="L14" s="943">
        <v>13</v>
      </c>
      <c r="M14" s="954" t="s">
        <v>408</v>
      </c>
      <c r="N14" s="954" t="s">
        <v>431</v>
      </c>
      <c r="O14" s="955" t="s">
        <v>420</v>
      </c>
      <c r="P14" s="930"/>
      <c r="Q14" s="924"/>
      <c r="R14" s="924"/>
      <c r="S14" s="930"/>
      <c r="T14" s="930"/>
      <c r="U14" s="943" t="s">
        <v>432</v>
      </c>
      <c r="V14" s="930"/>
      <c r="W14" s="924"/>
      <c r="X14" s="944" t="s">
        <v>433</v>
      </c>
      <c r="Y14" s="930">
        <v>13</v>
      </c>
      <c r="Z14" s="924"/>
      <c r="AA14" s="924"/>
      <c r="AB14" s="924"/>
      <c r="AC14" s="924"/>
    </row>
    <row r="15" s="920" customFormat="1" ht="14.25" spans="1:30">
      <c r="A15" s="603" t="s">
        <v>434</v>
      </c>
      <c r="B15" s="603" t="s">
        <v>384</v>
      </c>
      <c r="C15" s="603" t="s">
        <v>417</v>
      </c>
      <c r="E15" s="937" t="s">
        <v>435</v>
      </c>
      <c r="F15" s="937"/>
      <c r="H15" s="947" t="s">
        <v>436</v>
      </c>
      <c r="I15" s="937" t="s">
        <v>126</v>
      </c>
      <c r="J15" s="937" t="s">
        <v>437</v>
      </c>
      <c r="K15" s="924"/>
      <c r="L15" s="943">
        <v>14</v>
      </c>
      <c r="M15" s="954" t="s">
        <v>402</v>
      </c>
      <c r="N15" s="954" t="s">
        <v>438</v>
      </c>
      <c r="O15" s="955" t="s">
        <v>339</v>
      </c>
      <c r="P15" s="930"/>
      <c r="Q15" s="924"/>
      <c r="R15" s="924"/>
      <c r="S15" s="930"/>
      <c r="T15" s="930"/>
      <c r="U15" s="930"/>
      <c r="V15" s="930"/>
      <c r="W15" s="924"/>
      <c r="X15" s="930"/>
      <c r="Y15" s="930"/>
      <c r="Z15" s="924"/>
      <c r="AA15" s="924"/>
      <c r="AB15" s="924"/>
      <c r="AC15" s="924"/>
    </row>
    <row r="16" s="920" customFormat="1" ht="14.25" spans="1:30">
      <c r="A16" s="603" t="s">
        <v>417</v>
      </c>
      <c r="B16" s="603" t="s">
        <v>384</v>
      </c>
      <c r="C16" s="603" t="s">
        <v>417</v>
      </c>
      <c r="E16" s="937" t="s">
        <v>439</v>
      </c>
      <c r="F16" s="937"/>
      <c r="H16" s="947" t="s">
        <v>440</v>
      </c>
      <c r="I16" s="937" t="s">
        <v>126</v>
      </c>
      <c r="J16" s="937" t="s">
        <v>437</v>
      </c>
      <c r="K16" s="924"/>
      <c r="L16" s="943">
        <v>15</v>
      </c>
      <c r="M16" s="954" t="s">
        <v>390</v>
      </c>
      <c r="N16" s="954" t="s">
        <v>441</v>
      </c>
      <c r="O16" s="955" t="s">
        <v>442</v>
      </c>
      <c r="P16" s="930"/>
      <c r="Q16" s="924"/>
      <c r="R16" s="924"/>
      <c r="S16" s="930"/>
      <c r="T16" s="930"/>
      <c r="U16" s="930"/>
      <c r="V16" s="930"/>
      <c r="W16" s="924"/>
      <c r="X16" s="930"/>
      <c r="Y16" s="930"/>
      <c r="Z16" s="924"/>
      <c r="AA16" s="924"/>
      <c r="AB16" s="924"/>
      <c r="AC16" s="924"/>
    </row>
    <row r="17" s="920" customFormat="1" ht="14.25" spans="1:29">
      <c r="A17" s="953" t="s">
        <v>424</v>
      </c>
      <c r="B17" s="603" t="s">
        <v>384</v>
      </c>
      <c r="C17" s="953" t="s">
        <v>385</v>
      </c>
      <c r="E17" s="957" t="s">
        <v>443</v>
      </c>
      <c r="F17" s="957"/>
      <c r="H17" s="947" t="s">
        <v>444</v>
      </c>
      <c r="I17" s="937" t="s">
        <v>126</v>
      </c>
      <c r="J17" s="937" t="s">
        <v>359</v>
      </c>
      <c r="K17" s="924"/>
      <c r="L17" s="943">
        <v>16</v>
      </c>
      <c r="M17" s="954" t="s">
        <v>343</v>
      </c>
      <c r="N17" s="954" t="s">
        <v>445</v>
      </c>
      <c r="O17" s="955" t="s">
        <v>339</v>
      </c>
      <c r="P17" s="930"/>
      <c r="Q17" s="924"/>
      <c r="R17" s="924"/>
      <c r="S17" s="930"/>
      <c r="T17" s="930"/>
      <c r="U17" s="930"/>
      <c r="V17" s="930"/>
      <c r="W17" s="924"/>
      <c r="X17" s="930"/>
      <c r="Y17" s="930"/>
      <c r="Z17" s="924"/>
      <c r="AA17" s="924"/>
      <c r="AB17" s="924"/>
      <c r="AC17" s="924"/>
    </row>
    <row r="18" s="920" customFormat="1" ht="14.25" spans="1:29">
      <c r="A18" s="603" t="s">
        <v>429</v>
      </c>
      <c r="B18" s="603" t="s">
        <v>384</v>
      </c>
      <c r="C18" s="603" t="s">
        <v>429</v>
      </c>
      <c r="E18" s="924"/>
      <c r="F18" s="924"/>
      <c r="H18" s="947" t="s">
        <v>446</v>
      </c>
      <c r="I18" s="937" t="s">
        <v>126</v>
      </c>
      <c r="J18" s="937" t="s">
        <v>437</v>
      </c>
      <c r="K18" s="924"/>
      <c r="L18" s="943">
        <v>17</v>
      </c>
      <c r="M18" s="954" t="s">
        <v>353</v>
      </c>
      <c r="N18" s="954" t="s">
        <v>447</v>
      </c>
      <c r="O18" s="955" t="s">
        <v>339</v>
      </c>
      <c r="P18" s="930"/>
      <c r="Q18" s="924"/>
      <c r="R18" s="924"/>
      <c r="S18" s="930"/>
      <c r="T18" s="930"/>
      <c r="U18" s="930"/>
      <c r="V18" s="930"/>
      <c r="W18" s="924"/>
      <c r="X18" s="930"/>
      <c r="Y18" s="930"/>
      <c r="Z18" s="924"/>
      <c r="AA18" s="924"/>
      <c r="AB18" s="924"/>
      <c r="AC18" s="924"/>
    </row>
    <row r="19" s="920" customFormat="1" ht="14.25" spans="1:29">
      <c r="A19" s="603" t="s">
        <v>448</v>
      </c>
      <c r="B19" s="603" t="s">
        <v>384</v>
      </c>
      <c r="C19" s="603" t="s">
        <v>435</v>
      </c>
      <c r="H19" s="947" t="s">
        <v>449</v>
      </c>
      <c r="I19" s="937" t="s">
        <v>126</v>
      </c>
      <c r="J19" s="937" t="s">
        <v>437</v>
      </c>
      <c r="K19" s="924"/>
      <c r="L19" s="943">
        <v>18</v>
      </c>
      <c r="M19" s="954" t="s">
        <v>363</v>
      </c>
      <c r="N19" s="954" t="s">
        <v>450</v>
      </c>
      <c r="O19" s="955" t="s">
        <v>420</v>
      </c>
      <c r="P19" s="930"/>
      <c r="Q19" s="924"/>
      <c r="R19" s="924"/>
      <c r="S19" s="930"/>
      <c r="T19" s="930"/>
      <c r="U19" s="930"/>
      <c r="V19" s="930"/>
      <c r="W19" s="924"/>
      <c r="X19" s="930"/>
      <c r="Y19" s="930"/>
      <c r="Z19" s="924"/>
      <c r="AA19" s="924"/>
      <c r="AB19" s="924"/>
      <c r="AC19" s="924"/>
    </row>
    <row r="20" s="920" customFormat="1" ht="14.25" spans="1:29">
      <c r="A20" s="603" t="s">
        <v>451</v>
      </c>
      <c r="B20" s="603" t="s">
        <v>384</v>
      </c>
      <c r="C20" s="603" t="s">
        <v>435</v>
      </c>
      <c r="E20" s="932" t="s">
        <v>126</v>
      </c>
      <c r="F20" s="932"/>
      <c r="H20" s="947" t="s">
        <v>452</v>
      </c>
      <c r="I20" s="937" t="s">
        <v>126</v>
      </c>
      <c r="J20" s="937" t="s">
        <v>359</v>
      </c>
      <c r="K20" s="924"/>
      <c r="L20" s="943">
        <v>19</v>
      </c>
      <c r="M20" s="954" t="s">
        <v>372</v>
      </c>
      <c r="N20" s="954" t="s">
        <v>453</v>
      </c>
      <c r="O20" s="955" t="s">
        <v>339</v>
      </c>
      <c r="P20" s="930"/>
      <c r="Q20" s="924"/>
      <c r="R20" s="924"/>
      <c r="S20" s="930"/>
      <c r="T20" s="930"/>
      <c r="U20" s="930"/>
      <c r="V20" s="930"/>
      <c r="W20" s="924"/>
      <c r="X20" s="930"/>
      <c r="Y20" s="930"/>
      <c r="Z20" s="924"/>
      <c r="AA20" s="924"/>
      <c r="AB20" s="924"/>
      <c r="AC20" s="924"/>
    </row>
    <row r="21" s="920" customFormat="1" ht="14.25" spans="1:29">
      <c r="A21" s="953" t="s">
        <v>393</v>
      </c>
      <c r="B21" s="953" t="s">
        <v>392</v>
      </c>
      <c r="C21" s="953" t="s">
        <v>393</v>
      </c>
      <c r="E21" s="958" t="s">
        <v>333</v>
      </c>
      <c r="F21" s="958"/>
      <c r="H21" s="947" t="s">
        <v>454</v>
      </c>
      <c r="I21" s="937" t="s">
        <v>126</v>
      </c>
      <c r="J21" s="937" t="s">
        <v>429</v>
      </c>
      <c r="K21" s="924"/>
      <c r="L21" s="943">
        <v>20</v>
      </c>
      <c r="M21" s="954" t="s">
        <v>391</v>
      </c>
      <c r="N21" s="959" t="s">
        <v>455</v>
      </c>
      <c r="O21" s="955" t="s">
        <v>442</v>
      </c>
      <c r="P21" s="930"/>
      <c r="Q21" s="924"/>
      <c r="R21" s="924"/>
      <c r="S21" s="930"/>
      <c r="T21" s="930"/>
      <c r="U21" s="930"/>
      <c r="V21" s="930"/>
      <c r="W21" s="924"/>
      <c r="X21" s="930"/>
      <c r="Y21" s="930"/>
      <c r="Z21" s="924"/>
      <c r="AA21" s="924"/>
      <c r="AB21" s="924"/>
      <c r="AC21" s="924"/>
    </row>
    <row r="22" s="920" customFormat="1" ht="14.25" spans="1:29">
      <c r="A22" s="603" t="s">
        <v>456</v>
      </c>
      <c r="B22" s="603" t="s">
        <v>384</v>
      </c>
      <c r="C22" s="603" t="s">
        <v>439</v>
      </c>
      <c r="E22" s="958"/>
      <c r="F22" s="958"/>
      <c r="H22" s="947" t="s">
        <v>457</v>
      </c>
      <c r="I22" s="937" t="s">
        <v>126</v>
      </c>
      <c r="J22" s="937" t="s">
        <v>359</v>
      </c>
      <c r="K22" s="924"/>
      <c r="L22" s="943">
        <v>22</v>
      </c>
      <c r="M22" s="954" t="s">
        <v>403</v>
      </c>
      <c r="N22" s="959" t="s">
        <v>455</v>
      </c>
      <c r="O22" s="955" t="s">
        <v>339</v>
      </c>
      <c r="P22" s="930"/>
      <c r="Q22" s="924"/>
      <c r="R22" s="924"/>
      <c r="S22" s="930"/>
      <c r="T22" s="930"/>
      <c r="U22" s="930"/>
      <c r="V22" s="930"/>
      <c r="W22" s="924"/>
      <c r="X22" s="930"/>
      <c r="Y22" s="930"/>
      <c r="Z22" s="924"/>
      <c r="AA22" s="924"/>
      <c r="AB22" s="924"/>
      <c r="AC22" s="924"/>
    </row>
    <row r="23" s="920" customFormat="1" ht="14.25" spans="1:29">
      <c r="A23" s="603" t="s">
        <v>443</v>
      </c>
      <c r="B23" s="603" t="s">
        <v>384</v>
      </c>
      <c r="C23" s="603" t="s">
        <v>443</v>
      </c>
      <c r="E23" s="949" t="s">
        <v>458</v>
      </c>
      <c r="F23" s="949"/>
      <c r="H23" s="951" t="s">
        <v>459</v>
      </c>
      <c r="I23" s="956" t="s">
        <v>46</v>
      </c>
      <c r="J23" s="956" t="s">
        <v>460</v>
      </c>
      <c r="K23" s="924"/>
      <c r="L23" s="943">
        <v>23</v>
      </c>
      <c r="M23" s="954" t="s">
        <v>409</v>
      </c>
      <c r="N23" s="954" t="s">
        <v>461</v>
      </c>
      <c r="O23" s="955" t="s">
        <v>339</v>
      </c>
      <c r="P23" s="930"/>
      <c r="Q23" s="924"/>
      <c r="R23" s="924"/>
      <c r="S23" s="930"/>
      <c r="T23" s="930"/>
      <c r="U23" s="930"/>
      <c r="V23" s="930"/>
      <c r="W23" s="924"/>
      <c r="X23" s="930"/>
      <c r="Y23" s="930"/>
      <c r="Z23" s="924"/>
      <c r="AA23" s="924"/>
      <c r="AB23" s="924"/>
      <c r="AC23" s="924"/>
    </row>
    <row r="24" s="920" customFormat="1" ht="14.25" spans="1:29">
      <c r="A24" s="603" t="s">
        <v>462</v>
      </c>
      <c r="B24" s="603" t="s">
        <v>384</v>
      </c>
      <c r="C24" s="603" t="s">
        <v>439</v>
      </c>
      <c r="E24" s="937" t="s">
        <v>386</v>
      </c>
      <c r="F24" s="937"/>
      <c r="H24" s="947" t="s">
        <v>463</v>
      </c>
      <c r="I24" s="937" t="s">
        <v>126</v>
      </c>
      <c r="J24" s="937" t="s">
        <v>359</v>
      </c>
      <c r="K24" s="924"/>
      <c r="L24" s="943">
        <v>24</v>
      </c>
      <c r="M24" s="954" t="s">
        <v>427</v>
      </c>
      <c r="N24" s="954" t="s">
        <v>464</v>
      </c>
      <c r="O24" s="955" t="s">
        <v>420</v>
      </c>
      <c r="P24" s="930"/>
      <c r="Q24" s="924"/>
      <c r="R24" s="924"/>
      <c r="S24" s="930"/>
      <c r="T24" s="930"/>
      <c r="U24" s="930"/>
      <c r="V24" s="930"/>
      <c r="W24" s="924"/>
      <c r="X24" s="930"/>
      <c r="Y24" s="930"/>
      <c r="Z24" s="924"/>
      <c r="AA24" s="924"/>
      <c r="AB24" s="924"/>
      <c r="AC24" s="924"/>
    </row>
    <row r="25" s="920" customFormat="1" ht="14.25" spans="1:29">
      <c r="A25" s="953" t="s">
        <v>465</v>
      </c>
      <c r="B25" s="953" t="s">
        <v>392</v>
      </c>
      <c r="C25" s="953" t="s">
        <v>393</v>
      </c>
      <c r="E25" s="937" t="s">
        <v>466</v>
      </c>
      <c r="F25" s="937"/>
      <c r="H25" s="960" t="s">
        <v>467</v>
      </c>
      <c r="I25" s="937" t="s">
        <v>46</v>
      </c>
      <c r="J25" s="937" t="s">
        <v>460</v>
      </c>
      <c r="K25" s="924"/>
      <c r="L25" s="943">
        <v>26</v>
      </c>
      <c r="M25" s="954" t="s">
        <v>354</v>
      </c>
      <c r="N25" s="961" t="s">
        <v>468</v>
      </c>
      <c r="O25" s="955" t="s">
        <v>339</v>
      </c>
      <c r="P25" s="930"/>
      <c r="Q25" s="924"/>
      <c r="R25" s="924"/>
      <c r="S25" s="930"/>
      <c r="T25" s="930"/>
      <c r="U25" s="930"/>
      <c r="V25" s="930"/>
      <c r="W25" s="924"/>
      <c r="X25" s="930"/>
      <c r="Y25" s="930"/>
      <c r="Z25" s="924"/>
      <c r="AA25" s="924"/>
      <c r="AB25" s="924"/>
      <c r="AC25" s="924"/>
    </row>
    <row r="26" s="920" customFormat="1" ht="14.25" spans="1:29">
      <c r="A26" s="603" t="s">
        <v>469</v>
      </c>
      <c r="B26" s="603" t="s">
        <v>384</v>
      </c>
      <c r="C26" s="603" t="s">
        <v>435</v>
      </c>
      <c r="E26" s="949" t="s">
        <v>470</v>
      </c>
      <c r="F26" s="949"/>
      <c r="H26" s="947" t="s">
        <v>471</v>
      </c>
      <c r="I26" s="937" t="s">
        <v>126</v>
      </c>
      <c r="J26" s="937" t="s">
        <v>451</v>
      </c>
      <c r="K26" s="924"/>
      <c r="L26" s="943">
        <v>27</v>
      </c>
      <c r="M26" s="954" t="s">
        <v>364</v>
      </c>
      <c r="N26" s="954" t="s">
        <v>472</v>
      </c>
      <c r="O26" s="955" t="s">
        <v>339</v>
      </c>
      <c r="P26" s="930"/>
      <c r="Q26" s="924"/>
      <c r="R26" s="924"/>
      <c r="S26" s="930"/>
      <c r="T26" s="930"/>
      <c r="U26" s="930"/>
      <c r="V26" s="930"/>
      <c r="W26" s="924"/>
      <c r="X26" s="930"/>
      <c r="Y26" s="930"/>
      <c r="Z26" s="924"/>
      <c r="AA26" s="924"/>
      <c r="AB26" s="924"/>
      <c r="AC26" s="924"/>
    </row>
    <row r="27" s="920" customFormat="1" ht="14.25" spans="1:29">
      <c r="A27" s="953" t="s">
        <v>399</v>
      </c>
      <c r="B27" s="953" t="s">
        <v>392</v>
      </c>
      <c r="C27" s="953" t="s">
        <v>399</v>
      </c>
      <c r="E27" s="937" t="s">
        <v>359</v>
      </c>
      <c r="F27" s="937"/>
      <c r="H27" s="947" t="s">
        <v>473</v>
      </c>
      <c r="I27" s="937" t="s">
        <v>126</v>
      </c>
      <c r="J27" s="937" t="s">
        <v>437</v>
      </c>
      <c r="K27" s="924"/>
      <c r="L27" s="943">
        <v>28</v>
      </c>
      <c r="M27" s="954" t="s">
        <v>373</v>
      </c>
      <c r="N27" s="954" t="s">
        <v>474</v>
      </c>
      <c r="O27" s="955" t="s">
        <v>420</v>
      </c>
      <c r="P27" s="930"/>
      <c r="Q27" s="924"/>
      <c r="R27" s="924"/>
      <c r="S27" s="930"/>
      <c r="T27" s="930"/>
      <c r="U27" s="930"/>
      <c r="V27" s="930"/>
      <c r="W27" s="924"/>
      <c r="X27" s="930"/>
      <c r="Y27" s="930"/>
      <c r="Z27" s="924"/>
      <c r="AA27" s="924"/>
      <c r="AB27" s="924"/>
      <c r="AC27" s="924"/>
    </row>
    <row r="28" s="920" customFormat="1" ht="14.25" spans="1:29">
      <c r="A28" s="603" t="s">
        <v>475</v>
      </c>
      <c r="B28" s="603" t="s">
        <v>384</v>
      </c>
      <c r="C28" s="603" t="s">
        <v>439</v>
      </c>
      <c r="E28" s="937" t="s">
        <v>429</v>
      </c>
      <c r="F28" s="937"/>
      <c r="H28" s="947" t="s">
        <v>476</v>
      </c>
      <c r="I28" s="937" t="s">
        <v>126</v>
      </c>
      <c r="J28" s="937" t="s">
        <v>166</v>
      </c>
      <c r="K28" s="924"/>
      <c r="L28" s="943">
        <v>29</v>
      </c>
      <c r="M28" s="954" t="s">
        <v>382</v>
      </c>
      <c r="N28" s="954" t="s">
        <v>477</v>
      </c>
      <c r="O28" s="955" t="s">
        <v>382</v>
      </c>
      <c r="P28" s="930"/>
      <c r="Q28" s="924"/>
      <c r="R28" s="924"/>
      <c r="S28" s="930"/>
      <c r="T28" s="930"/>
      <c r="U28" s="930"/>
      <c r="V28" s="930"/>
      <c r="W28" s="924"/>
      <c r="X28" s="930"/>
      <c r="Y28" s="930"/>
      <c r="Z28" s="924"/>
      <c r="AA28" s="924"/>
      <c r="AB28" s="924"/>
      <c r="AC28" s="924"/>
    </row>
    <row r="29" s="920" customFormat="1" ht="14.25" spans="1:29">
      <c r="A29" s="603" t="s">
        <v>439</v>
      </c>
      <c r="B29" s="603" t="s">
        <v>384</v>
      </c>
      <c r="C29" s="603" t="s">
        <v>439</v>
      </c>
      <c r="E29" s="937" t="s">
        <v>437</v>
      </c>
      <c r="F29" s="937"/>
      <c r="H29" s="947" t="s">
        <v>478</v>
      </c>
      <c r="I29" s="937" t="s">
        <v>126</v>
      </c>
      <c r="J29" s="937" t="s">
        <v>166</v>
      </c>
      <c r="K29" s="924"/>
      <c r="L29" s="924"/>
      <c r="M29" s="924"/>
      <c r="N29" s="924"/>
      <c r="O29" s="962"/>
      <c r="P29" s="930"/>
      <c r="Q29" s="924"/>
      <c r="R29" s="924"/>
      <c r="S29" s="930"/>
      <c r="T29" s="930"/>
      <c r="U29" s="930"/>
      <c r="V29" s="930"/>
      <c r="W29" s="924"/>
      <c r="X29" s="930"/>
      <c r="Y29" s="930"/>
      <c r="Z29" s="924"/>
      <c r="AA29" s="924"/>
      <c r="AB29" s="924"/>
      <c r="AC29" s="924"/>
    </row>
    <row r="30" s="920" customFormat="1" ht="14.25" spans="1:29">
      <c r="A30" s="603" t="s">
        <v>479</v>
      </c>
      <c r="B30" s="603" t="s">
        <v>384</v>
      </c>
      <c r="C30" s="603" t="s">
        <v>439</v>
      </c>
      <c r="E30" s="937" t="s">
        <v>480</v>
      </c>
      <c r="F30" s="937"/>
      <c r="H30" s="947" t="s">
        <v>481</v>
      </c>
      <c r="I30" s="937" t="s">
        <v>126</v>
      </c>
      <c r="J30" s="937" t="s">
        <v>166</v>
      </c>
      <c r="K30" s="924"/>
      <c r="L30" s="924"/>
      <c r="M30" s="924"/>
      <c r="N30" s="924"/>
      <c r="O30" s="963"/>
      <c r="P30" s="930"/>
      <c r="Q30" s="924"/>
      <c r="R30" s="924"/>
      <c r="S30" s="930"/>
      <c r="T30" s="930"/>
      <c r="U30" s="930"/>
      <c r="V30" s="930"/>
      <c r="W30" s="924"/>
      <c r="X30" s="930"/>
      <c r="Y30" s="930"/>
      <c r="Z30" s="924"/>
      <c r="AA30" s="924"/>
      <c r="AB30" s="924"/>
      <c r="AC30" s="924"/>
    </row>
    <row r="31" s="920" customFormat="1" ht="14.25" spans="1:29">
      <c r="A31" s="603" t="s">
        <v>482</v>
      </c>
      <c r="B31" s="603" t="s">
        <v>384</v>
      </c>
      <c r="C31" s="603" t="s">
        <v>439</v>
      </c>
      <c r="E31" s="937" t="s">
        <v>483</v>
      </c>
      <c r="F31" s="937"/>
      <c r="H31" s="951" t="s">
        <v>484</v>
      </c>
      <c r="I31" s="956" t="s">
        <v>46</v>
      </c>
      <c r="J31" s="956" t="s">
        <v>460</v>
      </c>
      <c r="K31" s="924"/>
      <c r="L31" s="924"/>
      <c r="M31" s="924"/>
      <c r="N31" s="924"/>
      <c r="O31" s="963"/>
      <c r="P31" s="930"/>
      <c r="Q31" s="924"/>
      <c r="R31" s="924"/>
      <c r="S31" s="930"/>
      <c r="T31" s="930"/>
      <c r="U31" s="930"/>
      <c r="V31" s="930"/>
      <c r="W31" s="924"/>
      <c r="X31" s="930"/>
      <c r="Y31" s="930"/>
      <c r="Z31" s="924"/>
      <c r="AA31" s="924"/>
      <c r="AB31" s="924"/>
      <c r="AC31" s="924"/>
    </row>
  </sheetData>
  <mergeCells count="4">
    <mergeCell ref="A2:A3"/>
    <mergeCell ref="E2:E3"/>
    <mergeCell ref="E21:E22"/>
    <mergeCell ref="F2:F3"/>
  </mergeCells>
  <hyperlinks>
    <hyperlink ref="R2" location="目录!A1" display="目录!A1"/>
    <hyperlink ref="C1" location="导航目录!A1" display="返回目录"/>
    <hyperlink ref="A1" location="目录!A1" display="← 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19">
    <tabColor theme="6" tint="0.599993896298105"/>
  </sheetPr>
  <dimension ref="A1:O234"/>
  <sheetViews>
    <sheetView topLeftCell="A45" workbookViewId="0">
      <selection activeCell="D1" sqref="D1"/>
    </sheetView>
  </sheetViews>
  <sheetFormatPr defaultColWidth="8.90833333333333" defaultRowHeight="13.5"/>
  <cols>
    <col min="10" max="10" width="14.125" customWidth="1"/>
  </cols>
  <sheetData>
    <row r="1" spans="1:15">
      <c r="A1" s="162" t="s">
        <v>185</v>
      </c>
    </row>
    <row r="2" s="904" customFormat="1" ht="25" customHeight="1" spans="1:15">
      <c r="A2" s="905" t="s">
        <v>485</v>
      </c>
      <c r="B2" s="905" t="s">
        <v>486</v>
      </c>
      <c r="C2" s="906" t="s">
        <v>487</v>
      </c>
      <c r="D2" s="906" t="s">
        <v>488</v>
      </c>
      <c r="E2" s="906" t="s">
        <v>487</v>
      </c>
      <c r="F2" s="906" t="s">
        <v>489</v>
      </c>
      <c r="G2" s="906" t="s">
        <v>490</v>
      </c>
      <c r="H2" s="905" t="s">
        <v>491</v>
      </c>
      <c r="I2" s="907" t="s">
        <v>492</v>
      </c>
      <c r="J2" s="908" t="s">
        <v>493</v>
      </c>
      <c r="O2" s="272"/>
    </row>
    <row r="3" s="904" customFormat="1" spans="1:15">
      <c r="A3" s="909" t="s">
        <v>494</v>
      </c>
      <c r="B3" s="910" t="s">
        <v>495</v>
      </c>
      <c r="C3" s="911" t="s">
        <v>496</v>
      </c>
      <c r="D3" s="912" t="s">
        <v>497</v>
      </c>
      <c r="E3" s="911">
        <v>2201020561</v>
      </c>
      <c r="F3" s="912" t="s">
        <v>228</v>
      </c>
      <c r="G3" s="910" t="s">
        <v>498</v>
      </c>
      <c r="H3" s="913"/>
      <c r="I3" s="913" t="s">
        <v>499</v>
      </c>
      <c r="J3" s="914" t="s">
        <v>500</v>
      </c>
      <c r="K3" s="915" t="s">
        <v>501</v>
      </c>
      <c r="N3" s="916" t="s">
        <v>489</v>
      </c>
      <c r="O3" s="916" t="s">
        <v>300</v>
      </c>
    </row>
    <row r="4" s="904" customFormat="1" spans="1:15">
      <c r="A4" s="909" t="s">
        <v>494</v>
      </c>
      <c r="B4" s="910" t="s">
        <v>495</v>
      </c>
      <c r="C4" s="911" t="s">
        <v>502</v>
      </c>
      <c r="D4" s="912" t="s">
        <v>503</v>
      </c>
      <c r="E4" s="911">
        <v>2201020564</v>
      </c>
      <c r="F4" s="912" t="s">
        <v>228</v>
      </c>
      <c r="G4" s="910" t="s">
        <v>504</v>
      </c>
      <c r="H4" s="913" t="s">
        <v>505</v>
      </c>
      <c r="I4" s="913" t="s">
        <v>506</v>
      </c>
      <c r="J4" s="914" t="s">
        <v>507</v>
      </c>
      <c r="N4" s="917" t="s">
        <v>233</v>
      </c>
      <c r="O4" s="918" t="s">
        <v>296</v>
      </c>
    </row>
    <row r="5" s="904" customFormat="1" spans="1:15">
      <c r="A5" s="909" t="s">
        <v>494</v>
      </c>
      <c r="B5" s="910" t="s">
        <v>495</v>
      </c>
      <c r="C5" s="911" t="s">
        <v>508</v>
      </c>
      <c r="D5" s="912" t="s">
        <v>509</v>
      </c>
      <c r="E5" s="911">
        <v>2201020566</v>
      </c>
      <c r="F5" s="912" t="s">
        <v>228</v>
      </c>
      <c r="G5" s="910" t="s">
        <v>504</v>
      </c>
      <c r="H5" s="913" t="s">
        <v>505</v>
      </c>
      <c r="I5" s="913" t="s">
        <v>510</v>
      </c>
      <c r="J5" s="914" t="s">
        <v>511</v>
      </c>
      <c r="N5" s="917" t="s">
        <v>231</v>
      </c>
      <c r="O5" s="918" t="s">
        <v>296</v>
      </c>
    </row>
    <row r="6" s="904" customFormat="1" spans="1:15">
      <c r="A6" s="909" t="s">
        <v>494</v>
      </c>
      <c r="B6" s="910" t="s">
        <v>495</v>
      </c>
      <c r="C6" s="911" t="s">
        <v>512</v>
      </c>
      <c r="D6" s="912" t="s">
        <v>513</v>
      </c>
      <c r="E6" s="911">
        <v>2201020567</v>
      </c>
      <c r="F6" s="912" t="s">
        <v>228</v>
      </c>
      <c r="G6" s="910" t="s">
        <v>504</v>
      </c>
      <c r="H6" s="913" t="s">
        <v>505</v>
      </c>
      <c r="I6" s="913" t="s">
        <v>514</v>
      </c>
      <c r="J6" s="914" t="s">
        <v>511</v>
      </c>
      <c r="N6" s="917" t="s">
        <v>234</v>
      </c>
      <c r="O6" s="918" t="s">
        <v>296</v>
      </c>
    </row>
    <row r="7" s="904" customFormat="1" spans="1:15">
      <c r="A7" s="909" t="s">
        <v>494</v>
      </c>
      <c r="B7" s="910" t="s">
        <v>495</v>
      </c>
      <c r="C7" s="911" t="s">
        <v>515</v>
      </c>
      <c r="D7" s="912" t="s">
        <v>516</v>
      </c>
      <c r="E7" s="911">
        <v>2201020569</v>
      </c>
      <c r="F7" s="912" t="s">
        <v>228</v>
      </c>
      <c r="G7" s="910" t="s">
        <v>504</v>
      </c>
      <c r="H7" s="913"/>
      <c r="I7" s="913" t="s">
        <v>517</v>
      </c>
      <c r="J7" s="914" t="s">
        <v>518</v>
      </c>
      <c r="N7" s="917" t="s">
        <v>282</v>
      </c>
      <c r="O7" s="919" t="s">
        <v>297</v>
      </c>
    </row>
    <row r="8" s="904" customFormat="1" spans="1:15">
      <c r="A8" s="909" t="s">
        <v>494</v>
      </c>
      <c r="B8" s="910" t="s">
        <v>495</v>
      </c>
      <c r="C8" s="911" t="s">
        <v>519</v>
      </c>
      <c r="D8" s="912" t="s">
        <v>520</v>
      </c>
      <c r="E8" s="911">
        <v>2201020570</v>
      </c>
      <c r="F8" s="912" t="s">
        <v>228</v>
      </c>
      <c r="G8" s="910" t="s">
        <v>504</v>
      </c>
      <c r="H8" s="913"/>
      <c r="I8" s="913" t="s">
        <v>521</v>
      </c>
      <c r="J8" s="914" t="s">
        <v>518</v>
      </c>
      <c r="N8" s="917" t="s">
        <v>230</v>
      </c>
      <c r="O8" s="918" t="s">
        <v>298</v>
      </c>
    </row>
    <row r="9" s="904" customFormat="1" spans="1:15">
      <c r="A9" s="909" t="s">
        <v>494</v>
      </c>
      <c r="B9" s="910" t="s">
        <v>522</v>
      </c>
      <c r="C9" s="911" t="s">
        <v>523</v>
      </c>
      <c r="D9" s="912" t="s">
        <v>524</v>
      </c>
      <c r="E9" s="911">
        <v>2201020571</v>
      </c>
      <c r="F9" s="912" t="s">
        <v>228</v>
      </c>
      <c r="G9" s="910" t="s">
        <v>504</v>
      </c>
      <c r="H9" s="913"/>
      <c r="I9" s="913" t="s">
        <v>525</v>
      </c>
      <c r="J9" s="914" t="s">
        <v>518</v>
      </c>
      <c r="N9" s="917" t="s">
        <v>228</v>
      </c>
      <c r="O9" s="919" t="s">
        <v>298</v>
      </c>
    </row>
    <row r="10" s="904" customFormat="1" spans="1:15">
      <c r="A10" s="909" t="s">
        <v>494</v>
      </c>
      <c r="B10" s="910" t="s">
        <v>522</v>
      </c>
      <c r="C10" s="911" t="s">
        <v>526</v>
      </c>
      <c r="D10" s="912" t="s">
        <v>527</v>
      </c>
      <c r="E10" s="911">
        <v>2201020576</v>
      </c>
      <c r="F10" s="912" t="s">
        <v>228</v>
      </c>
      <c r="G10" s="910" t="s">
        <v>528</v>
      </c>
      <c r="H10" s="913"/>
      <c r="I10" s="913" t="s">
        <v>529</v>
      </c>
      <c r="J10" s="914" t="s">
        <v>530</v>
      </c>
      <c r="N10" s="917" t="s">
        <v>238</v>
      </c>
      <c r="O10" s="918" t="s">
        <v>299</v>
      </c>
    </row>
    <row r="11" s="904" customFormat="1" spans="1:15">
      <c r="A11" s="909" t="s">
        <v>494</v>
      </c>
      <c r="B11" s="910" t="s">
        <v>495</v>
      </c>
      <c r="C11" s="911" t="s">
        <v>531</v>
      </c>
      <c r="D11" s="912" t="s">
        <v>532</v>
      </c>
      <c r="E11" s="911">
        <v>2201020582</v>
      </c>
      <c r="F11" s="912" t="s">
        <v>228</v>
      </c>
      <c r="G11" s="910" t="s">
        <v>504</v>
      </c>
      <c r="H11" s="913"/>
      <c r="I11" s="913" t="s">
        <v>533</v>
      </c>
      <c r="J11" s="914" t="s">
        <v>534</v>
      </c>
      <c r="N11" s="917" t="s">
        <v>235</v>
      </c>
      <c r="O11" s="918" t="s">
        <v>299</v>
      </c>
    </row>
    <row r="12" s="904" customFormat="1" spans="1:15">
      <c r="A12" s="909" t="s">
        <v>494</v>
      </c>
      <c r="B12" s="910" t="s">
        <v>495</v>
      </c>
      <c r="C12" s="911" t="s">
        <v>535</v>
      </c>
      <c r="D12" s="912" t="s">
        <v>536</v>
      </c>
      <c r="E12" s="911">
        <v>2201020316</v>
      </c>
      <c r="F12" s="912" t="s">
        <v>228</v>
      </c>
      <c r="G12" s="910" t="s">
        <v>528</v>
      </c>
      <c r="H12" s="913" t="s">
        <v>537</v>
      </c>
      <c r="I12" s="913" t="s">
        <v>538</v>
      </c>
      <c r="J12" s="914" t="s">
        <v>539</v>
      </c>
      <c r="N12" s="917" t="s">
        <v>237</v>
      </c>
      <c r="O12" s="918" t="s">
        <v>299</v>
      </c>
    </row>
    <row r="13" s="904" customFormat="1" spans="1:15">
      <c r="A13" s="909" t="s">
        <v>494</v>
      </c>
      <c r="B13" s="910" t="s">
        <v>495</v>
      </c>
      <c r="C13" s="911" t="s">
        <v>540</v>
      </c>
      <c r="D13" s="912" t="s">
        <v>541</v>
      </c>
      <c r="E13" s="911">
        <v>2201020317</v>
      </c>
      <c r="F13" s="912" t="s">
        <v>228</v>
      </c>
      <c r="G13" s="910" t="s">
        <v>528</v>
      </c>
      <c r="H13" s="913" t="s">
        <v>537</v>
      </c>
      <c r="I13" s="913" t="s">
        <v>542</v>
      </c>
      <c r="J13" s="914" t="s">
        <v>539</v>
      </c>
      <c r="N13" s="917" t="s">
        <v>236</v>
      </c>
      <c r="O13" s="918" t="s">
        <v>299</v>
      </c>
    </row>
    <row r="14" s="904" customFormat="1" spans="1:15">
      <c r="A14" s="909" t="s">
        <v>494</v>
      </c>
      <c r="B14" s="910" t="s">
        <v>495</v>
      </c>
      <c r="C14" s="911" t="s">
        <v>543</v>
      </c>
      <c r="D14" s="912" t="s">
        <v>527</v>
      </c>
      <c r="E14" s="911">
        <v>2201020322</v>
      </c>
      <c r="F14" s="912" t="s">
        <v>228</v>
      </c>
      <c r="G14" s="910" t="s">
        <v>528</v>
      </c>
      <c r="H14" s="913" t="s">
        <v>537</v>
      </c>
      <c r="I14" s="913" t="s">
        <v>544</v>
      </c>
      <c r="J14" s="914" t="s">
        <v>530</v>
      </c>
      <c r="O14"/>
    </row>
    <row r="15" s="904" customFormat="1" spans="1:15">
      <c r="A15" s="909" t="s">
        <v>494</v>
      </c>
      <c r="B15" s="910" t="s">
        <v>495</v>
      </c>
      <c r="C15" s="911" t="s">
        <v>545</v>
      </c>
      <c r="D15" s="912" t="s">
        <v>546</v>
      </c>
      <c r="E15" s="911">
        <v>2201020327</v>
      </c>
      <c r="F15" s="912" t="s">
        <v>228</v>
      </c>
      <c r="G15" s="910" t="s">
        <v>504</v>
      </c>
      <c r="H15" s="913" t="s">
        <v>537</v>
      </c>
      <c r="I15" s="913" t="s">
        <v>547</v>
      </c>
      <c r="J15" s="914" t="s">
        <v>548</v>
      </c>
      <c r="O15"/>
    </row>
    <row r="16" s="904" customFormat="1" spans="1:15">
      <c r="A16" s="909" t="s">
        <v>494</v>
      </c>
      <c r="B16" s="910" t="s">
        <v>495</v>
      </c>
      <c r="C16" s="911" t="s">
        <v>549</v>
      </c>
      <c r="D16" s="912" t="s">
        <v>550</v>
      </c>
      <c r="E16" s="911">
        <v>2201050001</v>
      </c>
      <c r="F16" s="912" t="s">
        <v>228</v>
      </c>
      <c r="G16" s="910" t="s">
        <v>551</v>
      </c>
      <c r="H16" s="913"/>
      <c r="I16" s="913" t="s">
        <v>552</v>
      </c>
      <c r="J16" s="914" t="s">
        <v>553</v>
      </c>
      <c r="O16"/>
    </row>
    <row r="17" s="904" customFormat="1" spans="1:15">
      <c r="A17" s="909" t="s">
        <v>494</v>
      </c>
      <c r="B17" s="910" t="s">
        <v>495</v>
      </c>
      <c r="C17" s="911" t="s">
        <v>554</v>
      </c>
      <c r="D17" s="912" t="s">
        <v>555</v>
      </c>
      <c r="E17" s="911">
        <v>2201050002</v>
      </c>
      <c r="F17" s="912" t="s">
        <v>228</v>
      </c>
      <c r="G17" s="910" t="s">
        <v>551</v>
      </c>
      <c r="H17" s="913"/>
      <c r="I17" s="913" t="s">
        <v>556</v>
      </c>
      <c r="J17" s="914" t="s">
        <v>553</v>
      </c>
      <c r="O17"/>
    </row>
    <row r="18" s="904" customFormat="1" spans="1:15">
      <c r="A18" s="909" t="s">
        <v>494</v>
      </c>
      <c r="B18" s="910" t="s">
        <v>495</v>
      </c>
      <c r="C18" s="911" t="s">
        <v>557</v>
      </c>
      <c r="D18" s="912" t="s">
        <v>558</v>
      </c>
      <c r="E18" s="911">
        <v>2201050008</v>
      </c>
      <c r="F18" s="912" t="s">
        <v>229</v>
      </c>
      <c r="G18" s="910" t="s">
        <v>559</v>
      </c>
      <c r="H18" s="913"/>
      <c r="I18" s="913" t="s">
        <v>560</v>
      </c>
      <c r="J18" s="914" t="s">
        <v>561</v>
      </c>
      <c r="O18"/>
    </row>
    <row r="19" s="904" customFormat="1" spans="1:15">
      <c r="A19" s="909" t="s">
        <v>494</v>
      </c>
      <c r="B19" s="910" t="s">
        <v>495</v>
      </c>
      <c r="C19" s="911" t="s">
        <v>562</v>
      </c>
      <c r="D19" s="912" t="s">
        <v>563</v>
      </c>
      <c r="E19" s="911">
        <v>2201050009</v>
      </c>
      <c r="F19" s="912" t="s">
        <v>229</v>
      </c>
      <c r="G19" s="910" t="s">
        <v>564</v>
      </c>
      <c r="H19" s="913" t="s">
        <v>565</v>
      </c>
      <c r="I19" s="913" t="s">
        <v>566</v>
      </c>
      <c r="J19" s="914" t="s">
        <v>567</v>
      </c>
      <c r="O19"/>
    </row>
    <row r="20" s="904" customFormat="1" spans="1:15">
      <c r="A20" s="909" t="s">
        <v>494</v>
      </c>
      <c r="B20" s="910" t="s">
        <v>495</v>
      </c>
      <c r="C20" s="911" t="s">
        <v>568</v>
      </c>
      <c r="D20" s="912" t="s">
        <v>569</v>
      </c>
      <c r="E20" s="911">
        <v>2201050010</v>
      </c>
      <c r="F20" s="912" t="s">
        <v>229</v>
      </c>
      <c r="G20" s="910" t="s">
        <v>564</v>
      </c>
      <c r="H20" s="913" t="s">
        <v>565</v>
      </c>
      <c r="I20" s="913" t="s">
        <v>570</v>
      </c>
      <c r="J20" s="914" t="s">
        <v>567</v>
      </c>
      <c r="O20"/>
    </row>
    <row r="21" s="904" customFormat="1" spans="1:15">
      <c r="A21" s="909" t="s">
        <v>494</v>
      </c>
      <c r="B21" s="910" t="s">
        <v>495</v>
      </c>
      <c r="C21" s="911" t="s">
        <v>571</v>
      </c>
      <c r="D21" s="912" t="s">
        <v>572</v>
      </c>
      <c r="E21" s="911">
        <v>2201050011</v>
      </c>
      <c r="F21" s="912" t="s">
        <v>229</v>
      </c>
      <c r="G21" s="910" t="s">
        <v>564</v>
      </c>
      <c r="H21" s="913" t="s">
        <v>565</v>
      </c>
      <c r="I21" s="913" t="s">
        <v>573</v>
      </c>
      <c r="J21" s="914" t="s">
        <v>567</v>
      </c>
      <c r="O21"/>
    </row>
    <row r="22" s="904" customFormat="1" spans="1:15">
      <c r="A22" s="909" t="s">
        <v>494</v>
      </c>
      <c r="B22" s="910" t="s">
        <v>495</v>
      </c>
      <c r="C22" s="911" t="s">
        <v>574</v>
      </c>
      <c r="D22" s="912" t="s">
        <v>575</v>
      </c>
      <c r="E22" s="911">
        <v>2201050012</v>
      </c>
      <c r="F22" s="912" t="s">
        <v>229</v>
      </c>
      <c r="G22" s="910" t="s">
        <v>564</v>
      </c>
      <c r="H22" s="913"/>
      <c r="I22" s="913" t="s">
        <v>576</v>
      </c>
      <c r="J22" s="914" t="s">
        <v>577</v>
      </c>
      <c r="O22"/>
    </row>
    <row r="23" s="904" customFormat="1" spans="1:15">
      <c r="A23" s="909" t="s">
        <v>494</v>
      </c>
      <c r="B23" s="910" t="s">
        <v>495</v>
      </c>
      <c r="C23" s="911" t="s">
        <v>578</v>
      </c>
      <c r="D23" s="912" t="s">
        <v>579</v>
      </c>
      <c r="E23" s="911">
        <v>2201050013</v>
      </c>
      <c r="F23" s="912" t="s">
        <v>229</v>
      </c>
      <c r="G23" s="910" t="s">
        <v>564</v>
      </c>
      <c r="H23" s="913"/>
      <c r="I23" s="913" t="s">
        <v>580</v>
      </c>
      <c r="J23" s="914" t="s">
        <v>577</v>
      </c>
      <c r="O23"/>
    </row>
    <row r="24" s="904" customFormat="1" spans="1:15">
      <c r="A24" s="909" t="s">
        <v>494</v>
      </c>
      <c r="B24" s="910" t="s">
        <v>495</v>
      </c>
      <c r="C24" s="911" t="s">
        <v>581</v>
      </c>
      <c r="D24" s="912" t="s">
        <v>582</v>
      </c>
      <c r="E24" s="911">
        <v>2201050014</v>
      </c>
      <c r="F24" s="912" t="s">
        <v>229</v>
      </c>
      <c r="G24" s="910" t="s">
        <v>564</v>
      </c>
      <c r="H24" s="913"/>
      <c r="I24" s="913" t="s">
        <v>583</v>
      </c>
      <c r="J24" s="914" t="s">
        <v>577</v>
      </c>
      <c r="O24"/>
    </row>
    <row r="25" s="904" customFormat="1" spans="1:15">
      <c r="A25" s="909" t="s">
        <v>494</v>
      </c>
      <c r="B25" s="910" t="s">
        <v>522</v>
      </c>
      <c r="C25" s="911" t="s">
        <v>584</v>
      </c>
      <c r="D25" s="912" t="s">
        <v>585</v>
      </c>
      <c r="E25" s="911">
        <v>2201020584</v>
      </c>
      <c r="F25" s="912" t="s">
        <v>228</v>
      </c>
      <c r="G25" s="910" t="s">
        <v>504</v>
      </c>
      <c r="H25" s="913"/>
      <c r="I25" s="913" t="s">
        <v>586</v>
      </c>
      <c r="J25" s="914" t="s">
        <v>587</v>
      </c>
      <c r="O25"/>
    </row>
    <row r="26" s="904" customFormat="1" spans="1:15">
      <c r="A26" s="909" t="s">
        <v>494</v>
      </c>
      <c r="B26" s="910" t="s">
        <v>495</v>
      </c>
      <c r="C26" s="911" t="s">
        <v>588</v>
      </c>
      <c r="D26" s="912" t="s">
        <v>589</v>
      </c>
      <c r="E26" s="911">
        <v>2201020585</v>
      </c>
      <c r="F26" s="912" t="s">
        <v>228</v>
      </c>
      <c r="G26" s="910" t="s">
        <v>504</v>
      </c>
      <c r="H26" s="913"/>
      <c r="I26" s="913" t="s">
        <v>590</v>
      </c>
      <c r="J26" s="914" t="s">
        <v>587</v>
      </c>
      <c r="O26"/>
    </row>
    <row r="27" s="904" customFormat="1" spans="1:15">
      <c r="A27" s="909" t="s">
        <v>494</v>
      </c>
      <c r="B27" s="910" t="s">
        <v>522</v>
      </c>
      <c r="C27" s="911" t="s">
        <v>591</v>
      </c>
      <c r="D27" s="912" t="s">
        <v>536</v>
      </c>
      <c r="E27" s="911">
        <v>2201020587</v>
      </c>
      <c r="F27" s="912" t="s">
        <v>228</v>
      </c>
      <c r="G27" s="910" t="s">
        <v>528</v>
      </c>
      <c r="H27" s="913"/>
      <c r="I27" s="913" t="s">
        <v>592</v>
      </c>
      <c r="J27" s="914" t="s">
        <v>539</v>
      </c>
      <c r="O27"/>
    </row>
    <row r="28" s="904" customFormat="1" spans="1:15">
      <c r="A28" s="909" t="s">
        <v>494</v>
      </c>
      <c r="B28" s="910" t="s">
        <v>522</v>
      </c>
      <c r="C28" s="911" t="s">
        <v>593</v>
      </c>
      <c r="D28" s="912" t="s">
        <v>541</v>
      </c>
      <c r="E28" s="911">
        <v>2201020588</v>
      </c>
      <c r="F28" s="912" t="s">
        <v>228</v>
      </c>
      <c r="G28" s="910" t="s">
        <v>528</v>
      </c>
      <c r="H28" s="913"/>
      <c r="I28" s="913" t="s">
        <v>594</v>
      </c>
      <c r="J28" s="914" t="s">
        <v>539</v>
      </c>
      <c r="O28"/>
    </row>
    <row r="29" s="904" customFormat="1" spans="1:15">
      <c r="A29" s="909" t="s">
        <v>494</v>
      </c>
      <c r="B29" s="910" t="s">
        <v>522</v>
      </c>
      <c r="C29" s="911" t="s">
        <v>595</v>
      </c>
      <c r="D29" s="912" t="s">
        <v>596</v>
      </c>
      <c r="E29" s="911">
        <v>2201020596</v>
      </c>
      <c r="F29" s="912" t="s">
        <v>228</v>
      </c>
      <c r="G29" s="910" t="s">
        <v>597</v>
      </c>
      <c r="H29" s="913" t="s">
        <v>598</v>
      </c>
      <c r="I29" s="913" t="s">
        <v>599</v>
      </c>
      <c r="J29" s="914" t="s">
        <v>600</v>
      </c>
      <c r="O29"/>
    </row>
    <row r="30" s="904" customFormat="1" spans="1:15">
      <c r="A30" s="909" t="s">
        <v>494</v>
      </c>
      <c r="B30" s="910" t="s">
        <v>495</v>
      </c>
      <c r="C30" s="911" t="s">
        <v>601</v>
      </c>
      <c r="D30" s="912" t="s">
        <v>602</v>
      </c>
      <c r="E30" s="911">
        <v>2201020698</v>
      </c>
      <c r="F30" s="912" t="s">
        <v>228</v>
      </c>
      <c r="G30" s="910" t="s">
        <v>504</v>
      </c>
      <c r="H30" s="913" t="s">
        <v>505</v>
      </c>
      <c r="I30" s="913" t="s">
        <v>603</v>
      </c>
      <c r="J30" s="914" t="s">
        <v>507</v>
      </c>
      <c r="O30"/>
    </row>
    <row r="31" s="904" customFormat="1" spans="1:15">
      <c r="A31" s="909" t="s">
        <v>494</v>
      </c>
      <c r="B31" s="910" t="s">
        <v>495</v>
      </c>
      <c r="C31" s="911" t="s">
        <v>604</v>
      </c>
      <c r="D31" s="912" t="s">
        <v>605</v>
      </c>
      <c r="E31" s="911">
        <v>2201020722</v>
      </c>
      <c r="F31" s="912" t="s">
        <v>228</v>
      </c>
      <c r="G31" s="910" t="s">
        <v>504</v>
      </c>
      <c r="H31" s="913" t="s">
        <v>537</v>
      </c>
      <c r="I31" s="913" t="s">
        <v>606</v>
      </c>
      <c r="J31" s="914" t="s">
        <v>507</v>
      </c>
      <c r="O31"/>
    </row>
    <row r="32" s="904" customFormat="1" spans="1:15">
      <c r="A32" s="909" t="s">
        <v>494</v>
      </c>
      <c r="B32" s="910" t="s">
        <v>495</v>
      </c>
      <c r="C32" s="911" t="s">
        <v>607</v>
      </c>
      <c r="D32" s="912" t="s">
        <v>608</v>
      </c>
      <c r="E32" s="911">
        <v>2201100091</v>
      </c>
      <c r="F32" s="912" t="s">
        <v>228</v>
      </c>
      <c r="G32" s="910" t="s">
        <v>551</v>
      </c>
      <c r="H32" s="913"/>
      <c r="I32" s="913" t="s">
        <v>609</v>
      </c>
      <c r="J32" s="914" t="s">
        <v>610</v>
      </c>
      <c r="O32"/>
    </row>
    <row r="33" s="904" customFormat="1" spans="1:15">
      <c r="A33" s="909" t="s">
        <v>494</v>
      </c>
      <c r="B33" s="910" t="s">
        <v>495</v>
      </c>
      <c r="C33" s="911" t="s">
        <v>611</v>
      </c>
      <c r="D33" s="912" t="s">
        <v>612</v>
      </c>
      <c r="E33" s="911">
        <v>2201100092</v>
      </c>
      <c r="F33" s="912" t="s">
        <v>228</v>
      </c>
      <c r="G33" s="910" t="s">
        <v>551</v>
      </c>
      <c r="H33" s="913"/>
      <c r="I33" s="913" t="s">
        <v>613</v>
      </c>
      <c r="J33" s="914" t="s">
        <v>610</v>
      </c>
      <c r="O33"/>
    </row>
    <row r="34" s="904" customFormat="1" spans="1:15">
      <c r="A34" s="909" t="s">
        <v>494</v>
      </c>
      <c r="B34" s="910" t="s">
        <v>495</v>
      </c>
      <c r="C34" s="911" t="s">
        <v>614</v>
      </c>
      <c r="D34" s="912" t="s">
        <v>615</v>
      </c>
      <c r="E34" s="911">
        <v>2201100093</v>
      </c>
      <c r="F34" s="912" t="s">
        <v>228</v>
      </c>
      <c r="G34" s="910" t="s">
        <v>551</v>
      </c>
      <c r="H34" s="913"/>
      <c r="I34" s="913" t="s">
        <v>616</v>
      </c>
      <c r="J34" s="914" t="s">
        <v>610</v>
      </c>
      <c r="O34"/>
    </row>
    <row r="35" s="904" customFormat="1" spans="1:15">
      <c r="A35" s="909" t="s">
        <v>494</v>
      </c>
      <c r="B35" s="910" t="s">
        <v>495</v>
      </c>
      <c r="C35" s="911" t="s">
        <v>617</v>
      </c>
      <c r="D35" s="912" t="s">
        <v>618</v>
      </c>
      <c r="E35" s="911">
        <v>2201100097</v>
      </c>
      <c r="F35" s="912" t="s">
        <v>228</v>
      </c>
      <c r="G35" s="910" t="s">
        <v>551</v>
      </c>
      <c r="H35" s="913" t="s">
        <v>619</v>
      </c>
      <c r="I35" s="913" t="s">
        <v>620</v>
      </c>
      <c r="J35" s="914" t="s">
        <v>621</v>
      </c>
      <c r="O35"/>
    </row>
    <row r="36" s="904" customFormat="1" spans="1:15">
      <c r="A36" s="909" t="s">
        <v>494</v>
      </c>
      <c r="B36" s="910" t="s">
        <v>495</v>
      </c>
      <c r="C36" s="911" t="s">
        <v>622</v>
      </c>
      <c r="D36" s="912" t="s">
        <v>623</v>
      </c>
      <c r="E36" s="911">
        <v>2201100098</v>
      </c>
      <c r="F36" s="912" t="s">
        <v>228</v>
      </c>
      <c r="G36" s="910" t="s">
        <v>551</v>
      </c>
      <c r="H36" s="913" t="s">
        <v>619</v>
      </c>
      <c r="I36" s="913" t="s">
        <v>624</v>
      </c>
      <c r="J36" s="914" t="s">
        <v>621</v>
      </c>
      <c r="O36"/>
    </row>
    <row r="37" s="904" customFormat="1" spans="1:15">
      <c r="A37" s="909" t="s">
        <v>494</v>
      </c>
      <c r="B37" s="910" t="s">
        <v>495</v>
      </c>
      <c r="C37" s="911" t="s">
        <v>625</v>
      </c>
      <c r="D37" s="912" t="s">
        <v>626</v>
      </c>
      <c r="E37" s="911">
        <v>2201100099</v>
      </c>
      <c r="F37" s="912" t="s">
        <v>228</v>
      </c>
      <c r="G37" s="910" t="s">
        <v>551</v>
      </c>
      <c r="H37" s="913" t="s">
        <v>619</v>
      </c>
      <c r="I37" s="913" t="s">
        <v>627</v>
      </c>
      <c r="J37" s="914" t="s">
        <v>621</v>
      </c>
      <c r="O37"/>
    </row>
    <row r="38" s="904" customFormat="1" spans="1:15">
      <c r="A38" s="909" t="s">
        <v>494</v>
      </c>
      <c r="B38" s="910" t="s">
        <v>495</v>
      </c>
      <c r="C38" s="911" t="s">
        <v>628</v>
      </c>
      <c r="D38" s="912" t="s">
        <v>629</v>
      </c>
      <c r="E38" s="911">
        <v>2202010176</v>
      </c>
      <c r="F38" s="912" t="s">
        <v>229</v>
      </c>
      <c r="G38" s="910" t="s">
        <v>630</v>
      </c>
      <c r="H38" s="913" t="s">
        <v>537</v>
      </c>
      <c r="I38" s="913" t="s">
        <v>631</v>
      </c>
      <c r="J38" s="914" t="s">
        <v>632</v>
      </c>
      <c r="O38"/>
    </row>
    <row r="39" s="904" customFormat="1" spans="1:15">
      <c r="A39" s="909" t="s">
        <v>494</v>
      </c>
      <c r="B39" s="910" t="s">
        <v>495</v>
      </c>
      <c r="C39" s="911" t="s">
        <v>633</v>
      </c>
      <c r="D39" s="912" t="s">
        <v>634</v>
      </c>
      <c r="E39" s="911">
        <v>2202010179</v>
      </c>
      <c r="F39" s="912" t="s">
        <v>229</v>
      </c>
      <c r="G39" s="910" t="s">
        <v>630</v>
      </c>
      <c r="H39" s="913" t="s">
        <v>537</v>
      </c>
      <c r="I39" s="913" t="s">
        <v>635</v>
      </c>
      <c r="J39" s="914" t="s">
        <v>636</v>
      </c>
      <c r="O39"/>
    </row>
    <row r="40" s="904" customFormat="1" spans="1:15">
      <c r="A40" s="909" t="s">
        <v>494</v>
      </c>
      <c r="B40" s="910" t="s">
        <v>495</v>
      </c>
      <c r="C40" s="911" t="s">
        <v>637</v>
      </c>
      <c r="D40" s="912" t="s">
        <v>638</v>
      </c>
      <c r="E40" s="911">
        <v>2202010183</v>
      </c>
      <c r="F40" s="912" t="s">
        <v>229</v>
      </c>
      <c r="G40" s="910" t="s">
        <v>630</v>
      </c>
      <c r="H40" s="913" t="s">
        <v>537</v>
      </c>
      <c r="I40" s="913" t="s">
        <v>639</v>
      </c>
      <c r="J40" s="914" t="s">
        <v>640</v>
      </c>
      <c r="O40"/>
    </row>
    <row r="41" s="904" customFormat="1" spans="1:15">
      <c r="A41" s="909" t="s">
        <v>494</v>
      </c>
      <c r="B41" s="910" t="s">
        <v>495</v>
      </c>
      <c r="C41" s="911" t="s">
        <v>641</v>
      </c>
      <c r="D41" s="912" t="s">
        <v>642</v>
      </c>
      <c r="E41" s="911">
        <v>2202010184</v>
      </c>
      <c r="F41" s="912" t="s">
        <v>229</v>
      </c>
      <c r="G41" s="910" t="s">
        <v>630</v>
      </c>
      <c r="H41" s="913" t="s">
        <v>537</v>
      </c>
      <c r="I41" s="913" t="s">
        <v>643</v>
      </c>
      <c r="J41" s="914" t="s">
        <v>644</v>
      </c>
      <c r="O41"/>
    </row>
    <row r="42" s="904" customFormat="1" spans="1:15">
      <c r="A42" s="909" t="s">
        <v>494</v>
      </c>
      <c r="B42" s="910" t="s">
        <v>495</v>
      </c>
      <c r="C42" s="911" t="s">
        <v>645</v>
      </c>
      <c r="D42" s="912" t="s">
        <v>646</v>
      </c>
      <c r="E42" s="911">
        <v>2202010185</v>
      </c>
      <c r="F42" s="912" t="s">
        <v>229</v>
      </c>
      <c r="G42" s="910" t="s">
        <v>630</v>
      </c>
      <c r="H42" s="913" t="s">
        <v>537</v>
      </c>
      <c r="I42" s="913" t="s">
        <v>647</v>
      </c>
      <c r="J42" s="914" t="s">
        <v>648</v>
      </c>
      <c r="O42"/>
    </row>
    <row r="43" s="904" customFormat="1" spans="1:15">
      <c r="A43" s="909" t="s">
        <v>494</v>
      </c>
      <c r="B43" s="910" t="s">
        <v>495</v>
      </c>
      <c r="C43" s="911" t="s">
        <v>649</v>
      </c>
      <c r="D43" s="912" t="s">
        <v>629</v>
      </c>
      <c r="E43" s="911">
        <v>2202010187</v>
      </c>
      <c r="F43" s="912" t="s">
        <v>229</v>
      </c>
      <c r="G43" s="910" t="s">
        <v>630</v>
      </c>
      <c r="H43" s="913" t="s">
        <v>537</v>
      </c>
      <c r="I43" s="913" t="s">
        <v>650</v>
      </c>
      <c r="J43" s="914" t="s">
        <v>632</v>
      </c>
      <c r="O43"/>
    </row>
    <row r="44" s="904" customFormat="1" spans="1:15">
      <c r="A44" s="909" t="s">
        <v>494</v>
      </c>
      <c r="B44" s="910" t="s">
        <v>495</v>
      </c>
      <c r="C44" s="911" t="s">
        <v>651</v>
      </c>
      <c r="D44" s="912" t="s">
        <v>652</v>
      </c>
      <c r="E44" s="911">
        <v>2202010188</v>
      </c>
      <c r="F44" s="912" t="s">
        <v>229</v>
      </c>
      <c r="G44" s="910" t="s">
        <v>630</v>
      </c>
      <c r="H44" s="913" t="s">
        <v>537</v>
      </c>
      <c r="I44" s="913" t="s">
        <v>653</v>
      </c>
      <c r="J44" s="914" t="s">
        <v>654</v>
      </c>
      <c r="O44"/>
    </row>
    <row r="45" s="904" customFormat="1" spans="1:15">
      <c r="A45" s="909" t="s">
        <v>494</v>
      </c>
      <c r="B45" s="910" t="s">
        <v>495</v>
      </c>
      <c r="C45" s="911" t="s">
        <v>655</v>
      </c>
      <c r="D45" s="912" t="s">
        <v>656</v>
      </c>
      <c r="E45" s="911">
        <v>2202010189</v>
      </c>
      <c r="F45" s="912" t="s">
        <v>229</v>
      </c>
      <c r="G45" s="910" t="s">
        <v>630</v>
      </c>
      <c r="H45" s="913" t="s">
        <v>537</v>
      </c>
      <c r="I45" s="913" t="s">
        <v>657</v>
      </c>
      <c r="J45" s="914" t="s">
        <v>658</v>
      </c>
      <c r="O45"/>
    </row>
    <row r="46" s="904" customFormat="1" spans="1:15">
      <c r="A46" s="909" t="s">
        <v>494</v>
      </c>
      <c r="B46" s="910" t="s">
        <v>522</v>
      </c>
      <c r="C46" s="911" t="s">
        <v>659</v>
      </c>
      <c r="D46" s="912" t="s">
        <v>660</v>
      </c>
      <c r="E46" s="911">
        <v>2202010195</v>
      </c>
      <c r="F46" s="912" t="s">
        <v>229</v>
      </c>
      <c r="G46" s="910" t="s">
        <v>630</v>
      </c>
      <c r="H46" s="913" t="s">
        <v>537</v>
      </c>
      <c r="I46" s="913" t="s">
        <v>661</v>
      </c>
      <c r="J46" s="914" t="s">
        <v>662</v>
      </c>
      <c r="O46"/>
    </row>
    <row r="47" s="904" customFormat="1" spans="1:15">
      <c r="A47" s="909" t="s">
        <v>494</v>
      </c>
      <c r="B47" s="910" t="s">
        <v>522</v>
      </c>
      <c r="C47" s="911" t="s">
        <v>663</v>
      </c>
      <c r="D47" s="912" t="s">
        <v>664</v>
      </c>
      <c r="E47" s="911">
        <v>2202010196</v>
      </c>
      <c r="F47" s="912" t="s">
        <v>229</v>
      </c>
      <c r="G47" s="910" t="s">
        <v>630</v>
      </c>
      <c r="H47" s="913" t="s">
        <v>537</v>
      </c>
      <c r="I47" s="913" t="s">
        <v>665</v>
      </c>
      <c r="J47" s="914" t="s">
        <v>666</v>
      </c>
      <c r="O47"/>
    </row>
    <row r="48" s="904" customFormat="1" spans="1:15">
      <c r="A48" s="909" t="s">
        <v>494</v>
      </c>
      <c r="B48" s="910" t="s">
        <v>495</v>
      </c>
      <c r="C48" s="911" t="s">
        <v>667</v>
      </c>
      <c r="D48" s="912" t="s">
        <v>668</v>
      </c>
      <c r="E48" s="911">
        <v>2202010198</v>
      </c>
      <c r="F48" s="912" t="s">
        <v>229</v>
      </c>
      <c r="G48" s="910" t="s">
        <v>630</v>
      </c>
      <c r="H48" s="913" t="s">
        <v>537</v>
      </c>
      <c r="I48" s="913" t="s">
        <v>669</v>
      </c>
      <c r="J48" s="914" t="s">
        <v>670</v>
      </c>
      <c r="O48"/>
    </row>
    <row r="49" s="904" customFormat="1" spans="1:15">
      <c r="A49" s="909" t="s">
        <v>494</v>
      </c>
      <c r="B49" s="910" t="s">
        <v>495</v>
      </c>
      <c r="C49" s="911" t="s">
        <v>671</v>
      </c>
      <c r="D49" s="912" t="s">
        <v>672</v>
      </c>
      <c r="E49" s="911">
        <v>2202010199</v>
      </c>
      <c r="F49" s="912" t="s">
        <v>229</v>
      </c>
      <c r="G49" s="910" t="s">
        <v>630</v>
      </c>
      <c r="H49" s="913" t="s">
        <v>537</v>
      </c>
      <c r="I49" s="913" t="s">
        <v>673</v>
      </c>
      <c r="J49" s="914" t="s">
        <v>674</v>
      </c>
      <c r="O49"/>
    </row>
    <row r="50" s="904" customFormat="1" spans="1:15">
      <c r="A50" s="909" t="s">
        <v>494</v>
      </c>
      <c r="B50" s="910" t="s">
        <v>495</v>
      </c>
      <c r="C50" s="911" t="s">
        <v>675</v>
      </c>
      <c r="D50" s="912" t="s">
        <v>676</v>
      </c>
      <c r="E50" s="911">
        <v>2202010200</v>
      </c>
      <c r="F50" s="912" t="s">
        <v>229</v>
      </c>
      <c r="G50" s="910" t="s">
        <v>630</v>
      </c>
      <c r="H50" s="913" t="s">
        <v>537</v>
      </c>
      <c r="I50" s="913" t="s">
        <v>677</v>
      </c>
      <c r="J50" s="914" t="s">
        <v>678</v>
      </c>
      <c r="O50"/>
    </row>
    <row r="51" s="904" customFormat="1" spans="1:15">
      <c r="A51" s="909" t="s">
        <v>494</v>
      </c>
      <c r="B51" s="910" t="s">
        <v>495</v>
      </c>
      <c r="C51" s="911" t="s">
        <v>679</v>
      </c>
      <c r="D51" s="912" t="s">
        <v>680</v>
      </c>
      <c r="E51" s="911">
        <v>2202010252</v>
      </c>
      <c r="F51" s="912" t="s">
        <v>229</v>
      </c>
      <c r="G51" s="910" t="s">
        <v>630</v>
      </c>
      <c r="H51" s="913" t="s">
        <v>681</v>
      </c>
      <c r="I51" s="913" t="s">
        <v>682</v>
      </c>
      <c r="J51" s="914" t="s">
        <v>683</v>
      </c>
      <c r="O51"/>
    </row>
    <row r="52" s="904" customFormat="1" spans="1:15">
      <c r="A52" s="909" t="s">
        <v>494</v>
      </c>
      <c r="B52" s="910" t="s">
        <v>495</v>
      </c>
      <c r="C52" s="911" t="s">
        <v>684</v>
      </c>
      <c r="D52" s="912" t="s">
        <v>685</v>
      </c>
      <c r="E52" s="911">
        <v>2202010253</v>
      </c>
      <c r="F52" s="912" t="s">
        <v>229</v>
      </c>
      <c r="G52" s="910" t="s">
        <v>630</v>
      </c>
      <c r="H52" s="913" t="s">
        <v>681</v>
      </c>
      <c r="I52" s="913" t="s">
        <v>686</v>
      </c>
      <c r="J52" s="914" t="s">
        <v>687</v>
      </c>
      <c r="O52"/>
    </row>
    <row r="53" s="904" customFormat="1" spans="1:15">
      <c r="A53" s="909" t="s">
        <v>494</v>
      </c>
      <c r="B53" s="910" t="s">
        <v>495</v>
      </c>
      <c r="C53" s="911" t="s">
        <v>688</v>
      </c>
      <c r="D53" s="912" t="s">
        <v>689</v>
      </c>
      <c r="E53" s="911">
        <v>2202010254</v>
      </c>
      <c r="F53" s="912" t="s">
        <v>229</v>
      </c>
      <c r="G53" s="910" t="s">
        <v>630</v>
      </c>
      <c r="H53" s="913" t="s">
        <v>681</v>
      </c>
      <c r="I53" s="913" t="s">
        <v>690</v>
      </c>
      <c r="J53" s="914" t="s">
        <v>691</v>
      </c>
      <c r="O53"/>
    </row>
    <row r="54" s="904" customFormat="1" spans="1:15">
      <c r="A54" s="909" t="s">
        <v>494</v>
      </c>
      <c r="B54" s="910" t="s">
        <v>495</v>
      </c>
      <c r="C54" s="911" t="s">
        <v>692</v>
      </c>
      <c r="D54" s="912" t="s">
        <v>693</v>
      </c>
      <c r="E54" s="911">
        <v>2201110012</v>
      </c>
      <c r="F54" s="912" t="s">
        <v>228</v>
      </c>
      <c r="G54" s="910" t="s">
        <v>694</v>
      </c>
      <c r="H54" s="913" t="s">
        <v>537</v>
      </c>
      <c r="I54" s="913" t="s">
        <v>695</v>
      </c>
      <c r="J54" s="914" t="s">
        <v>696</v>
      </c>
      <c r="O54"/>
    </row>
    <row r="55" s="904" customFormat="1" spans="1:15">
      <c r="A55" s="909" t="s">
        <v>494</v>
      </c>
      <c r="B55" s="910" t="s">
        <v>495</v>
      </c>
      <c r="C55" s="911" t="s">
        <v>697</v>
      </c>
      <c r="D55" s="912" t="s">
        <v>698</v>
      </c>
      <c r="E55" s="911">
        <v>2201110013</v>
      </c>
      <c r="F55" s="912" t="s">
        <v>228</v>
      </c>
      <c r="G55" s="910" t="s">
        <v>694</v>
      </c>
      <c r="H55" s="913" t="s">
        <v>537</v>
      </c>
      <c r="I55" s="913" t="s">
        <v>699</v>
      </c>
      <c r="J55" s="914" t="s">
        <v>696</v>
      </c>
      <c r="O55"/>
    </row>
    <row r="56" s="904" customFormat="1" spans="1:15">
      <c r="A56" s="909" t="s">
        <v>494</v>
      </c>
      <c r="B56" s="910" t="s">
        <v>495</v>
      </c>
      <c r="C56" s="911" t="s">
        <v>700</v>
      </c>
      <c r="D56" s="912" t="s">
        <v>701</v>
      </c>
      <c r="E56" s="911">
        <v>2202010058</v>
      </c>
      <c r="F56" s="912" t="s">
        <v>229</v>
      </c>
      <c r="G56" s="910" t="s">
        <v>702</v>
      </c>
      <c r="H56" s="913" t="s">
        <v>537</v>
      </c>
      <c r="I56" s="913" t="s">
        <v>703</v>
      </c>
      <c r="J56" s="914" t="s">
        <v>704</v>
      </c>
      <c r="O56"/>
    </row>
    <row r="57" s="904" customFormat="1" spans="1:15">
      <c r="A57" s="909" t="s">
        <v>494</v>
      </c>
      <c r="B57" s="910" t="s">
        <v>495</v>
      </c>
      <c r="C57" s="911" t="s">
        <v>705</v>
      </c>
      <c r="D57" s="912" t="s">
        <v>706</v>
      </c>
      <c r="E57" s="911">
        <v>2202010059</v>
      </c>
      <c r="F57" s="912" t="s">
        <v>229</v>
      </c>
      <c r="G57" s="910" t="s">
        <v>702</v>
      </c>
      <c r="H57" s="913" t="s">
        <v>537</v>
      </c>
      <c r="I57" s="913" t="s">
        <v>707</v>
      </c>
      <c r="J57" s="914" t="s">
        <v>708</v>
      </c>
      <c r="O57"/>
    </row>
    <row r="58" s="904" customFormat="1" spans="1:15">
      <c r="A58" s="909" t="s">
        <v>494</v>
      </c>
      <c r="B58" s="910" t="s">
        <v>495</v>
      </c>
      <c r="C58" s="911" t="s">
        <v>709</v>
      </c>
      <c r="D58" s="912" t="s">
        <v>710</v>
      </c>
      <c r="E58" s="911">
        <v>2202010060</v>
      </c>
      <c r="F58" s="912" t="s">
        <v>229</v>
      </c>
      <c r="G58" s="910" t="s">
        <v>702</v>
      </c>
      <c r="H58" s="913" t="s">
        <v>537</v>
      </c>
      <c r="I58" s="913" t="s">
        <v>711</v>
      </c>
      <c r="J58" s="914" t="s">
        <v>712</v>
      </c>
      <c r="O58"/>
    </row>
    <row r="59" s="904" customFormat="1" spans="1:15">
      <c r="A59" s="909" t="s">
        <v>494</v>
      </c>
      <c r="B59" s="910" t="s">
        <v>495</v>
      </c>
      <c r="C59" s="911" t="s">
        <v>713</v>
      </c>
      <c r="D59" s="912" t="s">
        <v>714</v>
      </c>
      <c r="E59" s="911">
        <v>2202010062</v>
      </c>
      <c r="F59" s="912" t="s">
        <v>229</v>
      </c>
      <c r="G59" s="910" t="s">
        <v>715</v>
      </c>
      <c r="H59" s="913" t="s">
        <v>537</v>
      </c>
      <c r="I59" s="913" t="s">
        <v>716</v>
      </c>
      <c r="J59" s="914" t="s">
        <v>717</v>
      </c>
      <c r="O59"/>
    </row>
    <row r="60" s="904" customFormat="1" spans="1:15">
      <c r="A60" s="909" t="s">
        <v>494</v>
      </c>
      <c r="B60" s="910" t="s">
        <v>495</v>
      </c>
      <c r="C60" s="911" t="s">
        <v>718</v>
      </c>
      <c r="D60" s="912" t="s">
        <v>719</v>
      </c>
      <c r="E60" s="911">
        <v>2202010087</v>
      </c>
      <c r="F60" s="912" t="s">
        <v>229</v>
      </c>
      <c r="G60" s="910" t="s">
        <v>715</v>
      </c>
      <c r="H60" s="913" t="s">
        <v>537</v>
      </c>
      <c r="I60" s="913" t="s">
        <v>720</v>
      </c>
      <c r="J60" s="914" t="s">
        <v>721</v>
      </c>
      <c r="O60"/>
    </row>
    <row r="61" s="904" customFormat="1" spans="1:15">
      <c r="A61" s="909" t="s">
        <v>494</v>
      </c>
      <c r="B61" s="910" t="s">
        <v>495</v>
      </c>
      <c r="C61" s="911" t="s">
        <v>722</v>
      </c>
      <c r="D61" s="912" t="s">
        <v>723</v>
      </c>
      <c r="E61" s="911">
        <v>2202010110</v>
      </c>
      <c r="F61" s="912" t="s">
        <v>229</v>
      </c>
      <c r="G61" s="910" t="s">
        <v>715</v>
      </c>
      <c r="H61" s="913" t="s">
        <v>537</v>
      </c>
      <c r="I61" s="913" t="s">
        <v>724</v>
      </c>
      <c r="J61" s="914" t="s">
        <v>725</v>
      </c>
      <c r="O61"/>
    </row>
    <row r="62" s="904" customFormat="1" spans="1:15">
      <c r="A62" s="909" t="s">
        <v>494</v>
      </c>
      <c r="B62" s="910" t="s">
        <v>495</v>
      </c>
      <c r="C62" s="911" t="s">
        <v>726</v>
      </c>
      <c r="D62" s="912" t="s">
        <v>727</v>
      </c>
      <c r="E62" s="911">
        <v>2202010112</v>
      </c>
      <c r="F62" s="912" t="s">
        <v>229</v>
      </c>
      <c r="G62" s="910" t="s">
        <v>715</v>
      </c>
      <c r="H62" s="913" t="s">
        <v>537</v>
      </c>
      <c r="I62" s="913" t="s">
        <v>728</v>
      </c>
      <c r="J62" s="914" t="s">
        <v>729</v>
      </c>
      <c r="O62"/>
    </row>
    <row r="63" s="904" customFormat="1" spans="1:15">
      <c r="A63" s="909" t="s">
        <v>494</v>
      </c>
      <c r="B63" s="910" t="s">
        <v>495</v>
      </c>
      <c r="C63" s="911" t="s">
        <v>730</v>
      </c>
      <c r="D63" s="912" t="s">
        <v>634</v>
      </c>
      <c r="E63" s="911">
        <v>2202010168</v>
      </c>
      <c r="F63" s="912" t="s">
        <v>229</v>
      </c>
      <c r="G63" s="910" t="s">
        <v>630</v>
      </c>
      <c r="H63" s="913" t="s">
        <v>537</v>
      </c>
      <c r="I63" s="913" t="s">
        <v>731</v>
      </c>
      <c r="J63" s="914" t="s">
        <v>636</v>
      </c>
      <c r="O63"/>
    </row>
    <row r="64" s="904" customFormat="1" spans="1:15">
      <c r="A64" s="909" t="s">
        <v>494</v>
      </c>
      <c r="B64" s="910" t="s">
        <v>495</v>
      </c>
      <c r="C64" s="911" t="s">
        <v>732</v>
      </c>
      <c r="D64" s="912" t="s">
        <v>733</v>
      </c>
      <c r="E64" s="911">
        <v>2202030176</v>
      </c>
      <c r="F64" s="912" t="s">
        <v>229</v>
      </c>
      <c r="G64" s="910" t="s">
        <v>734</v>
      </c>
      <c r="H64" s="913" t="s">
        <v>735</v>
      </c>
      <c r="I64" s="913" t="s">
        <v>736</v>
      </c>
      <c r="J64" s="914" t="s">
        <v>737</v>
      </c>
      <c r="O64"/>
    </row>
    <row r="65" s="904" customFormat="1" spans="1:15">
      <c r="A65" s="909" t="s">
        <v>494</v>
      </c>
      <c r="B65" s="910" t="s">
        <v>495</v>
      </c>
      <c r="C65" s="911" t="s">
        <v>738</v>
      </c>
      <c r="D65" s="912" t="s">
        <v>739</v>
      </c>
      <c r="E65" s="911">
        <v>2202030178</v>
      </c>
      <c r="F65" s="912" t="s">
        <v>229</v>
      </c>
      <c r="G65" s="910" t="s">
        <v>734</v>
      </c>
      <c r="H65" s="913" t="s">
        <v>740</v>
      </c>
      <c r="I65" s="913" t="s">
        <v>741</v>
      </c>
      <c r="J65" s="914" t="s">
        <v>742</v>
      </c>
      <c r="O65"/>
    </row>
    <row r="66" s="904" customFormat="1" spans="1:15">
      <c r="A66" s="909" t="s">
        <v>494</v>
      </c>
      <c r="B66" s="910" t="s">
        <v>495</v>
      </c>
      <c r="C66" s="911" t="s">
        <v>743</v>
      </c>
      <c r="D66" s="912" t="s">
        <v>744</v>
      </c>
      <c r="E66" s="911">
        <v>2202030181</v>
      </c>
      <c r="F66" s="912" t="s">
        <v>229</v>
      </c>
      <c r="G66" s="910" t="s">
        <v>734</v>
      </c>
      <c r="H66" s="913" t="s">
        <v>735</v>
      </c>
      <c r="I66" s="913" t="s">
        <v>745</v>
      </c>
      <c r="J66" s="914" t="s">
        <v>746</v>
      </c>
      <c r="O66"/>
    </row>
    <row r="67" s="904" customFormat="1" spans="1:15">
      <c r="A67" s="909" t="s">
        <v>494</v>
      </c>
      <c r="B67" s="910" t="s">
        <v>495</v>
      </c>
      <c r="C67" s="911" t="s">
        <v>747</v>
      </c>
      <c r="D67" s="912" t="s">
        <v>748</v>
      </c>
      <c r="E67" s="911">
        <v>2202040020</v>
      </c>
      <c r="F67" s="912" t="s">
        <v>229</v>
      </c>
      <c r="G67" s="910" t="s">
        <v>749</v>
      </c>
      <c r="H67" s="913" t="s">
        <v>537</v>
      </c>
      <c r="I67" s="913" t="s">
        <v>750</v>
      </c>
      <c r="J67" s="914" t="s">
        <v>751</v>
      </c>
      <c r="O67"/>
    </row>
    <row r="68" s="904" customFormat="1" spans="1:15">
      <c r="A68" s="909" t="s">
        <v>494</v>
      </c>
      <c r="B68" s="910" t="s">
        <v>495</v>
      </c>
      <c r="C68" s="911" t="s">
        <v>752</v>
      </c>
      <c r="D68" s="912" t="s">
        <v>753</v>
      </c>
      <c r="E68" s="911">
        <v>2202040046</v>
      </c>
      <c r="F68" s="912" t="s">
        <v>229</v>
      </c>
      <c r="G68" s="910" t="s">
        <v>749</v>
      </c>
      <c r="H68" s="913" t="s">
        <v>754</v>
      </c>
      <c r="I68" s="913" t="s">
        <v>755</v>
      </c>
      <c r="J68" s="914" t="s">
        <v>756</v>
      </c>
      <c r="O68"/>
    </row>
    <row r="69" s="904" customFormat="1" spans="1:15">
      <c r="A69" s="909" t="s">
        <v>494</v>
      </c>
      <c r="B69" s="910" t="s">
        <v>495</v>
      </c>
      <c r="C69" s="911" t="s">
        <v>757</v>
      </c>
      <c r="D69" s="912" t="s">
        <v>758</v>
      </c>
      <c r="E69" s="911">
        <v>2202040102</v>
      </c>
      <c r="F69" s="912" t="s">
        <v>229</v>
      </c>
      <c r="G69" s="910" t="s">
        <v>749</v>
      </c>
      <c r="H69" s="913" t="s">
        <v>754</v>
      </c>
      <c r="I69" s="913" t="s">
        <v>759</v>
      </c>
      <c r="J69" s="914" t="s">
        <v>756</v>
      </c>
      <c r="O69"/>
    </row>
    <row r="70" s="904" customFormat="1" spans="1:15">
      <c r="A70" s="909" t="s">
        <v>494</v>
      </c>
      <c r="B70" s="910" t="s">
        <v>495</v>
      </c>
      <c r="C70" s="911" t="s">
        <v>760</v>
      </c>
      <c r="D70" s="912" t="s">
        <v>753</v>
      </c>
      <c r="E70" s="911">
        <v>2202040103</v>
      </c>
      <c r="F70" s="912" t="s">
        <v>229</v>
      </c>
      <c r="G70" s="910" t="s">
        <v>749</v>
      </c>
      <c r="H70" s="913" t="s">
        <v>754</v>
      </c>
      <c r="I70" s="913" t="s">
        <v>761</v>
      </c>
      <c r="J70" s="914" t="s">
        <v>756</v>
      </c>
      <c r="O70"/>
    </row>
    <row r="71" s="904" customFormat="1" spans="1:15">
      <c r="A71" s="909" t="s">
        <v>494</v>
      </c>
      <c r="B71" s="910" t="s">
        <v>495</v>
      </c>
      <c r="C71" s="911" t="s">
        <v>762</v>
      </c>
      <c r="D71" s="912" t="s">
        <v>763</v>
      </c>
      <c r="E71" s="911">
        <v>2202040104</v>
      </c>
      <c r="F71" s="912" t="s">
        <v>229</v>
      </c>
      <c r="G71" s="910" t="s">
        <v>749</v>
      </c>
      <c r="H71" s="913" t="s">
        <v>537</v>
      </c>
      <c r="I71" s="913" t="s">
        <v>764</v>
      </c>
      <c r="J71" s="914" t="s">
        <v>765</v>
      </c>
      <c r="O71"/>
    </row>
    <row r="72" s="904" customFormat="1" spans="1:15">
      <c r="A72" s="909" t="s">
        <v>494</v>
      </c>
      <c r="B72" s="910" t="s">
        <v>495</v>
      </c>
      <c r="C72" s="911" t="s">
        <v>766</v>
      </c>
      <c r="D72" s="912" t="s">
        <v>767</v>
      </c>
      <c r="E72" s="911">
        <v>2202040105</v>
      </c>
      <c r="F72" s="912" t="s">
        <v>229</v>
      </c>
      <c r="G72" s="910" t="s">
        <v>749</v>
      </c>
      <c r="H72" s="913" t="s">
        <v>537</v>
      </c>
      <c r="I72" s="913" t="s">
        <v>768</v>
      </c>
      <c r="J72" s="914" t="s">
        <v>765</v>
      </c>
      <c r="O72"/>
    </row>
    <row r="73" s="904" customFormat="1" spans="1:15">
      <c r="A73" s="909" t="s">
        <v>494</v>
      </c>
      <c r="B73" s="910" t="s">
        <v>495</v>
      </c>
      <c r="C73" s="911" t="s">
        <v>769</v>
      </c>
      <c r="D73" s="912" t="s">
        <v>770</v>
      </c>
      <c r="E73" s="911">
        <v>2202040107</v>
      </c>
      <c r="F73" s="912" t="s">
        <v>229</v>
      </c>
      <c r="G73" s="910" t="s">
        <v>749</v>
      </c>
      <c r="H73" s="913" t="s">
        <v>537</v>
      </c>
      <c r="I73" s="913" t="s">
        <v>771</v>
      </c>
      <c r="J73" s="914" t="s">
        <v>772</v>
      </c>
      <c r="O73"/>
    </row>
    <row r="74" s="904" customFormat="1" spans="1:15">
      <c r="A74" s="909" t="s">
        <v>494</v>
      </c>
      <c r="B74" s="910" t="s">
        <v>495</v>
      </c>
      <c r="C74" s="911" t="s">
        <v>773</v>
      </c>
      <c r="D74" s="912" t="s">
        <v>774</v>
      </c>
      <c r="E74" s="911">
        <v>2202040108</v>
      </c>
      <c r="F74" s="912" t="s">
        <v>229</v>
      </c>
      <c r="G74" s="910" t="s">
        <v>749</v>
      </c>
      <c r="H74" s="913" t="s">
        <v>537</v>
      </c>
      <c r="I74" s="913" t="s">
        <v>775</v>
      </c>
      <c r="J74" s="914" t="s">
        <v>772</v>
      </c>
      <c r="O74"/>
    </row>
    <row r="75" s="904" customFormat="1" spans="1:15">
      <c r="A75" s="909" t="s">
        <v>494</v>
      </c>
      <c r="B75" s="910" t="s">
        <v>495</v>
      </c>
      <c r="C75" s="911" t="s">
        <v>776</v>
      </c>
      <c r="D75" s="912" t="s">
        <v>777</v>
      </c>
      <c r="E75" s="911">
        <v>2202040113</v>
      </c>
      <c r="F75" s="912" t="s">
        <v>229</v>
      </c>
      <c r="G75" s="910" t="s">
        <v>749</v>
      </c>
      <c r="H75" s="913" t="s">
        <v>537</v>
      </c>
      <c r="I75" s="913" t="s">
        <v>778</v>
      </c>
      <c r="J75" s="914" t="s">
        <v>749</v>
      </c>
      <c r="O75"/>
    </row>
    <row r="76" s="904" customFormat="1" spans="1:15">
      <c r="A76" s="909"/>
      <c r="B76" s="910" t="s">
        <v>495</v>
      </c>
      <c r="C76" s="911" t="s">
        <v>779</v>
      </c>
      <c r="D76" s="912" t="s">
        <v>780</v>
      </c>
      <c r="E76" s="911">
        <v>2202030008</v>
      </c>
      <c r="F76" s="912" t="s">
        <v>229</v>
      </c>
      <c r="G76" s="910" t="s">
        <v>734</v>
      </c>
      <c r="H76" s="913" t="s">
        <v>781</v>
      </c>
      <c r="I76" s="913" t="s">
        <v>782</v>
      </c>
      <c r="J76" s="914" t="s">
        <v>783</v>
      </c>
      <c r="O76"/>
    </row>
    <row r="77" s="904" customFormat="1" spans="1:15">
      <c r="A77" s="909"/>
      <c r="B77" s="910" t="s">
        <v>495</v>
      </c>
      <c r="C77" s="911" t="s">
        <v>784</v>
      </c>
      <c r="D77" s="912" t="s">
        <v>785</v>
      </c>
      <c r="E77" s="911">
        <v>2202040128</v>
      </c>
      <c r="F77" s="912" t="s">
        <v>229</v>
      </c>
      <c r="G77" s="910" t="s">
        <v>749</v>
      </c>
      <c r="H77" s="913" t="s">
        <v>754</v>
      </c>
      <c r="I77" s="913" t="s">
        <v>786</v>
      </c>
      <c r="J77" s="914" t="s">
        <v>787</v>
      </c>
      <c r="O77"/>
    </row>
    <row r="78" s="904" customFormat="1" spans="1:15">
      <c r="A78" s="909"/>
      <c r="B78" s="910" t="s">
        <v>495</v>
      </c>
      <c r="C78" s="911" t="s">
        <v>788</v>
      </c>
      <c r="D78" s="912" t="s">
        <v>789</v>
      </c>
      <c r="E78" s="911">
        <v>2202040129</v>
      </c>
      <c r="F78" s="912" t="s">
        <v>229</v>
      </c>
      <c r="G78" s="910" t="s">
        <v>749</v>
      </c>
      <c r="H78" s="913" t="s">
        <v>754</v>
      </c>
      <c r="I78" s="913" t="s">
        <v>790</v>
      </c>
      <c r="J78" s="914" t="s">
        <v>787</v>
      </c>
      <c r="O78"/>
    </row>
    <row r="79" s="904" customFormat="1" spans="1:15">
      <c r="A79" s="909"/>
      <c r="B79" s="910" t="s">
        <v>495</v>
      </c>
      <c r="C79" s="911" t="s">
        <v>791</v>
      </c>
      <c r="D79" s="912" t="s">
        <v>792</v>
      </c>
      <c r="E79" s="911">
        <v>2202040140</v>
      </c>
      <c r="F79" s="912" t="s">
        <v>229</v>
      </c>
      <c r="G79" s="910" t="s">
        <v>749</v>
      </c>
      <c r="H79" s="913" t="s">
        <v>754</v>
      </c>
      <c r="I79" s="913" t="s">
        <v>793</v>
      </c>
      <c r="J79" s="914" t="s">
        <v>787</v>
      </c>
      <c r="O79"/>
    </row>
    <row r="80" s="904" customFormat="1" spans="1:15">
      <c r="A80" s="909"/>
      <c r="B80" s="910" t="s">
        <v>495</v>
      </c>
      <c r="C80" s="911" t="s">
        <v>794</v>
      </c>
      <c r="D80" s="912" t="s">
        <v>795</v>
      </c>
      <c r="E80" s="911">
        <v>2202030081</v>
      </c>
      <c r="F80" s="912" t="s">
        <v>229</v>
      </c>
      <c r="G80" s="910" t="s">
        <v>734</v>
      </c>
      <c r="H80" s="913" t="s">
        <v>740</v>
      </c>
      <c r="I80" s="913" t="s">
        <v>796</v>
      </c>
      <c r="J80" s="914" t="s">
        <v>742</v>
      </c>
      <c r="O80"/>
    </row>
    <row r="81" s="904" customFormat="1" spans="1:15">
      <c r="A81" s="909"/>
      <c r="B81" s="910" t="s">
        <v>495</v>
      </c>
      <c r="C81" s="911" t="s">
        <v>797</v>
      </c>
      <c r="D81" s="912" t="s">
        <v>798</v>
      </c>
      <c r="E81" s="911">
        <v>2202030124</v>
      </c>
      <c r="F81" s="912" t="s">
        <v>229</v>
      </c>
      <c r="G81" s="910" t="s">
        <v>734</v>
      </c>
      <c r="H81" s="913" t="s">
        <v>799</v>
      </c>
      <c r="I81" s="913" t="s">
        <v>800</v>
      </c>
      <c r="J81" s="914" t="s">
        <v>801</v>
      </c>
      <c r="O81"/>
    </row>
    <row r="82" s="904" customFormat="1" spans="1:15">
      <c r="A82" s="909"/>
      <c r="B82" s="910" t="s">
        <v>495</v>
      </c>
      <c r="C82" s="911" t="s">
        <v>802</v>
      </c>
      <c r="D82" s="912" t="s">
        <v>803</v>
      </c>
      <c r="E82" s="911">
        <v>2202030125</v>
      </c>
      <c r="F82" s="912" t="s">
        <v>229</v>
      </c>
      <c r="G82" s="910" t="s">
        <v>734</v>
      </c>
      <c r="H82" s="913" t="s">
        <v>799</v>
      </c>
      <c r="I82" s="913" t="s">
        <v>804</v>
      </c>
      <c r="J82" s="914" t="s">
        <v>805</v>
      </c>
      <c r="O82"/>
    </row>
    <row r="83" s="904" customFormat="1" spans="1:15">
      <c r="A83" s="909"/>
      <c r="B83" s="910" t="s">
        <v>495</v>
      </c>
      <c r="C83" s="911" t="s">
        <v>806</v>
      </c>
      <c r="D83" s="912" t="s">
        <v>807</v>
      </c>
      <c r="E83" s="911">
        <v>2202030126</v>
      </c>
      <c r="F83" s="912" t="s">
        <v>229</v>
      </c>
      <c r="G83" s="910" t="s">
        <v>734</v>
      </c>
      <c r="H83" s="913" t="s">
        <v>799</v>
      </c>
      <c r="I83" s="913" t="s">
        <v>808</v>
      </c>
      <c r="J83" s="914" t="s">
        <v>809</v>
      </c>
      <c r="O83"/>
    </row>
    <row r="84" s="904" customFormat="1" spans="1:15">
      <c r="A84" s="909"/>
      <c r="B84" s="910" t="s">
        <v>495</v>
      </c>
      <c r="C84" s="911" t="s">
        <v>810</v>
      </c>
      <c r="D84" s="912" t="s">
        <v>811</v>
      </c>
      <c r="E84" s="911">
        <v>2202030127</v>
      </c>
      <c r="F84" s="912" t="s">
        <v>229</v>
      </c>
      <c r="G84" s="910" t="s">
        <v>734</v>
      </c>
      <c r="H84" s="913" t="s">
        <v>799</v>
      </c>
      <c r="I84" s="913" t="s">
        <v>812</v>
      </c>
      <c r="J84" s="914" t="s">
        <v>813</v>
      </c>
      <c r="O84"/>
    </row>
    <row r="85" s="904" customFormat="1" spans="1:15">
      <c r="A85" s="909"/>
      <c r="B85" s="910" t="s">
        <v>495</v>
      </c>
      <c r="C85" s="911" t="s">
        <v>814</v>
      </c>
      <c r="D85" s="912" t="s">
        <v>815</v>
      </c>
      <c r="E85" s="911">
        <v>2202030128</v>
      </c>
      <c r="F85" s="912" t="s">
        <v>229</v>
      </c>
      <c r="G85" s="910" t="s">
        <v>734</v>
      </c>
      <c r="H85" s="913" t="s">
        <v>799</v>
      </c>
      <c r="I85" s="913" t="s">
        <v>816</v>
      </c>
      <c r="J85" s="914" t="s">
        <v>817</v>
      </c>
      <c r="O85"/>
    </row>
    <row r="86" s="904" customFormat="1" spans="1:15">
      <c r="A86" s="909" t="s">
        <v>494</v>
      </c>
      <c r="B86" s="910" t="s">
        <v>522</v>
      </c>
      <c r="C86" s="911" t="s">
        <v>818</v>
      </c>
      <c r="D86" s="912" t="s">
        <v>819</v>
      </c>
      <c r="E86" s="911">
        <v>2202030130</v>
      </c>
      <c r="F86" s="912" t="s">
        <v>229</v>
      </c>
      <c r="G86" s="910" t="s">
        <v>734</v>
      </c>
      <c r="H86" s="913" t="s">
        <v>735</v>
      </c>
      <c r="I86" s="913" t="s">
        <v>820</v>
      </c>
      <c r="J86" s="914" t="s">
        <v>746</v>
      </c>
      <c r="O86"/>
    </row>
    <row r="87" s="904" customFormat="1" spans="1:15">
      <c r="A87" s="909" t="s">
        <v>494</v>
      </c>
      <c r="B87" s="910" t="s">
        <v>495</v>
      </c>
      <c r="C87" s="911" t="s">
        <v>821</v>
      </c>
      <c r="D87" s="912" t="s">
        <v>822</v>
      </c>
      <c r="E87" s="911">
        <v>2202030131</v>
      </c>
      <c r="F87" s="912" t="s">
        <v>229</v>
      </c>
      <c r="G87" s="910" t="s">
        <v>734</v>
      </c>
      <c r="H87" s="913" t="s">
        <v>735</v>
      </c>
      <c r="I87" s="913" t="s">
        <v>823</v>
      </c>
      <c r="J87" s="914" t="s">
        <v>824</v>
      </c>
      <c r="O87"/>
    </row>
    <row r="88" s="904" customFormat="1" spans="1:15">
      <c r="A88" s="909" t="s">
        <v>494</v>
      </c>
      <c r="B88" s="910" t="s">
        <v>495</v>
      </c>
      <c r="C88" s="911" t="s">
        <v>825</v>
      </c>
      <c r="D88" s="912" t="s">
        <v>826</v>
      </c>
      <c r="E88" s="911">
        <v>2202030132</v>
      </c>
      <c r="F88" s="912" t="s">
        <v>229</v>
      </c>
      <c r="G88" s="910" t="s">
        <v>734</v>
      </c>
      <c r="H88" s="913" t="s">
        <v>735</v>
      </c>
      <c r="I88" s="913" t="s">
        <v>827</v>
      </c>
      <c r="J88" s="914" t="s">
        <v>828</v>
      </c>
      <c r="O88"/>
    </row>
    <row r="89" s="904" customFormat="1" spans="1:15">
      <c r="A89" s="909" t="s">
        <v>494</v>
      </c>
      <c r="B89" s="910" t="s">
        <v>495</v>
      </c>
      <c r="C89" s="911" t="s">
        <v>829</v>
      </c>
      <c r="D89" s="912" t="s">
        <v>830</v>
      </c>
      <c r="E89" s="911">
        <v>2202030133</v>
      </c>
      <c r="F89" s="912" t="s">
        <v>229</v>
      </c>
      <c r="G89" s="910" t="s">
        <v>734</v>
      </c>
      <c r="H89" s="913" t="s">
        <v>735</v>
      </c>
      <c r="I89" s="913" t="s">
        <v>831</v>
      </c>
      <c r="J89" s="914" t="s">
        <v>832</v>
      </c>
      <c r="O89"/>
    </row>
    <row r="90" s="904" customFormat="1" spans="1:15">
      <c r="A90" s="909" t="s">
        <v>494</v>
      </c>
      <c r="B90" s="910" t="s">
        <v>495</v>
      </c>
      <c r="C90" s="911" t="s">
        <v>833</v>
      </c>
      <c r="D90" s="912" t="s">
        <v>834</v>
      </c>
      <c r="E90" s="911">
        <v>2202030134</v>
      </c>
      <c r="F90" s="912" t="s">
        <v>229</v>
      </c>
      <c r="G90" s="910" t="s">
        <v>734</v>
      </c>
      <c r="H90" s="913" t="s">
        <v>735</v>
      </c>
      <c r="I90" s="913" t="s">
        <v>835</v>
      </c>
      <c r="J90" s="914" t="s">
        <v>836</v>
      </c>
      <c r="O90"/>
    </row>
    <row r="91" s="904" customFormat="1" spans="1:15">
      <c r="A91" s="909" t="s">
        <v>494</v>
      </c>
      <c r="B91" s="910" t="s">
        <v>495</v>
      </c>
      <c r="C91" s="911" t="s">
        <v>837</v>
      </c>
      <c r="D91" s="912" t="s">
        <v>838</v>
      </c>
      <c r="E91" s="911">
        <v>2202030135</v>
      </c>
      <c r="F91" s="912" t="s">
        <v>229</v>
      </c>
      <c r="G91" s="910" t="s">
        <v>734</v>
      </c>
      <c r="H91" s="913" t="s">
        <v>735</v>
      </c>
      <c r="I91" s="913" t="s">
        <v>839</v>
      </c>
      <c r="J91" s="914" t="s">
        <v>840</v>
      </c>
      <c r="O91"/>
    </row>
    <row r="92" s="904" customFormat="1" spans="1:15">
      <c r="A92" s="909" t="s">
        <v>494</v>
      </c>
      <c r="B92" s="910" t="s">
        <v>495</v>
      </c>
      <c r="C92" s="911" t="s">
        <v>841</v>
      </c>
      <c r="D92" s="912" t="s">
        <v>842</v>
      </c>
      <c r="E92" s="911">
        <v>2202030136</v>
      </c>
      <c r="F92" s="912" t="s">
        <v>229</v>
      </c>
      <c r="G92" s="910" t="s">
        <v>734</v>
      </c>
      <c r="H92" s="913" t="s">
        <v>735</v>
      </c>
      <c r="I92" s="913" t="s">
        <v>843</v>
      </c>
      <c r="J92" s="914" t="s">
        <v>844</v>
      </c>
      <c r="O92"/>
    </row>
    <row r="93" s="904" customFormat="1" spans="1:15">
      <c r="A93" s="909" t="s">
        <v>494</v>
      </c>
      <c r="B93" s="910" t="s">
        <v>495</v>
      </c>
      <c r="C93" s="911" t="s">
        <v>845</v>
      </c>
      <c r="D93" s="912" t="s">
        <v>846</v>
      </c>
      <c r="E93" s="911">
        <v>2202080006</v>
      </c>
      <c r="F93" s="912" t="s">
        <v>229</v>
      </c>
      <c r="G93" s="910" t="s">
        <v>847</v>
      </c>
      <c r="H93" s="913" t="s">
        <v>537</v>
      </c>
      <c r="I93" s="913" t="s">
        <v>848</v>
      </c>
      <c r="J93" s="914" t="s">
        <v>849</v>
      </c>
      <c r="O93"/>
    </row>
    <row r="94" s="904" customFormat="1" spans="1:15">
      <c r="A94" s="909" t="s">
        <v>494</v>
      </c>
      <c r="B94" s="910" t="s">
        <v>495</v>
      </c>
      <c r="C94" s="911" t="s">
        <v>850</v>
      </c>
      <c r="D94" s="912" t="s">
        <v>851</v>
      </c>
      <c r="E94" s="911">
        <v>2202330032</v>
      </c>
      <c r="F94" s="912" t="s">
        <v>229</v>
      </c>
      <c r="G94" s="910" t="s">
        <v>702</v>
      </c>
      <c r="H94" s="913" t="s">
        <v>537</v>
      </c>
      <c r="I94" s="913" t="s">
        <v>852</v>
      </c>
      <c r="J94" s="914" t="s">
        <v>853</v>
      </c>
      <c r="O94"/>
    </row>
    <row r="95" s="904" customFormat="1" spans="1:15">
      <c r="A95" s="909" t="s">
        <v>494</v>
      </c>
      <c r="B95" s="910" t="s">
        <v>495</v>
      </c>
      <c r="C95" s="911" t="s">
        <v>854</v>
      </c>
      <c r="D95" s="912" t="s">
        <v>855</v>
      </c>
      <c r="E95" s="911">
        <v>2202330033</v>
      </c>
      <c r="F95" s="912" t="s">
        <v>229</v>
      </c>
      <c r="G95" s="910" t="s">
        <v>702</v>
      </c>
      <c r="H95" s="913" t="s">
        <v>537</v>
      </c>
      <c r="I95" s="913" t="s">
        <v>856</v>
      </c>
      <c r="J95" s="914" t="s">
        <v>857</v>
      </c>
      <c r="O95"/>
    </row>
    <row r="96" s="904" customFormat="1" spans="1:15">
      <c r="A96" s="909" t="s">
        <v>494</v>
      </c>
      <c r="B96" s="910" t="s">
        <v>495</v>
      </c>
      <c r="C96" s="911" t="s">
        <v>858</v>
      </c>
      <c r="D96" s="912" t="s">
        <v>859</v>
      </c>
      <c r="E96" s="911">
        <v>2202330034</v>
      </c>
      <c r="F96" s="912" t="s">
        <v>229</v>
      </c>
      <c r="G96" s="910" t="s">
        <v>702</v>
      </c>
      <c r="H96" s="913" t="s">
        <v>537</v>
      </c>
      <c r="I96" s="913" t="s">
        <v>860</v>
      </c>
      <c r="J96" s="914" t="s">
        <v>861</v>
      </c>
      <c r="O96"/>
    </row>
    <row r="97" s="904" customFormat="1" spans="1:15">
      <c r="A97" s="909"/>
      <c r="B97" s="910" t="s">
        <v>495</v>
      </c>
      <c r="C97" s="911" t="s">
        <v>862</v>
      </c>
      <c r="D97" s="912" t="s">
        <v>863</v>
      </c>
      <c r="E97" s="911">
        <v>2202130015</v>
      </c>
      <c r="F97" s="912" t="s">
        <v>229</v>
      </c>
      <c r="G97" s="910" t="s">
        <v>694</v>
      </c>
      <c r="H97" s="913" t="s">
        <v>537</v>
      </c>
      <c r="I97" s="913" t="s">
        <v>864</v>
      </c>
      <c r="J97" s="914" t="s">
        <v>865</v>
      </c>
      <c r="O97"/>
    </row>
    <row r="98" s="904" customFormat="1" spans="1:15">
      <c r="A98" s="909"/>
      <c r="B98" s="910" t="s">
        <v>495</v>
      </c>
      <c r="C98" s="911" t="s">
        <v>866</v>
      </c>
      <c r="D98" s="912" t="s">
        <v>867</v>
      </c>
      <c r="E98" s="911">
        <v>2203030052</v>
      </c>
      <c r="F98" s="912" t="s">
        <v>230</v>
      </c>
      <c r="G98" s="910" t="s">
        <v>868</v>
      </c>
      <c r="H98" s="913"/>
      <c r="I98" s="913" t="s">
        <v>869</v>
      </c>
      <c r="J98" s="914" t="s">
        <v>870</v>
      </c>
      <c r="O98"/>
    </row>
    <row r="99" s="904" customFormat="1" spans="1:15">
      <c r="A99" s="909" t="s">
        <v>494</v>
      </c>
      <c r="B99" s="910" t="s">
        <v>495</v>
      </c>
      <c r="C99" s="911" t="s">
        <v>871</v>
      </c>
      <c r="D99" s="912" t="s">
        <v>872</v>
      </c>
      <c r="E99" s="911">
        <v>2203030053</v>
      </c>
      <c r="F99" s="912" t="s">
        <v>230</v>
      </c>
      <c r="G99" s="910" t="s">
        <v>868</v>
      </c>
      <c r="H99" s="913"/>
      <c r="I99" s="913" t="s">
        <v>873</v>
      </c>
      <c r="J99" s="914" t="s">
        <v>870</v>
      </c>
      <c r="O99"/>
    </row>
    <row r="100" s="904" customFormat="1" spans="1:15">
      <c r="A100" s="909" t="s">
        <v>494</v>
      </c>
      <c r="B100" s="910" t="s">
        <v>522</v>
      </c>
      <c r="C100" s="911" t="s">
        <v>874</v>
      </c>
      <c r="D100" s="912" t="s">
        <v>875</v>
      </c>
      <c r="E100" s="911">
        <v>2203030054</v>
      </c>
      <c r="F100" s="912" t="s">
        <v>230</v>
      </c>
      <c r="G100" s="910" t="s">
        <v>868</v>
      </c>
      <c r="H100" s="913"/>
      <c r="I100" s="913" t="s">
        <v>876</v>
      </c>
      <c r="J100" s="914" t="s">
        <v>870</v>
      </c>
      <c r="O100"/>
    </row>
    <row r="101" s="904" customFormat="1" spans="1:15">
      <c r="A101" s="909" t="s">
        <v>494</v>
      </c>
      <c r="B101" s="910" t="s">
        <v>495</v>
      </c>
      <c r="C101" s="911" t="s">
        <v>877</v>
      </c>
      <c r="D101" s="912" t="s">
        <v>878</v>
      </c>
      <c r="E101" s="911">
        <v>2203040028</v>
      </c>
      <c r="F101" s="912" t="s">
        <v>228</v>
      </c>
      <c r="G101" s="910" t="s">
        <v>504</v>
      </c>
      <c r="H101" s="913" t="s">
        <v>537</v>
      </c>
      <c r="I101" s="913" t="s">
        <v>879</v>
      </c>
      <c r="J101" s="914" t="s">
        <v>548</v>
      </c>
      <c r="O101"/>
    </row>
    <row r="102" s="904" customFormat="1" spans="1:15">
      <c r="A102" s="909" t="s">
        <v>494</v>
      </c>
      <c r="B102" s="910" t="s">
        <v>522</v>
      </c>
      <c r="C102" s="911" t="s">
        <v>880</v>
      </c>
      <c r="D102" s="912" t="s">
        <v>881</v>
      </c>
      <c r="E102" s="911">
        <v>2203010205</v>
      </c>
      <c r="F102" s="912" t="s">
        <v>230</v>
      </c>
      <c r="G102" s="910" t="s">
        <v>504</v>
      </c>
      <c r="H102" s="913"/>
      <c r="I102" s="913" t="s">
        <v>882</v>
      </c>
      <c r="J102" s="914" t="s">
        <v>883</v>
      </c>
      <c r="O102"/>
    </row>
    <row r="103" s="904" customFormat="1" spans="1:15">
      <c r="A103" s="909" t="s">
        <v>494</v>
      </c>
      <c r="B103" s="910" t="s">
        <v>495</v>
      </c>
      <c r="C103" s="911" t="s">
        <v>884</v>
      </c>
      <c r="D103" s="912" t="s">
        <v>885</v>
      </c>
      <c r="E103" s="911">
        <v>2203010206</v>
      </c>
      <c r="F103" s="912" t="s">
        <v>230</v>
      </c>
      <c r="G103" s="910" t="s">
        <v>504</v>
      </c>
      <c r="H103" s="913"/>
      <c r="I103" s="913" t="s">
        <v>886</v>
      </c>
      <c r="J103" s="914" t="s">
        <v>883</v>
      </c>
      <c r="O103"/>
    </row>
    <row r="104" s="904" customFormat="1" spans="1:15">
      <c r="A104" s="909" t="s">
        <v>494</v>
      </c>
      <c r="B104" s="910" t="s">
        <v>495</v>
      </c>
      <c r="C104" s="911" t="s">
        <v>887</v>
      </c>
      <c r="D104" s="912" t="s">
        <v>888</v>
      </c>
      <c r="E104" s="911">
        <v>2203010207</v>
      </c>
      <c r="F104" s="912" t="s">
        <v>230</v>
      </c>
      <c r="G104" s="910" t="s">
        <v>504</v>
      </c>
      <c r="H104" s="913"/>
      <c r="I104" s="913" t="s">
        <v>889</v>
      </c>
      <c r="J104" s="914" t="s">
        <v>883</v>
      </c>
      <c r="O104"/>
    </row>
    <row r="105" s="904" customFormat="1" spans="1:15">
      <c r="A105" s="909" t="s">
        <v>494</v>
      </c>
      <c r="B105" s="910" t="s">
        <v>495</v>
      </c>
      <c r="C105" s="911" t="s">
        <v>890</v>
      </c>
      <c r="D105" s="912" t="s">
        <v>891</v>
      </c>
      <c r="E105" s="911">
        <v>2203010208</v>
      </c>
      <c r="F105" s="912" t="s">
        <v>230</v>
      </c>
      <c r="G105" s="910" t="s">
        <v>504</v>
      </c>
      <c r="H105" s="913"/>
      <c r="I105" s="913" t="s">
        <v>892</v>
      </c>
      <c r="J105" s="914" t="s">
        <v>883</v>
      </c>
      <c r="O105"/>
    </row>
    <row r="106" s="904" customFormat="1" spans="1:15">
      <c r="A106" s="909" t="s">
        <v>494</v>
      </c>
      <c r="B106" s="910" t="s">
        <v>495</v>
      </c>
      <c r="C106" s="911" t="s">
        <v>893</v>
      </c>
      <c r="D106" s="912" t="s">
        <v>894</v>
      </c>
      <c r="E106" s="911">
        <v>2203010209</v>
      </c>
      <c r="F106" s="912" t="s">
        <v>230</v>
      </c>
      <c r="G106" s="910" t="s">
        <v>504</v>
      </c>
      <c r="H106" s="913"/>
      <c r="I106" s="913" t="s">
        <v>895</v>
      </c>
      <c r="J106" s="914" t="s">
        <v>883</v>
      </c>
      <c r="O106"/>
    </row>
    <row r="107" s="904" customFormat="1" spans="1:15">
      <c r="A107" s="909" t="s">
        <v>494</v>
      </c>
      <c r="B107" s="910" t="s">
        <v>495</v>
      </c>
      <c r="C107" s="911" t="s">
        <v>896</v>
      </c>
      <c r="D107" s="912" t="s">
        <v>897</v>
      </c>
      <c r="E107" s="911">
        <v>2203010210</v>
      </c>
      <c r="F107" s="912" t="s">
        <v>230</v>
      </c>
      <c r="G107" s="910" t="s">
        <v>504</v>
      </c>
      <c r="H107" s="913"/>
      <c r="I107" s="913" t="s">
        <v>898</v>
      </c>
      <c r="J107" s="914" t="s">
        <v>883</v>
      </c>
      <c r="O107"/>
    </row>
    <row r="108" s="904" customFormat="1" spans="1:15">
      <c r="A108" s="909" t="s">
        <v>494</v>
      </c>
      <c r="B108" s="910" t="s">
        <v>495</v>
      </c>
      <c r="C108" s="911" t="s">
        <v>899</v>
      </c>
      <c r="D108" s="912" t="s">
        <v>900</v>
      </c>
      <c r="E108" s="911">
        <v>2203010211</v>
      </c>
      <c r="F108" s="912" t="s">
        <v>230</v>
      </c>
      <c r="G108" s="910" t="s">
        <v>504</v>
      </c>
      <c r="H108" s="913"/>
      <c r="I108" s="913" t="s">
        <v>901</v>
      </c>
      <c r="J108" s="914" t="s">
        <v>883</v>
      </c>
      <c r="O108"/>
    </row>
    <row r="109" s="904" customFormat="1" spans="1:15">
      <c r="A109" s="909" t="s">
        <v>494</v>
      </c>
      <c r="B109" s="910" t="s">
        <v>495</v>
      </c>
      <c r="C109" s="911" t="s">
        <v>902</v>
      </c>
      <c r="D109" s="912" t="s">
        <v>903</v>
      </c>
      <c r="E109" s="911">
        <v>2203010218</v>
      </c>
      <c r="F109" s="912" t="s">
        <v>230</v>
      </c>
      <c r="G109" s="910" t="s">
        <v>504</v>
      </c>
      <c r="H109" s="913" t="s">
        <v>904</v>
      </c>
      <c r="I109" s="913" t="s">
        <v>905</v>
      </c>
      <c r="J109" s="914" t="s">
        <v>906</v>
      </c>
      <c r="O109"/>
    </row>
    <row r="110" s="904" customFormat="1" spans="1:15">
      <c r="A110" s="909" t="s">
        <v>494</v>
      </c>
      <c r="B110" s="910" t="s">
        <v>495</v>
      </c>
      <c r="C110" s="911" t="s">
        <v>907</v>
      </c>
      <c r="D110" s="912" t="s">
        <v>908</v>
      </c>
      <c r="E110" s="911">
        <v>2203010219</v>
      </c>
      <c r="F110" s="912" t="s">
        <v>230</v>
      </c>
      <c r="G110" s="910" t="s">
        <v>504</v>
      </c>
      <c r="H110" s="913" t="s">
        <v>904</v>
      </c>
      <c r="I110" s="913" t="s">
        <v>909</v>
      </c>
      <c r="J110" s="914" t="s">
        <v>906</v>
      </c>
      <c r="O110"/>
    </row>
    <row r="111" s="904" customFormat="1" spans="1:15">
      <c r="A111" s="909" t="s">
        <v>494</v>
      </c>
      <c r="B111" s="910" t="s">
        <v>495</v>
      </c>
      <c r="C111" s="911" t="s">
        <v>910</v>
      </c>
      <c r="D111" s="912" t="s">
        <v>911</v>
      </c>
      <c r="E111" s="911">
        <v>2203010220</v>
      </c>
      <c r="F111" s="912" t="s">
        <v>230</v>
      </c>
      <c r="G111" s="910" t="s">
        <v>504</v>
      </c>
      <c r="H111" s="913" t="s">
        <v>904</v>
      </c>
      <c r="I111" s="913" t="s">
        <v>912</v>
      </c>
      <c r="J111" s="914" t="s">
        <v>906</v>
      </c>
      <c r="O111"/>
    </row>
    <row r="112" s="904" customFormat="1" spans="1:15">
      <c r="A112" s="909" t="s">
        <v>494</v>
      </c>
      <c r="B112" s="910" t="s">
        <v>495</v>
      </c>
      <c r="C112" s="911" t="s">
        <v>913</v>
      </c>
      <c r="D112" s="912" t="s">
        <v>914</v>
      </c>
      <c r="E112" s="911">
        <v>2203010235</v>
      </c>
      <c r="F112" s="912" t="s">
        <v>230</v>
      </c>
      <c r="G112" s="910" t="s">
        <v>551</v>
      </c>
      <c r="H112" s="913"/>
      <c r="I112" s="913" t="s">
        <v>915</v>
      </c>
      <c r="J112" s="914" t="s">
        <v>916</v>
      </c>
      <c r="O112"/>
    </row>
    <row r="113" s="904" customFormat="1" spans="1:15">
      <c r="A113" s="909" t="s">
        <v>494</v>
      </c>
      <c r="B113" s="910" t="s">
        <v>522</v>
      </c>
      <c r="C113" s="911" t="s">
        <v>917</v>
      </c>
      <c r="D113" s="912" t="s">
        <v>918</v>
      </c>
      <c r="E113" s="911">
        <v>2203010241</v>
      </c>
      <c r="F113" s="912" t="s">
        <v>230</v>
      </c>
      <c r="G113" s="910" t="s">
        <v>597</v>
      </c>
      <c r="H113" s="913" t="s">
        <v>919</v>
      </c>
      <c r="I113" s="913" t="s">
        <v>920</v>
      </c>
      <c r="J113" s="914" t="s">
        <v>921</v>
      </c>
      <c r="O113"/>
    </row>
    <row r="114" s="904" customFormat="1" spans="1:15">
      <c r="A114" s="909" t="s">
        <v>494</v>
      </c>
      <c r="B114" s="910" t="s">
        <v>522</v>
      </c>
      <c r="C114" s="911" t="s">
        <v>922</v>
      </c>
      <c r="D114" s="912" t="s">
        <v>923</v>
      </c>
      <c r="E114" s="911">
        <v>2203010243</v>
      </c>
      <c r="F114" s="912" t="s">
        <v>230</v>
      </c>
      <c r="G114" s="910" t="s">
        <v>597</v>
      </c>
      <c r="H114" s="913" t="s">
        <v>919</v>
      </c>
      <c r="I114" s="913" t="s">
        <v>924</v>
      </c>
      <c r="J114" s="914" t="s">
        <v>921</v>
      </c>
      <c r="O114"/>
    </row>
    <row r="115" s="904" customFormat="1" spans="1:15">
      <c r="A115" s="909" t="s">
        <v>494</v>
      </c>
      <c r="B115" s="910" t="s">
        <v>495</v>
      </c>
      <c r="C115" s="911" t="s">
        <v>925</v>
      </c>
      <c r="D115" s="912" t="s">
        <v>926</v>
      </c>
      <c r="E115" s="911">
        <v>2203010245</v>
      </c>
      <c r="F115" s="912" t="s">
        <v>230</v>
      </c>
      <c r="G115" s="910" t="s">
        <v>868</v>
      </c>
      <c r="H115" s="913"/>
      <c r="I115" s="913" t="s">
        <v>927</v>
      </c>
      <c r="J115" s="914" t="s">
        <v>928</v>
      </c>
      <c r="O115"/>
    </row>
    <row r="116" s="904" customFormat="1" spans="1:15">
      <c r="A116" s="909" t="s">
        <v>494</v>
      </c>
      <c r="B116" s="910" t="s">
        <v>495</v>
      </c>
      <c r="C116" s="911" t="s">
        <v>929</v>
      </c>
      <c r="D116" s="912" t="s">
        <v>930</v>
      </c>
      <c r="E116" s="911">
        <v>2203010327</v>
      </c>
      <c r="F116" s="912" t="s">
        <v>230</v>
      </c>
      <c r="G116" s="910" t="s">
        <v>504</v>
      </c>
      <c r="H116" s="913" t="s">
        <v>904</v>
      </c>
      <c r="I116" s="913" t="s">
        <v>931</v>
      </c>
      <c r="J116" s="914" t="s">
        <v>932</v>
      </c>
      <c r="O116"/>
    </row>
    <row r="117" s="904" customFormat="1" spans="1:15">
      <c r="A117" s="909"/>
      <c r="B117" s="910" t="s">
        <v>495</v>
      </c>
      <c r="C117" s="911" t="s">
        <v>933</v>
      </c>
      <c r="D117" s="912" t="s">
        <v>934</v>
      </c>
      <c r="E117" s="911">
        <v>2203010328</v>
      </c>
      <c r="F117" s="912" t="s">
        <v>230</v>
      </c>
      <c r="G117" s="910" t="s">
        <v>504</v>
      </c>
      <c r="H117" s="913" t="s">
        <v>904</v>
      </c>
      <c r="I117" s="913" t="s">
        <v>935</v>
      </c>
      <c r="J117" s="914" t="s">
        <v>932</v>
      </c>
      <c r="O117"/>
    </row>
    <row r="118" s="904" customFormat="1" spans="1:15">
      <c r="A118" s="909"/>
      <c r="B118" s="910" t="s">
        <v>495</v>
      </c>
      <c r="C118" s="911" t="s">
        <v>936</v>
      </c>
      <c r="D118" s="912" t="s">
        <v>937</v>
      </c>
      <c r="E118" s="911">
        <v>2203010337</v>
      </c>
      <c r="F118" s="912" t="s">
        <v>230</v>
      </c>
      <c r="G118" s="910" t="s">
        <v>504</v>
      </c>
      <c r="H118" s="913" t="s">
        <v>537</v>
      </c>
      <c r="I118" s="913" t="s">
        <v>938</v>
      </c>
      <c r="J118" s="914" t="s">
        <v>939</v>
      </c>
      <c r="O118"/>
    </row>
    <row r="119" s="904" customFormat="1" spans="1:15">
      <c r="A119" s="909"/>
      <c r="B119" s="910" t="s">
        <v>495</v>
      </c>
      <c r="C119" s="911" t="s">
        <v>940</v>
      </c>
      <c r="D119" s="912" t="s">
        <v>941</v>
      </c>
      <c r="E119" s="911">
        <v>2203010338</v>
      </c>
      <c r="F119" s="912" t="s">
        <v>230</v>
      </c>
      <c r="G119" s="910" t="s">
        <v>504</v>
      </c>
      <c r="H119" s="913" t="s">
        <v>537</v>
      </c>
      <c r="I119" s="913" t="s">
        <v>942</v>
      </c>
      <c r="J119" s="914" t="s">
        <v>939</v>
      </c>
      <c r="O119"/>
    </row>
    <row r="120" s="904" customFormat="1" spans="1:15">
      <c r="A120" s="909" t="s">
        <v>494</v>
      </c>
      <c r="B120" s="910" t="s">
        <v>495</v>
      </c>
      <c r="C120" s="911" t="s">
        <v>943</v>
      </c>
      <c r="D120" s="912" t="s">
        <v>944</v>
      </c>
      <c r="E120" s="911">
        <v>2203010339</v>
      </c>
      <c r="F120" s="912" t="s">
        <v>230</v>
      </c>
      <c r="G120" s="910" t="s">
        <v>504</v>
      </c>
      <c r="H120" s="913" t="s">
        <v>537</v>
      </c>
      <c r="I120" s="913" t="s">
        <v>945</v>
      </c>
      <c r="J120" s="914" t="s">
        <v>946</v>
      </c>
      <c r="O120"/>
    </row>
    <row r="121" s="904" customFormat="1" spans="1:15">
      <c r="A121" s="909" t="s">
        <v>494</v>
      </c>
      <c r="B121" s="910" t="s">
        <v>495</v>
      </c>
      <c r="C121" s="911" t="s">
        <v>947</v>
      </c>
      <c r="D121" s="912" t="s">
        <v>944</v>
      </c>
      <c r="E121" s="911">
        <v>2203040350</v>
      </c>
      <c r="F121" s="912" t="s">
        <v>230</v>
      </c>
      <c r="G121" s="910" t="s">
        <v>504</v>
      </c>
      <c r="H121" s="913"/>
      <c r="I121" s="913" t="s">
        <v>948</v>
      </c>
      <c r="J121" s="914" t="s">
        <v>946</v>
      </c>
      <c r="O121"/>
    </row>
    <row r="122" s="904" customFormat="1" spans="1:15">
      <c r="A122" s="909" t="s">
        <v>494</v>
      </c>
      <c r="B122" s="910" t="s">
        <v>495</v>
      </c>
      <c r="C122" s="911" t="s">
        <v>949</v>
      </c>
      <c r="D122" s="912" t="s">
        <v>950</v>
      </c>
      <c r="E122" s="911">
        <v>2203040391</v>
      </c>
      <c r="F122" s="912" t="s">
        <v>230</v>
      </c>
      <c r="G122" s="910" t="s">
        <v>951</v>
      </c>
      <c r="H122" s="913" t="s">
        <v>537</v>
      </c>
      <c r="I122" s="913" t="s">
        <v>952</v>
      </c>
      <c r="J122" s="914" t="s">
        <v>883</v>
      </c>
      <c r="O122"/>
    </row>
    <row r="123" s="904" customFormat="1" spans="1:15">
      <c r="A123" s="909" t="s">
        <v>494</v>
      </c>
      <c r="B123" s="910" t="s">
        <v>495</v>
      </c>
      <c r="C123" s="911" t="s">
        <v>953</v>
      </c>
      <c r="D123" s="912" t="s">
        <v>954</v>
      </c>
      <c r="E123" s="911">
        <v>2203100015</v>
      </c>
      <c r="F123" s="912" t="s">
        <v>230</v>
      </c>
      <c r="G123" s="910" t="s">
        <v>551</v>
      </c>
      <c r="H123" s="913" t="s">
        <v>537</v>
      </c>
      <c r="I123" s="913" t="s">
        <v>955</v>
      </c>
      <c r="J123" s="914" t="s">
        <v>956</v>
      </c>
      <c r="O123"/>
    </row>
    <row r="124" s="904" customFormat="1" spans="1:15">
      <c r="A124" s="909" t="s">
        <v>494</v>
      </c>
      <c r="B124" s="910" t="s">
        <v>522</v>
      </c>
      <c r="C124" s="911" t="s">
        <v>957</v>
      </c>
      <c r="D124" s="912" t="s">
        <v>958</v>
      </c>
      <c r="E124" s="911">
        <v>2203100016</v>
      </c>
      <c r="F124" s="912" t="s">
        <v>230</v>
      </c>
      <c r="G124" s="910" t="s">
        <v>551</v>
      </c>
      <c r="H124" s="913" t="s">
        <v>537</v>
      </c>
      <c r="I124" s="913" t="s">
        <v>959</v>
      </c>
      <c r="J124" s="914" t="s">
        <v>956</v>
      </c>
      <c r="O124"/>
    </row>
    <row r="125" s="904" customFormat="1" spans="1:15">
      <c r="A125" s="909" t="s">
        <v>494</v>
      </c>
      <c r="B125" s="910" t="s">
        <v>495</v>
      </c>
      <c r="C125" s="911" t="s">
        <v>960</v>
      </c>
      <c r="D125" s="912" t="s">
        <v>961</v>
      </c>
      <c r="E125" s="911">
        <v>2203100017</v>
      </c>
      <c r="F125" s="912" t="s">
        <v>230</v>
      </c>
      <c r="G125" s="910" t="s">
        <v>551</v>
      </c>
      <c r="H125" s="913" t="s">
        <v>537</v>
      </c>
      <c r="I125" s="913" t="s">
        <v>962</v>
      </c>
      <c r="J125" s="914" t="s">
        <v>956</v>
      </c>
      <c r="O125"/>
    </row>
    <row r="126" s="904" customFormat="1" spans="1:15">
      <c r="A126" s="909" t="s">
        <v>494</v>
      </c>
      <c r="B126" s="910" t="s">
        <v>495</v>
      </c>
      <c r="C126" s="911" t="s">
        <v>963</v>
      </c>
      <c r="D126" s="912" t="s">
        <v>964</v>
      </c>
      <c r="E126" s="911">
        <v>2203100018</v>
      </c>
      <c r="F126" s="912" t="s">
        <v>230</v>
      </c>
      <c r="G126" s="910" t="s">
        <v>551</v>
      </c>
      <c r="H126" s="913" t="s">
        <v>537</v>
      </c>
      <c r="I126" s="913" t="s">
        <v>965</v>
      </c>
      <c r="J126" s="914" t="s">
        <v>956</v>
      </c>
      <c r="O126"/>
    </row>
    <row r="127" s="904" customFormat="1" spans="1:15">
      <c r="A127" s="909" t="s">
        <v>494</v>
      </c>
      <c r="B127" s="910" t="s">
        <v>495</v>
      </c>
      <c r="C127" s="911" t="s">
        <v>966</v>
      </c>
      <c r="D127" s="912" t="s">
        <v>967</v>
      </c>
      <c r="E127" s="911">
        <v>2203110008</v>
      </c>
      <c r="F127" s="912" t="s">
        <v>228</v>
      </c>
      <c r="G127" s="910" t="s">
        <v>559</v>
      </c>
      <c r="H127" s="913" t="s">
        <v>968</v>
      </c>
      <c r="I127" s="913" t="s">
        <v>969</v>
      </c>
      <c r="J127" s="914" t="s">
        <v>970</v>
      </c>
      <c r="O127"/>
    </row>
    <row r="128" s="904" customFormat="1" spans="1:15">
      <c r="A128" s="909" t="s">
        <v>494</v>
      </c>
      <c r="B128" s="910" t="s">
        <v>495</v>
      </c>
      <c r="C128" s="911" t="s">
        <v>971</v>
      </c>
      <c r="D128" s="912" t="s">
        <v>972</v>
      </c>
      <c r="E128" s="911">
        <v>2203120004</v>
      </c>
      <c r="F128" s="912" t="s">
        <v>230</v>
      </c>
      <c r="G128" s="910" t="s">
        <v>868</v>
      </c>
      <c r="H128" s="913" t="s">
        <v>537</v>
      </c>
      <c r="I128" s="913" t="s">
        <v>973</v>
      </c>
      <c r="J128" s="914" t="s">
        <v>870</v>
      </c>
      <c r="O128"/>
    </row>
    <row r="129" s="904" customFormat="1" spans="1:15">
      <c r="A129" s="909" t="s">
        <v>494</v>
      </c>
      <c r="B129" s="910" t="s">
        <v>495</v>
      </c>
      <c r="C129" s="911" t="s">
        <v>974</v>
      </c>
      <c r="D129" s="912" t="s">
        <v>975</v>
      </c>
      <c r="E129" s="911">
        <v>2203080023</v>
      </c>
      <c r="F129" s="912" t="s">
        <v>230</v>
      </c>
      <c r="G129" s="910" t="s">
        <v>976</v>
      </c>
      <c r="H129" s="913" t="s">
        <v>537</v>
      </c>
      <c r="I129" s="913" t="s">
        <v>977</v>
      </c>
      <c r="J129" s="914" t="s">
        <v>978</v>
      </c>
      <c r="O129"/>
    </row>
    <row r="130" s="904" customFormat="1" spans="1:15">
      <c r="A130" s="909" t="s">
        <v>494</v>
      </c>
      <c r="B130" s="910" t="s">
        <v>495</v>
      </c>
      <c r="C130" s="911" t="s">
        <v>979</v>
      </c>
      <c r="D130" s="912" t="s">
        <v>980</v>
      </c>
      <c r="E130" s="911">
        <v>2203080024</v>
      </c>
      <c r="F130" s="912" t="s">
        <v>230</v>
      </c>
      <c r="G130" s="910" t="s">
        <v>976</v>
      </c>
      <c r="H130" s="913" t="s">
        <v>537</v>
      </c>
      <c r="I130" s="913" t="s">
        <v>981</v>
      </c>
      <c r="J130" s="914" t="s">
        <v>978</v>
      </c>
      <c r="O130"/>
    </row>
    <row r="131" s="904" customFormat="1" spans="1:15">
      <c r="A131" s="909" t="s">
        <v>494</v>
      </c>
      <c r="B131" s="910" t="s">
        <v>495</v>
      </c>
      <c r="C131" s="911" t="s">
        <v>982</v>
      </c>
      <c r="D131" s="912" t="s">
        <v>983</v>
      </c>
      <c r="E131" s="911">
        <v>2203080068</v>
      </c>
      <c r="F131" s="912" t="s">
        <v>230</v>
      </c>
      <c r="G131" s="910" t="s">
        <v>976</v>
      </c>
      <c r="H131" s="913" t="s">
        <v>537</v>
      </c>
      <c r="I131" s="913" t="s">
        <v>984</v>
      </c>
      <c r="J131" s="914" t="s">
        <v>978</v>
      </c>
      <c r="O131"/>
    </row>
    <row r="132" s="904" customFormat="1" spans="1:15">
      <c r="A132" s="909" t="s">
        <v>494</v>
      </c>
      <c r="B132" s="910" t="s">
        <v>495</v>
      </c>
      <c r="C132" s="911" t="s">
        <v>985</v>
      </c>
      <c r="D132" s="912" t="s">
        <v>980</v>
      </c>
      <c r="E132" s="911">
        <v>2203080069</v>
      </c>
      <c r="F132" s="912" t="s">
        <v>230</v>
      </c>
      <c r="G132" s="910" t="s">
        <v>976</v>
      </c>
      <c r="H132" s="913" t="s">
        <v>537</v>
      </c>
      <c r="I132" s="913" t="s">
        <v>986</v>
      </c>
      <c r="J132" s="914" t="s">
        <v>978</v>
      </c>
      <c r="O132"/>
    </row>
    <row r="133" s="904" customFormat="1" spans="1:15">
      <c r="A133" s="909" t="s">
        <v>494</v>
      </c>
      <c r="B133" s="910" t="s">
        <v>522</v>
      </c>
      <c r="C133" s="911" t="s">
        <v>987</v>
      </c>
      <c r="D133" s="912" t="s">
        <v>988</v>
      </c>
      <c r="E133" s="911">
        <v>2203040280</v>
      </c>
      <c r="F133" s="912" t="s">
        <v>230</v>
      </c>
      <c r="G133" s="910" t="s">
        <v>597</v>
      </c>
      <c r="H133" s="913" t="s">
        <v>919</v>
      </c>
      <c r="I133" s="913" t="s">
        <v>989</v>
      </c>
      <c r="J133" s="914" t="s">
        <v>990</v>
      </c>
      <c r="O133"/>
    </row>
    <row r="134" s="904" customFormat="1" spans="1:15">
      <c r="A134" s="909" t="s">
        <v>494</v>
      </c>
      <c r="B134" s="910" t="s">
        <v>495</v>
      </c>
      <c r="C134" s="911" t="s">
        <v>991</v>
      </c>
      <c r="D134" s="912" t="s">
        <v>992</v>
      </c>
      <c r="E134" s="911">
        <v>2204010189</v>
      </c>
      <c r="F134" s="912" t="s">
        <v>231</v>
      </c>
      <c r="G134" s="910" t="s">
        <v>993</v>
      </c>
      <c r="H134" s="913" t="s">
        <v>994</v>
      </c>
      <c r="I134" s="913" t="s">
        <v>995</v>
      </c>
      <c r="J134" s="914" t="s">
        <v>992</v>
      </c>
      <c r="O134"/>
    </row>
    <row r="135" s="904" customFormat="1" spans="1:15">
      <c r="A135" s="909" t="s">
        <v>494</v>
      </c>
      <c r="B135" s="910" t="s">
        <v>495</v>
      </c>
      <c r="C135" s="911" t="s">
        <v>996</v>
      </c>
      <c r="D135" s="912" t="s">
        <v>997</v>
      </c>
      <c r="E135" s="911">
        <v>2204010255</v>
      </c>
      <c r="F135" s="912" t="s">
        <v>231</v>
      </c>
      <c r="G135" s="910" t="s">
        <v>993</v>
      </c>
      <c r="H135" s="913" t="s">
        <v>998</v>
      </c>
      <c r="I135" s="913" t="s">
        <v>999</v>
      </c>
      <c r="J135" s="914" t="s">
        <v>1000</v>
      </c>
      <c r="O135"/>
    </row>
    <row r="136" s="904" customFormat="1" spans="1:15">
      <c r="A136" s="909" t="s">
        <v>494</v>
      </c>
      <c r="B136" s="910" t="s">
        <v>495</v>
      </c>
      <c r="C136" s="911" t="s">
        <v>1001</v>
      </c>
      <c r="D136" s="912" t="s">
        <v>1002</v>
      </c>
      <c r="E136" s="911">
        <v>2204010001</v>
      </c>
      <c r="F136" s="912" t="s">
        <v>231</v>
      </c>
      <c r="G136" s="910" t="s">
        <v>993</v>
      </c>
      <c r="H136" s="913" t="s">
        <v>994</v>
      </c>
      <c r="I136" s="913" t="s">
        <v>1003</v>
      </c>
      <c r="J136" s="914" t="s">
        <v>1002</v>
      </c>
      <c r="O136"/>
    </row>
    <row r="137" s="904" customFormat="1" spans="1:15">
      <c r="A137" s="909" t="s">
        <v>494</v>
      </c>
      <c r="B137" s="910" t="s">
        <v>495</v>
      </c>
      <c r="C137" s="911" t="s">
        <v>1004</v>
      </c>
      <c r="D137" s="912" t="s">
        <v>1002</v>
      </c>
      <c r="E137" s="911">
        <v>2204010004</v>
      </c>
      <c r="F137" s="912" t="s">
        <v>231</v>
      </c>
      <c r="G137" s="910" t="s">
        <v>993</v>
      </c>
      <c r="H137" s="913" t="s">
        <v>994</v>
      </c>
      <c r="I137" s="913" t="s">
        <v>1005</v>
      </c>
      <c r="J137" s="914" t="s">
        <v>1002</v>
      </c>
      <c r="O137"/>
    </row>
    <row r="138" s="904" customFormat="1" spans="1:15">
      <c r="A138" s="909" t="s">
        <v>494</v>
      </c>
      <c r="B138" s="910" t="s">
        <v>495</v>
      </c>
      <c r="C138" s="911" t="s">
        <v>1006</v>
      </c>
      <c r="D138" s="912" t="s">
        <v>1007</v>
      </c>
      <c r="E138" s="911">
        <v>2204010051</v>
      </c>
      <c r="F138" s="912" t="s">
        <v>231</v>
      </c>
      <c r="G138" s="910" t="s">
        <v>993</v>
      </c>
      <c r="H138" s="913" t="s">
        <v>994</v>
      </c>
      <c r="I138" s="913" t="s">
        <v>1008</v>
      </c>
      <c r="J138" s="914" t="s">
        <v>1007</v>
      </c>
      <c r="O138"/>
    </row>
    <row r="139" s="904" customFormat="1" spans="1:15">
      <c r="A139" s="909" t="s">
        <v>494</v>
      </c>
      <c r="B139" s="910" t="s">
        <v>495</v>
      </c>
      <c r="C139" s="911" t="s">
        <v>1009</v>
      </c>
      <c r="D139" s="912" t="s">
        <v>1010</v>
      </c>
      <c r="E139" s="911">
        <v>2204010139</v>
      </c>
      <c r="F139" s="912" t="s">
        <v>231</v>
      </c>
      <c r="G139" s="910" t="s">
        <v>993</v>
      </c>
      <c r="H139" s="913" t="s">
        <v>998</v>
      </c>
      <c r="I139" s="913" t="s">
        <v>1011</v>
      </c>
      <c r="J139" s="914" t="s">
        <v>1012</v>
      </c>
      <c r="O139"/>
    </row>
    <row r="140" s="904" customFormat="1" spans="1:15">
      <c r="A140" s="909" t="s">
        <v>494</v>
      </c>
      <c r="B140" s="910" t="s">
        <v>495</v>
      </c>
      <c r="C140" s="911" t="s">
        <v>1013</v>
      </c>
      <c r="D140" s="912" t="s">
        <v>1014</v>
      </c>
      <c r="E140" s="911">
        <v>2204010140</v>
      </c>
      <c r="F140" s="912" t="s">
        <v>231</v>
      </c>
      <c r="G140" s="910" t="s">
        <v>993</v>
      </c>
      <c r="H140" s="913" t="s">
        <v>998</v>
      </c>
      <c r="I140" s="913" t="s">
        <v>1015</v>
      </c>
      <c r="J140" s="914" t="s">
        <v>1000</v>
      </c>
      <c r="O140"/>
    </row>
    <row r="141" s="904" customFormat="1" spans="1:15">
      <c r="A141" s="909" t="s">
        <v>494</v>
      </c>
      <c r="B141" s="910" t="s">
        <v>495</v>
      </c>
      <c r="C141" s="911" t="s">
        <v>1016</v>
      </c>
      <c r="D141" s="912" t="s">
        <v>1017</v>
      </c>
      <c r="E141" s="911">
        <v>2204010155</v>
      </c>
      <c r="F141" s="912" t="s">
        <v>231</v>
      </c>
      <c r="G141" s="910" t="s">
        <v>993</v>
      </c>
      <c r="H141" s="913" t="s">
        <v>994</v>
      </c>
      <c r="I141" s="913" t="s">
        <v>1018</v>
      </c>
      <c r="J141" s="914" t="s">
        <v>1017</v>
      </c>
      <c r="O141"/>
    </row>
    <row r="142" s="904" customFormat="1" spans="1:15">
      <c r="A142" s="909" t="s">
        <v>494</v>
      </c>
      <c r="B142" s="910" t="s">
        <v>495</v>
      </c>
      <c r="C142" s="911" t="s">
        <v>1019</v>
      </c>
      <c r="D142" s="912" t="s">
        <v>1020</v>
      </c>
      <c r="E142" s="911">
        <v>2204010159</v>
      </c>
      <c r="F142" s="912" t="s">
        <v>231</v>
      </c>
      <c r="G142" s="910" t="s">
        <v>993</v>
      </c>
      <c r="H142" s="913" t="s">
        <v>998</v>
      </c>
      <c r="I142" s="913" t="s">
        <v>1021</v>
      </c>
      <c r="J142" s="914" t="s">
        <v>1012</v>
      </c>
      <c r="O142"/>
    </row>
    <row r="143" s="904" customFormat="1" spans="1:15">
      <c r="A143" s="909" t="s">
        <v>494</v>
      </c>
      <c r="B143" s="910" t="s">
        <v>495</v>
      </c>
      <c r="C143" s="911" t="s">
        <v>1022</v>
      </c>
      <c r="D143" s="912" t="s">
        <v>1023</v>
      </c>
      <c r="E143" s="911">
        <v>2204010160</v>
      </c>
      <c r="F143" s="912" t="s">
        <v>231</v>
      </c>
      <c r="G143" s="910" t="s">
        <v>993</v>
      </c>
      <c r="H143" s="913" t="s">
        <v>998</v>
      </c>
      <c r="I143" s="913" t="s">
        <v>1024</v>
      </c>
      <c r="J143" s="914" t="s">
        <v>1000</v>
      </c>
      <c r="O143"/>
    </row>
    <row r="144" s="904" customFormat="1" spans="1:15">
      <c r="A144" s="909"/>
      <c r="B144" s="910" t="s">
        <v>495</v>
      </c>
      <c r="C144" s="911" t="s">
        <v>1025</v>
      </c>
      <c r="D144" s="912" t="s">
        <v>1014</v>
      </c>
      <c r="E144" s="911">
        <v>2204010162</v>
      </c>
      <c r="F144" s="912" t="s">
        <v>231</v>
      </c>
      <c r="G144" s="910" t="s">
        <v>993</v>
      </c>
      <c r="H144" s="913" t="s">
        <v>998</v>
      </c>
      <c r="I144" s="913" t="s">
        <v>1026</v>
      </c>
      <c r="J144" s="914" t="s">
        <v>1000</v>
      </c>
      <c r="O144"/>
    </row>
    <row r="145" s="904" customFormat="1" spans="1:15">
      <c r="A145" s="909" t="s">
        <v>494</v>
      </c>
      <c r="B145" s="910" t="s">
        <v>495</v>
      </c>
      <c r="C145" s="911" t="s">
        <v>1027</v>
      </c>
      <c r="D145" s="912" t="s">
        <v>1028</v>
      </c>
      <c r="E145" s="911">
        <v>2204020078</v>
      </c>
      <c r="F145" s="912" t="s">
        <v>231</v>
      </c>
      <c r="G145" s="910" t="s">
        <v>1029</v>
      </c>
      <c r="H145" s="913" t="s">
        <v>537</v>
      </c>
      <c r="I145" s="913" t="s">
        <v>1030</v>
      </c>
      <c r="J145" s="914" t="s">
        <v>1031</v>
      </c>
      <c r="O145"/>
    </row>
    <row r="146" s="904" customFormat="1" spans="1:15">
      <c r="A146" s="909" t="s">
        <v>494</v>
      </c>
      <c r="B146" s="910" t="s">
        <v>495</v>
      </c>
      <c r="C146" s="911" t="s">
        <v>1032</v>
      </c>
      <c r="D146" s="912" t="s">
        <v>1033</v>
      </c>
      <c r="E146" s="911">
        <v>2204020084</v>
      </c>
      <c r="F146" s="912" t="s">
        <v>231</v>
      </c>
      <c r="G146" s="910" t="s">
        <v>1029</v>
      </c>
      <c r="H146" s="913" t="s">
        <v>537</v>
      </c>
      <c r="I146" s="913" t="s">
        <v>1034</v>
      </c>
      <c r="J146" s="914" t="s">
        <v>1031</v>
      </c>
      <c r="O146"/>
    </row>
    <row r="147" s="904" customFormat="1" spans="1:15">
      <c r="A147" s="909" t="s">
        <v>494</v>
      </c>
      <c r="B147" s="910" t="s">
        <v>522</v>
      </c>
      <c r="C147" s="911" t="s">
        <v>1035</v>
      </c>
      <c r="D147" s="912" t="s">
        <v>1036</v>
      </c>
      <c r="E147" s="911">
        <v>2204020087</v>
      </c>
      <c r="F147" s="912" t="s">
        <v>231</v>
      </c>
      <c r="G147" s="910" t="s">
        <v>1029</v>
      </c>
      <c r="H147" s="913" t="s">
        <v>537</v>
      </c>
      <c r="I147" s="913" t="s">
        <v>1037</v>
      </c>
      <c r="J147" s="914" t="s">
        <v>1038</v>
      </c>
      <c r="O147"/>
    </row>
    <row r="148" s="904" customFormat="1" spans="1:15">
      <c r="A148" s="909" t="s">
        <v>494</v>
      </c>
      <c r="B148" s="910" t="s">
        <v>495</v>
      </c>
      <c r="C148" s="911" t="s">
        <v>1039</v>
      </c>
      <c r="D148" s="912" t="s">
        <v>1040</v>
      </c>
      <c r="E148" s="911">
        <v>2204030143</v>
      </c>
      <c r="F148" s="912" t="s">
        <v>231</v>
      </c>
      <c r="G148" s="910" t="s">
        <v>1029</v>
      </c>
      <c r="H148" s="913" t="s">
        <v>537</v>
      </c>
      <c r="I148" s="913" t="s">
        <v>1037</v>
      </c>
      <c r="J148" s="914" t="s">
        <v>1041</v>
      </c>
      <c r="O148"/>
    </row>
    <row r="149" s="904" customFormat="1" spans="1:15">
      <c r="A149" s="909" t="s">
        <v>494</v>
      </c>
      <c r="B149" s="910" t="s">
        <v>495</v>
      </c>
      <c r="C149" s="911" t="s">
        <v>1042</v>
      </c>
      <c r="D149" s="912" t="s">
        <v>1028</v>
      </c>
      <c r="E149" s="911">
        <v>2204030165</v>
      </c>
      <c r="F149" s="912" t="s">
        <v>231</v>
      </c>
      <c r="G149" s="910" t="s">
        <v>1029</v>
      </c>
      <c r="H149" s="913" t="s">
        <v>537</v>
      </c>
      <c r="I149" s="913" t="s">
        <v>1043</v>
      </c>
      <c r="J149" s="914" t="s">
        <v>1031</v>
      </c>
      <c r="O149"/>
    </row>
    <row r="150" s="904" customFormat="1" spans="1:15">
      <c r="A150" s="909" t="s">
        <v>494</v>
      </c>
      <c r="B150" s="910" t="s">
        <v>495</v>
      </c>
      <c r="C150" s="911" t="s">
        <v>1044</v>
      </c>
      <c r="D150" s="912" t="s">
        <v>1045</v>
      </c>
      <c r="E150" s="911">
        <v>2204100271</v>
      </c>
      <c r="F150" s="912" t="s">
        <v>233</v>
      </c>
      <c r="G150" s="910" t="s">
        <v>1046</v>
      </c>
      <c r="H150" s="913" t="s">
        <v>1047</v>
      </c>
      <c r="I150" s="913" t="s">
        <v>1048</v>
      </c>
      <c r="J150" s="914" t="s">
        <v>1049</v>
      </c>
      <c r="O150"/>
    </row>
    <row r="151" s="904" customFormat="1" spans="1:15">
      <c r="A151" s="909" t="s">
        <v>494</v>
      </c>
      <c r="B151" s="910" t="s">
        <v>495</v>
      </c>
      <c r="C151" s="911" t="s">
        <v>1050</v>
      </c>
      <c r="D151" s="912" t="s">
        <v>1051</v>
      </c>
      <c r="E151" s="911">
        <v>2204100272</v>
      </c>
      <c r="F151" s="912" t="s">
        <v>233</v>
      </c>
      <c r="G151" s="910" t="s">
        <v>1046</v>
      </c>
      <c r="H151" s="913" t="s">
        <v>1047</v>
      </c>
      <c r="I151" s="913" t="s">
        <v>1052</v>
      </c>
      <c r="J151" s="914" t="s">
        <v>1049</v>
      </c>
      <c r="O151"/>
    </row>
    <row r="152" s="904" customFormat="1" spans="1:15">
      <c r="A152" s="909" t="s">
        <v>494</v>
      </c>
      <c r="B152" s="910" t="s">
        <v>495</v>
      </c>
      <c r="C152" s="911" t="s">
        <v>1053</v>
      </c>
      <c r="D152" s="912" t="s">
        <v>1054</v>
      </c>
      <c r="E152" s="911">
        <v>2204100273</v>
      </c>
      <c r="F152" s="912" t="s">
        <v>233</v>
      </c>
      <c r="G152" s="910" t="s">
        <v>1046</v>
      </c>
      <c r="H152" s="913"/>
      <c r="I152" s="913" t="s">
        <v>1055</v>
      </c>
      <c r="J152" s="914" t="s">
        <v>1056</v>
      </c>
      <c r="O152"/>
    </row>
    <row r="153" s="904" customFormat="1" spans="1:15">
      <c r="A153" s="909" t="s">
        <v>494</v>
      </c>
      <c r="B153" s="910" t="s">
        <v>495</v>
      </c>
      <c r="C153" s="911" t="s">
        <v>1057</v>
      </c>
      <c r="D153" s="912" t="s">
        <v>1058</v>
      </c>
      <c r="E153" s="911">
        <v>2204100274</v>
      </c>
      <c r="F153" s="912" t="s">
        <v>233</v>
      </c>
      <c r="G153" s="910" t="s">
        <v>1046</v>
      </c>
      <c r="H153" s="913"/>
      <c r="I153" s="913" t="s">
        <v>1059</v>
      </c>
      <c r="J153" s="914" t="s">
        <v>1056</v>
      </c>
      <c r="O153"/>
    </row>
    <row r="154" s="904" customFormat="1" spans="1:15">
      <c r="A154" s="909" t="s">
        <v>494</v>
      </c>
      <c r="B154" s="910" t="s">
        <v>495</v>
      </c>
      <c r="C154" s="911" t="s">
        <v>1060</v>
      </c>
      <c r="D154" s="912" t="s">
        <v>1061</v>
      </c>
      <c r="E154" s="911">
        <v>2204100275</v>
      </c>
      <c r="F154" s="912" t="s">
        <v>233</v>
      </c>
      <c r="G154" s="910" t="s">
        <v>1046</v>
      </c>
      <c r="H154" s="913"/>
      <c r="I154" s="913" t="s">
        <v>1062</v>
      </c>
      <c r="J154" s="914" t="s">
        <v>1063</v>
      </c>
      <c r="O154"/>
    </row>
    <row r="155" s="904" customFormat="1" spans="1:15">
      <c r="A155" s="909" t="s">
        <v>494</v>
      </c>
      <c r="B155" s="910" t="s">
        <v>495</v>
      </c>
      <c r="C155" s="911" t="s">
        <v>1064</v>
      </c>
      <c r="D155" s="912" t="s">
        <v>1065</v>
      </c>
      <c r="E155" s="911">
        <v>2204100282</v>
      </c>
      <c r="F155" s="912" t="s">
        <v>233</v>
      </c>
      <c r="G155" s="910" t="s">
        <v>1066</v>
      </c>
      <c r="H155" s="913" t="s">
        <v>1047</v>
      </c>
      <c r="I155" s="913" t="s">
        <v>1067</v>
      </c>
      <c r="J155" s="914" t="s">
        <v>1068</v>
      </c>
      <c r="O155"/>
    </row>
    <row r="156" s="904" customFormat="1" spans="1:15">
      <c r="A156" s="909" t="s">
        <v>494</v>
      </c>
      <c r="B156" s="910" t="s">
        <v>495</v>
      </c>
      <c r="C156" s="911" t="s">
        <v>1069</v>
      </c>
      <c r="D156" s="912" t="s">
        <v>1070</v>
      </c>
      <c r="E156" s="911">
        <v>2204100283</v>
      </c>
      <c r="F156" s="912" t="s">
        <v>233</v>
      </c>
      <c r="G156" s="910" t="s">
        <v>1066</v>
      </c>
      <c r="H156" s="913" t="s">
        <v>1047</v>
      </c>
      <c r="I156" s="913" t="s">
        <v>1071</v>
      </c>
      <c r="J156" s="914" t="s">
        <v>1068</v>
      </c>
      <c r="O156"/>
    </row>
    <row r="157" s="904" customFormat="1" spans="1:15">
      <c r="A157" s="909" t="s">
        <v>494</v>
      </c>
      <c r="B157" s="910" t="s">
        <v>495</v>
      </c>
      <c r="C157" s="911" t="s">
        <v>1072</v>
      </c>
      <c r="D157" s="912" t="s">
        <v>1073</v>
      </c>
      <c r="E157" s="911">
        <v>2204100286</v>
      </c>
      <c r="F157" s="912" t="s">
        <v>233</v>
      </c>
      <c r="G157" s="910" t="s">
        <v>1066</v>
      </c>
      <c r="H157" s="913" t="s">
        <v>537</v>
      </c>
      <c r="I157" s="913" t="s">
        <v>1074</v>
      </c>
      <c r="J157" s="914" t="s">
        <v>1075</v>
      </c>
      <c r="O157"/>
    </row>
    <row r="158" s="904" customFormat="1" spans="1:15">
      <c r="A158" s="909" t="s">
        <v>494</v>
      </c>
      <c r="B158" s="910" t="s">
        <v>495</v>
      </c>
      <c r="C158" s="911" t="s">
        <v>1076</v>
      </c>
      <c r="D158" s="912" t="s">
        <v>1077</v>
      </c>
      <c r="E158" s="911">
        <v>2204100287</v>
      </c>
      <c r="F158" s="912" t="s">
        <v>233</v>
      </c>
      <c r="G158" s="910" t="s">
        <v>1066</v>
      </c>
      <c r="H158" s="913" t="s">
        <v>1047</v>
      </c>
      <c r="I158" s="913" t="s">
        <v>1078</v>
      </c>
      <c r="J158" s="914" t="s">
        <v>1079</v>
      </c>
      <c r="O158"/>
    </row>
    <row r="159" s="904" customFormat="1" spans="1:15">
      <c r="A159" s="909" t="s">
        <v>494</v>
      </c>
      <c r="B159" s="910" t="s">
        <v>495</v>
      </c>
      <c r="C159" s="911" t="s">
        <v>1080</v>
      </c>
      <c r="D159" s="912" t="s">
        <v>1081</v>
      </c>
      <c r="E159" s="911">
        <v>2204100291</v>
      </c>
      <c r="F159" s="912" t="s">
        <v>233</v>
      </c>
      <c r="G159" s="910" t="s">
        <v>1066</v>
      </c>
      <c r="H159" s="913"/>
      <c r="I159" s="913" t="s">
        <v>1082</v>
      </c>
      <c r="J159" s="914" t="s">
        <v>1083</v>
      </c>
      <c r="O159"/>
    </row>
    <row r="160" s="904" customFormat="1" spans="1:15">
      <c r="A160" s="909" t="s">
        <v>494</v>
      </c>
      <c r="B160" s="910" t="s">
        <v>522</v>
      </c>
      <c r="C160" s="911" t="s">
        <v>1084</v>
      </c>
      <c r="D160" s="912" t="s">
        <v>1077</v>
      </c>
      <c r="E160" s="911">
        <v>2204100292</v>
      </c>
      <c r="F160" s="912" t="s">
        <v>233</v>
      </c>
      <c r="G160" s="910" t="s">
        <v>1066</v>
      </c>
      <c r="H160" s="913" t="s">
        <v>1047</v>
      </c>
      <c r="I160" s="913" t="s">
        <v>1085</v>
      </c>
      <c r="J160" s="914" t="s">
        <v>1079</v>
      </c>
      <c r="O160"/>
    </row>
    <row r="161" s="904" customFormat="1" spans="1:15">
      <c r="A161" s="909" t="s">
        <v>494</v>
      </c>
      <c r="B161" s="910" t="s">
        <v>495</v>
      </c>
      <c r="C161" s="911" t="s">
        <v>1086</v>
      </c>
      <c r="D161" s="912" t="s">
        <v>1087</v>
      </c>
      <c r="E161" s="911">
        <v>2204100296</v>
      </c>
      <c r="F161" s="912" t="s">
        <v>233</v>
      </c>
      <c r="G161" s="910" t="s">
        <v>1066</v>
      </c>
      <c r="H161" s="913"/>
      <c r="I161" s="913" t="s">
        <v>1088</v>
      </c>
      <c r="J161" s="914" t="s">
        <v>1089</v>
      </c>
      <c r="O161"/>
    </row>
    <row r="162" s="904" customFormat="1" spans="1:15">
      <c r="A162" s="909" t="s">
        <v>494</v>
      </c>
      <c r="B162" s="910" t="s">
        <v>495</v>
      </c>
      <c r="C162" s="911" t="s">
        <v>1090</v>
      </c>
      <c r="D162" s="912" t="s">
        <v>1091</v>
      </c>
      <c r="E162" s="911">
        <v>2204100306</v>
      </c>
      <c r="F162" s="912" t="s">
        <v>233</v>
      </c>
      <c r="G162" s="910" t="s">
        <v>1066</v>
      </c>
      <c r="H162" s="913" t="s">
        <v>537</v>
      </c>
      <c r="I162" s="913" t="s">
        <v>1092</v>
      </c>
      <c r="J162" s="914" t="s">
        <v>1093</v>
      </c>
      <c r="O162"/>
    </row>
    <row r="163" s="904" customFormat="1" spans="1:15">
      <c r="A163" s="909" t="s">
        <v>494</v>
      </c>
      <c r="B163" s="910" t="s">
        <v>495</v>
      </c>
      <c r="C163" s="911" t="s">
        <v>1094</v>
      </c>
      <c r="D163" s="912" t="s">
        <v>1095</v>
      </c>
      <c r="E163" s="911">
        <v>2204100307</v>
      </c>
      <c r="F163" s="912" t="s">
        <v>233</v>
      </c>
      <c r="G163" s="910" t="s">
        <v>1066</v>
      </c>
      <c r="H163" s="913" t="s">
        <v>537</v>
      </c>
      <c r="I163" s="913" t="s">
        <v>1096</v>
      </c>
      <c r="J163" s="914" t="s">
        <v>1097</v>
      </c>
      <c r="O163"/>
    </row>
    <row r="164" s="904" customFormat="1" spans="1:15">
      <c r="A164" s="909" t="s">
        <v>494</v>
      </c>
      <c r="B164" s="910" t="s">
        <v>495</v>
      </c>
      <c r="C164" s="911" t="s">
        <v>1098</v>
      </c>
      <c r="D164" s="912" t="s">
        <v>1099</v>
      </c>
      <c r="E164" s="911">
        <v>2204100308</v>
      </c>
      <c r="F164" s="912" t="s">
        <v>233</v>
      </c>
      <c r="G164" s="910" t="s">
        <v>1046</v>
      </c>
      <c r="H164" s="913" t="s">
        <v>537</v>
      </c>
      <c r="I164" s="913" t="s">
        <v>1100</v>
      </c>
      <c r="J164" s="914" t="s">
        <v>1101</v>
      </c>
      <c r="O164"/>
    </row>
    <row r="165" s="904" customFormat="1" spans="1:15">
      <c r="A165" s="909" t="s">
        <v>494</v>
      </c>
      <c r="B165" s="910" t="s">
        <v>495</v>
      </c>
      <c r="C165" s="911" t="s">
        <v>1102</v>
      </c>
      <c r="D165" s="912" t="s">
        <v>1103</v>
      </c>
      <c r="E165" s="911">
        <v>2204100309</v>
      </c>
      <c r="F165" s="912" t="s">
        <v>233</v>
      </c>
      <c r="G165" s="910" t="s">
        <v>1066</v>
      </c>
      <c r="H165" s="913" t="s">
        <v>537</v>
      </c>
      <c r="I165" s="913" t="s">
        <v>1104</v>
      </c>
      <c r="J165" s="914" t="s">
        <v>1105</v>
      </c>
      <c r="O165"/>
    </row>
    <row r="166" s="904" customFormat="1" spans="1:15">
      <c r="A166" s="909" t="s">
        <v>494</v>
      </c>
      <c r="B166" s="910" t="s">
        <v>495</v>
      </c>
      <c r="C166" s="911" t="s">
        <v>1106</v>
      </c>
      <c r="D166" s="912" t="s">
        <v>1107</v>
      </c>
      <c r="E166" s="911">
        <v>2204100310</v>
      </c>
      <c r="F166" s="912" t="s">
        <v>233</v>
      </c>
      <c r="G166" s="910" t="s">
        <v>1066</v>
      </c>
      <c r="H166" s="913" t="s">
        <v>537</v>
      </c>
      <c r="I166" s="913" t="s">
        <v>1108</v>
      </c>
      <c r="J166" s="914" t="s">
        <v>1105</v>
      </c>
      <c r="O166"/>
    </row>
    <row r="167" s="904" customFormat="1" spans="1:15">
      <c r="A167" s="909" t="s">
        <v>494</v>
      </c>
      <c r="B167" s="910" t="s">
        <v>495</v>
      </c>
      <c r="C167" s="911" t="s">
        <v>1109</v>
      </c>
      <c r="D167" s="912" t="s">
        <v>1110</v>
      </c>
      <c r="E167" s="911">
        <v>2204100311</v>
      </c>
      <c r="F167" s="912" t="s">
        <v>233</v>
      </c>
      <c r="G167" s="910" t="s">
        <v>1066</v>
      </c>
      <c r="H167" s="913" t="s">
        <v>537</v>
      </c>
      <c r="I167" s="913" t="s">
        <v>1111</v>
      </c>
      <c r="J167" s="914" t="s">
        <v>1112</v>
      </c>
      <c r="O167"/>
    </row>
    <row r="168" s="904" customFormat="1" spans="1:15">
      <c r="A168" s="909" t="s">
        <v>494</v>
      </c>
      <c r="B168" s="910" t="s">
        <v>495</v>
      </c>
      <c r="C168" s="911" t="s">
        <v>1113</v>
      </c>
      <c r="D168" s="912" t="s">
        <v>1114</v>
      </c>
      <c r="E168" s="911">
        <v>2204100312</v>
      </c>
      <c r="F168" s="912" t="s">
        <v>233</v>
      </c>
      <c r="G168" s="910" t="s">
        <v>1066</v>
      </c>
      <c r="H168" s="913" t="s">
        <v>537</v>
      </c>
      <c r="I168" s="913" t="s">
        <v>1115</v>
      </c>
      <c r="J168" s="914" t="s">
        <v>1112</v>
      </c>
      <c r="O168"/>
    </row>
    <row r="169" s="904" customFormat="1" spans="1:15">
      <c r="A169" s="909" t="s">
        <v>494</v>
      </c>
      <c r="B169" s="910" t="s">
        <v>495</v>
      </c>
      <c r="C169" s="911" t="s">
        <v>1116</v>
      </c>
      <c r="D169" s="912" t="s">
        <v>1117</v>
      </c>
      <c r="E169" s="911">
        <v>2204100313</v>
      </c>
      <c r="F169" s="912" t="s">
        <v>233</v>
      </c>
      <c r="G169" s="910" t="s">
        <v>1066</v>
      </c>
      <c r="H169" s="913" t="s">
        <v>537</v>
      </c>
      <c r="I169" s="913" t="s">
        <v>1118</v>
      </c>
      <c r="J169" s="914" t="s">
        <v>1119</v>
      </c>
      <c r="O169"/>
    </row>
    <row r="170" s="904" customFormat="1" spans="1:15">
      <c r="A170" s="909" t="s">
        <v>494</v>
      </c>
      <c r="B170" s="910" t="s">
        <v>495</v>
      </c>
      <c r="C170" s="911" t="s">
        <v>1120</v>
      </c>
      <c r="D170" s="912" t="s">
        <v>1121</v>
      </c>
      <c r="E170" s="911">
        <v>2204100314</v>
      </c>
      <c r="F170" s="912" t="s">
        <v>233</v>
      </c>
      <c r="G170" s="910" t="s">
        <v>1066</v>
      </c>
      <c r="H170" s="913" t="s">
        <v>537</v>
      </c>
      <c r="I170" s="913" t="s">
        <v>1122</v>
      </c>
      <c r="J170" s="914" t="s">
        <v>1119</v>
      </c>
      <c r="O170"/>
    </row>
    <row r="171" s="904" customFormat="1" spans="1:15">
      <c r="A171" s="909" t="s">
        <v>494</v>
      </c>
      <c r="B171" s="910" t="s">
        <v>495</v>
      </c>
      <c r="C171" s="911" t="s">
        <v>1123</v>
      </c>
      <c r="D171" s="912" t="s">
        <v>1124</v>
      </c>
      <c r="E171" s="911">
        <v>2204100328</v>
      </c>
      <c r="F171" s="912" t="s">
        <v>233</v>
      </c>
      <c r="G171" s="910" t="s">
        <v>1066</v>
      </c>
      <c r="H171" s="913" t="s">
        <v>1047</v>
      </c>
      <c r="I171" s="913" t="s">
        <v>1125</v>
      </c>
      <c r="J171" s="914" t="s">
        <v>1126</v>
      </c>
      <c r="O171"/>
    </row>
    <row r="172" s="904" customFormat="1" spans="1:15">
      <c r="A172" s="909" t="s">
        <v>494</v>
      </c>
      <c r="B172" s="910" t="s">
        <v>495</v>
      </c>
      <c r="C172" s="911" t="s">
        <v>1127</v>
      </c>
      <c r="D172" s="912" t="s">
        <v>1128</v>
      </c>
      <c r="E172" s="911">
        <v>2204100329</v>
      </c>
      <c r="F172" s="912" t="s">
        <v>233</v>
      </c>
      <c r="G172" s="910" t="s">
        <v>1066</v>
      </c>
      <c r="H172" s="913" t="s">
        <v>1047</v>
      </c>
      <c r="I172" s="913" t="s">
        <v>1129</v>
      </c>
      <c r="J172" s="914" t="s">
        <v>1126</v>
      </c>
      <c r="O172"/>
    </row>
    <row r="173" s="904" customFormat="1" spans="1:15">
      <c r="A173" s="909" t="s">
        <v>494</v>
      </c>
      <c r="B173" s="910" t="s">
        <v>495</v>
      </c>
      <c r="C173" s="911" t="s">
        <v>1130</v>
      </c>
      <c r="D173" s="912" t="s">
        <v>1131</v>
      </c>
      <c r="E173" s="911">
        <v>2204100330</v>
      </c>
      <c r="F173" s="912" t="s">
        <v>233</v>
      </c>
      <c r="G173" s="910" t="s">
        <v>1066</v>
      </c>
      <c r="H173" s="913" t="s">
        <v>537</v>
      </c>
      <c r="I173" s="913" t="s">
        <v>1132</v>
      </c>
      <c r="J173" s="914" t="s">
        <v>1133</v>
      </c>
      <c r="O173"/>
    </row>
    <row r="174" s="904" customFormat="1" spans="1:15">
      <c r="A174" s="909" t="s">
        <v>494</v>
      </c>
      <c r="B174" s="910" t="s">
        <v>495</v>
      </c>
      <c r="C174" s="911" t="s">
        <v>1134</v>
      </c>
      <c r="D174" s="912" t="s">
        <v>1135</v>
      </c>
      <c r="E174" s="911">
        <v>2204100331</v>
      </c>
      <c r="F174" s="912" t="s">
        <v>233</v>
      </c>
      <c r="G174" s="910" t="s">
        <v>1066</v>
      </c>
      <c r="H174" s="913" t="s">
        <v>537</v>
      </c>
      <c r="I174" s="913" t="s">
        <v>1136</v>
      </c>
      <c r="J174" s="914" t="s">
        <v>1133</v>
      </c>
      <c r="O174"/>
    </row>
    <row r="175" s="904" customFormat="1" spans="1:15">
      <c r="A175" s="909" t="s">
        <v>494</v>
      </c>
      <c r="B175" s="910" t="s">
        <v>495</v>
      </c>
      <c r="C175" s="911" t="s">
        <v>1137</v>
      </c>
      <c r="D175" s="912" t="s">
        <v>1138</v>
      </c>
      <c r="E175" s="911">
        <v>2204100332</v>
      </c>
      <c r="F175" s="912" t="s">
        <v>233</v>
      </c>
      <c r="G175" s="910" t="s">
        <v>1066</v>
      </c>
      <c r="H175" s="913" t="s">
        <v>537</v>
      </c>
      <c r="I175" s="913" t="s">
        <v>1139</v>
      </c>
      <c r="J175" s="914" t="s">
        <v>1140</v>
      </c>
      <c r="O175"/>
    </row>
    <row r="176" s="904" customFormat="1" spans="1:15">
      <c r="A176" s="909" t="s">
        <v>494</v>
      </c>
      <c r="B176" s="910" t="s">
        <v>495</v>
      </c>
      <c r="C176" s="911" t="s">
        <v>1141</v>
      </c>
      <c r="D176" s="912" t="s">
        <v>1045</v>
      </c>
      <c r="E176" s="911">
        <v>2204100345</v>
      </c>
      <c r="F176" s="912" t="s">
        <v>233</v>
      </c>
      <c r="G176" s="910" t="s">
        <v>1046</v>
      </c>
      <c r="H176" s="913" t="s">
        <v>1047</v>
      </c>
      <c r="I176" s="913" t="s">
        <v>1142</v>
      </c>
      <c r="J176" s="914" t="s">
        <v>1049</v>
      </c>
      <c r="O176"/>
    </row>
    <row r="177" s="904" customFormat="1" spans="1:15">
      <c r="A177" s="909" t="s">
        <v>494</v>
      </c>
      <c r="B177" s="910" t="s">
        <v>495</v>
      </c>
      <c r="C177" s="911" t="s">
        <v>1143</v>
      </c>
      <c r="D177" s="912" t="s">
        <v>1051</v>
      </c>
      <c r="E177" s="911">
        <v>2204100346</v>
      </c>
      <c r="F177" s="912" t="s">
        <v>233</v>
      </c>
      <c r="G177" s="910" t="s">
        <v>1046</v>
      </c>
      <c r="H177" s="913" t="s">
        <v>1047</v>
      </c>
      <c r="I177" s="913" t="s">
        <v>1144</v>
      </c>
      <c r="J177" s="914" t="s">
        <v>1049</v>
      </c>
      <c r="O177"/>
    </row>
    <row r="178" s="904" customFormat="1" spans="1:15">
      <c r="A178" s="909" t="s">
        <v>494</v>
      </c>
      <c r="B178" s="910" t="s">
        <v>495</v>
      </c>
      <c r="C178" s="911" t="s">
        <v>1145</v>
      </c>
      <c r="D178" s="912" t="s">
        <v>1054</v>
      </c>
      <c r="E178" s="911">
        <v>2204100347</v>
      </c>
      <c r="F178" s="912" t="s">
        <v>233</v>
      </c>
      <c r="G178" s="910" t="s">
        <v>1046</v>
      </c>
      <c r="H178" s="913" t="s">
        <v>537</v>
      </c>
      <c r="I178" s="913" t="s">
        <v>1146</v>
      </c>
      <c r="J178" s="914" t="s">
        <v>1056</v>
      </c>
      <c r="O178"/>
    </row>
    <row r="179" s="904" customFormat="1" spans="1:15">
      <c r="A179" s="909" t="s">
        <v>494</v>
      </c>
      <c r="B179" s="910" t="s">
        <v>495</v>
      </c>
      <c r="C179" s="911" t="s">
        <v>1147</v>
      </c>
      <c r="D179" s="912" t="s">
        <v>1058</v>
      </c>
      <c r="E179" s="911">
        <v>2204100348</v>
      </c>
      <c r="F179" s="912" t="s">
        <v>233</v>
      </c>
      <c r="G179" s="910" t="s">
        <v>1046</v>
      </c>
      <c r="H179" s="913" t="s">
        <v>537</v>
      </c>
      <c r="I179" s="913" t="s">
        <v>1148</v>
      </c>
      <c r="J179" s="914" t="s">
        <v>1056</v>
      </c>
      <c r="O179"/>
    </row>
    <row r="180" s="904" customFormat="1" spans="1:15">
      <c r="A180" s="909" t="s">
        <v>494</v>
      </c>
      <c r="B180" s="910" t="s">
        <v>495</v>
      </c>
      <c r="C180" s="911" t="s">
        <v>1149</v>
      </c>
      <c r="D180" s="912" t="s">
        <v>1061</v>
      </c>
      <c r="E180" s="911">
        <v>2204100349</v>
      </c>
      <c r="F180" s="912" t="s">
        <v>233</v>
      </c>
      <c r="G180" s="910" t="s">
        <v>1046</v>
      </c>
      <c r="H180" s="913" t="s">
        <v>537</v>
      </c>
      <c r="I180" s="913" t="s">
        <v>1150</v>
      </c>
      <c r="J180" s="914" t="s">
        <v>1063</v>
      </c>
      <c r="O180"/>
    </row>
    <row r="181" s="904" customFormat="1" spans="1:15">
      <c r="A181" s="909" t="s">
        <v>494</v>
      </c>
      <c r="B181" s="910" t="s">
        <v>495</v>
      </c>
      <c r="C181" s="911" t="s">
        <v>1151</v>
      </c>
      <c r="D181" s="912" t="s">
        <v>1152</v>
      </c>
      <c r="E181" s="911">
        <v>2204060045</v>
      </c>
      <c r="F181" s="912" t="s">
        <v>231</v>
      </c>
      <c r="G181" s="910" t="s">
        <v>1153</v>
      </c>
      <c r="H181" s="913" t="s">
        <v>998</v>
      </c>
      <c r="I181" s="913" t="s">
        <v>1154</v>
      </c>
      <c r="J181" s="914" t="s">
        <v>1155</v>
      </c>
      <c r="O181"/>
    </row>
    <row r="182" s="904" customFormat="1" spans="1:15">
      <c r="A182" s="909" t="s">
        <v>494</v>
      </c>
      <c r="B182" s="910" t="s">
        <v>495</v>
      </c>
      <c r="C182" s="911" t="s">
        <v>1156</v>
      </c>
      <c r="D182" s="912" t="s">
        <v>1157</v>
      </c>
      <c r="E182" s="911">
        <v>2204060046</v>
      </c>
      <c r="F182" s="912" t="s">
        <v>231</v>
      </c>
      <c r="G182" s="910" t="s">
        <v>1153</v>
      </c>
      <c r="H182" s="913" t="s">
        <v>998</v>
      </c>
      <c r="I182" s="913" t="s">
        <v>1158</v>
      </c>
      <c r="J182" s="914" t="s">
        <v>1155</v>
      </c>
      <c r="O182"/>
    </row>
    <row r="183" s="904" customFormat="1" spans="1:15">
      <c r="A183" s="909" t="s">
        <v>494</v>
      </c>
      <c r="B183" s="910" t="s">
        <v>495</v>
      </c>
      <c r="C183" s="911" t="s">
        <v>1159</v>
      </c>
      <c r="D183" s="912" t="s">
        <v>1160</v>
      </c>
      <c r="E183" s="911">
        <v>2204060047</v>
      </c>
      <c r="F183" s="912" t="s">
        <v>231</v>
      </c>
      <c r="G183" s="910" t="s">
        <v>1153</v>
      </c>
      <c r="H183" s="913" t="s">
        <v>998</v>
      </c>
      <c r="I183" s="913" t="s">
        <v>1161</v>
      </c>
      <c r="J183" s="914" t="s">
        <v>1155</v>
      </c>
      <c r="O183"/>
    </row>
    <row r="184" s="904" customFormat="1" spans="1:15">
      <c r="A184" s="909" t="s">
        <v>494</v>
      </c>
      <c r="B184" s="910" t="s">
        <v>495</v>
      </c>
      <c r="C184" s="911" t="s">
        <v>1162</v>
      </c>
      <c r="D184" s="912" t="s">
        <v>1163</v>
      </c>
      <c r="E184" s="911">
        <v>2204060049</v>
      </c>
      <c r="F184" s="912" t="s">
        <v>231</v>
      </c>
      <c r="G184" s="910" t="s">
        <v>1153</v>
      </c>
      <c r="H184" s="913" t="s">
        <v>537</v>
      </c>
      <c r="I184" s="913" t="s">
        <v>1164</v>
      </c>
      <c r="J184" s="914" t="s">
        <v>1165</v>
      </c>
      <c r="O184"/>
    </row>
    <row r="185" s="904" customFormat="1" spans="1:15">
      <c r="A185" s="909" t="s">
        <v>494</v>
      </c>
      <c r="B185" s="910" t="s">
        <v>495</v>
      </c>
      <c r="C185" s="911" t="s">
        <v>1166</v>
      </c>
      <c r="D185" s="912" t="s">
        <v>1167</v>
      </c>
      <c r="E185" s="911">
        <v>2204060050</v>
      </c>
      <c r="F185" s="912" t="s">
        <v>231</v>
      </c>
      <c r="G185" s="910" t="s">
        <v>1153</v>
      </c>
      <c r="H185" s="913" t="s">
        <v>537</v>
      </c>
      <c r="I185" s="913" t="s">
        <v>1168</v>
      </c>
      <c r="J185" s="914" t="s">
        <v>1165</v>
      </c>
      <c r="O185"/>
    </row>
    <row r="186" s="904" customFormat="1" spans="1:15">
      <c r="A186" s="909" t="s">
        <v>494</v>
      </c>
      <c r="B186" s="910" t="s">
        <v>495</v>
      </c>
      <c r="C186" s="911" t="s">
        <v>1169</v>
      </c>
      <c r="D186" s="912" t="s">
        <v>1170</v>
      </c>
      <c r="E186" s="911">
        <v>2204060052</v>
      </c>
      <c r="F186" s="912" t="s">
        <v>231</v>
      </c>
      <c r="G186" s="910" t="s">
        <v>1153</v>
      </c>
      <c r="H186" s="913" t="s">
        <v>998</v>
      </c>
      <c r="I186" s="913" t="s">
        <v>1171</v>
      </c>
      <c r="J186" s="914" t="s">
        <v>1172</v>
      </c>
      <c r="O186"/>
    </row>
    <row r="187" s="904" customFormat="1" spans="1:15">
      <c r="A187" s="909" t="s">
        <v>494</v>
      </c>
      <c r="B187" s="910" t="s">
        <v>495</v>
      </c>
      <c r="C187" s="911" t="s">
        <v>1173</v>
      </c>
      <c r="D187" s="912" t="s">
        <v>1174</v>
      </c>
      <c r="E187" s="911">
        <v>2204100259</v>
      </c>
      <c r="F187" s="912" t="s">
        <v>233</v>
      </c>
      <c r="G187" s="910" t="s">
        <v>1046</v>
      </c>
      <c r="H187" s="913" t="s">
        <v>1047</v>
      </c>
      <c r="I187" s="913" t="s">
        <v>1175</v>
      </c>
      <c r="J187" s="914" t="s">
        <v>1176</v>
      </c>
      <c r="O187"/>
    </row>
    <row r="188" s="904" customFormat="1" spans="1:15">
      <c r="A188" s="909" t="s">
        <v>494</v>
      </c>
      <c r="B188" s="910" t="s">
        <v>495</v>
      </c>
      <c r="C188" s="911" t="s">
        <v>1177</v>
      </c>
      <c r="D188" s="912" t="s">
        <v>1178</v>
      </c>
      <c r="E188" s="911">
        <v>2204100260</v>
      </c>
      <c r="F188" s="912" t="s">
        <v>233</v>
      </c>
      <c r="G188" s="910" t="s">
        <v>1046</v>
      </c>
      <c r="H188" s="913" t="s">
        <v>1047</v>
      </c>
      <c r="I188" s="913" t="s">
        <v>1179</v>
      </c>
      <c r="J188" s="914" t="s">
        <v>1176</v>
      </c>
      <c r="O188"/>
    </row>
    <row r="189" s="904" customFormat="1" spans="1:15">
      <c r="A189" s="909" t="s">
        <v>494</v>
      </c>
      <c r="B189" s="910" t="s">
        <v>495</v>
      </c>
      <c r="C189" s="911" t="s">
        <v>1180</v>
      </c>
      <c r="D189" s="912" t="s">
        <v>1181</v>
      </c>
      <c r="E189" s="911">
        <v>2204100263</v>
      </c>
      <c r="F189" s="912" t="s">
        <v>233</v>
      </c>
      <c r="G189" s="910" t="s">
        <v>1046</v>
      </c>
      <c r="H189" s="913"/>
      <c r="I189" s="913" t="s">
        <v>1182</v>
      </c>
      <c r="J189" s="914" t="s">
        <v>1183</v>
      </c>
      <c r="O189"/>
    </row>
    <row r="190" s="904" customFormat="1" spans="1:15">
      <c r="A190" s="909" t="s">
        <v>494</v>
      </c>
      <c r="B190" s="910" t="s">
        <v>495</v>
      </c>
      <c r="C190" s="911" t="s">
        <v>1184</v>
      </c>
      <c r="D190" s="912" t="s">
        <v>1185</v>
      </c>
      <c r="E190" s="911">
        <v>2204130021</v>
      </c>
      <c r="F190" s="912" t="s">
        <v>233</v>
      </c>
      <c r="G190" s="910" t="s">
        <v>694</v>
      </c>
      <c r="H190" s="913" t="s">
        <v>1186</v>
      </c>
      <c r="I190" s="913" t="s">
        <v>1187</v>
      </c>
      <c r="J190" s="914" t="s">
        <v>1188</v>
      </c>
      <c r="O190"/>
    </row>
    <row r="191" s="904" customFormat="1" spans="1:15">
      <c r="A191" s="909" t="s">
        <v>494</v>
      </c>
      <c r="B191" s="910" t="s">
        <v>495</v>
      </c>
      <c r="C191" s="911" t="s">
        <v>1189</v>
      </c>
      <c r="D191" s="912" t="s">
        <v>1185</v>
      </c>
      <c r="E191" s="911">
        <v>2204130023</v>
      </c>
      <c r="F191" s="912" t="s">
        <v>233</v>
      </c>
      <c r="G191" s="910" t="s">
        <v>694</v>
      </c>
      <c r="H191" s="913" t="s">
        <v>1186</v>
      </c>
      <c r="I191" s="913" t="s">
        <v>1190</v>
      </c>
      <c r="J191" s="914" t="s">
        <v>1188</v>
      </c>
      <c r="O191"/>
    </row>
    <row r="192" s="904" customFormat="1" spans="1:15">
      <c r="A192" s="909" t="s">
        <v>494</v>
      </c>
      <c r="B192" s="910" t="s">
        <v>495</v>
      </c>
      <c r="C192" s="911" t="s">
        <v>1191</v>
      </c>
      <c r="D192" s="912" t="s">
        <v>1192</v>
      </c>
      <c r="E192" s="911">
        <v>2205050244</v>
      </c>
      <c r="F192" s="912" t="s">
        <v>234</v>
      </c>
      <c r="G192" s="910" t="s">
        <v>1066</v>
      </c>
      <c r="H192" s="913" t="s">
        <v>1047</v>
      </c>
      <c r="I192" s="913" t="s">
        <v>1193</v>
      </c>
      <c r="J192" s="914" t="s">
        <v>1194</v>
      </c>
      <c r="O192"/>
    </row>
    <row r="193" s="904" customFormat="1" spans="1:15">
      <c r="A193" s="909" t="s">
        <v>494</v>
      </c>
      <c r="B193" s="910" t="s">
        <v>495</v>
      </c>
      <c r="C193" s="911" t="s">
        <v>1195</v>
      </c>
      <c r="D193" s="912" t="s">
        <v>1196</v>
      </c>
      <c r="E193" s="911">
        <v>2205050245</v>
      </c>
      <c r="F193" s="912" t="s">
        <v>234</v>
      </c>
      <c r="G193" s="910" t="s">
        <v>1066</v>
      </c>
      <c r="H193" s="913" t="s">
        <v>1047</v>
      </c>
      <c r="I193" s="913" t="s">
        <v>1197</v>
      </c>
      <c r="J193" s="914" t="s">
        <v>1194</v>
      </c>
      <c r="O193"/>
    </row>
    <row r="194" s="904" customFormat="1" spans="1:15">
      <c r="A194" s="909" t="s">
        <v>494</v>
      </c>
      <c r="B194" s="910" t="s">
        <v>495</v>
      </c>
      <c r="C194" s="911" t="s">
        <v>1198</v>
      </c>
      <c r="D194" s="912" t="s">
        <v>1199</v>
      </c>
      <c r="E194" s="911">
        <v>2205050246</v>
      </c>
      <c r="F194" s="912" t="s">
        <v>234</v>
      </c>
      <c r="G194" s="910" t="s">
        <v>1066</v>
      </c>
      <c r="H194" s="913"/>
      <c r="I194" s="913" t="s">
        <v>1200</v>
      </c>
      <c r="J194" s="914" t="s">
        <v>1201</v>
      </c>
      <c r="O194"/>
    </row>
    <row r="195" s="904" customFormat="1" spans="1:15">
      <c r="A195" s="909" t="s">
        <v>1202</v>
      </c>
      <c r="B195" s="910" t="s">
        <v>495</v>
      </c>
      <c r="C195" s="911" t="s">
        <v>1203</v>
      </c>
      <c r="D195" s="912" t="s">
        <v>1204</v>
      </c>
      <c r="E195" s="911">
        <v>2205050247</v>
      </c>
      <c r="F195" s="912" t="s">
        <v>234</v>
      </c>
      <c r="G195" s="910" t="s">
        <v>1066</v>
      </c>
      <c r="H195" s="913"/>
      <c r="I195" s="913" t="s">
        <v>1205</v>
      </c>
      <c r="J195" s="914" t="s">
        <v>1201</v>
      </c>
      <c r="O195"/>
    </row>
    <row r="196" s="904" customFormat="1" spans="1:15">
      <c r="A196" s="909" t="s">
        <v>1202</v>
      </c>
      <c r="B196" s="910" t="s">
        <v>495</v>
      </c>
      <c r="C196" s="911" t="s">
        <v>1206</v>
      </c>
      <c r="D196" s="912" t="s">
        <v>1207</v>
      </c>
      <c r="E196" s="911">
        <v>2205050248</v>
      </c>
      <c r="F196" s="912" t="s">
        <v>234</v>
      </c>
      <c r="G196" s="910" t="s">
        <v>1066</v>
      </c>
      <c r="H196" s="913"/>
      <c r="I196" s="913" t="s">
        <v>1208</v>
      </c>
      <c r="J196" s="914" t="s">
        <v>1209</v>
      </c>
      <c r="O196"/>
    </row>
    <row r="197" s="904" customFormat="1" spans="1:15">
      <c r="A197" s="909" t="s">
        <v>1202</v>
      </c>
      <c r="B197" s="910" t="s">
        <v>495</v>
      </c>
      <c r="C197" s="911" t="s">
        <v>1210</v>
      </c>
      <c r="D197" s="912" t="s">
        <v>1199</v>
      </c>
      <c r="E197" s="911">
        <v>2205050249</v>
      </c>
      <c r="F197" s="912" t="s">
        <v>234</v>
      </c>
      <c r="G197" s="910" t="s">
        <v>1066</v>
      </c>
      <c r="H197" s="913"/>
      <c r="I197" s="913" t="s">
        <v>1211</v>
      </c>
      <c r="J197" s="914" t="s">
        <v>1201</v>
      </c>
      <c r="O197"/>
    </row>
    <row r="198" s="904" customFormat="1" spans="1:15">
      <c r="A198" s="909" t="s">
        <v>1202</v>
      </c>
      <c r="B198" s="910" t="s">
        <v>495</v>
      </c>
      <c r="C198" s="911" t="s">
        <v>1212</v>
      </c>
      <c r="D198" s="912" t="s">
        <v>1204</v>
      </c>
      <c r="E198" s="911">
        <v>2205050250</v>
      </c>
      <c r="F198" s="912" t="s">
        <v>234</v>
      </c>
      <c r="G198" s="910" t="s">
        <v>1066</v>
      </c>
      <c r="H198" s="913"/>
      <c r="I198" s="913" t="s">
        <v>1213</v>
      </c>
      <c r="J198" s="914" t="s">
        <v>1201</v>
      </c>
      <c r="O198"/>
    </row>
    <row r="199" s="904" customFormat="1" spans="1:15">
      <c r="A199" s="909" t="s">
        <v>1202</v>
      </c>
      <c r="B199" s="910" t="s">
        <v>495</v>
      </c>
      <c r="C199" s="911" t="s">
        <v>1214</v>
      </c>
      <c r="D199" s="912" t="s">
        <v>1207</v>
      </c>
      <c r="E199" s="911">
        <v>2205050251</v>
      </c>
      <c r="F199" s="912" t="s">
        <v>234</v>
      </c>
      <c r="G199" s="910" t="s">
        <v>1066</v>
      </c>
      <c r="H199" s="913"/>
      <c r="I199" s="913" t="s">
        <v>1215</v>
      </c>
      <c r="J199" s="914" t="s">
        <v>1209</v>
      </c>
      <c r="O199"/>
    </row>
    <row r="200" s="904" customFormat="1" spans="1:15">
      <c r="A200" s="909" t="s">
        <v>1202</v>
      </c>
      <c r="B200" s="910" t="s">
        <v>495</v>
      </c>
      <c r="C200" s="911" t="s">
        <v>1216</v>
      </c>
      <c r="D200" s="912" t="s">
        <v>1217</v>
      </c>
      <c r="E200" s="911">
        <v>2205050269</v>
      </c>
      <c r="F200" s="912" t="s">
        <v>234</v>
      </c>
      <c r="G200" s="910" t="s">
        <v>1046</v>
      </c>
      <c r="H200" s="913" t="s">
        <v>1047</v>
      </c>
      <c r="I200" s="913" t="s">
        <v>1218</v>
      </c>
      <c r="J200" s="914" t="s">
        <v>1219</v>
      </c>
      <c r="O200"/>
    </row>
    <row r="201" s="904" customFormat="1" spans="1:15">
      <c r="A201" s="909" t="s">
        <v>1202</v>
      </c>
      <c r="B201" s="910" t="s">
        <v>495</v>
      </c>
      <c r="C201" s="911" t="s">
        <v>1220</v>
      </c>
      <c r="D201" s="912" t="s">
        <v>1221</v>
      </c>
      <c r="E201" s="911">
        <v>2205050270</v>
      </c>
      <c r="F201" s="912" t="s">
        <v>234</v>
      </c>
      <c r="G201" s="910" t="s">
        <v>1046</v>
      </c>
      <c r="H201" s="913" t="s">
        <v>1047</v>
      </c>
      <c r="I201" s="913" t="s">
        <v>1222</v>
      </c>
      <c r="J201" s="914" t="s">
        <v>1219</v>
      </c>
      <c r="O201"/>
    </row>
    <row r="202" s="904" customFormat="1" spans="1:15">
      <c r="A202" s="909" t="s">
        <v>1202</v>
      </c>
      <c r="B202" s="910" t="s">
        <v>495</v>
      </c>
      <c r="C202" s="911" t="s">
        <v>1223</v>
      </c>
      <c r="D202" s="912" t="s">
        <v>1224</v>
      </c>
      <c r="E202" s="911">
        <v>2205050271</v>
      </c>
      <c r="F202" s="912" t="s">
        <v>234</v>
      </c>
      <c r="G202" s="910" t="s">
        <v>1046</v>
      </c>
      <c r="H202" s="913"/>
      <c r="I202" s="913" t="s">
        <v>1225</v>
      </c>
      <c r="J202" s="914" t="s">
        <v>1226</v>
      </c>
      <c r="O202"/>
    </row>
    <row r="203" s="904" customFormat="1" spans="1:15">
      <c r="A203" s="909" t="s">
        <v>1202</v>
      </c>
      <c r="B203" s="910" t="s">
        <v>495</v>
      </c>
      <c r="C203" s="911" t="s">
        <v>1227</v>
      </c>
      <c r="D203" s="912" t="s">
        <v>1228</v>
      </c>
      <c r="E203" s="911">
        <v>2205050272</v>
      </c>
      <c r="F203" s="912" t="s">
        <v>234</v>
      </c>
      <c r="G203" s="910" t="s">
        <v>1046</v>
      </c>
      <c r="H203" s="913"/>
      <c r="I203" s="913" t="s">
        <v>1229</v>
      </c>
      <c r="J203" s="914" t="s">
        <v>1226</v>
      </c>
      <c r="O203"/>
    </row>
    <row r="204" s="904" customFormat="1" spans="1:15">
      <c r="A204" s="909" t="s">
        <v>1202</v>
      </c>
      <c r="B204" s="910" t="s">
        <v>495</v>
      </c>
      <c r="C204" s="911" t="s">
        <v>1230</v>
      </c>
      <c r="D204" s="912" t="s">
        <v>1231</v>
      </c>
      <c r="E204" s="911">
        <v>2205050293</v>
      </c>
      <c r="F204" s="912" t="s">
        <v>234</v>
      </c>
      <c r="G204" s="910" t="s">
        <v>1066</v>
      </c>
      <c r="H204" s="913" t="s">
        <v>537</v>
      </c>
      <c r="I204" s="913" t="s">
        <v>1232</v>
      </c>
      <c r="J204" s="914" t="s">
        <v>1233</v>
      </c>
      <c r="O204"/>
    </row>
    <row r="205" s="904" customFormat="1" spans="1:15">
      <c r="A205" s="909" t="s">
        <v>1202</v>
      </c>
      <c r="B205" s="910" t="s">
        <v>495</v>
      </c>
      <c r="C205" s="911" t="s">
        <v>1234</v>
      </c>
      <c r="D205" s="912" t="s">
        <v>1235</v>
      </c>
      <c r="E205" s="911">
        <v>2205050295</v>
      </c>
      <c r="F205" s="912" t="s">
        <v>234</v>
      </c>
      <c r="G205" s="910" t="s">
        <v>1066</v>
      </c>
      <c r="H205" s="913" t="s">
        <v>1047</v>
      </c>
      <c r="I205" s="913" t="s">
        <v>1236</v>
      </c>
      <c r="J205" s="914" t="s">
        <v>1237</v>
      </c>
      <c r="O205"/>
    </row>
    <row r="206" s="904" customFormat="1" spans="1:15">
      <c r="A206" s="909" t="s">
        <v>1202</v>
      </c>
      <c r="B206" s="910" t="s">
        <v>495</v>
      </c>
      <c r="C206" s="911" t="s">
        <v>1238</v>
      </c>
      <c r="D206" s="912" t="s">
        <v>1239</v>
      </c>
      <c r="E206" s="911">
        <v>2205050296</v>
      </c>
      <c r="F206" s="912" t="s">
        <v>234</v>
      </c>
      <c r="G206" s="910" t="s">
        <v>1066</v>
      </c>
      <c r="H206" s="913" t="s">
        <v>1047</v>
      </c>
      <c r="I206" s="913" t="s">
        <v>1240</v>
      </c>
      <c r="J206" s="914" t="s">
        <v>1237</v>
      </c>
      <c r="O206"/>
    </row>
    <row r="207" s="904" customFormat="1" spans="1:15">
      <c r="A207" s="909" t="s">
        <v>1202</v>
      </c>
      <c r="B207" s="910" t="s">
        <v>495</v>
      </c>
      <c r="C207" s="911" t="s">
        <v>1241</v>
      </c>
      <c r="D207" s="912" t="s">
        <v>1217</v>
      </c>
      <c r="E207" s="911">
        <v>2205050298</v>
      </c>
      <c r="F207" s="912" t="s">
        <v>234</v>
      </c>
      <c r="G207" s="910" t="s">
        <v>1046</v>
      </c>
      <c r="H207" s="913" t="s">
        <v>1047</v>
      </c>
      <c r="I207" s="913" t="s">
        <v>1242</v>
      </c>
      <c r="J207" s="914" t="s">
        <v>1219</v>
      </c>
      <c r="O207"/>
    </row>
    <row r="208" s="904" customFormat="1" spans="1:15">
      <c r="A208" s="909" t="s">
        <v>1202</v>
      </c>
      <c r="B208" s="910" t="s">
        <v>495</v>
      </c>
      <c r="C208" s="911" t="s">
        <v>1243</v>
      </c>
      <c r="D208" s="912" t="s">
        <v>1221</v>
      </c>
      <c r="E208" s="911">
        <v>2205140018</v>
      </c>
      <c r="F208" s="912" t="s">
        <v>234</v>
      </c>
      <c r="G208" s="910" t="s">
        <v>1046</v>
      </c>
      <c r="H208" s="913" t="s">
        <v>1047</v>
      </c>
      <c r="I208" s="913" t="s">
        <v>1244</v>
      </c>
      <c r="J208" s="914" t="s">
        <v>1219</v>
      </c>
      <c r="O208"/>
    </row>
    <row r="209" s="904" customFormat="1" spans="1:15">
      <c r="A209" s="909" t="s">
        <v>1202</v>
      </c>
      <c r="B209" s="910" t="s">
        <v>495</v>
      </c>
      <c r="C209" s="911" t="s">
        <v>1245</v>
      </c>
      <c r="D209" s="912" t="s">
        <v>1246</v>
      </c>
      <c r="E209" s="911">
        <v>2205140019</v>
      </c>
      <c r="F209" s="912" t="s">
        <v>234</v>
      </c>
      <c r="G209" s="910" t="s">
        <v>1046</v>
      </c>
      <c r="H209" s="913" t="s">
        <v>537</v>
      </c>
      <c r="I209" s="913" t="s">
        <v>1247</v>
      </c>
      <c r="J209" s="914" t="s">
        <v>1248</v>
      </c>
      <c r="O209"/>
    </row>
    <row r="210" s="904" customFormat="1" spans="1:15">
      <c r="A210" s="909" t="s">
        <v>1202</v>
      </c>
      <c r="B210" s="910" t="s">
        <v>495</v>
      </c>
      <c r="C210" s="911" t="s">
        <v>1249</v>
      </c>
      <c r="D210" s="912" t="s">
        <v>1250</v>
      </c>
      <c r="E210" s="911">
        <v>2205140020</v>
      </c>
      <c r="F210" s="912" t="s">
        <v>234</v>
      </c>
      <c r="G210" s="910" t="s">
        <v>1046</v>
      </c>
      <c r="H210" s="913" t="s">
        <v>537</v>
      </c>
      <c r="I210" s="913" t="s">
        <v>1251</v>
      </c>
      <c r="J210" s="914" t="s">
        <v>1248</v>
      </c>
      <c r="O210"/>
    </row>
    <row r="211" s="904" customFormat="1" spans="1:15">
      <c r="A211" s="909" t="s">
        <v>1202</v>
      </c>
      <c r="B211" s="910" t="s">
        <v>495</v>
      </c>
      <c r="C211" s="911" t="s">
        <v>1252</v>
      </c>
      <c r="D211" s="912" t="s">
        <v>1224</v>
      </c>
      <c r="E211" s="911">
        <v>2205140021</v>
      </c>
      <c r="F211" s="912" t="s">
        <v>234</v>
      </c>
      <c r="G211" s="910" t="s">
        <v>1046</v>
      </c>
      <c r="H211" s="913" t="s">
        <v>537</v>
      </c>
      <c r="I211" s="913" t="s">
        <v>1253</v>
      </c>
      <c r="J211" s="914" t="s">
        <v>1226</v>
      </c>
      <c r="O211"/>
    </row>
    <row r="212" s="904" customFormat="1" spans="1:15">
      <c r="A212" s="909" t="s">
        <v>1202</v>
      </c>
      <c r="B212" s="910" t="s">
        <v>495</v>
      </c>
      <c r="C212" s="911" t="s">
        <v>1254</v>
      </c>
      <c r="D212" s="912" t="s">
        <v>1246</v>
      </c>
      <c r="E212" s="911">
        <v>2205140022</v>
      </c>
      <c r="F212" s="912" t="s">
        <v>234</v>
      </c>
      <c r="G212" s="910" t="s">
        <v>1046</v>
      </c>
      <c r="H212" s="913" t="s">
        <v>537</v>
      </c>
      <c r="I212" s="913" t="s">
        <v>1255</v>
      </c>
      <c r="J212" s="914" t="s">
        <v>1248</v>
      </c>
      <c r="O212"/>
    </row>
    <row r="213" s="904" customFormat="1" spans="1:15">
      <c r="A213" s="909" t="s">
        <v>1202</v>
      </c>
      <c r="B213" s="910" t="s">
        <v>495</v>
      </c>
      <c r="C213" s="911" t="s">
        <v>1256</v>
      </c>
      <c r="D213" s="912" t="s">
        <v>1250</v>
      </c>
      <c r="E213" s="911">
        <v>2205140023</v>
      </c>
      <c r="F213" s="912" t="s">
        <v>234</v>
      </c>
      <c r="G213" s="910" t="s">
        <v>1046</v>
      </c>
      <c r="H213" s="913" t="s">
        <v>537</v>
      </c>
      <c r="I213" s="913" t="s">
        <v>1257</v>
      </c>
      <c r="J213" s="914" t="s">
        <v>1248</v>
      </c>
      <c r="O213"/>
    </row>
    <row r="214" s="904" customFormat="1" spans="1:15">
      <c r="A214" s="909" t="s">
        <v>1202</v>
      </c>
      <c r="B214" s="910" t="s">
        <v>495</v>
      </c>
      <c r="C214" s="911" t="s">
        <v>1258</v>
      </c>
      <c r="D214" s="912" t="s">
        <v>1259</v>
      </c>
      <c r="E214" s="911">
        <v>2205150006</v>
      </c>
      <c r="F214" s="912" t="s">
        <v>234</v>
      </c>
      <c r="G214" s="910" t="s">
        <v>1066</v>
      </c>
      <c r="H214" s="913" t="s">
        <v>537</v>
      </c>
      <c r="I214" s="913" t="s">
        <v>1260</v>
      </c>
      <c r="J214" s="914" t="s">
        <v>1261</v>
      </c>
      <c r="O214"/>
    </row>
    <row r="215" s="904" customFormat="1" spans="1:15">
      <c r="A215" s="909" t="s">
        <v>1202</v>
      </c>
      <c r="B215" s="910" t="s">
        <v>495</v>
      </c>
      <c r="C215" s="911" t="s">
        <v>1262</v>
      </c>
      <c r="D215" s="912" t="s">
        <v>1263</v>
      </c>
      <c r="E215" s="911">
        <v>2205150007</v>
      </c>
      <c r="F215" s="912" t="s">
        <v>234</v>
      </c>
      <c r="G215" s="910" t="s">
        <v>1066</v>
      </c>
      <c r="H215" s="913" t="s">
        <v>537</v>
      </c>
      <c r="I215" s="913" t="s">
        <v>1264</v>
      </c>
      <c r="J215" s="914" t="s">
        <v>1261</v>
      </c>
      <c r="O215"/>
    </row>
    <row r="216" s="904" customFormat="1" spans="1:15">
      <c r="A216" s="909" t="s">
        <v>1202</v>
      </c>
      <c r="B216" s="910" t="s">
        <v>495</v>
      </c>
      <c r="C216" s="911" t="s">
        <v>1265</v>
      </c>
      <c r="D216" s="912" t="s">
        <v>1235</v>
      </c>
      <c r="E216" s="911">
        <v>2205150028</v>
      </c>
      <c r="F216" s="912" t="s">
        <v>234</v>
      </c>
      <c r="G216" s="910" t="s">
        <v>1066</v>
      </c>
      <c r="H216" s="913" t="s">
        <v>1047</v>
      </c>
      <c r="I216" s="913" t="s">
        <v>1266</v>
      </c>
      <c r="J216" s="914" t="s">
        <v>1237</v>
      </c>
      <c r="O216"/>
    </row>
    <row r="217" s="904" customFormat="1" spans="1:15">
      <c r="A217" s="909" t="s">
        <v>1202</v>
      </c>
      <c r="B217" s="910" t="s">
        <v>495</v>
      </c>
      <c r="C217" s="911" t="s">
        <v>1267</v>
      </c>
      <c r="D217" s="912" t="s">
        <v>1239</v>
      </c>
      <c r="E217" s="911">
        <v>2205150029</v>
      </c>
      <c r="F217" s="912" t="s">
        <v>234</v>
      </c>
      <c r="G217" s="910" t="s">
        <v>1066</v>
      </c>
      <c r="H217" s="913" t="s">
        <v>1047</v>
      </c>
      <c r="I217" s="913" t="s">
        <v>1268</v>
      </c>
      <c r="J217" s="914" t="s">
        <v>1237</v>
      </c>
      <c r="O217"/>
    </row>
    <row r="218" s="904" customFormat="1" spans="1:15">
      <c r="A218" s="909" t="s">
        <v>1202</v>
      </c>
      <c r="B218" s="910" t="s">
        <v>495</v>
      </c>
      <c r="C218" s="911" t="s">
        <v>1269</v>
      </c>
      <c r="D218" s="912" t="s">
        <v>1199</v>
      </c>
      <c r="E218" s="911">
        <v>2205150030</v>
      </c>
      <c r="F218" s="912" t="s">
        <v>234</v>
      </c>
      <c r="G218" s="910" t="s">
        <v>1066</v>
      </c>
      <c r="H218" s="913" t="s">
        <v>537</v>
      </c>
      <c r="I218" s="913" t="s">
        <v>1270</v>
      </c>
      <c r="J218" s="914" t="s">
        <v>1201</v>
      </c>
      <c r="O218"/>
    </row>
    <row r="219" s="904" customFormat="1" spans="1:15">
      <c r="A219" s="909" t="s">
        <v>1202</v>
      </c>
      <c r="B219" s="910" t="s">
        <v>495</v>
      </c>
      <c r="C219" s="911" t="s">
        <v>1271</v>
      </c>
      <c r="D219" s="912" t="s">
        <v>1204</v>
      </c>
      <c r="E219" s="911">
        <v>2205150031</v>
      </c>
      <c r="F219" s="912" t="s">
        <v>234</v>
      </c>
      <c r="G219" s="910" t="s">
        <v>1066</v>
      </c>
      <c r="H219" s="913" t="s">
        <v>537</v>
      </c>
      <c r="I219" s="913" t="s">
        <v>1272</v>
      </c>
      <c r="J219" s="914" t="s">
        <v>1201</v>
      </c>
      <c r="O219"/>
    </row>
    <row r="220" s="904" customFormat="1" spans="1:15">
      <c r="A220" s="909" t="s">
        <v>1202</v>
      </c>
      <c r="B220" s="910" t="s">
        <v>495</v>
      </c>
      <c r="C220" s="911" t="s">
        <v>1273</v>
      </c>
      <c r="D220" s="912" t="s">
        <v>1207</v>
      </c>
      <c r="E220" s="911">
        <v>2205150032</v>
      </c>
      <c r="F220" s="912" t="s">
        <v>234</v>
      </c>
      <c r="G220" s="910" t="s">
        <v>1066</v>
      </c>
      <c r="H220" s="913" t="s">
        <v>537</v>
      </c>
      <c r="I220" s="913" t="s">
        <v>1274</v>
      </c>
      <c r="J220" s="914" t="s">
        <v>1209</v>
      </c>
      <c r="O220"/>
    </row>
    <row r="221" s="904" customFormat="1" spans="1:15">
      <c r="A221" s="909" t="s">
        <v>1202</v>
      </c>
      <c r="B221" s="910" t="s">
        <v>495</v>
      </c>
      <c r="C221" s="911" t="s">
        <v>1275</v>
      </c>
      <c r="D221" s="912" t="s">
        <v>1276</v>
      </c>
      <c r="E221" s="911">
        <v>2205150042</v>
      </c>
      <c r="F221" s="912" t="s">
        <v>234</v>
      </c>
      <c r="G221" s="910" t="s">
        <v>1066</v>
      </c>
      <c r="H221" s="913" t="s">
        <v>537</v>
      </c>
      <c r="I221" s="913" t="s">
        <v>1277</v>
      </c>
      <c r="J221" s="914" t="s">
        <v>1209</v>
      </c>
      <c r="O221"/>
    </row>
    <row r="222" s="904" customFormat="1" spans="1:15">
      <c r="A222" s="909" t="s">
        <v>1202</v>
      </c>
      <c r="B222" s="910" t="s">
        <v>495</v>
      </c>
      <c r="C222" s="911" t="s">
        <v>1278</v>
      </c>
      <c r="D222" s="912" t="s">
        <v>1276</v>
      </c>
      <c r="E222" s="911">
        <v>2205150043</v>
      </c>
      <c r="F222" s="912" t="s">
        <v>234</v>
      </c>
      <c r="G222" s="910" t="s">
        <v>1066</v>
      </c>
      <c r="H222" s="913" t="s">
        <v>537</v>
      </c>
      <c r="I222" s="913" t="s">
        <v>1279</v>
      </c>
      <c r="J222" s="914" t="s">
        <v>1209</v>
      </c>
      <c r="O222"/>
    </row>
    <row r="223" s="904" customFormat="1" spans="1:15">
      <c r="A223" s="909" t="s">
        <v>1202</v>
      </c>
      <c r="B223" s="910" t="s">
        <v>495</v>
      </c>
      <c r="C223" s="911" t="s">
        <v>1280</v>
      </c>
      <c r="D223" s="912" t="s">
        <v>1281</v>
      </c>
      <c r="E223" s="911">
        <v>2206010001</v>
      </c>
      <c r="F223" s="912" t="s">
        <v>233</v>
      </c>
      <c r="G223" s="910" t="s">
        <v>1046</v>
      </c>
      <c r="H223" s="913" t="s">
        <v>1047</v>
      </c>
      <c r="I223" s="913" t="s">
        <v>1282</v>
      </c>
      <c r="J223" s="914" t="s">
        <v>1283</v>
      </c>
      <c r="O223"/>
    </row>
    <row r="224" s="904" customFormat="1" spans="1:15">
      <c r="A224" s="909"/>
      <c r="B224" s="910" t="s">
        <v>495</v>
      </c>
      <c r="C224" s="911" t="s">
        <v>1284</v>
      </c>
      <c r="D224" s="912" t="s">
        <v>1054</v>
      </c>
      <c r="E224" s="911">
        <v>2206010002</v>
      </c>
      <c r="F224" s="912" t="s">
        <v>233</v>
      </c>
      <c r="G224" s="910" t="s">
        <v>1046</v>
      </c>
      <c r="H224" s="913" t="s">
        <v>537</v>
      </c>
      <c r="I224" s="913" t="s">
        <v>1285</v>
      </c>
      <c r="J224" s="914" t="s">
        <v>1056</v>
      </c>
      <c r="O224"/>
    </row>
    <row r="225" s="904" customFormat="1" spans="1:15">
      <c r="A225" s="909"/>
      <c r="B225" s="910" t="s">
        <v>495</v>
      </c>
      <c r="C225" s="911" t="s">
        <v>1286</v>
      </c>
      <c r="D225" s="912" t="s">
        <v>1287</v>
      </c>
      <c r="E225" s="911">
        <v>2206010003</v>
      </c>
      <c r="F225" s="912" t="s">
        <v>233</v>
      </c>
      <c r="G225" s="910" t="s">
        <v>1046</v>
      </c>
      <c r="H225" s="913" t="s">
        <v>1047</v>
      </c>
      <c r="I225" s="913" t="s">
        <v>1288</v>
      </c>
      <c r="J225" s="914" t="s">
        <v>1283</v>
      </c>
      <c r="O225"/>
    </row>
    <row r="226" s="904" customFormat="1" spans="1:15">
      <c r="A226" s="909" t="s">
        <v>1202</v>
      </c>
      <c r="B226" s="910" t="s">
        <v>495</v>
      </c>
      <c r="C226" s="911" t="s">
        <v>1289</v>
      </c>
      <c r="D226" s="912" t="s">
        <v>1058</v>
      </c>
      <c r="E226" s="911">
        <v>2206010004</v>
      </c>
      <c r="F226" s="912" t="s">
        <v>233</v>
      </c>
      <c r="G226" s="910" t="s">
        <v>1046</v>
      </c>
      <c r="H226" s="913" t="s">
        <v>537</v>
      </c>
      <c r="I226" s="913" t="s">
        <v>1290</v>
      </c>
      <c r="J226" s="914" t="s">
        <v>1056</v>
      </c>
      <c r="O226"/>
    </row>
    <row r="227" s="904" customFormat="1" spans="1:15">
      <c r="A227" s="909" t="s">
        <v>1202</v>
      </c>
      <c r="B227" s="910" t="s">
        <v>495</v>
      </c>
      <c r="C227" s="911" t="s">
        <v>1291</v>
      </c>
      <c r="D227" s="912" t="s">
        <v>1292</v>
      </c>
      <c r="E227" s="911">
        <v>2206020003</v>
      </c>
      <c r="F227" s="912" t="s">
        <v>233</v>
      </c>
      <c r="G227" s="910" t="s">
        <v>1066</v>
      </c>
      <c r="H227" s="913" t="s">
        <v>1047</v>
      </c>
      <c r="I227" s="913" t="s">
        <v>1293</v>
      </c>
      <c r="J227" s="914" t="s">
        <v>1294</v>
      </c>
      <c r="O227"/>
    </row>
    <row r="228" s="904" customFormat="1" spans="1:15">
      <c r="A228" s="909" t="s">
        <v>1202</v>
      </c>
      <c r="B228" s="910" t="s">
        <v>495</v>
      </c>
      <c r="C228" s="911" t="s">
        <v>1295</v>
      </c>
      <c r="D228" s="912" t="s">
        <v>1296</v>
      </c>
      <c r="E228" s="911">
        <v>2206020004</v>
      </c>
      <c r="F228" s="912" t="s">
        <v>233</v>
      </c>
      <c r="G228" s="910" t="s">
        <v>1066</v>
      </c>
      <c r="H228" s="913" t="s">
        <v>1047</v>
      </c>
      <c r="I228" s="913" t="s">
        <v>1297</v>
      </c>
      <c r="J228" s="914" t="s">
        <v>1294</v>
      </c>
      <c r="O228"/>
    </row>
    <row r="229" s="904" customFormat="1" spans="1:15">
      <c r="A229" s="909"/>
      <c r="B229" s="910" t="s">
        <v>495</v>
      </c>
      <c r="C229" s="911" t="s">
        <v>1298</v>
      </c>
      <c r="D229" s="912" t="s">
        <v>1299</v>
      </c>
      <c r="E229" s="911">
        <v>2206020005</v>
      </c>
      <c r="F229" s="912" t="s">
        <v>233</v>
      </c>
      <c r="G229" s="910" t="s">
        <v>1066</v>
      </c>
      <c r="H229" s="913" t="s">
        <v>537</v>
      </c>
      <c r="I229" s="913" t="s">
        <v>1300</v>
      </c>
      <c r="J229" s="914" t="s">
        <v>1301</v>
      </c>
      <c r="O229"/>
    </row>
    <row r="230" s="904" customFormat="1" spans="1:15">
      <c r="A230" s="909" t="s">
        <v>1202</v>
      </c>
      <c r="B230" s="910" t="s">
        <v>495</v>
      </c>
      <c r="C230" s="911" t="s">
        <v>1302</v>
      </c>
      <c r="D230" s="912" t="s">
        <v>1303</v>
      </c>
      <c r="E230" s="911">
        <v>2206020006</v>
      </c>
      <c r="F230" s="912" t="s">
        <v>233</v>
      </c>
      <c r="G230" s="910" t="s">
        <v>1066</v>
      </c>
      <c r="H230" s="913" t="s">
        <v>537</v>
      </c>
      <c r="I230" s="913" t="s">
        <v>1304</v>
      </c>
      <c r="J230" s="914" t="s">
        <v>1301</v>
      </c>
      <c r="O230"/>
    </row>
    <row r="231" s="904" customFormat="1" spans="1:15">
      <c r="A231" s="909" t="s">
        <v>1202</v>
      </c>
      <c r="B231" s="910" t="s">
        <v>495</v>
      </c>
      <c r="C231" s="911" t="s">
        <v>1305</v>
      </c>
      <c r="D231" s="912" t="s">
        <v>1306</v>
      </c>
      <c r="E231" s="911">
        <v>2206020007</v>
      </c>
      <c r="F231" s="912" t="s">
        <v>233</v>
      </c>
      <c r="G231" s="910" t="s">
        <v>1066</v>
      </c>
      <c r="H231" s="913" t="s">
        <v>537</v>
      </c>
      <c r="I231" s="913" t="s">
        <v>1307</v>
      </c>
      <c r="J231" s="914" t="s">
        <v>1308</v>
      </c>
      <c r="O231"/>
    </row>
    <row r="232" s="904" customFormat="1" spans="1:15">
      <c r="A232" s="909" t="s">
        <v>1202</v>
      </c>
      <c r="B232" s="910" t="s">
        <v>495</v>
      </c>
      <c r="C232" s="911" t="s">
        <v>1309</v>
      </c>
      <c r="D232" s="912" t="s">
        <v>1185</v>
      </c>
      <c r="E232" s="911">
        <v>2206030001</v>
      </c>
      <c r="F232" s="912" t="s">
        <v>233</v>
      </c>
      <c r="G232" s="910" t="s">
        <v>694</v>
      </c>
      <c r="H232" s="913" t="s">
        <v>1186</v>
      </c>
      <c r="I232" s="913" t="s">
        <v>1310</v>
      </c>
      <c r="J232" s="914" t="s">
        <v>1188</v>
      </c>
      <c r="O232"/>
    </row>
    <row r="233" s="904" customFormat="1" spans="1:15">
      <c r="A233" s="909" t="s">
        <v>1202</v>
      </c>
      <c r="B233" s="910" t="s">
        <v>495</v>
      </c>
      <c r="C233" s="911" t="s">
        <v>1311</v>
      </c>
      <c r="D233" s="912" t="s">
        <v>1312</v>
      </c>
      <c r="E233" s="911">
        <v>2206030003</v>
      </c>
      <c r="F233" s="912" t="s">
        <v>233</v>
      </c>
      <c r="G233" s="910" t="s">
        <v>694</v>
      </c>
      <c r="H233" s="913" t="s">
        <v>1186</v>
      </c>
      <c r="I233" s="913" t="s">
        <v>1313</v>
      </c>
      <c r="J233" s="914" t="s">
        <v>1188</v>
      </c>
      <c r="O233"/>
    </row>
    <row r="234" s="904" customFormat="1" spans="1:15">
      <c r="A234" s="909" t="s">
        <v>1202</v>
      </c>
      <c r="B234" s="910" t="s">
        <v>495</v>
      </c>
      <c r="C234" s="911" t="s">
        <v>1314</v>
      </c>
      <c r="D234" s="912" t="s">
        <v>1312</v>
      </c>
      <c r="E234" s="911">
        <v>2206030005</v>
      </c>
      <c r="F234" s="912" t="s">
        <v>233</v>
      </c>
      <c r="G234" s="910" t="s">
        <v>694</v>
      </c>
      <c r="H234" s="913" t="s">
        <v>1186</v>
      </c>
      <c r="I234" s="913" t="s">
        <v>1315</v>
      </c>
      <c r="J234" s="914" t="s">
        <v>1188</v>
      </c>
      <c r="O234"/>
    </row>
  </sheetData>
  <hyperlinks>
    <hyperlink ref="A1" location="目录!A1" display="← 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9">
    <tabColor theme="2" tint="-0.249977111117893"/>
  </sheetPr>
  <dimension ref="A1:AJ35"/>
  <sheetViews>
    <sheetView workbookViewId="0">
      <pane xSplit="4" ySplit="4" topLeftCell="E5" activePane="bottomRight" state="frozen"/>
      <selection/>
      <selection pane="topRight"/>
      <selection pane="bottomLeft"/>
      <selection pane="bottomRight" activeCell="A1" sqref="A1"/>
    </sheetView>
  </sheetViews>
  <sheetFormatPr defaultColWidth="8.90833333333333" defaultRowHeight="13.5"/>
  <sheetData>
    <row r="1" spans="1:36">
      <c r="A1" s="202" t="s">
        <v>185</v>
      </c>
    </row>
    <row r="2" ht="14" customHeight="1" spans="1:36">
      <c r="A2" s="893" t="s">
        <v>187</v>
      </c>
      <c r="B2" s="893" t="s">
        <v>188</v>
      </c>
      <c r="C2" s="894" t="s">
        <v>1316</v>
      </c>
      <c r="D2" s="894" t="s">
        <v>1317</v>
      </c>
      <c r="E2" s="817" t="s">
        <v>58</v>
      </c>
      <c r="F2" s="818"/>
      <c r="G2" s="818"/>
      <c r="H2" s="818"/>
      <c r="I2" s="818"/>
      <c r="J2" s="818"/>
      <c r="K2" s="818"/>
      <c r="L2" s="818"/>
      <c r="M2" s="818"/>
      <c r="N2" s="818"/>
      <c r="O2" s="818"/>
      <c r="P2" s="818"/>
      <c r="Q2" s="818"/>
      <c r="R2" s="818"/>
      <c r="S2" s="818"/>
      <c r="T2" s="819"/>
      <c r="U2" s="817" t="s">
        <v>1318</v>
      </c>
      <c r="V2" s="818"/>
      <c r="W2" s="818"/>
      <c r="X2" s="818"/>
      <c r="Y2" s="818"/>
      <c r="Z2" s="818"/>
      <c r="AA2" s="818"/>
      <c r="AB2" s="818"/>
      <c r="AC2" s="818"/>
      <c r="AD2" s="818"/>
      <c r="AE2" s="818"/>
      <c r="AF2" s="818"/>
      <c r="AG2" s="818"/>
      <c r="AH2" s="818"/>
      <c r="AI2" s="818"/>
      <c r="AJ2" s="819"/>
    </row>
    <row r="3" spans="1:36">
      <c r="A3" s="893"/>
      <c r="B3" s="893"/>
      <c r="C3" s="894"/>
      <c r="D3" s="894"/>
      <c r="E3" s="895" t="s">
        <v>1319</v>
      </c>
      <c r="F3" s="895" t="s">
        <v>1320</v>
      </c>
      <c r="G3" s="895" t="s">
        <v>1321</v>
      </c>
      <c r="H3" s="896" t="s">
        <v>1322</v>
      </c>
      <c r="I3" s="897" t="s">
        <v>1323</v>
      </c>
      <c r="J3" s="897"/>
      <c r="K3" s="897"/>
      <c r="L3" s="897"/>
      <c r="M3" s="897"/>
      <c r="N3" s="897"/>
      <c r="O3" s="897"/>
      <c r="P3" s="897"/>
      <c r="Q3" s="897"/>
      <c r="R3" s="897"/>
      <c r="S3" s="897"/>
      <c r="T3" s="897"/>
      <c r="U3" s="895" t="s">
        <v>1324</v>
      </c>
      <c r="V3" s="895" t="s">
        <v>1325</v>
      </c>
      <c r="W3" s="895" t="s">
        <v>1321</v>
      </c>
      <c r="X3" s="896" t="s">
        <v>1322</v>
      </c>
      <c r="Y3" s="897" t="s">
        <v>1326</v>
      </c>
      <c r="Z3" s="897"/>
      <c r="AA3" s="897"/>
      <c r="AB3" s="897"/>
      <c r="AC3" s="897"/>
      <c r="AD3" s="897"/>
      <c r="AE3" s="897"/>
      <c r="AF3" s="897"/>
      <c r="AG3" s="897"/>
      <c r="AH3" s="897"/>
      <c r="AI3" s="897"/>
      <c r="AJ3" s="897"/>
    </row>
    <row r="4" spans="1:36">
      <c r="A4" s="893"/>
      <c r="B4" s="893"/>
      <c r="C4" s="894"/>
      <c r="D4" s="894"/>
      <c r="E4" s="895"/>
      <c r="F4" s="895"/>
      <c r="G4" s="895"/>
      <c r="H4" s="896"/>
      <c r="I4" s="898" t="s">
        <v>304</v>
      </c>
      <c r="J4" s="899" t="s">
        <v>305</v>
      </c>
      <c r="K4" s="898" t="s">
        <v>306</v>
      </c>
      <c r="L4" s="899" t="s">
        <v>307</v>
      </c>
      <c r="M4" s="898" t="s">
        <v>308</v>
      </c>
      <c r="N4" s="899" t="s">
        <v>309</v>
      </c>
      <c r="O4" s="898" t="s">
        <v>310</v>
      </c>
      <c r="P4" s="899" t="s">
        <v>311</v>
      </c>
      <c r="Q4" s="898" t="s">
        <v>312</v>
      </c>
      <c r="R4" s="899" t="s">
        <v>313</v>
      </c>
      <c r="S4" s="898" t="s">
        <v>314</v>
      </c>
      <c r="T4" s="899" t="s">
        <v>315</v>
      </c>
      <c r="U4" s="895"/>
      <c r="V4" s="895"/>
      <c r="W4" s="895"/>
      <c r="X4" s="896"/>
      <c r="Y4" s="898" t="s">
        <v>304</v>
      </c>
      <c r="Z4" s="899" t="s">
        <v>305</v>
      </c>
      <c r="AA4" s="898" t="s">
        <v>306</v>
      </c>
      <c r="AB4" s="899" t="s">
        <v>307</v>
      </c>
      <c r="AC4" s="898" t="s">
        <v>308</v>
      </c>
      <c r="AD4" s="899" t="s">
        <v>309</v>
      </c>
      <c r="AE4" s="898" t="s">
        <v>310</v>
      </c>
      <c r="AF4" s="899" t="s">
        <v>311</v>
      </c>
      <c r="AG4" s="898" t="s">
        <v>312</v>
      </c>
      <c r="AH4" s="899" t="s">
        <v>313</v>
      </c>
      <c r="AI4" s="898" t="s">
        <v>314</v>
      </c>
      <c r="AJ4" s="899" t="s">
        <v>315</v>
      </c>
    </row>
    <row r="5" spans="1:36">
      <c r="A5" s="856" t="str">
        <f>'[3]A1 预算指标总览'!$A$3</f>
        <v>华东一区</v>
      </c>
      <c r="B5" s="856" t="str">
        <f>'[3]A1 预算指标总览'!$B$3</f>
        <v>福建公司</v>
      </c>
      <c r="C5" s="490"/>
      <c r="D5" s="490"/>
      <c r="E5" s="900" t="s">
        <v>200</v>
      </c>
      <c r="F5" s="900" t="s">
        <v>199</v>
      </c>
      <c r="G5" s="900" t="s">
        <v>200</v>
      </c>
      <c r="H5" s="900" t="s">
        <v>200</v>
      </c>
      <c r="I5" s="901" t="s">
        <v>199</v>
      </c>
      <c r="J5" s="901" t="s">
        <v>199</v>
      </c>
      <c r="K5" s="901" t="s">
        <v>199</v>
      </c>
      <c r="L5" s="901" t="s">
        <v>199</v>
      </c>
      <c r="M5" s="901" t="s">
        <v>199</v>
      </c>
      <c r="N5" s="901" t="s">
        <v>199</v>
      </c>
      <c r="O5" s="901" t="s">
        <v>199</v>
      </c>
      <c r="P5" s="901" t="s">
        <v>199</v>
      </c>
      <c r="Q5" s="901" t="s">
        <v>199</v>
      </c>
      <c r="R5" s="901" t="s">
        <v>199</v>
      </c>
      <c r="S5" s="901" t="s">
        <v>199</v>
      </c>
      <c r="T5" s="901" t="s">
        <v>199</v>
      </c>
      <c r="U5" s="900" t="s">
        <v>200</v>
      </c>
      <c r="V5" s="900" t="s">
        <v>199</v>
      </c>
      <c r="W5" s="900" t="s">
        <v>200</v>
      </c>
      <c r="X5" s="900" t="s">
        <v>200</v>
      </c>
      <c r="Y5" s="901" t="s">
        <v>199</v>
      </c>
      <c r="Z5" s="901" t="s">
        <v>199</v>
      </c>
      <c r="AA5" s="901" t="s">
        <v>199</v>
      </c>
      <c r="AB5" s="901" t="s">
        <v>199</v>
      </c>
      <c r="AC5" s="901" t="s">
        <v>199</v>
      </c>
      <c r="AD5" s="901" t="s">
        <v>199</v>
      </c>
      <c r="AE5" s="901" t="s">
        <v>199</v>
      </c>
      <c r="AF5" s="901" t="s">
        <v>199</v>
      </c>
      <c r="AG5" s="901" t="s">
        <v>199</v>
      </c>
      <c r="AH5" s="901" t="s">
        <v>199</v>
      </c>
      <c r="AI5" s="901" t="s">
        <v>199</v>
      </c>
      <c r="AJ5" s="901" t="s">
        <v>199</v>
      </c>
    </row>
    <row r="6" spans="1:36">
      <c r="A6" s="856" t="str">
        <f>'[3]A1 预算指标总览'!$A$3</f>
        <v>华东一区</v>
      </c>
      <c r="B6" s="856" t="str">
        <f>'[3]A1 预算指标总览'!$B$3</f>
        <v>福建公司</v>
      </c>
      <c r="C6" s="490"/>
      <c r="D6" s="490"/>
      <c r="E6" s="900" t="s">
        <v>200</v>
      </c>
      <c r="F6" s="900" t="s">
        <v>199</v>
      </c>
      <c r="G6" s="900" t="s">
        <v>200</v>
      </c>
      <c r="H6" s="900" t="s">
        <v>200</v>
      </c>
      <c r="I6" s="901" t="s">
        <v>199</v>
      </c>
      <c r="J6" s="901" t="s">
        <v>199</v>
      </c>
      <c r="K6" s="901" t="s">
        <v>199</v>
      </c>
      <c r="L6" s="901" t="s">
        <v>199</v>
      </c>
      <c r="M6" s="901" t="s">
        <v>199</v>
      </c>
      <c r="N6" s="901" t="s">
        <v>199</v>
      </c>
      <c r="O6" s="901" t="s">
        <v>199</v>
      </c>
      <c r="P6" s="901" t="s">
        <v>199</v>
      </c>
      <c r="Q6" s="901" t="s">
        <v>199</v>
      </c>
      <c r="R6" s="901" t="s">
        <v>199</v>
      </c>
      <c r="S6" s="901" t="s">
        <v>199</v>
      </c>
      <c r="T6" s="901" t="s">
        <v>199</v>
      </c>
      <c r="U6" s="900" t="s">
        <v>200</v>
      </c>
      <c r="V6" s="900" t="s">
        <v>199</v>
      </c>
      <c r="W6" s="900" t="s">
        <v>200</v>
      </c>
      <c r="X6" s="900" t="s">
        <v>200</v>
      </c>
      <c r="Y6" s="901" t="s">
        <v>199</v>
      </c>
      <c r="Z6" s="901" t="s">
        <v>199</v>
      </c>
      <c r="AA6" s="901" t="s">
        <v>199</v>
      </c>
      <c r="AB6" s="901" t="s">
        <v>199</v>
      </c>
      <c r="AC6" s="901" t="s">
        <v>199</v>
      </c>
      <c r="AD6" s="901" t="s">
        <v>199</v>
      </c>
      <c r="AE6" s="901" t="s">
        <v>199</v>
      </c>
      <c r="AF6" s="901" t="s">
        <v>199</v>
      </c>
      <c r="AG6" s="901" t="s">
        <v>199</v>
      </c>
      <c r="AH6" s="901" t="s">
        <v>199</v>
      </c>
      <c r="AI6" s="901" t="s">
        <v>199</v>
      </c>
      <c r="AJ6" s="901" t="s">
        <v>199</v>
      </c>
    </row>
    <row r="7" spans="1:36">
      <c r="A7" s="856" t="str">
        <f>'[3]A1 预算指标总览'!$A$3</f>
        <v>华东一区</v>
      </c>
      <c r="B7" s="856" t="str">
        <f>'[3]A1 预算指标总览'!$B$3</f>
        <v>福建公司</v>
      </c>
      <c r="C7" s="490"/>
      <c r="D7" s="490"/>
      <c r="E7" s="900" t="s">
        <v>200</v>
      </c>
      <c r="F7" s="900" t="s">
        <v>199</v>
      </c>
      <c r="G7" s="900" t="s">
        <v>200</v>
      </c>
      <c r="H7" s="900" t="s">
        <v>200</v>
      </c>
      <c r="I7" s="901" t="s">
        <v>199</v>
      </c>
      <c r="J7" s="901" t="s">
        <v>199</v>
      </c>
      <c r="K7" s="901" t="s">
        <v>199</v>
      </c>
      <c r="L7" s="901" t="s">
        <v>199</v>
      </c>
      <c r="M7" s="901" t="s">
        <v>199</v>
      </c>
      <c r="N7" s="901" t="s">
        <v>199</v>
      </c>
      <c r="O7" s="901" t="s">
        <v>199</v>
      </c>
      <c r="P7" s="901" t="s">
        <v>199</v>
      </c>
      <c r="Q7" s="901" t="s">
        <v>199</v>
      </c>
      <c r="R7" s="901" t="s">
        <v>199</v>
      </c>
      <c r="S7" s="901" t="s">
        <v>199</v>
      </c>
      <c r="T7" s="901" t="s">
        <v>199</v>
      </c>
      <c r="U7" s="900" t="s">
        <v>200</v>
      </c>
      <c r="V7" s="900" t="s">
        <v>199</v>
      </c>
      <c r="W7" s="900" t="s">
        <v>200</v>
      </c>
      <c r="X7" s="900" t="s">
        <v>200</v>
      </c>
      <c r="Y7" s="901" t="s">
        <v>199</v>
      </c>
      <c r="Z7" s="901" t="s">
        <v>199</v>
      </c>
      <c r="AA7" s="901" t="s">
        <v>199</v>
      </c>
      <c r="AB7" s="901" t="s">
        <v>199</v>
      </c>
      <c r="AC7" s="901" t="s">
        <v>199</v>
      </c>
      <c r="AD7" s="901" t="s">
        <v>199</v>
      </c>
      <c r="AE7" s="901" t="s">
        <v>199</v>
      </c>
      <c r="AF7" s="901" t="s">
        <v>199</v>
      </c>
      <c r="AG7" s="901" t="s">
        <v>199</v>
      </c>
      <c r="AH7" s="901" t="s">
        <v>199</v>
      </c>
      <c r="AI7" s="901" t="s">
        <v>199</v>
      </c>
      <c r="AJ7" s="901" t="s">
        <v>199</v>
      </c>
    </row>
    <row r="8" spans="1:36">
      <c r="A8" s="856" t="str">
        <f>'[3]A1 预算指标总览'!$A$3</f>
        <v>华东一区</v>
      </c>
      <c r="B8" s="856" t="str">
        <f>'[3]A1 预算指标总览'!$B$3</f>
        <v>福建公司</v>
      </c>
      <c r="C8" s="490"/>
      <c r="D8" s="490"/>
      <c r="E8" s="900" t="s">
        <v>200</v>
      </c>
      <c r="F8" s="900" t="s">
        <v>199</v>
      </c>
      <c r="G8" s="900" t="s">
        <v>200</v>
      </c>
      <c r="H8" s="900" t="s">
        <v>200</v>
      </c>
      <c r="I8" s="901" t="s">
        <v>199</v>
      </c>
      <c r="J8" s="901" t="s">
        <v>199</v>
      </c>
      <c r="K8" s="901" t="s">
        <v>199</v>
      </c>
      <c r="L8" s="901" t="s">
        <v>199</v>
      </c>
      <c r="M8" s="901" t="s">
        <v>199</v>
      </c>
      <c r="N8" s="901" t="s">
        <v>199</v>
      </c>
      <c r="O8" s="901" t="s">
        <v>199</v>
      </c>
      <c r="P8" s="901" t="s">
        <v>199</v>
      </c>
      <c r="Q8" s="901" t="s">
        <v>199</v>
      </c>
      <c r="R8" s="901" t="s">
        <v>199</v>
      </c>
      <c r="S8" s="901" t="s">
        <v>199</v>
      </c>
      <c r="T8" s="901" t="s">
        <v>199</v>
      </c>
      <c r="U8" s="900" t="s">
        <v>200</v>
      </c>
      <c r="V8" s="900" t="s">
        <v>199</v>
      </c>
      <c r="W8" s="900" t="s">
        <v>200</v>
      </c>
      <c r="X8" s="900" t="s">
        <v>200</v>
      </c>
      <c r="Y8" s="901" t="s">
        <v>199</v>
      </c>
      <c r="Z8" s="901" t="s">
        <v>199</v>
      </c>
      <c r="AA8" s="901" t="s">
        <v>199</v>
      </c>
      <c r="AB8" s="901" t="s">
        <v>199</v>
      </c>
      <c r="AC8" s="901" t="s">
        <v>199</v>
      </c>
      <c r="AD8" s="901" t="s">
        <v>199</v>
      </c>
      <c r="AE8" s="901" t="s">
        <v>199</v>
      </c>
      <c r="AF8" s="901" t="s">
        <v>199</v>
      </c>
      <c r="AG8" s="901" t="s">
        <v>199</v>
      </c>
      <c r="AH8" s="901" t="s">
        <v>199</v>
      </c>
      <c r="AI8" s="901" t="s">
        <v>199</v>
      </c>
      <c r="AJ8" s="901" t="s">
        <v>199</v>
      </c>
    </row>
    <row r="9" spans="1:36">
      <c r="A9" s="856" t="str">
        <f>'[3]A1 预算指标总览'!$A$3</f>
        <v>华东一区</v>
      </c>
      <c r="B9" s="856" t="str">
        <f>'[3]A1 预算指标总览'!$B$3</f>
        <v>福建公司</v>
      </c>
      <c r="C9" s="490"/>
      <c r="D9" s="490"/>
      <c r="E9" s="900" t="s">
        <v>200</v>
      </c>
      <c r="F9" s="900" t="s">
        <v>199</v>
      </c>
      <c r="G9" s="900" t="s">
        <v>200</v>
      </c>
      <c r="H9" s="900" t="s">
        <v>200</v>
      </c>
      <c r="I9" s="901" t="s">
        <v>199</v>
      </c>
      <c r="J9" s="901" t="s">
        <v>199</v>
      </c>
      <c r="K9" s="901" t="s">
        <v>199</v>
      </c>
      <c r="L9" s="901" t="s">
        <v>199</v>
      </c>
      <c r="M9" s="901" t="s">
        <v>199</v>
      </c>
      <c r="N9" s="901" t="s">
        <v>199</v>
      </c>
      <c r="O9" s="901" t="s">
        <v>199</v>
      </c>
      <c r="P9" s="901" t="s">
        <v>199</v>
      </c>
      <c r="Q9" s="901" t="s">
        <v>199</v>
      </c>
      <c r="R9" s="901" t="s">
        <v>199</v>
      </c>
      <c r="S9" s="901" t="s">
        <v>199</v>
      </c>
      <c r="T9" s="901" t="s">
        <v>199</v>
      </c>
      <c r="U9" s="900" t="s">
        <v>200</v>
      </c>
      <c r="V9" s="900" t="s">
        <v>199</v>
      </c>
      <c r="W9" s="900" t="s">
        <v>200</v>
      </c>
      <c r="X9" s="900" t="s">
        <v>200</v>
      </c>
      <c r="Y9" s="901" t="s">
        <v>199</v>
      </c>
      <c r="Z9" s="901" t="s">
        <v>199</v>
      </c>
      <c r="AA9" s="901" t="s">
        <v>199</v>
      </c>
      <c r="AB9" s="901" t="s">
        <v>199</v>
      </c>
      <c r="AC9" s="901" t="s">
        <v>199</v>
      </c>
      <c r="AD9" s="901" t="s">
        <v>199</v>
      </c>
      <c r="AE9" s="901" t="s">
        <v>199</v>
      </c>
      <c r="AF9" s="901" t="s">
        <v>199</v>
      </c>
      <c r="AG9" s="901" t="s">
        <v>199</v>
      </c>
      <c r="AH9" s="901" t="s">
        <v>199</v>
      </c>
      <c r="AI9" s="901" t="s">
        <v>199</v>
      </c>
      <c r="AJ9" s="901" t="s">
        <v>199</v>
      </c>
    </row>
    <row r="10" spans="1:36">
      <c r="A10" s="856" t="str">
        <f>'[3]A1 预算指标总览'!$A$3</f>
        <v>华东一区</v>
      </c>
      <c r="B10" s="856" t="str">
        <f>'[3]A1 预算指标总览'!$B$3</f>
        <v>福建公司</v>
      </c>
      <c r="C10" s="490"/>
      <c r="D10" s="490"/>
      <c r="E10" s="900" t="s">
        <v>200</v>
      </c>
      <c r="F10" s="900" t="s">
        <v>199</v>
      </c>
      <c r="G10" s="900" t="s">
        <v>200</v>
      </c>
      <c r="H10" s="900" t="s">
        <v>200</v>
      </c>
      <c r="I10" s="901" t="s">
        <v>199</v>
      </c>
      <c r="J10" s="901" t="s">
        <v>199</v>
      </c>
      <c r="K10" s="901" t="s">
        <v>199</v>
      </c>
      <c r="L10" s="901" t="s">
        <v>199</v>
      </c>
      <c r="M10" s="901" t="s">
        <v>199</v>
      </c>
      <c r="N10" s="901" t="s">
        <v>199</v>
      </c>
      <c r="O10" s="901" t="s">
        <v>199</v>
      </c>
      <c r="P10" s="901" t="s">
        <v>199</v>
      </c>
      <c r="Q10" s="901" t="s">
        <v>199</v>
      </c>
      <c r="R10" s="901" t="s">
        <v>199</v>
      </c>
      <c r="S10" s="901" t="s">
        <v>199</v>
      </c>
      <c r="T10" s="901" t="s">
        <v>199</v>
      </c>
      <c r="U10" s="900" t="s">
        <v>200</v>
      </c>
      <c r="V10" s="900" t="s">
        <v>199</v>
      </c>
      <c r="W10" s="900" t="s">
        <v>200</v>
      </c>
      <c r="X10" s="900" t="s">
        <v>200</v>
      </c>
      <c r="Y10" s="901" t="s">
        <v>199</v>
      </c>
      <c r="Z10" s="901" t="s">
        <v>199</v>
      </c>
      <c r="AA10" s="901" t="s">
        <v>199</v>
      </c>
      <c r="AB10" s="901" t="s">
        <v>199</v>
      </c>
      <c r="AC10" s="901" t="s">
        <v>199</v>
      </c>
      <c r="AD10" s="901" t="s">
        <v>199</v>
      </c>
      <c r="AE10" s="901" t="s">
        <v>199</v>
      </c>
      <c r="AF10" s="901" t="s">
        <v>199</v>
      </c>
      <c r="AG10" s="901" t="s">
        <v>199</v>
      </c>
      <c r="AH10" s="901" t="s">
        <v>199</v>
      </c>
      <c r="AI10" s="901" t="s">
        <v>199</v>
      </c>
      <c r="AJ10" s="901" t="s">
        <v>199</v>
      </c>
    </row>
    <row r="11" spans="1:36">
      <c r="A11" s="856" t="str">
        <f>'[3]A1 预算指标总览'!$A$3</f>
        <v>华东一区</v>
      </c>
      <c r="B11" s="856" t="str">
        <f>'[3]A1 预算指标总览'!$B$3</f>
        <v>福建公司</v>
      </c>
      <c r="C11" s="490"/>
      <c r="D11" s="490"/>
      <c r="E11" s="900" t="s">
        <v>200</v>
      </c>
      <c r="F11" s="900" t="s">
        <v>199</v>
      </c>
      <c r="G11" s="900" t="s">
        <v>200</v>
      </c>
      <c r="H11" s="900" t="s">
        <v>200</v>
      </c>
      <c r="I11" s="901" t="s">
        <v>199</v>
      </c>
      <c r="J11" s="901" t="s">
        <v>199</v>
      </c>
      <c r="K11" s="901" t="s">
        <v>199</v>
      </c>
      <c r="L11" s="901" t="s">
        <v>199</v>
      </c>
      <c r="M11" s="901" t="s">
        <v>199</v>
      </c>
      <c r="N11" s="901" t="s">
        <v>199</v>
      </c>
      <c r="O11" s="901" t="s">
        <v>199</v>
      </c>
      <c r="P11" s="901" t="s">
        <v>199</v>
      </c>
      <c r="Q11" s="901" t="s">
        <v>199</v>
      </c>
      <c r="R11" s="901" t="s">
        <v>199</v>
      </c>
      <c r="S11" s="901" t="s">
        <v>199</v>
      </c>
      <c r="T11" s="901" t="s">
        <v>199</v>
      </c>
      <c r="U11" s="900" t="s">
        <v>200</v>
      </c>
      <c r="V11" s="900" t="s">
        <v>199</v>
      </c>
      <c r="W11" s="900" t="s">
        <v>200</v>
      </c>
      <c r="X11" s="900" t="s">
        <v>200</v>
      </c>
      <c r="Y11" s="901" t="s">
        <v>199</v>
      </c>
      <c r="Z11" s="901" t="s">
        <v>199</v>
      </c>
      <c r="AA11" s="901" t="s">
        <v>199</v>
      </c>
      <c r="AB11" s="901" t="s">
        <v>199</v>
      </c>
      <c r="AC11" s="901" t="s">
        <v>199</v>
      </c>
      <c r="AD11" s="901" t="s">
        <v>199</v>
      </c>
      <c r="AE11" s="901" t="s">
        <v>199</v>
      </c>
      <c r="AF11" s="901" t="s">
        <v>199</v>
      </c>
      <c r="AG11" s="901" t="s">
        <v>199</v>
      </c>
      <c r="AH11" s="901" t="s">
        <v>199</v>
      </c>
      <c r="AI11" s="901" t="s">
        <v>199</v>
      </c>
      <c r="AJ11" s="901" t="s">
        <v>199</v>
      </c>
    </row>
    <row r="12" spans="1:36">
      <c r="A12" s="856" t="str">
        <f>'[3]A1 预算指标总览'!$A$3</f>
        <v>华东一区</v>
      </c>
      <c r="B12" s="856" t="str">
        <f>'[3]A1 预算指标总览'!$B$3</f>
        <v>福建公司</v>
      </c>
      <c r="C12" s="490"/>
      <c r="D12" s="490"/>
      <c r="E12" s="900" t="s">
        <v>200</v>
      </c>
      <c r="F12" s="900" t="s">
        <v>199</v>
      </c>
      <c r="G12" s="900" t="s">
        <v>200</v>
      </c>
      <c r="H12" s="900" t="s">
        <v>200</v>
      </c>
      <c r="I12" s="901" t="s">
        <v>199</v>
      </c>
      <c r="J12" s="901" t="s">
        <v>199</v>
      </c>
      <c r="K12" s="901" t="s">
        <v>199</v>
      </c>
      <c r="L12" s="901" t="s">
        <v>199</v>
      </c>
      <c r="M12" s="901" t="s">
        <v>199</v>
      </c>
      <c r="N12" s="901" t="s">
        <v>199</v>
      </c>
      <c r="O12" s="901" t="s">
        <v>199</v>
      </c>
      <c r="P12" s="901" t="s">
        <v>199</v>
      </c>
      <c r="Q12" s="901" t="s">
        <v>199</v>
      </c>
      <c r="R12" s="901" t="s">
        <v>199</v>
      </c>
      <c r="S12" s="901" t="s">
        <v>199</v>
      </c>
      <c r="T12" s="901" t="s">
        <v>199</v>
      </c>
      <c r="U12" s="900" t="s">
        <v>200</v>
      </c>
      <c r="V12" s="900" t="s">
        <v>199</v>
      </c>
      <c r="W12" s="900" t="s">
        <v>200</v>
      </c>
      <c r="X12" s="900" t="s">
        <v>200</v>
      </c>
      <c r="Y12" s="901" t="s">
        <v>199</v>
      </c>
      <c r="Z12" s="901" t="s">
        <v>199</v>
      </c>
      <c r="AA12" s="901" t="s">
        <v>199</v>
      </c>
      <c r="AB12" s="901" t="s">
        <v>199</v>
      </c>
      <c r="AC12" s="901" t="s">
        <v>199</v>
      </c>
      <c r="AD12" s="901" t="s">
        <v>199</v>
      </c>
      <c r="AE12" s="901" t="s">
        <v>199</v>
      </c>
      <c r="AF12" s="901" t="s">
        <v>199</v>
      </c>
      <c r="AG12" s="901" t="s">
        <v>199</v>
      </c>
      <c r="AH12" s="901" t="s">
        <v>199</v>
      </c>
      <c r="AI12" s="901" t="s">
        <v>199</v>
      </c>
      <c r="AJ12" s="901" t="s">
        <v>199</v>
      </c>
    </row>
    <row r="13" spans="1:36">
      <c r="A13" s="856" t="str">
        <f>'[3]A1 预算指标总览'!$A$3</f>
        <v>华东一区</v>
      </c>
      <c r="B13" s="856" t="str">
        <f>'[3]A1 预算指标总览'!$B$3</f>
        <v>福建公司</v>
      </c>
      <c r="C13" s="490"/>
      <c r="D13" s="490"/>
      <c r="E13" s="900" t="s">
        <v>200</v>
      </c>
      <c r="F13" s="900" t="s">
        <v>199</v>
      </c>
      <c r="G13" s="900" t="s">
        <v>200</v>
      </c>
      <c r="H13" s="900" t="s">
        <v>200</v>
      </c>
      <c r="I13" s="901" t="s">
        <v>199</v>
      </c>
      <c r="J13" s="901" t="s">
        <v>199</v>
      </c>
      <c r="K13" s="901" t="s">
        <v>199</v>
      </c>
      <c r="L13" s="901" t="s">
        <v>199</v>
      </c>
      <c r="M13" s="901" t="s">
        <v>199</v>
      </c>
      <c r="N13" s="901" t="s">
        <v>199</v>
      </c>
      <c r="O13" s="901" t="s">
        <v>199</v>
      </c>
      <c r="P13" s="901" t="s">
        <v>199</v>
      </c>
      <c r="Q13" s="901" t="s">
        <v>199</v>
      </c>
      <c r="R13" s="901" t="s">
        <v>199</v>
      </c>
      <c r="S13" s="901" t="s">
        <v>199</v>
      </c>
      <c r="T13" s="901" t="s">
        <v>199</v>
      </c>
      <c r="U13" s="900" t="s">
        <v>200</v>
      </c>
      <c r="V13" s="900" t="s">
        <v>199</v>
      </c>
      <c r="W13" s="900" t="s">
        <v>200</v>
      </c>
      <c r="X13" s="900" t="s">
        <v>200</v>
      </c>
      <c r="Y13" s="901" t="s">
        <v>199</v>
      </c>
      <c r="Z13" s="901" t="s">
        <v>199</v>
      </c>
      <c r="AA13" s="901" t="s">
        <v>199</v>
      </c>
      <c r="AB13" s="901" t="s">
        <v>199</v>
      </c>
      <c r="AC13" s="901" t="s">
        <v>199</v>
      </c>
      <c r="AD13" s="901" t="s">
        <v>199</v>
      </c>
      <c r="AE13" s="901" t="s">
        <v>199</v>
      </c>
      <c r="AF13" s="901" t="s">
        <v>199</v>
      </c>
      <c r="AG13" s="901" t="s">
        <v>199</v>
      </c>
      <c r="AH13" s="901" t="s">
        <v>199</v>
      </c>
      <c r="AI13" s="901" t="s">
        <v>199</v>
      </c>
      <c r="AJ13" s="901" t="s">
        <v>199</v>
      </c>
    </row>
    <row r="14" spans="1:36">
      <c r="A14" s="856" t="str">
        <f>'[3]A1 预算指标总览'!$A$3</f>
        <v>华东一区</v>
      </c>
      <c r="B14" s="856" t="str">
        <f>'[3]A1 预算指标总览'!$B$3</f>
        <v>福建公司</v>
      </c>
      <c r="C14" s="490"/>
      <c r="D14" s="490"/>
      <c r="E14" s="900" t="s">
        <v>200</v>
      </c>
      <c r="F14" s="900" t="s">
        <v>199</v>
      </c>
      <c r="G14" s="900" t="s">
        <v>200</v>
      </c>
      <c r="H14" s="900" t="s">
        <v>200</v>
      </c>
      <c r="I14" s="901" t="s">
        <v>199</v>
      </c>
      <c r="J14" s="901" t="s">
        <v>199</v>
      </c>
      <c r="K14" s="901" t="s">
        <v>199</v>
      </c>
      <c r="L14" s="901" t="s">
        <v>199</v>
      </c>
      <c r="M14" s="901" t="s">
        <v>199</v>
      </c>
      <c r="N14" s="901" t="s">
        <v>199</v>
      </c>
      <c r="O14" s="901" t="s">
        <v>199</v>
      </c>
      <c r="P14" s="901" t="s">
        <v>199</v>
      </c>
      <c r="Q14" s="901" t="s">
        <v>199</v>
      </c>
      <c r="R14" s="901" t="s">
        <v>199</v>
      </c>
      <c r="S14" s="901" t="s">
        <v>199</v>
      </c>
      <c r="T14" s="901" t="s">
        <v>199</v>
      </c>
      <c r="U14" s="900" t="s">
        <v>200</v>
      </c>
      <c r="V14" s="900" t="s">
        <v>199</v>
      </c>
      <c r="W14" s="900" t="s">
        <v>200</v>
      </c>
      <c r="X14" s="900" t="s">
        <v>200</v>
      </c>
      <c r="Y14" s="901" t="s">
        <v>199</v>
      </c>
      <c r="Z14" s="901" t="s">
        <v>199</v>
      </c>
      <c r="AA14" s="901" t="s">
        <v>199</v>
      </c>
      <c r="AB14" s="901" t="s">
        <v>199</v>
      </c>
      <c r="AC14" s="901" t="s">
        <v>199</v>
      </c>
      <c r="AD14" s="901" t="s">
        <v>199</v>
      </c>
      <c r="AE14" s="901" t="s">
        <v>199</v>
      </c>
      <c r="AF14" s="901" t="s">
        <v>199</v>
      </c>
      <c r="AG14" s="901" t="s">
        <v>199</v>
      </c>
      <c r="AH14" s="901" t="s">
        <v>199</v>
      </c>
      <c r="AI14" s="901" t="s">
        <v>199</v>
      </c>
      <c r="AJ14" s="901" t="s">
        <v>199</v>
      </c>
    </row>
    <row r="15" spans="1:36">
      <c r="A15" s="856" t="str">
        <f>'[3]A1 预算指标总览'!$A$3</f>
        <v>华东一区</v>
      </c>
      <c r="B15" s="856" t="str">
        <f>'[3]A1 预算指标总览'!$B$3</f>
        <v>福建公司</v>
      </c>
      <c r="C15" s="490"/>
      <c r="D15" s="490"/>
      <c r="E15" s="900" t="s">
        <v>200</v>
      </c>
      <c r="F15" s="900" t="s">
        <v>199</v>
      </c>
      <c r="G15" s="900" t="s">
        <v>200</v>
      </c>
      <c r="H15" s="900" t="s">
        <v>200</v>
      </c>
      <c r="I15" s="901" t="s">
        <v>199</v>
      </c>
      <c r="J15" s="901" t="s">
        <v>199</v>
      </c>
      <c r="K15" s="901" t="s">
        <v>199</v>
      </c>
      <c r="L15" s="901" t="s">
        <v>199</v>
      </c>
      <c r="M15" s="901" t="s">
        <v>199</v>
      </c>
      <c r="N15" s="901" t="s">
        <v>199</v>
      </c>
      <c r="O15" s="901" t="s">
        <v>199</v>
      </c>
      <c r="P15" s="901" t="s">
        <v>199</v>
      </c>
      <c r="Q15" s="901" t="s">
        <v>199</v>
      </c>
      <c r="R15" s="901" t="s">
        <v>199</v>
      </c>
      <c r="S15" s="901" t="s">
        <v>199</v>
      </c>
      <c r="T15" s="901" t="s">
        <v>199</v>
      </c>
      <c r="U15" s="900" t="s">
        <v>200</v>
      </c>
      <c r="V15" s="900" t="s">
        <v>199</v>
      </c>
      <c r="W15" s="900" t="s">
        <v>200</v>
      </c>
      <c r="X15" s="900" t="s">
        <v>200</v>
      </c>
      <c r="Y15" s="901" t="s">
        <v>199</v>
      </c>
      <c r="Z15" s="901" t="s">
        <v>199</v>
      </c>
      <c r="AA15" s="901" t="s">
        <v>199</v>
      </c>
      <c r="AB15" s="901" t="s">
        <v>199</v>
      </c>
      <c r="AC15" s="901" t="s">
        <v>199</v>
      </c>
      <c r="AD15" s="901" t="s">
        <v>199</v>
      </c>
      <c r="AE15" s="901" t="s">
        <v>199</v>
      </c>
      <c r="AF15" s="901" t="s">
        <v>199</v>
      </c>
      <c r="AG15" s="901" t="s">
        <v>199</v>
      </c>
      <c r="AH15" s="901" t="s">
        <v>199</v>
      </c>
      <c r="AI15" s="901" t="s">
        <v>199</v>
      </c>
      <c r="AJ15" s="901" t="s">
        <v>199</v>
      </c>
    </row>
    <row r="16" spans="1:36">
      <c r="A16" s="856" t="str">
        <f>'[3]A1 预算指标总览'!$A$3</f>
        <v>华东一区</v>
      </c>
      <c r="B16" s="856" t="str">
        <f>'[3]A1 预算指标总览'!$B$3</f>
        <v>福建公司</v>
      </c>
      <c r="C16" s="490"/>
      <c r="D16" s="490"/>
      <c r="E16" s="900" t="s">
        <v>200</v>
      </c>
      <c r="F16" s="900" t="s">
        <v>199</v>
      </c>
      <c r="G16" s="900" t="s">
        <v>200</v>
      </c>
      <c r="H16" s="900" t="s">
        <v>200</v>
      </c>
      <c r="I16" s="901" t="s">
        <v>199</v>
      </c>
      <c r="J16" s="901" t="s">
        <v>199</v>
      </c>
      <c r="K16" s="901" t="s">
        <v>199</v>
      </c>
      <c r="L16" s="901" t="s">
        <v>199</v>
      </c>
      <c r="M16" s="901" t="s">
        <v>199</v>
      </c>
      <c r="N16" s="901" t="s">
        <v>199</v>
      </c>
      <c r="O16" s="901" t="s">
        <v>199</v>
      </c>
      <c r="P16" s="901" t="s">
        <v>199</v>
      </c>
      <c r="Q16" s="901" t="s">
        <v>199</v>
      </c>
      <c r="R16" s="901" t="s">
        <v>199</v>
      </c>
      <c r="S16" s="901" t="s">
        <v>199</v>
      </c>
      <c r="T16" s="901" t="s">
        <v>199</v>
      </c>
      <c r="U16" s="900" t="s">
        <v>200</v>
      </c>
      <c r="V16" s="900" t="s">
        <v>199</v>
      </c>
      <c r="W16" s="900" t="s">
        <v>200</v>
      </c>
      <c r="X16" s="900" t="s">
        <v>200</v>
      </c>
      <c r="Y16" s="901" t="s">
        <v>199</v>
      </c>
      <c r="Z16" s="901" t="s">
        <v>199</v>
      </c>
      <c r="AA16" s="901" t="s">
        <v>199</v>
      </c>
      <c r="AB16" s="901" t="s">
        <v>199</v>
      </c>
      <c r="AC16" s="901" t="s">
        <v>199</v>
      </c>
      <c r="AD16" s="901" t="s">
        <v>199</v>
      </c>
      <c r="AE16" s="901" t="s">
        <v>199</v>
      </c>
      <c r="AF16" s="901" t="s">
        <v>199</v>
      </c>
      <c r="AG16" s="901" t="s">
        <v>199</v>
      </c>
      <c r="AH16" s="901" t="s">
        <v>199</v>
      </c>
      <c r="AI16" s="901" t="s">
        <v>199</v>
      </c>
      <c r="AJ16" s="901" t="s">
        <v>199</v>
      </c>
    </row>
    <row r="17" spans="1:36">
      <c r="A17" s="856" t="str">
        <f>'[3]A1 预算指标总览'!$A$3</f>
        <v>华东一区</v>
      </c>
      <c r="B17" s="856" t="str">
        <f>'[3]A1 预算指标总览'!$B$3</f>
        <v>福建公司</v>
      </c>
      <c r="C17" s="490"/>
      <c r="D17" s="490"/>
      <c r="E17" s="900" t="s">
        <v>200</v>
      </c>
      <c r="F17" s="900" t="s">
        <v>199</v>
      </c>
      <c r="G17" s="900" t="s">
        <v>200</v>
      </c>
      <c r="H17" s="900" t="s">
        <v>200</v>
      </c>
      <c r="I17" s="901" t="s">
        <v>199</v>
      </c>
      <c r="J17" s="901" t="s">
        <v>199</v>
      </c>
      <c r="K17" s="901" t="s">
        <v>199</v>
      </c>
      <c r="L17" s="901" t="s">
        <v>199</v>
      </c>
      <c r="M17" s="901" t="s">
        <v>199</v>
      </c>
      <c r="N17" s="901" t="s">
        <v>199</v>
      </c>
      <c r="O17" s="901" t="s">
        <v>199</v>
      </c>
      <c r="P17" s="901" t="s">
        <v>199</v>
      </c>
      <c r="Q17" s="901" t="s">
        <v>199</v>
      </c>
      <c r="R17" s="901" t="s">
        <v>199</v>
      </c>
      <c r="S17" s="901" t="s">
        <v>199</v>
      </c>
      <c r="T17" s="901" t="s">
        <v>199</v>
      </c>
      <c r="U17" s="900" t="s">
        <v>200</v>
      </c>
      <c r="V17" s="900" t="s">
        <v>199</v>
      </c>
      <c r="W17" s="900" t="s">
        <v>200</v>
      </c>
      <c r="X17" s="900" t="s">
        <v>200</v>
      </c>
      <c r="Y17" s="901" t="s">
        <v>199</v>
      </c>
      <c r="Z17" s="901" t="s">
        <v>199</v>
      </c>
      <c r="AA17" s="901" t="s">
        <v>199</v>
      </c>
      <c r="AB17" s="901" t="s">
        <v>199</v>
      </c>
      <c r="AC17" s="901" t="s">
        <v>199</v>
      </c>
      <c r="AD17" s="901" t="s">
        <v>199</v>
      </c>
      <c r="AE17" s="901" t="s">
        <v>199</v>
      </c>
      <c r="AF17" s="901" t="s">
        <v>199</v>
      </c>
      <c r="AG17" s="901" t="s">
        <v>199</v>
      </c>
      <c r="AH17" s="901" t="s">
        <v>199</v>
      </c>
      <c r="AI17" s="901" t="s">
        <v>199</v>
      </c>
      <c r="AJ17" s="901" t="s">
        <v>199</v>
      </c>
    </row>
    <row r="18" spans="1:36">
      <c r="A18" s="856" t="str">
        <f>'[3]A1 预算指标总览'!$A$3</f>
        <v>华东一区</v>
      </c>
      <c r="B18" s="856" t="str">
        <f>'[3]A1 预算指标总览'!$B$3</f>
        <v>福建公司</v>
      </c>
      <c r="C18" s="490"/>
      <c r="D18" s="490"/>
      <c r="E18" s="900" t="s">
        <v>200</v>
      </c>
      <c r="F18" s="900" t="s">
        <v>199</v>
      </c>
      <c r="G18" s="900" t="s">
        <v>200</v>
      </c>
      <c r="H18" s="900" t="s">
        <v>200</v>
      </c>
      <c r="I18" s="901" t="s">
        <v>199</v>
      </c>
      <c r="J18" s="901" t="s">
        <v>199</v>
      </c>
      <c r="K18" s="901" t="s">
        <v>199</v>
      </c>
      <c r="L18" s="901" t="s">
        <v>199</v>
      </c>
      <c r="M18" s="901" t="s">
        <v>199</v>
      </c>
      <c r="N18" s="901" t="s">
        <v>199</v>
      </c>
      <c r="O18" s="901" t="s">
        <v>199</v>
      </c>
      <c r="P18" s="901" t="s">
        <v>199</v>
      </c>
      <c r="Q18" s="901" t="s">
        <v>199</v>
      </c>
      <c r="R18" s="901" t="s">
        <v>199</v>
      </c>
      <c r="S18" s="901" t="s">
        <v>199</v>
      </c>
      <c r="T18" s="901" t="s">
        <v>199</v>
      </c>
      <c r="U18" s="900" t="s">
        <v>200</v>
      </c>
      <c r="V18" s="900" t="s">
        <v>199</v>
      </c>
      <c r="W18" s="900" t="s">
        <v>200</v>
      </c>
      <c r="X18" s="900" t="s">
        <v>200</v>
      </c>
      <c r="Y18" s="901" t="s">
        <v>199</v>
      </c>
      <c r="Z18" s="901" t="s">
        <v>199</v>
      </c>
      <c r="AA18" s="901" t="s">
        <v>199</v>
      </c>
      <c r="AB18" s="901" t="s">
        <v>199</v>
      </c>
      <c r="AC18" s="901" t="s">
        <v>199</v>
      </c>
      <c r="AD18" s="901" t="s">
        <v>199</v>
      </c>
      <c r="AE18" s="901" t="s">
        <v>199</v>
      </c>
      <c r="AF18" s="901" t="s">
        <v>199</v>
      </c>
      <c r="AG18" s="901" t="s">
        <v>199</v>
      </c>
      <c r="AH18" s="901" t="s">
        <v>199</v>
      </c>
      <c r="AI18" s="901" t="s">
        <v>199</v>
      </c>
      <c r="AJ18" s="901" t="s">
        <v>199</v>
      </c>
    </row>
    <row r="19" spans="1:36">
      <c r="A19" s="856" t="str">
        <f>'[3]A1 预算指标总览'!$A$3</f>
        <v>华东一区</v>
      </c>
      <c r="B19" s="856" t="str">
        <f>'[3]A1 预算指标总览'!$B$3</f>
        <v>福建公司</v>
      </c>
      <c r="C19" s="490"/>
      <c r="D19" s="490"/>
      <c r="E19" s="900" t="s">
        <v>200</v>
      </c>
      <c r="F19" s="900" t="s">
        <v>199</v>
      </c>
      <c r="G19" s="900" t="s">
        <v>200</v>
      </c>
      <c r="H19" s="900" t="s">
        <v>200</v>
      </c>
      <c r="I19" s="901" t="s">
        <v>199</v>
      </c>
      <c r="J19" s="901" t="s">
        <v>199</v>
      </c>
      <c r="K19" s="901" t="s">
        <v>199</v>
      </c>
      <c r="L19" s="901" t="s">
        <v>199</v>
      </c>
      <c r="M19" s="901" t="s">
        <v>199</v>
      </c>
      <c r="N19" s="901" t="s">
        <v>199</v>
      </c>
      <c r="O19" s="901" t="s">
        <v>199</v>
      </c>
      <c r="P19" s="901" t="s">
        <v>199</v>
      </c>
      <c r="Q19" s="901" t="s">
        <v>199</v>
      </c>
      <c r="R19" s="901" t="s">
        <v>199</v>
      </c>
      <c r="S19" s="901" t="s">
        <v>199</v>
      </c>
      <c r="T19" s="901" t="s">
        <v>199</v>
      </c>
      <c r="U19" s="900" t="s">
        <v>200</v>
      </c>
      <c r="V19" s="900" t="s">
        <v>199</v>
      </c>
      <c r="W19" s="900" t="s">
        <v>200</v>
      </c>
      <c r="X19" s="900" t="s">
        <v>200</v>
      </c>
      <c r="Y19" s="901" t="s">
        <v>199</v>
      </c>
      <c r="Z19" s="901" t="s">
        <v>199</v>
      </c>
      <c r="AA19" s="901" t="s">
        <v>199</v>
      </c>
      <c r="AB19" s="901" t="s">
        <v>199</v>
      </c>
      <c r="AC19" s="901" t="s">
        <v>199</v>
      </c>
      <c r="AD19" s="901" t="s">
        <v>199</v>
      </c>
      <c r="AE19" s="901" t="s">
        <v>199</v>
      </c>
      <c r="AF19" s="901" t="s">
        <v>199</v>
      </c>
      <c r="AG19" s="901" t="s">
        <v>199</v>
      </c>
      <c r="AH19" s="901" t="s">
        <v>199</v>
      </c>
      <c r="AI19" s="901" t="s">
        <v>199</v>
      </c>
      <c r="AJ19" s="901" t="s">
        <v>199</v>
      </c>
    </row>
    <row r="20" spans="1:36">
      <c r="A20" s="856" t="str">
        <f>'[3]A1 预算指标总览'!$A$3</f>
        <v>华东一区</v>
      </c>
      <c r="B20" s="856" t="str">
        <f>'[3]A1 预算指标总览'!$B$3</f>
        <v>福建公司</v>
      </c>
      <c r="C20" s="490"/>
      <c r="D20" s="490"/>
      <c r="E20" s="900" t="s">
        <v>200</v>
      </c>
      <c r="F20" s="900" t="s">
        <v>199</v>
      </c>
      <c r="G20" s="900" t="s">
        <v>200</v>
      </c>
      <c r="H20" s="900" t="s">
        <v>200</v>
      </c>
      <c r="I20" s="901" t="s">
        <v>199</v>
      </c>
      <c r="J20" s="901" t="s">
        <v>199</v>
      </c>
      <c r="K20" s="901" t="s">
        <v>199</v>
      </c>
      <c r="L20" s="901" t="s">
        <v>199</v>
      </c>
      <c r="M20" s="901" t="s">
        <v>199</v>
      </c>
      <c r="N20" s="901" t="s">
        <v>199</v>
      </c>
      <c r="O20" s="901" t="s">
        <v>199</v>
      </c>
      <c r="P20" s="901" t="s">
        <v>199</v>
      </c>
      <c r="Q20" s="901" t="s">
        <v>199</v>
      </c>
      <c r="R20" s="901" t="s">
        <v>199</v>
      </c>
      <c r="S20" s="901" t="s">
        <v>199</v>
      </c>
      <c r="T20" s="901" t="s">
        <v>199</v>
      </c>
      <c r="U20" s="900" t="s">
        <v>200</v>
      </c>
      <c r="V20" s="900" t="s">
        <v>199</v>
      </c>
      <c r="W20" s="900" t="s">
        <v>200</v>
      </c>
      <c r="X20" s="900" t="s">
        <v>200</v>
      </c>
      <c r="Y20" s="901" t="s">
        <v>199</v>
      </c>
      <c r="Z20" s="901" t="s">
        <v>199</v>
      </c>
      <c r="AA20" s="901" t="s">
        <v>199</v>
      </c>
      <c r="AB20" s="901" t="s">
        <v>199</v>
      </c>
      <c r="AC20" s="901" t="s">
        <v>199</v>
      </c>
      <c r="AD20" s="901" t="s">
        <v>199</v>
      </c>
      <c r="AE20" s="901" t="s">
        <v>199</v>
      </c>
      <c r="AF20" s="901" t="s">
        <v>199</v>
      </c>
      <c r="AG20" s="901" t="s">
        <v>199</v>
      </c>
      <c r="AH20" s="901" t="s">
        <v>199</v>
      </c>
      <c r="AI20" s="901" t="s">
        <v>199</v>
      </c>
      <c r="AJ20" s="901" t="s">
        <v>199</v>
      </c>
    </row>
    <row r="21" spans="1:36">
      <c r="A21" s="856" t="str">
        <f>'[3]A1 预算指标总览'!$A$3</f>
        <v>华东一区</v>
      </c>
      <c r="B21" s="856" t="str">
        <f>'[3]A1 预算指标总览'!$B$3</f>
        <v>福建公司</v>
      </c>
      <c r="C21" s="490"/>
      <c r="D21" s="490"/>
      <c r="E21" s="900" t="s">
        <v>200</v>
      </c>
      <c r="F21" s="900" t="s">
        <v>199</v>
      </c>
      <c r="G21" s="900" t="s">
        <v>200</v>
      </c>
      <c r="H21" s="900" t="s">
        <v>200</v>
      </c>
      <c r="I21" s="901" t="s">
        <v>199</v>
      </c>
      <c r="J21" s="901" t="s">
        <v>199</v>
      </c>
      <c r="K21" s="901" t="s">
        <v>199</v>
      </c>
      <c r="L21" s="901" t="s">
        <v>199</v>
      </c>
      <c r="M21" s="901" t="s">
        <v>199</v>
      </c>
      <c r="N21" s="901" t="s">
        <v>199</v>
      </c>
      <c r="O21" s="901" t="s">
        <v>199</v>
      </c>
      <c r="P21" s="901" t="s">
        <v>199</v>
      </c>
      <c r="Q21" s="901" t="s">
        <v>199</v>
      </c>
      <c r="R21" s="901" t="s">
        <v>199</v>
      </c>
      <c r="S21" s="901" t="s">
        <v>199</v>
      </c>
      <c r="T21" s="901" t="s">
        <v>199</v>
      </c>
      <c r="U21" s="900" t="s">
        <v>200</v>
      </c>
      <c r="V21" s="900" t="s">
        <v>199</v>
      </c>
      <c r="W21" s="900" t="s">
        <v>200</v>
      </c>
      <c r="X21" s="900" t="s">
        <v>200</v>
      </c>
      <c r="Y21" s="901" t="s">
        <v>199</v>
      </c>
      <c r="Z21" s="901" t="s">
        <v>199</v>
      </c>
      <c r="AA21" s="901" t="s">
        <v>199</v>
      </c>
      <c r="AB21" s="901" t="s">
        <v>199</v>
      </c>
      <c r="AC21" s="901" t="s">
        <v>199</v>
      </c>
      <c r="AD21" s="901" t="s">
        <v>199</v>
      </c>
      <c r="AE21" s="901" t="s">
        <v>199</v>
      </c>
      <c r="AF21" s="901" t="s">
        <v>199</v>
      </c>
      <c r="AG21" s="901" t="s">
        <v>199</v>
      </c>
      <c r="AH21" s="901" t="s">
        <v>199</v>
      </c>
      <c r="AI21" s="901" t="s">
        <v>199</v>
      </c>
      <c r="AJ21" s="901" t="s">
        <v>199</v>
      </c>
    </row>
    <row r="22" spans="1:36">
      <c r="A22" s="856" t="str">
        <f>'[3]A1 预算指标总览'!$A$3</f>
        <v>华东一区</v>
      </c>
      <c r="B22" s="856" t="str">
        <f>'[3]A1 预算指标总览'!$B$3</f>
        <v>福建公司</v>
      </c>
      <c r="C22" s="490"/>
      <c r="D22" s="490"/>
      <c r="E22" s="900" t="s">
        <v>200</v>
      </c>
      <c r="F22" s="900" t="s">
        <v>199</v>
      </c>
      <c r="G22" s="900" t="s">
        <v>200</v>
      </c>
      <c r="H22" s="900" t="s">
        <v>200</v>
      </c>
      <c r="I22" s="901" t="s">
        <v>199</v>
      </c>
      <c r="J22" s="901" t="s">
        <v>199</v>
      </c>
      <c r="K22" s="901" t="s">
        <v>199</v>
      </c>
      <c r="L22" s="901" t="s">
        <v>199</v>
      </c>
      <c r="M22" s="901" t="s">
        <v>199</v>
      </c>
      <c r="N22" s="901" t="s">
        <v>199</v>
      </c>
      <c r="O22" s="901" t="s">
        <v>199</v>
      </c>
      <c r="P22" s="901" t="s">
        <v>199</v>
      </c>
      <c r="Q22" s="901" t="s">
        <v>199</v>
      </c>
      <c r="R22" s="901" t="s">
        <v>199</v>
      </c>
      <c r="S22" s="901" t="s">
        <v>199</v>
      </c>
      <c r="T22" s="901" t="s">
        <v>199</v>
      </c>
      <c r="U22" s="900" t="s">
        <v>200</v>
      </c>
      <c r="V22" s="900" t="s">
        <v>199</v>
      </c>
      <c r="W22" s="900" t="s">
        <v>200</v>
      </c>
      <c r="X22" s="900" t="s">
        <v>200</v>
      </c>
      <c r="Y22" s="901" t="s">
        <v>199</v>
      </c>
      <c r="Z22" s="901" t="s">
        <v>199</v>
      </c>
      <c r="AA22" s="901" t="s">
        <v>199</v>
      </c>
      <c r="AB22" s="901" t="s">
        <v>199</v>
      </c>
      <c r="AC22" s="901" t="s">
        <v>199</v>
      </c>
      <c r="AD22" s="901" t="s">
        <v>199</v>
      </c>
      <c r="AE22" s="901" t="s">
        <v>199</v>
      </c>
      <c r="AF22" s="901" t="s">
        <v>199</v>
      </c>
      <c r="AG22" s="901" t="s">
        <v>199</v>
      </c>
      <c r="AH22" s="901" t="s">
        <v>199</v>
      </c>
      <c r="AI22" s="901" t="s">
        <v>199</v>
      </c>
      <c r="AJ22" s="901" t="s">
        <v>199</v>
      </c>
    </row>
    <row r="23" spans="1:36">
      <c r="A23" s="856" t="str">
        <f>'[3]A1 预算指标总览'!$A$3</f>
        <v>华东一区</v>
      </c>
      <c r="B23" s="856" t="str">
        <f>'[3]A1 预算指标总览'!$B$3</f>
        <v>福建公司</v>
      </c>
      <c r="C23" s="490"/>
      <c r="D23" s="490"/>
      <c r="E23" s="900" t="s">
        <v>200</v>
      </c>
      <c r="F23" s="900" t="s">
        <v>199</v>
      </c>
      <c r="G23" s="900" t="s">
        <v>200</v>
      </c>
      <c r="H23" s="900" t="s">
        <v>200</v>
      </c>
      <c r="I23" s="901" t="s">
        <v>199</v>
      </c>
      <c r="J23" s="901" t="s">
        <v>199</v>
      </c>
      <c r="K23" s="901" t="s">
        <v>199</v>
      </c>
      <c r="L23" s="901" t="s">
        <v>199</v>
      </c>
      <c r="M23" s="901" t="s">
        <v>199</v>
      </c>
      <c r="N23" s="901" t="s">
        <v>199</v>
      </c>
      <c r="O23" s="901" t="s">
        <v>199</v>
      </c>
      <c r="P23" s="901" t="s">
        <v>199</v>
      </c>
      <c r="Q23" s="901" t="s">
        <v>199</v>
      </c>
      <c r="R23" s="901" t="s">
        <v>199</v>
      </c>
      <c r="S23" s="901" t="s">
        <v>199</v>
      </c>
      <c r="T23" s="901" t="s">
        <v>199</v>
      </c>
      <c r="U23" s="900" t="s">
        <v>200</v>
      </c>
      <c r="V23" s="900" t="s">
        <v>199</v>
      </c>
      <c r="W23" s="900" t="s">
        <v>200</v>
      </c>
      <c r="X23" s="900" t="s">
        <v>200</v>
      </c>
      <c r="Y23" s="901" t="s">
        <v>199</v>
      </c>
      <c r="Z23" s="901" t="s">
        <v>199</v>
      </c>
      <c r="AA23" s="901" t="s">
        <v>199</v>
      </c>
      <c r="AB23" s="901" t="s">
        <v>199</v>
      </c>
      <c r="AC23" s="901" t="s">
        <v>199</v>
      </c>
      <c r="AD23" s="901" t="s">
        <v>199</v>
      </c>
      <c r="AE23" s="901" t="s">
        <v>199</v>
      </c>
      <c r="AF23" s="901" t="s">
        <v>199</v>
      </c>
      <c r="AG23" s="901" t="s">
        <v>199</v>
      </c>
      <c r="AH23" s="901" t="s">
        <v>199</v>
      </c>
      <c r="AI23" s="901" t="s">
        <v>199</v>
      </c>
      <c r="AJ23" s="901" t="s">
        <v>199</v>
      </c>
    </row>
    <row r="24" spans="1:36">
      <c r="A24" s="856" t="str">
        <f>'[3]A1 预算指标总览'!$A$3</f>
        <v>华东一区</v>
      </c>
      <c r="B24" s="856" t="str">
        <f>'[3]A1 预算指标总览'!$B$3</f>
        <v>福建公司</v>
      </c>
      <c r="C24" s="490"/>
      <c r="D24" s="490"/>
      <c r="E24" s="900" t="s">
        <v>200</v>
      </c>
      <c r="F24" s="900" t="s">
        <v>199</v>
      </c>
      <c r="G24" s="900" t="s">
        <v>200</v>
      </c>
      <c r="H24" s="900" t="s">
        <v>200</v>
      </c>
      <c r="I24" s="901" t="s">
        <v>199</v>
      </c>
      <c r="J24" s="901" t="s">
        <v>199</v>
      </c>
      <c r="K24" s="901" t="s">
        <v>199</v>
      </c>
      <c r="L24" s="901" t="s">
        <v>199</v>
      </c>
      <c r="M24" s="901" t="s">
        <v>199</v>
      </c>
      <c r="N24" s="901" t="s">
        <v>199</v>
      </c>
      <c r="O24" s="901" t="s">
        <v>199</v>
      </c>
      <c r="P24" s="901" t="s">
        <v>199</v>
      </c>
      <c r="Q24" s="901" t="s">
        <v>199</v>
      </c>
      <c r="R24" s="901" t="s">
        <v>199</v>
      </c>
      <c r="S24" s="901" t="s">
        <v>199</v>
      </c>
      <c r="T24" s="901" t="s">
        <v>199</v>
      </c>
      <c r="U24" s="900" t="s">
        <v>200</v>
      </c>
      <c r="V24" s="900" t="s">
        <v>199</v>
      </c>
      <c r="W24" s="900" t="s">
        <v>200</v>
      </c>
      <c r="X24" s="900" t="s">
        <v>200</v>
      </c>
      <c r="Y24" s="901" t="s">
        <v>199</v>
      </c>
      <c r="Z24" s="901" t="s">
        <v>199</v>
      </c>
      <c r="AA24" s="901" t="s">
        <v>199</v>
      </c>
      <c r="AB24" s="901" t="s">
        <v>199</v>
      </c>
      <c r="AC24" s="901" t="s">
        <v>199</v>
      </c>
      <c r="AD24" s="901" t="s">
        <v>199</v>
      </c>
      <c r="AE24" s="901" t="s">
        <v>199</v>
      </c>
      <c r="AF24" s="901" t="s">
        <v>199</v>
      </c>
      <c r="AG24" s="901" t="s">
        <v>199</v>
      </c>
      <c r="AH24" s="901" t="s">
        <v>199</v>
      </c>
      <c r="AI24" s="901" t="s">
        <v>199</v>
      </c>
      <c r="AJ24" s="901" t="s">
        <v>199</v>
      </c>
    </row>
    <row r="25" spans="1:36">
      <c r="A25" s="856" t="str">
        <f>'[3]A1 预算指标总览'!$A$3</f>
        <v>华东一区</v>
      </c>
      <c r="B25" s="856" t="str">
        <f>'[3]A1 预算指标总览'!$B$3</f>
        <v>福建公司</v>
      </c>
      <c r="C25" s="490"/>
      <c r="D25" s="490"/>
      <c r="E25" s="900" t="s">
        <v>200</v>
      </c>
      <c r="F25" s="900" t="s">
        <v>199</v>
      </c>
      <c r="G25" s="900" t="s">
        <v>200</v>
      </c>
      <c r="H25" s="900" t="s">
        <v>200</v>
      </c>
      <c r="I25" s="901" t="s">
        <v>199</v>
      </c>
      <c r="J25" s="901" t="s">
        <v>199</v>
      </c>
      <c r="K25" s="901" t="s">
        <v>199</v>
      </c>
      <c r="L25" s="901" t="s">
        <v>199</v>
      </c>
      <c r="M25" s="901" t="s">
        <v>199</v>
      </c>
      <c r="N25" s="901" t="s">
        <v>199</v>
      </c>
      <c r="O25" s="901" t="s">
        <v>199</v>
      </c>
      <c r="P25" s="901" t="s">
        <v>199</v>
      </c>
      <c r="Q25" s="901" t="s">
        <v>199</v>
      </c>
      <c r="R25" s="901" t="s">
        <v>199</v>
      </c>
      <c r="S25" s="901" t="s">
        <v>199</v>
      </c>
      <c r="T25" s="901" t="s">
        <v>199</v>
      </c>
      <c r="U25" s="900" t="s">
        <v>200</v>
      </c>
      <c r="V25" s="900" t="s">
        <v>199</v>
      </c>
      <c r="W25" s="900" t="s">
        <v>200</v>
      </c>
      <c r="X25" s="900" t="s">
        <v>200</v>
      </c>
      <c r="Y25" s="901" t="s">
        <v>199</v>
      </c>
      <c r="Z25" s="901" t="s">
        <v>199</v>
      </c>
      <c r="AA25" s="901" t="s">
        <v>199</v>
      </c>
      <c r="AB25" s="901" t="s">
        <v>199</v>
      </c>
      <c r="AC25" s="901" t="s">
        <v>199</v>
      </c>
      <c r="AD25" s="901" t="s">
        <v>199</v>
      </c>
      <c r="AE25" s="901" t="s">
        <v>199</v>
      </c>
      <c r="AF25" s="901" t="s">
        <v>199</v>
      </c>
      <c r="AG25" s="901" t="s">
        <v>199</v>
      </c>
      <c r="AH25" s="901" t="s">
        <v>199</v>
      </c>
      <c r="AI25" s="901" t="s">
        <v>199</v>
      </c>
      <c r="AJ25" s="901" t="s">
        <v>199</v>
      </c>
    </row>
    <row r="26" spans="1:36">
      <c r="A26" s="856" t="str">
        <f>'[3]A1 预算指标总览'!$A$3</f>
        <v>华东一区</v>
      </c>
      <c r="B26" s="856" t="str">
        <f>'[3]A1 预算指标总览'!$B$3</f>
        <v>福建公司</v>
      </c>
      <c r="C26" s="490"/>
      <c r="D26" s="490"/>
      <c r="E26" s="900" t="s">
        <v>200</v>
      </c>
      <c r="F26" s="900" t="s">
        <v>199</v>
      </c>
      <c r="G26" s="900" t="s">
        <v>200</v>
      </c>
      <c r="H26" s="900" t="s">
        <v>200</v>
      </c>
      <c r="I26" s="901" t="s">
        <v>199</v>
      </c>
      <c r="J26" s="901" t="s">
        <v>199</v>
      </c>
      <c r="K26" s="901" t="s">
        <v>199</v>
      </c>
      <c r="L26" s="901" t="s">
        <v>199</v>
      </c>
      <c r="M26" s="901" t="s">
        <v>199</v>
      </c>
      <c r="N26" s="901" t="s">
        <v>199</v>
      </c>
      <c r="O26" s="901" t="s">
        <v>199</v>
      </c>
      <c r="P26" s="901" t="s">
        <v>199</v>
      </c>
      <c r="Q26" s="901" t="s">
        <v>199</v>
      </c>
      <c r="R26" s="901" t="s">
        <v>199</v>
      </c>
      <c r="S26" s="901" t="s">
        <v>199</v>
      </c>
      <c r="T26" s="901" t="s">
        <v>199</v>
      </c>
      <c r="U26" s="900" t="s">
        <v>200</v>
      </c>
      <c r="V26" s="900" t="s">
        <v>199</v>
      </c>
      <c r="W26" s="900" t="s">
        <v>200</v>
      </c>
      <c r="X26" s="900" t="s">
        <v>200</v>
      </c>
      <c r="Y26" s="901" t="s">
        <v>199</v>
      </c>
      <c r="Z26" s="901" t="s">
        <v>199</v>
      </c>
      <c r="AA26" s="901" t="s">
        <v>199</v>
      </c>
      <c r="AB26" s="901" t="s">
        <v>199</v>
      </c>
      <c r="AC26" s="901" t="s">
        <v>199</v>
      </c>
      <c r="AD26" s="901" t="s">
        <v>199</v>
      </c>
      <c r="AE26" s="901" t="s">
        <v>199</v>
      </c>
      <c r="AF26" s="901" t="s">
        <v>199</v>
      </c>
      <c r="AG26" s="901" t="s">
        <v>199</v>
      </c>
      <c r="AH26" s="901" t="s">
        <v>199</v>
      </c>
      <c r="AI26" s="901" t="s">
        <v>199</v>
      </c>
      <c r="AJ26" s="901" t="s">
        <v>199</v>
      </c>
    </row>
    <row r="27" spans="1:36">
      <c r="A27" s="856" t="str">
        <f>'[3]A1 预算指标总览'!$A$3</f>
        <v>华东一区</v>
      </c>
      <c r="B27" s="856" t="str">
        <f>'[3]A1 预算指标总览'!$B$3</f>
        <v>福建公司</v>
      </c>
      <c r="C27" s="490"/>
      <c r="D27" s="490"/>
      <c r="E27" s="900" t="s">
        <v>200</v>
      </c>
      <c r="F27" s="900" t="s">
        <v>199</v>
      </c>
      <c r="G27" s="900" t="s">
        <v>200</v>
      </c>
      <c r="H27" s="900" t="s">
        <v>200</v>
      </c>
      <c r="I27" s="901" t="s">
        <v>199</v>
      </c>
      <c r="J27" s="901" t="s">
        <v>199</v>
      </c>
      <c r="K27" s="901" t="s">
        <v>199</v>
      </c>
      <c r="L27" s="901" t="s">
        <v>199</v>
      </c>
      <c r="M27" s="901" t="s">
        <v>199</v>
      </c>
      <c r="N27" s="901" t="s">
        <v>199</v>
      </c>
      <c r="O27" s="901" t="s">
        <v>199</v>
      </c>
      <c r="P27" s="901" t="s">
        <v>199</v>
      </c>
      <c r="Q27" s="901" t="s">
        <v>199</v>
      </c>
      <c r="R27" s="901" t="s">
        <v>199</v>
      </c>
      <c r="S27" s="901" t="s">
        <v>199</v>
      </c>
      <c r="T27" s="901" t="s">
        <v>199</v>
      </c>
      <c r="U27" s="900" t="s">
        <v>200</v>
      </c>
      <c r="V27" s="900" t="s">
        <v>199</v>
      </c>
      <c r="W27" s="900" t="s">
        <v>200</v>
      </c>
      <c r="X27" s="900" t="s">
        <v>200</v>
      </c>
      <c r="Y27" s="901" t="s">
        <v>199</v>
      </c>
      <c r="Z27" s="901" t="s">
        <v>199</v>
      </c>
      <c r="AA27" s="901" t="s">
        <v>199</v>
      </c>
      <c r="AB27" s="901" t="s">
        <v>199</v>
      </c>
      <c r="AC27" s="901" t="s">
        <v>199</v>
      </c>
      <c r="AD27" s="901" t="s">
        <v>199</v>
      </c>
      <c r="AE27" s="901" t="s">
        <v>199</v>
      </c>
      <c r="AF27" s="901" t="s">
        <v>199</v>
      </c>
      <c r="AG27" s="901" t="s">
        <v>199</v>
      </c>
      <c r="AH27" s="901" t="s">
        <v>199</v>
      </c>
      <c r="AI27" s="901" t="s">
        <v>199</v>
      </c>
      <c r="AJ27" s="901" t="s">
        <v>199</v>
      </c>
    </row>
    <row r="28" spans="1:36">
      <c r="A28" s="856" t="str">
        <f>'[3]A1 预算指标总览'!$A$3</f>
        <v>华东一区</v>
      </c>
      <c r="B28" s="856" t="str">
        <f>'[3]A1 预算指标总览'!$B$3</f>
        <v>福建公司</v>
      </c>
      <c r="C28" s="490"/>
      <c r="D28" s="490"/>
      <c r="E28" s="900" t="s">
        <v>200</v>
      </c>
      <c r="F28" s="900" t="s">
        <v>199</v>
      </c>
      <c r="G28" s="900" t="s">
        <v>200</v>
      </c>
      <c r="H28" s="900" t="s">
        <v>200</v>
      </c>
      <c r="I28" s="901" t="s">
        <v>199</v>
      </c>
      <c r="J28" s="901" t="s">
        <v>199</v>
      </c>
      <c r="K28" s="901" t="s">
        <v>199</v>
      </c>
      <c r="L28" s="901" t="s">
        <v>199</v>
      </c>
      <c r="M28" s="901" t="s">
        <v>199</v>
      </c>
      <c r="N28" s="901" t="s">
        <v>199</v>
      </c>
      <c r="O28" s="901" t="s">
        <v>199</v>
      </c>
      <c r="P28" s="901" t="s">
        <v>199</v>
      </c>
      <c r="Q28" s="901" t="s">
        <v>199</v>
      </c>
      <c r="R28" s="901" t="s">
        <v>199</v>
      </c>
      <c r="S28" s="901" t="s">
        <v>199</v>
      </c>
      <c r="T28" s="901" t="s">
        <v>199</v>
      </c>
      <c r="U28" s="900" t="s">
        <v>200</v>
      </c>
      <c r="V28" s="900" t="s">
        <v>199</v>
      </c>
      <c r="W28" s="900" t="s">
        <v>200</v>
      </c>
      <c r="X28" s="900" t="s">
        <v>200</v>
      </c>
      <c r="Y28" s="901" t="s">
        <v>199</v>
      </c>
      <c r="Z28" s="901" t="s">
        <v>199</v>
      </c>
      <c r="AA28" s="901" t="s">
        <v>199</v>
      </c>
      <c r="AB28" s="901" t="s">
        <v>199</v>
      </c>
      <c r="AC28" s="901" t="s">
        <v>199</v>
      </c>
      <c r="AD28" s="901" t="s">
        <v>199</v>
      </c>
      <c r="AE28" s="901" t="s">
        <v>199</v>
      </c>
      <c r="AF28" s="901" t="s">
        <v>199</v>
      </c>
      <c r="AG28" s="901" t="s">
        <v>199</v>
      </c>
      <c r="AH28" s="901" t="s">
        <v>199</v>
      </c>
      <c r="AI28" s="901" t="s">
        <v>199</v>
      </c>
      <c r="AJ28" s="901" t="s">
        <v>199</v>
      </c>
    </row>
    <row r="29" spans="1:36">
      <c r="A29" s="856" t="str">
        <f>'[3]A1 预算指标总览'!$A$3</f>
        <v>华东一区</v>
      </c>
      <c r="B29" s="856" t="str">
        <f>'[3]A1 预算指标总览'!$B$3</f>
        <v>福建公司</v>
      </c>
      <c r="C29" s="490"/>
      <c r="D29" s="490"/>
      <c r="E29" s="900" t="s">
        <v>200</v>
      </c>
      <c r="F29" s="900" t="s">
        <v>199</v>
      </c>
      <c r="G29" s="900" t="s">
        <v>200</v>
      </c>
      <c r="H29" s="900" t="s">
        <v>200</v>
      </c>
      <c r="I29" s="901" t="s">
        <v>199</v>
      </c>
      <c r="J29" s="901" t="s">
        <v>199</v>
      </c>
      <c r="K29" s="901" t="s">
        <v>199</v>
      </c>
      <c r="L29" s="901" t="s">
        <v>199</v>
      </c>
      <c r="M29" s="901" t="s">
        <v>199</v>
      </c>
      <c r="N29" s="901" t="s">
        <v>199</v>
      </c>
      <c r="O29" s="901" t="s">
        <v>199</v>
      </c>
      <c r="P29" s="901" t="s">
        <v>199</v>
      </c>
      <c r="Q29" s="901" t="s">
        <v>199</v>
      </c>
      <c r="R29" s="901" t="s">
        <v>199</v>
      </c>
      <c r="S29" s="901" t="s">
        <v>199</v>
      </c>
      <c r="T29" s="901" t="s">
        <v>199</v>
      </c>
      <c r="U29" s="900" t="s">
        <v>200</v>
      </c>
      <c r="V29" s="900" t="s">
        <v>199</v>
      </c>
      <c r="W29" s="900" t="s">
        <v>200</v>
      </c>
      <c r="X29" s="900" t="s">
        <v>200</v>
      </c>
      <c r="Y29" s="901" t="s">
        <v>199</v>
      </c>
      <c r="Z29" s="901" t="s">
        <v>199</v>
      </c>
      <c r="AA29" s="901" t="s">
        <v>199</v>
      </c>
      <c r="AB29" s="901" t="s">
        <v>199</v>
      </c>
      <c r="AC29" s="901" t="s">
        <v>199</v>
      </c>
      <c r="AD29" s="901" t="s">
        <v>199</v>
      </c>
      <c r="AE29" s="901" t="s">
        <v>199</v>
      </c>
      <c r="AF29" s="901" t="s">
        <v>199</v>
      </c>
      <c r="AG29" s="901" t="s">
        <v>199</v>
      </c>
      <c r="AH29" s="901" t="s">
        <v>199</v>
      </c>
      <c r="AI29" s="901" t="s">
        <v>199</v>
      </c>
      <c r="AJ29" s="901" t="s">
        <v>199</v>
      </c>
    </row>
    <row r="30" spans="1:36">
      <c r="A30" s="856" t="str">
        <f>'[3]A1 预算指标总览'!$A$3</f>
        <v>华东一区</v>
      </c>
      <c r="B30" s="856" t="str">
        <f>'[3]A1 预算指标总览'!$B$3</f>
        <v>福建公司</v>
      </c>
      <c r="C30" s="490"/>
      <c r="D30" s="490"/>
      <c r="E30" s="900" t="s">
        <v>200</v>
      </c>
      <c r="F30" s="900" t="s">
        <v>199</v>
      </c>
      <c r="G30" s="900" t="s">
        <v>200</v>
      </c>
      <c r="H30" s="900" t="s">
        <v>200</v>
      </c>
      <c r="I30" s="901" t="s">
        <v>199</v>
      </c>
      <c r="J30" s="901" t="s">
        <v>199</v>
      </c>
      <c r="K30" s="901" t="s">
        <v>199</v>
      </c>
      <c r="L30" s="901" t="s">
        <v>199</v>
      </c>
      <c r="M30" s="901" t="s">
        <v>199</v>
      </c>
      <c r="N30" s="901" t="s">
        <v>199</v>
      </c>
      <c r="O30" s="901" t="s">
        <v>199</v>
      </c>
      <c r="P30" s="901" t="s">
        <v>199</v>
      </c>
      <c r="Q30" s="901" t="s">
        <v>199</v>
      </c>
      <c r="R30" s="901" t="s">
        <v>199</v>
      </c>
      <c r="S30" s="901" t="s">
        <v>199</v>
      </c>
      <c r="T30" s="901" t="s">
        <v>199</v>
      </c>
      <c r="U30" s="900" t="s">
        <v>200</v>
      </c>
      <c r="V30" s="900" t="s">
        <v>199</v>
      </c>
      <c r="W30" s="900" t="s">
        <v>200</v>
      </c>
      <c r="X30" s="900" t="s">
        <v>200</v>
      </c>
      <c r="Y30" s="901" t="s">
        <v>199</v>
      </c>
      <c r="Z30" s="901" t="s">
        <v>199</v>
      </c>
      <c r="AA30" s="901" t="s">
        <v>199</v>
      </c>
      <c r="AB30" s="901" t="s">
        <v>199</v>
      </c>
      <c r="AC30" s="901" t="s">
        <v>199</v>
      </c>
      <c r="AD30" s="901" t="s">
        <v>199</v>
      </c>
      <c r="AE30" s="901" t="s">
        <v>199</v>
      </c>
      <c r="AF30" s="901" t="s">
        <v>199</v>
      </c>
      <c r="AG30" s="901" t="s">
        <v>199</v>
      </c>
      <c r="AH30" s="901" t="s">
        <v>199</v>
      </c>
      <c r="AI30" s="901" t="s">
        <v>199</v>
      </c>
      <c r="AJ30" s="901" t="s">
        <v>199</v>
      </c>
    </row>
    <row r="31" spans="1:36">
      <c r="A31" s="856" t="str">
        <f>'[3]A1 预算指标总览'!$A$3</f>
        <v>华东一区</v>
      </c>
      <c r="B31" s="856" t="str">
        <f>'[3]A1 预算指标总览'!$B$3</f>
        <v>福建公司</v>
      </c>
      <c r="C31" s="490"/>
      <c r="D31" s="490"/>
      <c r="E31" s="900" t="s">
        <v>200</v>
      </c>
      <c r="F31" s="900" t="s">
        <v>199</v>
      </c>
      <c r="G31" s="900" t="s">
        <v>200</v>
      </c>
      <c r="H31" s="900" t="s">
        <v>200</v>
      </c>
      <c r="I31" s="901" t="s">
        <v>199</v>
      </c>
      <c r="J31" s="901" t="s">
        <v>199</v>
      </c>
      <c r="K31" s="901" t="s">
        <v>199</v>
      </c>
      <c r="L31" s="901" t="s">
        <v>199</v>
      </c>
      <c r="M31" s="901" t="s">
        <v>199</v>
      </c>
      <c r="N31" s="901" t="s">
        <v>199</v>
      </c>
      <c r="O31" s="901" t="s">
        <v>199</v>
      </c>
      <c r="P31" s="901" t="s">
        <v>199</v>
      </c>
      <c r="Q31" s="901" t="s">
        <v>199</v>
      </c>
      <c r="R31" s="901" t="s">
        <v>199</v>
      </c>
      <c r="S31" s="901" t="s">
        <v>199</v>
      </c>
      <c r="T31" s="901" t="s">
        <v>199</v>
      </c>
      <c r="U31" s="900" t="s">
        <v>200</v>
      </c>
      <c r="V31" s="900" t="s">
        <v>199</v>
      </c>
      <c r="W31" s="900" t="s">
        <v>200</v>
      </c>
      <c r="X31" s="900" t="s">
        <v>200</v>
      </c>
      <c r="Y31" s="901" t="s">
        <v>199</v>
      </c>
      <c r="Z31" s="901" t="s">
        <v>199</v>
      </c>
      <c r="AA31" s="901" t="s">
        <v>199</v>
      </c>
      <c r="AB31" s="901" t="s">
        <v>199</v>
      </c>
      <c r="AC31" s="901" t="s">
        <v>199</v>
      </c>
      <c r="AD31" s="901" t="s">
        <v>199</v>
      </c>
      <c r="AE31" s="901" t="s">
        <v>199</v>
      </c>
      <c r="AF31" s="901" t="s">
        <v>199</v>
      </c>
      <c r="AG31" s="901" t="s">
        <v>199</v>
      </c>
      <c r="AH31" s="901" t="s">
        <v>199</v>
      </c>
      <c r="AI31" s="901" t="s">
        <v>199</v>
      </c>
      <c r="AJ31" s="901" t="s">
        <v>199</v>
      </c>
    </row>
    <row r="32" spans="1:36">
      <c r="A32" s="856" t="str">
        <f>'[3]A1 预算指标总览'!$A$3</f>
        <v>华东一区</v>
      </c>
      <c r="B32" s="856" t="str">
        <f>'[3]A1 预算指标总览'!$B$3</f>
        <v>福建公司</v>
      </c>
      <c r="C32" s="490"/>
      <c r="D32" s="490"/>
      <c r="E32" s="900" t="s">
        <v>200</v>
      </c>
      <c r="F32" s="900" t="s">
        <v>199</v>
      </c>
      <c r="G32" s="900" t="s">
        <v>200</v>
      </c>
      <c r="H32" s="900" t="s">
        <v>200</v>
      </c>
      <c r="I32" s="901" t="s">
        <v>199</v>
      </c>
      <c r="J32" s="901" t="s">
        <v>199</v>
      </c>
      <c r="K32" s="901" t="s">
        <v>199</v>
      </c>
      <c r="L32" s="901" t="s">
        <v>199</v>
      </c>
      <c r="M32" s="901" t="s">
        <v>199</v>
      </c>
      <c r="N32" s="901" t="s">
        <v>199</v>
      </c>
      <c r="O32" s="901" t="s">
        <v>199</v>
      </c>
      <c r="P32" s="901" t="s">
        <v>199</v>
      </c>
      <c r="Q32" s="901" t="s">
        <v>199</v>
      </c>
      <c r="R32" s="901" t="s">
        <v>199</v>
      </c>
      <c r="S32" s="901" t="s">
        <v>199</v>
      </c>
      <c r="T32" s="901" t="s">
        <v>199</v>
      </c>
      <c r="U32" s="900" t="s">
        <v>200</v>
      </c>
      <c r="V32" s="900" t="s">
        <v>199</v>
      </c>
      <c r="W32" s="900" t="s">
        <v>200</v>
      </c>
      <c r="X32" s="900" t="s">
        <v>200</v>
      </c>
      <c r="Y32" s="901" t="s">
        <v>199</v>
      </c>
      <c r="Z32" s="901" t="s">
        <v>199</v>
      </c>
      <c r="AA32" s="901" t="s">
        <v>199</v>
      </c>
      <c r="AB32" s="901" t="s">
        <v>199</v>
      </c>
      <c r="AC32" s="901" t="s">
        <v>199</v>
      </c>
      <c r="AD32" s="901" t="s">
        <v>199</v>
      </c>
      <c r="AE32" s="901" t="s">
        <v>199</v>
      </c>
      <c r="AF32" s="901" t="s">
        <v>199</v>
      </c>
      <c r="AG32" s="901" t="s">
        <v>199</v>
      </c>
      <c r="AH32" s="901" t="s">
        <v>199</v>
      </c>
      <c r="AI32" s="901" t="s">
        <v>199</v>
      </c>
      <c r="AJ32" s="901" t="s">
        <v>199</v>
      </c>
    </row>
    <row r="33" spans="1:36">
      <c r="A33" s="856" t="str">
        <f>'[3]A1 预算指标总览'!$A$3</f>
        <v>华东一区</v>
      </c>
      <c r="B33" s="856" t="str">
        <f>'[3]A1 预算指标总览'!$B$3</f>
        <v>福建公司</v>
      </c>
      <c r="C33" s="490"/>
      <c r="D33" s="490"/>
      <c r="E33" s="900" t="s">
        <v>200</v>
      </c>
      <c r="F33" s="900" t="s">
        <v>199</v>
      </c>
      <c r="G33" s="900" t="s">
        <v>200</v>
      </c>
      <c r="H33" s="900" t="s">
        <v>200</v>
      </c>
      <c r="I33" s="901" t="s">
        <v>199</v>
      </c>
      <c r="J33" s="901" t="s">
        <v>199</v>
      </c>
      <c r="K33" s="901" t="s">
        <v>199</v>
      </c>
      <c r="L33" s="901" t="s">
        <v>199</v>
      </c>
      <c r="M33" s="901" t="s">
        <v>199</v>
      </c>
      <c r="N33" s="901" t="s">
        <v>199</v>
      </c>
      <c r="O33" s="901" t="s">
        <v>199</v>
      </c>
      <c r="P33" s="901" t="s">
        <v>199</v>
      </c>
      <c r="Q33" s="901" t="s">
        <v>199</v>
      </c>
      <c r="R33" s="901" t="s">
        <v>199</v>
      </c>
      <c r="S33" s="901" t="s">
        <v>199</v>
      </c>
      <c r="T33" s="901" t="s">
        <v>199</v>
      </c>
      <c r="U33" s="900" t="s">
        <v>200</v>
      </c>
      <c r="V33" s="900" t="s">
        <v>199</v>
      </c>
      <c r="W33" s="900" t="s">
        <v>200</v>
      </c>
      <c r="X33" s="900" t="s">
        <v>200</v>
      </c>
      <c r="Y33" s="901" t="s">
        <v>199</v>
      </c>
      <c r="Z33" s="901" t="s">
        <v>199</v>
      </c>
      <c r="AA33" s="901" t="s">
        <v>199</v>
      </c>
      <c r="AB33" s="901" t="s">
        <v>199</v>
      </c>
      <c r="AC33" s="901" t="s">
        <v>199</v>
      </c>
      <c r="AD33" s="901" t="s">
        <v>199</v>
      </c>
      <c r="AE33" s="901" t="s">
        <v>199</v>
      </c>
      <c r="AF33" s="901" t="s">
        <v>199</v>
      </c>
      <c r="AG33" s="901" t="s">
        <v>199</v>
      </c>
      <c r="AH33" s="901" t="s">
        <v>199</v>
      </c>
      <c r="AI33" s="901" t="s">
        <v>199</v>
      </c>
      <c r="AJ33" s="901" t="s">
        <v>199</v>
      </c>
    </row>
    <row r="34" spans="1:36">
      <c r="A34" s="856" t="str">
        <f>'[3]A1 预算指标总览'!$A$3</f>
        <v>华东一区</v>
      </c>
      <c r="B34" s="856" t="str">
        <f>'[3]A1 预算指标总览'!$B$3</f>
        <v>福建公司</v>
      </c>
      <c r="C34" s="490"/>
      <c r="D34" s="490"/>
      <c r="E34" s="900" t="s">
        <v>200</v>
      </c>
      <c r="F34" s="900" t="s">
        <v>199</v>
      </c>
      <c r="G34" s="900" t="s">
        <v>200</v>
      </c>
      <c r="H34" s="900" t="s">
        <v>200</v>
      </c>
      <c r="I34" s="901" t="s">
        <v>199</v>
      </c>
      <c r="J34" s="901" t="s">
        <v>199</v>
      </c>
      <c r="K34" s="901" t="s">
        <v>199</v>
      </c>
      <c r="L34" s="901" t="s">
        <v>199</v>
      </c>
      <c r="M34" s="901" t="s">
        <v>199</v>
      </c>
      <c r="N34" s="901" t="s">
        <v>199</v>
      </c>
      <c r="O34" s="901" t="s">
        <v>199</v>
      </c>
      <c r="P34" s="901" t="s">
        <v>199</v>
      </c>
      <c r="Q34" s="901" t="s">
        <v>199</v>
      </c>
      <c r="R34" s="901" t="s">
        <v>199</v>
      </c>
      <c r="S34" s="901" t="s">
        <v>199</v>
      </c>
      <c r="T34" s="901" t="s">
        <v>199</v>
      </c>
      <c r="U34" s="900" t="s">
        <v>200</v>
      </c>
      <c r="V34" s="900" t="s">
        <v>199</v>
      </c>
      <c r="W34" s="900" t="s">
        <v>200</v>
      </c>
      <c r="X34" s="900" t="s">
        <v>200</v>
      </c>
      <c r="Y34" s="901" t="s">
        <v>199</v>
      </c>
      <c r="Z34" s="901" t="s">
        <v>199</v>
      </c>
      <c r="AA34" s="901" t="s">
        <v>199</v>
      </c>
      <c r="AB34" s="901" t="s">
        <v>199</v>
      </c>
      <c r="AC34" s="901" t="s">
        <v>199</v>
      </c>
      <c r="AD34" s="901" t="s">
        <v>199</v>
      </c>
      <c r="AE34" s="901" t="s">
        <v>199</v>
      </c>
      <c r="AF34" s="901" t="s">
        <v>199</v>
      </c>
      <c r="AG34" s="901" t="s">
        <v>199</v>
      </c>
      <c r="AH34" s="901" t="s">
        <v>199</v>
      </c>
      <c r="AI34" s="901" t="s">
        <v>199</v>
      </c>
      <c r="AJ34" s="901" t="s">
        <v>199</v>
      </c>
    </row>
    <row r="35" spans="1:36">
      <c r="A35" s="856" t="str">
        <f>'[3]A1 预算指标总览'!$A$3</f>
        <v>华东一区</v>
      </c>
      <c r="B35" s="856" t="str">
        <f>'[3]A1 预算指标总览'!$B$3</f>
        <v>福建公司</v>
      </c>
      <c r="C35" s="902" t="s">
        <v>281</v>
      </c>
      <c r="D35" s="903"/>
      <c r="E35" s="900" t="s">
        <v>200</v>
      </c>
      <c r="F35" s="900" t="s">
        <v>200</v>
      </c>
      <c r="G35" s="900" t="s">
        <v>200</v>
      </c>
      <c r="H35" s="900" t="s">
        <v>200</v>
      </c>
      <c r="I35" s="900" t="s">
        <v>200</v>
      </c>
      <c r="J35" s="900" t="s">
        <v>200</v>
      </c>
      <c r="K35" s="900" t="s">
        <v>200</v>
      </c>
      <c r="L35" s="900" t="s">
        <v>200</v>
      </c>
      <c r="M35" s="900" t="s">
        <v>200</v>
      </c>
      <c r="N35" s="900" t="s">
        <v>200</v>
      </c>
      <c r="O35" s="900" t="s">
        <v>200</v>
      </c>
      <c r="P35" s="900" t="s">
        <v>200</v>
      </c>
      <c r="Q35" s="900" t="s">
        <v>200</v>
      </c>
      <c r="R35" s="900" t="s">
        <v>200</v>
      </c>
      <c r="S35" s="900" t="s">
        <v>200</v>
      </c>
      <c r="T35" s="900" t="s">
        <v>200</v>
      </c>
      <c r="U35" s="900" t="s">
        <v>200</v>
      </c>
      <c r="V35" s="900" t="s">
        <v>200</v>
      </c>
      <c r="W35" s="900" t="s">
        <v>200</v>
      </c>
      <c r="X35" s="900" t="s">
        <v>200</v>
      </c>
      <c r="Y35" s="900" t="s">
        <v>200</v>
      </c>
      <c r="Z35" s="900" t="s">
        <v>200</v>
      </c>
      <c r="AA35" s="900" t="s">
        <v>200</v>
      </c>
      <c r="AB35" s="900" t="s">
        <v>200</v>
      </c>
      <c r="AC35" s="900" t="s">
        <v>200</v>
      </c>
      <c r="AD35" s="900" t="s">
        <v>200</v>
      </c>
      <c r="AE35" s="900" t="s">
        <v>200</v>
      </c>
      <c r="AF35" s="900" t="s">
        <v>200</v>
      </c>
      <c r="AG35" s="900" t="s">
        <v>200</v>
      </c>
      <c r="AH35" s="900" t="s">
        <v>200</v>
      </c>
      <c r="AI35" s="900" t="s">
        <v>200</v>
      </c>
      <c r="AJ35" s="900" t="s">
        <v>200</v>
      </c>
    </row>
  </sheetData>
  <mergeCells count="16">
    <mergeCell ref="E2:T2"/>
    <mergeCell ref="U2:AJ2"/>
    <mergeCell ref="I3:T3"/>
    <mergeCell ref="Y3:AJ3"/>
    <mergeCell ref="A2:A4"/>
    <mergeCell ref="B2:B4"/>
    <mergeCell ref="C2:C4"/>
    <mergeCell ref="D2:D4"/>
    <mergeCell ref="E3:E4"/>
    <mergeCell ref="F3:F4"/>
    <mergeCell ref="G3:G4"/>
    <mergeCell ref="H3:H4"/>
    <mergeCell ref="U3:U4"/>
    <mergeCell ref="V3:V4"/>
    <mergeCell ref="W3:W4"/>
    <mergeCell ref="X3:X4"/>
  </mergeCells>
  <conditionalFormatting sqref="G4:T4 W4:AJ4 A5:AJ35 E3:AJ3 A2:D2">
    <cfRule type="cellIs" dxfId="1" priority="1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theme="2" tint="-0.249977111117893"/>
  </sheetPr>
  <dimension ref="A1:X23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A1" sqref="A1"/>
    </sheetView>
  </sheetViews>
  <sheetFormatPr defaultColWidth="8.90833333333333" defaultRowHeight="12"/>
  <cols>
    <col min="1" max="2" width="8.90833333333333" style="272"/>
    <col min="3" max="3" width="28.45" style="272" customWidth="1"/>
    <col min="4" max="6" width="8.90833333333333" style="272"/>
    <col min="7" max="7" width="11.0916666666667" style="272" customWidth="1"/>
    <col min="8" max="10" width="10.9083333333333" style="272" customWidth="1"/>
    <col min="11" max="16384" width="8.90833333333333" style="272"/>
  </cols>
  <sheetData>
    <row r="1" ht="13.5" spans="1:24">
      <c r="A1" s="162" t="s">
        <v>185</v>
      </c>
    </row>
    <row r="2" ht="16.5" customHeight="1" spans="1:24">
      <c r="A2" s="816" t="s">
        <v>187</v>
      </c>
      <c r="B2" s="820" t="s">
        <v>188</v>
      </c>
      <c r="C2" s="816" t="s">
        <v>489</v>
      </c>
      <c r="D2" s="868" t="s">
        <v>1327</v>
      </c>
      <c r="E2" s="869"/>
      <c r="F2" s="869"/>
      <c r="G2" s="869"/>
      <c r="H2" s="869"/>
      <c r="I2" s="869"/>
      <c r="J2" s="870"/>
      <c r="K2" s="871" t="s">
        <v>1328</v>
      </c>
      <c r="L2" s="872"/>
      <c r="M2" s="872"/>
      <c r="N2" s="872"/>
      <c r="O2" s="872"/>
      <c r="P2" s="872"/>
      <c r="Q2" s="873"/>
      <c r="R2" s="822" t="s">
        <v>1329</v>
      </c>
      <c r="S2" s="822"/>
      <c r="T2" s="822"/>
      <c r="U2" s="822"/>
      <c r="V2" s="822"/>
      <c r="W2" s="822"/>
      <c r="X2" s="822"/>
    </row>
    <row r="3" ht="24" spans="1:24">
      <c r="A3" s="820"/>
      <c r="B3" s="874"/>
      <c r="C3" s="821"/>
      <c r="D3" s="842" t="s">
        <v>58</v>
      </c>
      <c r="E3" s="842" t="s">
        <v>1330</v>
      </c>
      <c r="F3" s="842" t="s">
        <v>1318</v>
      </c>
      <c r="G3" s="842" t="s">
        <v>1331</v>
      </c>
      <c r="H3" s="844" t="s">
        <v>204</v>
      </c>
      <c r="I3" s="844" t="s">
        <v>1332</v>
      </c>
      <c r="J3" s="844" t="s">
        <v>1333</v>
      </c>
      <c r="K3" s="820" t="s">
        <v>58</v>
      </c>
      <c r="L3" s="820" t="s">
        <v>1330</v>
      </c>
      <c r="M3" s="820" t="s">
        <v>1318</v>
      </c>
      <c r="N3" s="820" t="s">
        <v>1331</v>
      </c>
      <c r="O3" s="844" t="s">
        <v>204</v>
      </c>
      <c r="P3" s="844" t="s">
        <v>1332</v>
      </c>
      <c r="Q3" s="844" t="s">
        <v>1333</v>
      </c>
      <c r="R3" s="844" t="s">
        <v>58</v>
      </c>
      <c r="S3" s="844" t="s">
        <v>1330</v>
      </c>
      <c r="T3" s="844" t="s">
        <v>1318</v>
      </c>
      <c r="U3" s="844" t="s">
        <v>1331</v>
      </c>
      <c r="V3" s="844" t="s">
        <v>204</v>
      </c>
      <c r="W3" s="822" t="s">
        <v>1332</v>
      </c>
      <c r="X3" s="822" t="s">
        <v>1333</v>
      </c>
    </row>
    <row r="4" spans="1:24">
      <c r="A4" s="875"/>
      <c r="B4" s="875"/>
      <c r="C4" s="876" t="s">
        <v>231</v>
      </c>
      <c r="D4" s="853" t="s">
        <v>199</v>
      </c>
      <c r="E4" s="853" t="s">
        <v>199</v>
      </c>
      <c r="F4" s="853" t="s">
        <v>199</v>
      </c>
      <c r="G4" s="877" t="s">
        <v>200</v>
      </c>
      <c r="H4" s="877" t="s">
        <v>200</v>
      </c>
      <c r="I4" s="877"/>
      <c r="J4" s="877"/>
      <c r="K4" s="853" t="s">
        <v>199</v>
      </c>
      <c r="L4" s="853" t="s">
        <v>199</v>
      </c>
      <c r="M4" s="853" t="s">
        <v>199</v>
      </c>
      <c r="N4" s="877" t="s">
        <v>200</v>
      </c>
      <c r="O4" s="877" t="s">
        <v>200</v>
      </c>
      <c r="P4" s="877"/>
      <c r="Q4" s="877"/>
      <c r="R4" s="877" t="s">
        <v>200</v>
      </c>
      <c r="S4" s="877" t="s">
        <v>200</v>
      </c>
      <c r="T4" s="877" t="s">
        <v>200</v>
      </c>
      <c r="U4" s="877" t="s">
        <v>200</v>
      </c>
      <c r="V4" s="877" t="s">
        <v>200</v>
      </c>
      <c r="W4" s="877"/>
      <c r="X4" s="877"/>
    </row>
    <row r="5" spans="1:24">
      <c r="A5" s="875"/>
      <c r="B5" s="852"/>
      <c r="C5" s="876" t="s">
        <v>233</v>
      </c>
      <c r="D5" s="853" t="s">
        <v>199</v>
      </c>
      <c r="E5" s="853" t="s">
        <v>199</v>
      </c>
      <c r="F5" s="853" t="s">
        <v>199</v>
      </c>
      <c r="G5" s="877" t="s">
        <v>200</v>
      </c>
      <c r="H5" s="877" t="s">
        <v>200</v>
      </c>
      <c r="I5" s="877"/>
      <c r="J5" s="877"/>
      <c r="K5" s="853" t="s">
        <v>199</v>
      </c>
      <c r="L5" s="853" t="s">
        <v>199</v>
      </c>
      <c r="M5" s="853" t="s">
        <v>199</v>
      </c>
      <c r="N5" s="877" t="s">
        <v>200</v>
      </c>
      <c r="O5" s="877" t="s">
        <v>200</v>
      </c>
      <c r="P5" s="877"/>
      <c r="Q5" s="877"/>
      <c r="R5" s="877" t="s">
        <v>200</v>
      </c>
      <c r="S5" s="877" t="s">
        <v>200</v>
      </c>
      <c r="T5" s="877" t="s">
        <v>200</v>
      </c>
      <c r="U5" s="877" t="s">
        <v>200</v>
      </c>
      <c r="V5" s="877" t="s">
        <v>200</v>
      </c>
      <c r="W5" s="877"/>
      <c r="X5" s="877"/>
    </row>
    <row r="6" spans="1:24">
      <c r="A6" s="875"/>
      <c r="B6" s="852"/>
      <c r="C6" s="876" t="s">
        <v>234</v>
      </c>
      <c r="D6" s="853" t="s">
        <v>199</v>
      </c>
      <c r="E6" s="853" t="s">
        <v>199</v>
      </c>
      <c r="F6" s="853" t="s">
        <v>199</v>
      </c>
      <c r="G6" s="877" t="s">
        <v>200</v>
      </c>
      <c r="H6" s="877" t="s">
        <v>200</v>
      </c>
      <c r="I6" s="877"/>
      <c r="J6" s="877"/>
      <c r="K6" s="853" t="s">
        <v>199</v>
      </c>
      <c r="L6" s="853" t="s">
        <v>199</v>
      </c>
      <c r="M6" s="853" t="s">
        <v>199</v>
      </c>
      <c r="N6" s="877" t="s">
        <v>200</v>
      </c>
      <c r="O6" s="877" t="s">
        <v>200</v>
      </c>
      <c r="P6" s="877"/>
      <c r="Q6" s="877"/>
      <c r="R6" s="877" t="s">
        <v>200</v>
      </c>
      <c r="S6" s="877" t="s">
        <v>200</v>
      </c>
      <c r="T6" s="877" t="s">
        <v>200</v>
      </c>
      <c r="U6" s="877" t="s">
        <v>200</v>
      </c>
      <c r="V6" s="877" t="s">
        <v>200</v>
      </c>
      <c r="W6" s="877"/>
      <c r="X6" s="877"/>
    </row>
    <row r="7" spans="1:24">
      <c r="A7" s="878"/>
      <c r="B7" s="879"/>
      <c r="C7" s="880" t="s">
        <v>1334</v>
      </c>
      <c r="D7" s="881" t="s">
        <v>199</v>
      </c>
      <c r="E7" s="881" t="s">
        <v>199</v>
      </c>
      <c r="F7" s="881" t="s">
        <v>199</v>
      </c>
      <c r="G7" s="882" t="s">
        <v>200</v>
      </c>
      <c r="H7" s="882" t="s">
        <v>200</v>
      </c>
      <c r="I7" s="882"/>
      <c r="J7" s="882"/>
      <c r="K7" s="881" t="s">
        <v>199</v>
      </c>
      <c r="L7" s="881" t="s">
        <v>199</v>
      </c>
      <c r="M7" s="881" t="s">
        <v>199</v>
      </c>
      <c r="N7" s="882" t="s">
        <v>200</v>
      </c>
      <c r="O7" s="882" t="s">
        <v>200</v>
      </c>
      <c r="P7" s="882"/>
      <c r="Q7" s="882"/>
      <c r="R7" s="882" t="s">
        <v>200</v>
      </c>
      <c r="S7" s="882" t="s">
        <v>200</v>
      </c>
      <c r="T7" s="882" t="s">
        <v>200</v>
      </c>
      <c r="U7" s="882" t="s">
        <v>200</v>
      </c>
      <c r="V7" s="882" t="s">
        <v>200</v>
      </c>
      <c r="W7" s="882"/>
      <c r="X7" s="882"/>
    </row>
    <row r="8" spans="1:24">
      <c r="A8" s="875"/>
      <c r="B8" s="852"/>
      <c r="C8" s="876" t="s">
        <v>228</v>
      </c>
      <c r="D8" s="853" t="s">
        <v>199</v>
      </c>
      <c r="E8" s="853" t="s">
        <v>199</v>
      </c>
      <c r="F8" s="853" t="s">
        <v>199</v>
      </c>
      <c r="G8" s="877" t="s">
        <v>200</v>
      </c>
      <c r="H8" s="877" t="s">
        <v>200</v>
      </c>
      <c r="I8" s="877"/>
      <c r="J8" s="877"/>
      <c r="K8" s="853" t="s">
        <v>199</v>
      </c>
      <c r="L8" s="853" t="s">
        <v>199</v>
      </c>
      <c r="M8" s="853" t="s">
        <v>199</v>
      </c>
      <c r="N8" s="877" t="s">
        <v>200</v>
      </c>
      <c r="O8" s="877" t="s">
        <v>200</v>
      </c>
      <c r="P8" s="877"/>
      <c r="Q8" s="877"/>
      <c r="R8" s="877" t="s">
        <v>200</v>
      </c>
      <c r="S8" s="877" t="s">
        <v>200</v>
      </c>
      <c r="T8" s="877" t="s">
        <v>200</v>
      </c>
      <c r="U8" s="877" t="s">
        <v>200</v>
      </c>
      <c r="V8" s="877" t="s">
        <v>200</v>
      </c>
      <c r="W8" s="877"/>
      <c r="X8" s="877"/>
    </row>
    <row r="9" spans="1:24">
      <c r="A9" s="875"/>
      <c r="B9" s="852"/>
      <c r="C9" s="876" t="s">
        <v>230</v>
      </c>
      <c r="D9" s="853" t="s">
        <v>199</v>
      </c>
      <c r="E9" s="853" t="s">
        <v>199</v>
      </c>
      <c r="F9" s="853" t="s">
        <v>199</v>
      </c>
      <c r="G9" s="877" t="s">
        <v>200</v>
      </c>
      <c r="H9" s="877" t="s">
        <v>200</v>
      </c>
      <c r="I9" s="877"/>
      <c r="J9" s="877"/>
      <c r="K9" s="853" t="s">
        <v>199</v>
      </c>
      <c r="L9" s="853" t="s">
        <v>199</v>
      </c>
      <c r="M9" s="853" t="s">
        <v>199</v>
      </c>
      <c r="N9" s="877" t="s">
        <v>200</v>
      </c>
      <c r="O9" s="877" t="s">
        <v>200</v>
      </c>
      <c r="P9" s="877"/>
      <c r="Q9" s="877"/>
      <c r="R9" s="877" t="s">
        <v>200</v>
      </c>
      <c r="S9" s="877" t="s">
        <v>200</v>
      </c>
      <c r="T9" s="877" t="s">
        <v>200</v>
      </c>
      <c r="U9" s="877" t="s">
        <v>200</v>
      </c>
      <c r="V9" s="877" t="s">
        <v>200</v>
      </c>
      <c r="W9" s="877"/>
      <c r="X9" s="877"/>
    </row>
    <row r="10" spans="1:24">
      <c r="A10" s="878"/>
      <c r="B10" s="879"/>
      <c r="C10" s="883" t="s">
        <v>1335</v>
      </c>
      <c r="D10" s="881" t="s">
        <v>199</v>
      </c>
      <c r="E10" s="881" t="s">
        <v>199</v>
      </c>
      <c r="F10" s="881" t="s">
        <v>199</v>
      </c>
      <c r="G10" s="882" t="s">
        <v>200</v>
      </c>
      <c r="H10" s="882" t="s">
        <v>200</v>
      </c>
      <c r="I10" s="882"/>
      <c r="J10" s="882"/>
      <c r="K10" s="881" t="s">
        <v>199</v>
      </c>
      <c r="L10" s="881" t="s">
        <v>199</v>
      </c>
      <c r="M10" s="881" t="s">
        <v>199</v>
      </c>
      <c r="N10" s="882" t="s">
        <v>200</v>
      </c>
      <c r="O10" s="882" t="s">
        <v>200</v>
      </c>
      <c r="P10" s="882"/>
      <c r="Q10" s="882"/>
      <c r="R10" s="882" t="s">
        <v>200</v>
      </c>
      <c r="S10" s="882" t="s">
        <v>200</v>
      </c>
      <c r="T10" s="882" t="s">
        <v>200</v>
      </c>
      <c r="U10" s="882" t="s">
        <v>200</v>
      </c>
      <c r="V10" s="882" t="s">
        <v>200</v>
      </c>
      <c r="W10" s="882"/>
      <c r="X10" s="882"/>
    </row>
    <row r="11" spans="1:24">
      <c r="A11" s="875"/>
      <c r="B11" s="852"/>
      <c r="C11" s="876" t="s">
        <v>282</v>
      </c>
      <c r="D11" s="853" t="s">
        <v>199</v>
      </c>
      <c r="E11" s="853" t="s">
        <v>199</v>
      </c>
      <c r="F11" s="853" t="s">
        <v>199</v>
      </c>
      <c r="G11" s="877" t="s">
        <v>200</v>
      </c>
      <c r="H11" s="877" t="s">
        <v>200</v>
      </c>
      <c r="I11" s="877"/>
      <c r="J11" s="877"/>
      <c r="K11" s="853" t="s">
        <v>199</v>
      </c>
      <c r="L11" s="853" t="s">
        <v>199</v>
      </c>
      <c r="M11" s="853" t="s">
        <v>199</v>
      </c>
      <c r="N11" s="877" t="s">
        <v>200</v>
      </c>
      <c r="O11" s="877" t="s">
        <v>200</v>
      </c>
      <c r="P11" s="877"/>
      <c r="Q11" s="877"/>
      <c r="R11" s="877" t="s">
        <v>200</v>
      </c>
      <c r="S11" s="877" t="s">
        <v>200</v>
      </c>
      <c r="T11" s="877" t="s">
        <v>200</v>
      </c>
      <c r="U11" s="877" t="s">
        <v>200</v>
      </c>
      <c r="V11" s="877" t="s">
        <v>200</v>
      </c>
      <c r="W11" s="877"/>
      <c r="X11" s="877"/>
    </row>
    <row r="12" spans="1:24">
      <c r="A12" s="878"/>
      <c r="B12" s="879"/>
      <c r="C12" s="880" t="s">
        <v>1336</v>
      </c>
      <c r="D12" s="881" t="s">
        <v>199</v>
      </c>
      <c r="E12" s="881" t="s">
        <v>199</v>
      </c>
      <c r="F12" s="881" t="s">
        <v>199</v>
      </c>
      <c r="G12" s="882" t="s">
        <v>200</v>
      </c>
      <c r="H12" s="882" t="s">
        <v>200</v>
      </c>
      <c r="I12" s="882"/>
      <c r="J12" s="882"/>
      <c r="K12" s="881" t="s">
        <v>199</v>
      </c>
      <c r="L12" s="881" t="s">
        <v>199</v>
      </c>
      <c r="M12" s="881" t="s">
        <v>199</v>
      </c>
      <c r="N12" s="882" t="s">
        <v>200</v>
      </c>
      <c r="O12" s="882" t="s">
        <v>200</v>
      </c>
      <c r="P12" s="882"/>
      <c r="Q12" s="882"/>
      <c r="R12" s="882" t="s">
        <v>200</v>
      </c>
      <c r="S12" s="882" t="s">
        <v>200</v>
      </c>
      <c r="T12" s="882" t="s">
        <v>200</v>
      </c>
      <c r="U12" s="882" t="s">
        <v>200</v>
      </c>
      <c r="V12" s="882" t="s">
        <v>200</v>
      </c>
      <c r="W12" s="882"/>
      <c r="X12" s="882"/>
    </row>
    <row r="13" spans="1:24">
      <c r="A13" s="884"/>
      <c r="B13" s="885"/>
      <c r="C13" s="886" t="s">
        <v>1337</v>
      </c>
      <c r="D13" s="887" t="s">
        <v>200</v>
      </c>
      <c r="E13" s="887" t="s">
        <v>200</v>
      </c>
      <c r="F13" s="887" t="s">
        <v>200</v>
      </c>
      <c r="G13" s="887" t="s">
        <v>200</v>
      </c>
      <c r="H13" s="887" t="s">
        <v>200</v>
      </c>
      <c r="I13" s="887"/>
      <c r="J13" s="887"/>
      <c r="K13" s="887" t="s">
        <v>200</v>
      </c>
      <c r="L13" s="887" t="s">
        <v>200</v>
      </c>
      <c r="M13" s="887" t="s">
        <v>200</v>
      </c>
      <c r="N13" s="887" t="s">
        <v>200</v>
      </c>
      <c r="O13" s="887" t="s">
        <v>200</v>
      </c>
      <c r="P13" s="887"/>
      <c r="Q13" s="887"/>
      <c r="R13" s="887" t="s">
        <v>200</v>
      </c>
      <c r="S13" s="887" t="s">
        <v>200</v>
      </c>
      <c r="T13" s="887" t="s">
        <v>200</v>
      </c>
      <c r="U13" s="887" t="s">
        <v>200</v>
      </c>
      <c r="V13" s="887" t="s">
        <v>200</v>
      </c>
      <c r="W13" s="887"/>
      <c r="X13" s="887"/>
    </row>
    <row r="14" spans="1:24">
      <c r="A14" s="875"/>
      <c r="B14" s="852"/>
      <c r="C14" s="876" t="s">
        <v>236</v>
      </c>
      <c r="D14" s="853" t="s">
        <v>199</v>
      </c>
      <c r="E14" s="853" t="s">
        <v>199</v>
      </c>
      <c r="F14" s="853" t="s">
        <v>199</v>
      </c>
      <c r="G14" s="877" t="s">
        <v>200</v>
      </c>
      <c r="H14" s="877" t="s">
        <v>200</v>
      </c>
      <c r="I14" s="877"/>
      <c r="J14" s="877"/>
      <c r="K14" s="853" t="s">
        <v>199</v>
      </c>
      <c r="L14" s="853" t="s">
        <v>199</v>
      </c>
      <c r="M14" s="853" t="s">
        <v>199</v>
      </c>
      <c r="N14" s="877" t="s">
        <v>200</v>
      </c>
      <c r="O14" s="877" t="s">
        <v>200</v>
      </c>
      <c r="P14" s="877"/>
      <c r="Q14" s="877"/>
      <c r="R14" s="877" t="s">
        <v>200</v>
      </c>
      <c r="S14" s="877" t="s">
        <v>200</v>
      </c>
      <c r="T14" s="877" t="s">
        <v>200</v>
      </c>
      <c r="U14" s="877" t="s">
        <v>200</v>
      </c>
      <c r="V14" s="877" t="s">
        <v>200</v>
      </c>
      <c r="W14" s="877"/>
      <c r="X14" s="877"/>
    </row>
    <row r="15" spans="1:24">
      <c r="A15" s="875"/>
      <c r="B15" s="852"/>
      <c r="C15" s="876" t="s">
        <v>235</v>
      </c>
      <c r="D15" s="853" t="s">
        <v>199</v>
      </c>
      <c r="E15" s="853" t="s">
        <v>199</v>
      </c>
      <c r="F15" s="853" t="s">
        <v>199</v>
      </c>
      <c r="G15" s="877" t="s">
        <v>200</v>
      </c>
      <c r="H15" s="877" t="s">
        <v>200</v>
      </c>
      <c r="I15" s="877"/>
      <c r="J15" s="877"/>
      <c r="K15" s="853" t="s">
        <v>199</v>
      </c>
      <c r="L15" s="853" t="s">
        <v>199</v>
      </c>
      <c r="M15" s="853" t="s">
        <v>199</v>
      </c>
      <c r="N15" s="877" t="s">
        <v>200</v>
      </c>
      <c r="O15" s="877" t="s">
        <v>200</v>
      </c>
      <c r="P15" s="877"/>
      <c r="Q15" s="877"/>
      <c r="R15" s="877" t="s">
        <v>200</v>
      </c>
      <c r="S15" s="877" t="s">
        <v>200</v>
      </c>
      <c r="T15" s="877" t="s">
        <v>200</v>
      </c>
      <c r="U15" s="877" t="s">
        <v>200</v>
      </c>
      <c r="V15" s="877" t="s">
        <v>200</v>
      </c>
      <c r="W15" s="877"/>
      <c r="X15" s="877"/>
    </row>
    <row r="16" spans="1:24">
      <c r="A16" s="878"/>
      <c r="B16" s="879"/>
      <c r="C16" s="888" t="s">
        <v>1338</v>
      </c>
      <c r="D16" s="881" t="s">
        <v>199</v>
      </c>
      <c r="E16" s="881" t="s">
        <v>199</v>
      </c>
      <c r="F16" s="881" t="s">
        <v>199</v>
      </c>
      <c r="G16" s="882" t="s">
        <v>200</v>
      </c>
      <c r="H16" s="882" t="s">
        <v>200</v>
      </c>
      <c r="I16" s="882"/>
      <c r="J16" s="882"/>
      <c r="K16" s="881" t="s">
        <v>199</v>
      </c>
      <c r="L16" s="881" t="s">
        <v>199</v>
      </c>
      <c r="M16" s="881" t="s">
        <v>199</v>
      </c>
      <c r="N16" s="882" t="s">
        <v>200</v>
      </c>
      <c r="O16" s="882" t="s">
        <v>200</v>
      </c>
      <c r="P16" s="882"/>
      <c r="Q16" s="882"/>
      <c r="R16" s="882" t="s">
        <v>200</v>
      </c>
      <c r="S16" s="882" t="s">
        <v>200</v>
      </c>
      <c r="T16" s="882" t="s">
        <v>200</v>
      </c>
      <c r="U16" s="882" t="s">
        <v>200</v>
      </c>
      <c r="V16" s="882" t="s">
        <v>200</v>
      </c>
      <c r="W16" s="882"/>
      <c r="X16" s="882"/>
    </row>
    <row r="17" spans="1:24">
      <c r="A17" s="875"/>
      <c r="B17" s="852"/>
      <c r="C17" s="876" t="s">
        <v>237</v>
      </c>
      <c r="D17" s="853" t="s">
        <v>199</v>
      </c>
      <c r="E17" s="853" t="s">
        <v>199</v>
      </c>
      <c r="F17" s="853" t="s">
        <v>199</v>
      </c>
      <c r="G17" s="877" t="s">
        <v>200</v>
      </c>
      <c r="H17" s="877" t="s">
        <v>200</v>
      </c>
      <c r="I17" s="877"/>
      <c r="J17" s="877"/>
      <c r="K17" s="853" t="s">
        <v>199</v>
      </c>
      <c r="L17" s="853" t="s">
        <v>199</v>
      </c>
      <c r="M17" s="853" t="s">
        <v>199</v>
      </c>
      <c r="N17" s="877" t="s">
        <v>200</v>
      </c>
      <c r="O17" s="877" t="s">
        <v>200</v>
      </c>
      <c r="P17" s="877"/>
      <c r="Q17" s="877"/>
      <c r="R17" s="877" t="s">
        <v>200</v>
      </c>
      <c r="S17" s="877" t="s">
        <v>200</v>
      </c>
      <c r="T17" s="877" t="s">
        <v>200</v>
      </c>
      <c r="U17" s="877" t="s">
        <v>200</v>
      </c>
      <c r="V17" s="877" t="s">
        <v>200</v>
      </c>
      <c r="W17" s="877"/>
      <c r="X17" s="877"/>
    </row>
    <row r="18" spans="1:24">
      <c r="A18" s="878"/>
      <c r="B18" s="879"/>
      <c r="C18" s="888" t="s">
        <v>1339</v>
      </c>
      <c r="D18" s="881" t="s">
        <v>199</v>
      </c>
      <c r="E18" s="881" t="s">
        <v>199</v>
      </c>
      <c r="F18" s="881" t="s">
        <v>199</v>
      </c>
      <c r="G18" s="882" t="s">
        <v>200</v>
      </c>
      <c r="H18" s="882" t="s">
        <v>200</v>
      </c>
      <c r="I18" s="882"/>
      <c r="J18" s="882"/>
      <c r="K18" s="881" t="s">
        <v>199</v>
      </c>
      <c r="L18" s="881" t="s">
        <v>199</v>
      </c>
      <c r="M18" s="881" t="s">
        <v>199</v>
      </c>
      <c r="N18" s="882" t="s">
        <v>200</v>
      </c>
      <c r="O18" s="882" t="s">
        <v>200</v>
      </c>
      <c r="P18" s="882"/>
      <c r="Q18" s="882"/>
      <c r="R18" s="882" t="s">
        <v>200</v>
      </c>
      <c r="S18" s="882" t="s">
        <v>200</v>
      </c>
      <c r="T18" s="882" t="s">
        <v>200</v>
      </c>
      <c r="U18" s="882" t="s">
        <v>200</v>
      </c>
      <c r="V18" s="882" t="s">
        <v>200</v>
      </c>
      <c r="W18" s="882"/>
      <c r="X18" s="882"/>
    </row>
    <row r="19" spans="1:24">
      <c r="A19" s="884"/>
      <c r="B19" s="885"/>
      <c r="C19" s="889" t="s">
        <v>1340</v>
      </c>
      <c r="D19" s="887" t="s">
        <v>200</v>
      </c>
      <c r="E19" s="887" t="s">
        <v>200</v>
      </c>
      <c r="F19" s="887" t="s">
        <v>200</v>
      </c>
      <c r="G19" s="887" t="s">
        <v>200</v>
      </c>
      <c r="H19" s="887" t="s">
        <v>200</v>
      </c>
      <c r="I19" s="887"/>
      <c r="J19" s="887"/>
      <c r="K19" s="887" t="s">
        <v>200</v>
      </c>
      <c r="L19" s="887" t="s">
        <v>200</v>
      </c>
      <c r="M19" s="887" t="s">
        <v>200</v>
      </c>
      <c r="N19" s="887" t="s">
        <v>200</v>
      </c>
      <c r="O19" s="887" t="s">
        <v>200</v>
      </c>
      <c r="P19" s="887"/>
      <c r="Q19" s="887"/>
      <c r="R19" s="887" t="s">
        <v>200</v>
      </c>
      <c r="S19" s="887" t="s">
        <v>200</v>
      </c>
      <c r="T19" s="887" t="s">
        <v>200</v>
      </c>
      <c r="U19" s="887" t="s">
        <v>200</v>
      </c>
      <c r="V19" s="887" t="s">
        <v>200</v>
      </c>
      <c r="W19" s="887"/>
      <c r="X19" s="887"/>
    </row>
    <row r="20" spans="1:24">
      <c r="A20" s="875"/>
      <c r="B20" s="852"/>
      <c r="C20" s="876" t="s">
        <v>238</v>
      </c>
      <c r="D20" s="853" t="s">
        <v>199</v>
      </c>
      <c r="E20" s="853" t="s">
        <v>199</v>
      </c>
      <c r="F20" s="853" t="s">
        <v>199</v>
      </c>
      <c r="G20" s="877" t="s">
        <v>200</v>
      </c>
      <c r="H20" s="877" t="s">
        <v>200</v>
      </c>
      <c r="I20" s="877"/>
      <c r="J20" s="877"/>
      <c r="K20" s="853" t="s">
        <v>199</v>
      </c>
      <c r="L20" s="853" t="s">
        <v>199</v>
      </c>
      <c r="M20" s="853" t="s">
        <v>199</v>
      </c>
      <c r="N20" s="877" t="s">
        <v>200</v>
      </c>
      <c r="O20" s="877" t="s">
        <v>200</v>
      </c>
      <c r="P20" s="877"/>
      <c r="Q20" s="877"/>
      <c r="R20" s="877" t="s">
        <v>200</v>
      </c>
      <c r="S20" s="877" t="s">
        <v>200</v>
      </c>
      <c r="T20" s="877" t="s">
        <v>200</v>
      </c>
      <c r="U20" s="877" t="s">
        <v>200</v>
      </c>
      <c r="V20" s="877" t="s">
        <v>200</v>
      </c>
      <c r="W20" s="877"/>
      <c r="X20" s="877"/>
    </row>
    <row r="21" spans="1:24">
      <c r="A21" s="884"/>
      <c r="B21" s="885"/>
      <c r="C21" s="890" t="s">
        <v>1341</v>
      </c>
      <c r="D21" s="887" t="s">
        <v>200</v>
      </c>
      <c r="E21" s="887" t="s">
        <v>200</v>
      </c>
      <c r="F21" s="887" t="s">
        <v>200</v>
      </c>
      <c r="G21" s="887" t="s">
        <v>200</v>
      </c>
      <c r="H21" s="887" t="s">
        <v>200</v>
      </c>
      <c r="I21" s="887"/>
      <c r="J21" s="887"/>
      <c r="K21" s="887" t="s">
        <v>200</v>
      </c>
      <c r="L21" s="887" t="s">
        <v>200</v>
      </c>
      <c r="M21" s="887" t="s">
        <v>200</v>
      </c>
      <c r="N21" s="887" t="s">
        <v>200</v>
      </c>
      <c r="O21" s="887" t="s">
        <v>200</v>
      </c>
      <c r="P21" s="887"/>
      <c r="Q21" s="887"/>
      <c r="R21" s="887" t="s">
        <v>200</v>
      </c>
      <c r="S21" s="887" t="s">
        <v>200</v>
      </c>
      <c r="T21" s="887" t="s">
        <v>200</v>
      </c>
      <c r="U21" s="887" t="s">
        <v>200</v>
      </c>
      <c r="V21" s="887" t="s">
        <v>200</v>
      </c>
      <c r="W21" s="887"/>
      <c r="X21" s="887"/>
    </row>
    <row r="22" spans="1:24">
      <c r="A22" s="878"/>
      <c r="B22" s="879"/>
      <c r="C22" s="891" t="s">
        <v>1342</v>
      </c>
      <c r="D22" s="881" t="s">
        <v>199</v>
      </c>
      <c r="E22" s="881" t="s">
        <v>199</v>
      </c>
      <c r="F22" s="881" t="s">
        <v>199</v>
      </c>
      <c r="G22" s="882" t="s">
        <v>200</v>
      </c>
      <c r="H22" s="882" t="s">
        <v>200</v>
      </c>
      <c r="I22" s="882"/>
      <c r="J22" s="882"/>
      <c r="K22" s="881" t="s">
        <v>199</v>
      </c>
      <c r="L22" s="881" t="s">
        <v>199</v>
      </c>
      <c r="M22" s="881" t="s">
        <v>199</v>
      </c>
      <c r="N22" s="882" t="s">
        <v>200</v>
      </c>
      <c r="O22" s="882" t="s">
        <v>200</v>
      </c>
      <c r="P22" s="882"/>
      <c r="Q22" s="882"/>
      <c r="R22" s="882" t="s">
        <v>200</v>
      </c>
      <c r="S22" s="882" t="s">
        <v>200</v>
      </c>
      <c r="T22" s="882" t="s">
        <v>200</v>
      </c>
      <c r="U22" s="882" t="s">
        <v>200</v>
      </c>
      <c r="V22" s="882" t="s">
        <v>200</v>
      </c>
      <c r="W22" s="882"/>
      <c r="X22" s="882"/>
    </row>
    <row r="23" spans="1:24">
      <c r="A23" s="878"/>
      <c r="B23" s="879"/>
      <c r="C23" s="892" t="s">
        <v>1343</v>
      </c>
      <c r="D23" s="882" t="s">
        <v>200</v>
      </c>
      <c r="E23" s="882" t="s">
        <v>200</v>
      </c>
      <c r="F23" s="882" t="s">
        <v>200</v>
      </c>
      <c r="G23" s="882" t="s">
        <v>200</v>
      </c>
      <c r="H23" s="882" t="s">
        <v>200</v>
      </c>
      <c r="I23" s="882"/>
      <c r="J23" s="882"/>
      <c r="K23" s="882" t="s">
        <v>200</v>
      </c>
      <c r="L23" s="882" t="s">
        <v>200</v>
      </c>
      <c r="M23" s="882" t="s">
        <v>200</v>
      </c>
      <c r="N23" s="882" t="s">
        <v>200</v>
      </c>
      <c r="O23" s="882" t="s">
        <v>200</v>
      </c>
      <c r="P23" s="882"/>
      <c r="Q23" s="882"/>
      <c r="R23" s="882" t="s">
        <v>200</v>
      </c>
      <c r="S23" s="882" t="s">
        <v>200</v>
      </c>
      <c r="T23" s="882" t="s">
        <v>200</v>
      </c>
      <c r="U23" s="882" t="s">
        <v>200</v>
      </c>
      <c r="V23" s="882" t="s">
        <v>200</v>
      </c>
      <c r="W23" s="882"/>
      <c r="X23" s="882"/>
    </row>
  </sheetData>
  <mergeCells count="6">
    <mergeCell ref="D2:J2"/>
    <mergeCell ref="K2:Q2"/>
    <mergeCell ref="R2:X2"/>
    <mergeCell ref="A2:A3"/>
    <mergeCell ref="B2:B3"/>
    <mergeCell ref="C2:C3"/>
  </mergeCells>
  <conditionalFormatting sqref="C17">
    <cfRule type="cellIs" dxfId="1" priority="37" operator="lessThan">
      <formula>0</formula>
    </cfRule>
  </conditionalFormatting>
  <conditionalFormatting sqref="C23">
    <cfRule type="cellIs" dxfId="1" priority="42" operator="lessThan">
      <formula>0</formula>
    </cfRule>
  </conditionalFormatting>
  <conditionalFormatting sqref="C2:C15">
    <cfRule type="cellIs" dxfId="1" priority="41" operator="lessThan">
      <formula>0</formula>
    </cfRule>
  </conditionalFormatting>
  <conditionalFormatting sqref="C19:C20">
    <cfRule type="cellIs" dxfId="1" priority="43" operator="lessThan">
      <formula>0</formula>
    </cfRule>
  </conditionalFormatting>
  <conditionalFormatting sqref="A2:B2 A3">
    <cfRule type="cellIs" dxfId="1" priority="46" operator="lessThan">
      <formula>0</formula>
    </cfRule>
  </conditionalFormatting>
  <conditionalFormatting sqref="D2 K2 R2">
    <cfRule type="cellIs" dxfId="1" priority="45" operator="lessThan">
      <formula>0</formula>
    </cfRule>
  </conditionalFormatting>
  <conditionalFormatting sqref="D3:X23">
    <cfRule type="cellIs" dxfId="1" priority="1" operator="lessThan">
      <formula>0</formula>
    </cfRule>
  </conditionalFormatting>
  <conditionalFormatting sqref="A4:B23">
    <cfRule type="cellIs" dxfId="1" priority="44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theme="2" tint="-0.249977111117893"/>
  </sheetPr>
  <dimension ref="A1:W24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A1" sqref="A1"/>
    </sheetView>
  </sheetViews>
  <sheetFormatPr defaultColWidth="8.90833333333333" defaultRowHeight="12"/>
  <cols>
    <col min="1" max="16384" width="8.90833333333333" style="272"/>
  </cols>
  <sheetData>
    <row r="1" ht="13.5" spans="1:23">
      <c r="A1" s="162" t="s">
        <v>185</v>
      </c>
      <c r="B1" s="863"/>
    </row>
    <row r="2" s="860" customFormat="1" ht="26" customHeight="1" spans="1:23">
      <c r="A2" s="864"/>
      <c r="B2" s="816" t="s">
        <v>187</v>
      </c>
      <c r="C2" s="816" t="s">
        <v>188</v>
      </c>
      <c r="D2" s="816" t="s">
        <v>489</v>
      </c>
      <c r="E2" s="816" t="s">
        <v>490</v>
      </c>
      <c r="F2" s="827" t="s">
        <v>190</v>
      </c>
      <c r="G2" s="828"/>
      <c r="H2" s="828"/>
      <c r="I2" s="828"/>
      <c r="J2" s="829"/>
      <c r="K2" s="824" t="s">
        <v>1328</v>
      </c>
      <c r="L2" s="825"/>
      <c r="M2" s="825"/>
      <c r="N2" s="825"/>
      <c r="O2" s="826"/>
      <c r="P2" s="822" t="s">
        <v>1344</v>
      </c>
      <c r="Q2" s="822"/>
      <c r="R2" s="822"/>
      <c r="S2" s="822"/>
      <c r="T2" s="822"/>
    </row>
    <row r="3" s="860" customFormat="1" ht="26" customHeight="1" spans="1:23">
      <c r="A3" s="864"/>
      <c r="B3" s="851"/>
      <c r="C3" s="816"/>
      <c r="D3" s="851"/>
      <c r="E3" s="816"/>
      <c r="F3" s="816" t="s">
        <v>58</v>
      </c>
      <c r="G3" s="816" t="s">
        <v>1318</v>
      </c>
      <c r="H3" s="816" t="s">
        <v>1331</v>
      </c>
      <c r="I3" s="816" t="s">
        <v>1332</v>
      </c>
      <c r="J3" s="816" t="s">
        <v>1333</v>
      </c>
      <c r="K3" s="865" t="s">
        <v>58</v>
      </c>
      <c r="L3" s="865" t="s">
        <v>1318</v>
      </c>
      <c r="M3" s="865" t="s">
        <v>1331</v>
      </c>
      <c r="N3" s="865" t="s">
        <v>1332</v>
      </c>
      <c r="O3" s="865" t="s">
        <v>1333</v>
      </c>
      <c r="P3" s="822" t="s">
        <v>58</v>
      </c>
      <c r="Q3" s="822" t="s">
        <v>1318</v>
      </c>
      <c r="R3" s="822" t="s">
        <v>1331</v>
      </c>
      <c r="S3" s="822" t="s">
        <v>1332</v>
      </c>
      <c r="T3" s="822" t="s">
        <v>1333</v>
      </c>
    </row>
    <row r="4" s="861" customFormat="1" spans="1:23">
      <c r="A4" s="866"/>
      <c r="B4" s="852"/>
      <c r="C4" s="852"/>
      <c r="D4" s="852" t="s">
        <v>282</v>
      </c>
      <c r="E4" s="852" t="s">
        <v>1345</v>
      </c>
      <c r="F4" s="853" t="s">
        <v>199</v>
      </c>
      <c r="G4" s="853" t="s">
        <v>199</v>
      </c>
      <c r="H4" s="853" t="s">
        <v>200</v>
      </c>
      <c r="I4" s="853"/>
      <c r="J4" s="853"/>
      <c r="K4" s="853" t="s">
        <v>199</v>
      </c>
      <c r="L4" s="853" t="s">
        <v>199</v>
      </c>
      <c r="M4" s="853" t="s">
        <v>200</v>
      </c>
      <c r="N4" s="853"/>
      <c r="O4" s="853"/>
      <c r="P4" s="853" t="s">
        <v>200</v>
      </c>
      <c r="Q4" s="853" t="s">
        <v>200</v>
      </c>
      <c r="R4" s="853" t="s">
        <v>200</v>
      </c>
      <c r="S4" s="853"/>
      <c r="T4" s="853"/>
      <c r="U4" s="867"/>
      <c r="V4" s="867"/>
    </row>
    <row r="5" s="861" customFormat="1" spans="1:23">
      <c r="A5" s="866"/>
      <c r="B5" s="852"/>
      <c r="C5" s="852"/>
      <c r="D5" s="852"/>
      <c r="E5" s="852" t="s">
        <v>1346</v>
      </c>
      <c r="F5" s="853" t="s">
        <v>199</v>
      </c>
      <c r="G5" s="853" t="s">
        <v>199</v>
      </c>
      <c r="H5" s="853" t="s">
        <v>200</v>
      </c>
      <c r="I5" s="853"/>
      <c r="J5" s="853"/>
      <c r="K5" s="853" t="s">
        <v>199</v>
      </c>
      <c r="L5" s="853" t="s">
        <v>199</v>
      </c>
      <c r="M5" s="853" t="s">
        <v>200</v>
      </c>
      <c r="N5" s="853"/>
      <c r="O5" s="853"/>
      <c r="P5" s="853" t="s">
        <v>200</v>
      </c>
      <c r="Q5" s="853" t="s">
        <v>200</v>
      </c>
      <c r="R5" s="853" t="s">
        <v>200</v>
      </c>
      <c r="S5" s="853"/>
      <c r="T5" s="853"/>
      <c r="U5" s="867"/>
      <c r="V5" s="867"/>
    </row>
    <row r="6" s="861" customFormat="1" spans="1:23">
      <c r="A6" s="866"/>
      <c r="B6" s="852"/>
      <c r="C6" s="852"/>
      <c r="D6" s="852"/>
      <c r="E6" s="852"/>
      <c r="F6" s="853" t="s">
        <v>199</v>
      </c>
      <c r="G6" s="853" t="s">
        <v>199</v>
      </c>
      <c r="H6" s="853" t="s">
        <v>200</v>
      </c>
      <c r="I6" s="853"/>
      <c r="J6" s="853"/>
      <c r="K6" s="853" t="s">
        <v>199</v>
      </c>
      <c r="L6" s="853" t="s">
        <v>199</v>
      </c>
      <c r="M6" s="853" t="s">
        <v>200</v>
      </c>
      <c r="N6" s="853"/>
      <c r="O6" s="853"/>
      <c r="P6" s="853" t="s">
        <v>200</v>
      </c>
      <c r="Q6" s="853" t="s">
        <v>200</v>
      </c>
      <c r="R6" s="853" t="s">
        <v>200</v>
      </c>
      <c r="S6" s="853"/>
      <c r="T6" s="853"/>
      <c r="U6" s="867" t="str">
        <f t="shared" ref="U6:U19" si="0">D6&amp;E6</f>
        <v/>
      </c>
      <c r="V6" s="867"/>
    </row>
    <row r="7" s="861" customFormat="1" spans="1:23">
      <c r="A7" s="866"/>
      <c r="B7" s="852"/>
      <c r="C7" s="852"/>
      <c r="D7" s="852"/>
      <c r="E7" s="852"/>
      <c r="F7" s="853" t="s">
        <v>199</v>
      </c>
      <c r="G7" s="853" t="s">
        <v>199</v>
      </c>
      <c r="H7" s="853" t="s">
        <v>200</v>
      </c>
      <c r="I7" s="853"/>
      <c r="J7" s="853"/>
      <c r="K7" s="853" t="s">
        <v>199</v>
      </c>
      <c r="L7" s="853" t="s">
        <v>199</v>
      </c>
      <c r="M7" s="853" t="s">
        <v>200</v>
      </c>
      <c r="N7" s="853"/>
      <c r="O7" s="853"/>
      <c r="P7" s="853" t="s">
        <v>200</v>
      </c>
      <c r="Q7" s="853" t="s">
        <v>200</v>
      </c>
      <c r="R7" s="853" t="s">
        <v>200</v>
      </c>
      <c r="S7" s="853"/>
      <c r="T7" s="853"/>
      <c r="U7" s="867" t="str">
        <f t="shared" si="0"/>
        <v/>
      </c>
      <c r="V7" s="867"/>
    </row>
    <row r="8" s="862" customFormat="1" spans="1:23">
      <c r="A8" s="866"/>
      <c r="B8" s="852"/>
      <c r="C8" s="852"/>
      <c r="D8" s="852"/>
      <c r="E8" s="852"/>
      <c r="F8" s="853" t="s">
        <v>199</v>
      </c>
      <c r="G8" s="853" t="s">
        <v>199</v>
      </c>
      <c r="H8" s="853" t="s">
        <v>200</v>
      </c>
      <c r="I8" s="853"/>
      <c r="J8" s="853"/>
      <c r="K8" s="853" t="s">
        <v>199</v>
      </c>
      <c r="L8" s="853" t="s">
        <v>199</v>
      </c>
      <c r="M8" s="853" t="s">
        <v>200</v>
      </c>
      <c r="N8" s="853"/>
      <c r="O8" s="853"/>
      <c r="P8" s="853" t="s">
        <v>200</v>
      </c>
      <c r="Q8" s="853" t="s">
        <v>200</v>
      </c>
      <c r="R8" s="853" t="s">
        <v>200</v>
      </c>
      <c r="S8" s="853"/>
      <c r="T8" s="853"/>
      <c r="U8" s="867" t="str">
        <f t="shared" si="0"/>
        <v/>
      </c>
      <c r="V8" s="867"/>
      <c r="W8" s="861"/>
    </row>
    <row r="9" s="862" customFormat="1" spans="1:23">
      <c r="A9" s="866"/>
      <c r="B9" s="852"/>
      <c r="C9" s="852"/>
      <c r="D9" s="852"/>
      <c r="E9" s="852"/>
      <c r="F9" s="853" t="s">
        <v>199</v>
      </c>
      <c r="G9" s="853" t="s">
        <v>199</v>
      </c>
      <c r="H9" s="853" t="s">
        <v>200</v>
      </c>
      <c r="I9" s="853"/>
      <c r="J9" s="853"/>
      <c r="K9" s="853" t="s">
        <v>199</v>
      </c>
      <c r="L9" s="853" t="s">
        <v>199</v>
      </c>
      <c r="M9" s="853" t="s">
        <v>200</v>
      </c>
      <c r="N9" s="853"/>
      <c r="O9" s="853"/>
      <c r="P9" s="853" t="s">
        <v>200</v>
      </c>
      <c r="Q9" s="853" t="s">
        <v>200</v>
      </c>
      <c r="R9" s="853" t="s">
        <v>200</v>
      </c>
      <c r="S9" s="853"/>
      <c r="T9" s="853"/>
      <c r="U9" s="867" t="str">
        <f t="shared" si="0"/>
        <v/>
      </c>
      <c r="V9" s="867"/>
      <c r="W9" s="861"/>
    </row>
    <row r="10" s="862" customFormat="1" spans="1:23">
      <c r="A10" s="866"/>
      <c r="B10" s="852"/>
      <c r="C10" s="852"/>
      <c r="D10" s="852"/>
      <c r="E10" s="852"/>
      <c r="F10" s="853" t="s">
        <v>199</v>
      </c>
      <c r="G10" s="853" t="s">
        <v>199</v>
      </c>
      <c r="H10" s="853" t="s">
        <v>200</v>
      </c>
      <c r="I10" s="853"/>
      <c r="J10" s="853"/>
      <c r="K10" s="853" t="s">
        <v>199</v>
      </c>
      <c r="L10" s="853" t="s">
        <v>199</v>
      </c>
      <c r="M10" s="853" t="s">
        <v>200</v>
      </c>
      <c r="N10" s="853"/>
      <c r="O10" s="853"/>
      <c r="P10" s="853" t="s">
        <v>200</v>
      </c>
      <c r="Q10" s="853" t="s">
        <v>200</v>
      </c>
      <c r="R10" s="853" t="s">
        <v>200</v>
      </c>
      <c r="S10" s="853"/>
      <c r="T10" s="853"/>
      <c r="U10" s="867" t="str">
        <f t="shared" si="0"/>
        <v/>
      </c>
      <c r="V10" s="867"/>
      <c r="W10" s="861"/>
    </row>
    <row r="11" s="861" customFormat="1" spans="1:23">
      <c r="A11" s="866"/>
      <c r="B11" s="852"/>
      <c r="C11" s="852"/>
      <c r="D11" s="852"/>
      <c r="E11" s="852"/>
      <c r="F11" s="853" t="s">
        <v>199</v>
      </c>
      <c r="G11" s="853" t="s">
        <v>199</v>
      </c>
      <c r="H11" s="853" t="s">
        <v>200</v>
      </c>
      <c r="I11" s="853"/>
      <c r="J11" s="853"/>
      <c r="K11" s="853" t="s">
        <v>199</v>
      </c>
      <c r="L11" s="853" t="s">
        <v>199</v>
      </c>
      <c r="M11" s="853" t="s">
        <v>200</v>
      </c>
      <c r="N11" s="853"/>
      <c r="O11" s="853"/>
      <c r="P11" s="853" t="s">
        <v>200</v>
      </c>
      <c r="Q11" s="853" t="s">
        <v>200</v>
      </c>
      <c r="R11" s="853" t="s">
        <v>200</v>
      </c>
      <c r="S11" s="853"/>
      <c r="T11" s="853"/>
      <c r="U11" s="867" t="str">
        <f t="shared" si="0"/>
        <v/>
      </c>
      <c r="V11" s="867"/>
    </row>
    <row r="12" s="861" customFormat="1" spans="1:23">
      <c r="A12" s="866"/>
      <c r="B12" s="852"/>
      <c r="C12" s="852"/>
      <c r="D12" s="852"/>
      <c r="E12" s="852"/>
      <c r="F12" s="853" t="s">
        <v>199</v>
      </c>
      <c r="G12" s="853" t="s">
        <v>199</v>
      </c>
      <c r="H12" s="853" t="s">
        <v>200</v>
      </c>
      <c r="I12" s="853"/>
      <c r="J12" s="853"/>
      <c r="K12" s="853" t="s">
        <v>199</v>
      </c>
      <c r="L12" s="853" t="s">
        <v>199</v>
      </c>
      <c r="M12" s="853" t="s">
        <v>200</v>
      </c>
      <c r="N12" s="853"/>
      <c r="O12" s="853"/>
      <c r="P12" s="853" t="s">
        <v>200</v>
      </c>
      <c r="Q12" s="853" t="s">
        <v>200</v>
      </c>
      <c r="R12" s="853" t="s">
        <v>200</v>
      </c>
      <c r="S12" s="853"/>
      <c r="T12" s="853"/>
      <c r="U12" s="867" t="str">
        <f t="shared" si="0"/>
        <v/>
      </c>
      <c r="V12" s="867"/>
    </row>
    <row r="13" s="862" customFormat="1" spans="1:23">
      <c r="A13" s="866"/>
      <c r="B13" s="852"/>
      <c r="C13" s="852"/>
      <c r="D13" s="852"/>
      <c r="E13" s="852"/>
      <c r="F13" s="853" t="s">
        <v>199</v>
      </c>
      <c r="G13" s="853" t="s">
        <v>199</v>
      </c>
      <c r="H13" s="853" t="s">
        <v>200</v>
      </c>
      <c r="I13" s="853"/>
      <c r="J13" s="853"/>
      <c r="K13" s="853" t="s">
        <v>199</v>
      </c>
      <c r="L13" s="853" t="s">
        <v>199</v>
      </c>
      <c r="M13" s="853" t="s">
        <v>200</v>
      </c>
      <c r="N13" s="853"/>
      <c r="O13" s="853"/>
      <c r="P13" s="853" t="s">
        <v>200</v>
      </c>
      <c r="Q13" s="853" t="s">
        <v>200</v>
      </c>
      <c r="R13" s="853" t="s">
        <v>200</v>
      </c>
      <c r="S13" s="853"/>
      <c r="T13" s="853"/>
      <c r="U13" s="867" t="str">
        <f t="shared" si="0"/>
        <v/>
      </c>
      <c r="V13" s="867"/>
      <c r="W13" s="861"/>
    </row>
    <row r="14" s="862" customFormat="1" spans="1:23">
      <c r="A14" s="866"/>
      <c r="B14" s="852"/>
      <c r="C14" s="852"/>
      <c r="D14" s="852"/>
      <c r="E14" s="852"/>
      <c r="F14" s="853" t="s">
        <v>199</v>
      </c>
      <c r="G14" s="853" t="s">
        <v>199</v>
      </c>
      <c r="H14" s="853" t="s">
        <v>200</v>
      </c>
      <c r="I14" s="853"/>
      <c r="J14" s="853"/>
      <c r="K14" s="853" t="s">
        <v>199</v>
      </c>
      <c r="L14" s="853" t="s">
        <v>199</v>
      </c>
      <c r="M14" s="853" t="s">
        <v>200</v>
      </c>
      <c r="N14" s="853"/>
      <c r="O14" s="853"/>
      <c r="P14" s="853" t="s">
        <v>200</v>
      </c>
      <c r="Q14" s="853" t="s">
        <v>200</v>
      </c>
      <c r="R14" s="853" t="s">
        <v>200</v>
      </c>
      <c r="S14" s="853"/>
      <c r="T14" s="853"/>
      <c r="U14" s="867" t="str">
        <f t="shared" si="0"/>
        <v/>
      </c>
      <c r="V14" s="867"/>
      <c r="W14" s="861"/>
    </row>
    <row r="15" s="861" customFormat="1" spans="1:23">
      <c r="A15" s="866"/>
      <c r="B15" s="852"/>
      <c r="C15" s="852"/>
      <c r="D15" s="852"/>
      <c r="E15" s="852"/>
      <c r="F15" s="853" t="s">
        <v>199</v>
      </c>
      <c r="G15" s="853" t="s">
        <v>199</v>
      </c>
      <c r="H15" s="853" t="s">
        <v>200</v>
      </c>
      <c r="I15" s="853"/>
      <c r="J15" s="853"/>
      <c r="K15" s="853" t="s">
        <v>199</v>
      </c>
      <c r="L15" s="853" t="s">
        <v>199</v>
      </c>
      <c r="M15" s="853" t="s">
        <v>200</v>
      </c>
      <c r="N15" s="853"/>
      <c r="O15" s="853"/>
      <c r="P15" s="853" t="s">
        <v>200</v>
      </c>
      <c r="Q15" s="853" t="s">
        <v>200</v>
      </c>
      <c r="R15" s="853" t="s">
        <v>200</v>
      </c>
      <c r="S15" s="853"/>
      <c r="T15" s="853"/>
      <c r="U15" s="867" t="str">
        <f t="shared" si="0"/>
        <v/>
      </c>
      <c r="V15" s="867"/>
    </row>
    <row r="16" s="862" customFormat="1" spans="1:23">
      <c r="A16" s="866"/>
      <c r="B16" s="852"/>
      <c r="C16" s="852"/>
      <c r="D16" s="852"/>
      <c r="E16" s="852"/>
      <c r="F16" s="853" t="s">
        <v>199</v>
      </c>
      <c r="G16" s="853" t="s">
        <v>199</v>
      </c>
      <c r="H16" s="853" t="s">
        <v>200</v>
      </c>
      <c r="I16" s="853"/>
      <c r="J16" s="853"/>
      <c r="K16" s="853" t="s">
        <v>199</v>
      </c>
      <c r="L16" s="853" t="s">
        <v>199</v>
      </c>
      <c r="M16" s="853" t="s">
        <v>200</v>
      </c>
      <c r="N16" s="853"/>
      <c r="O16" s="853"/>
      <c r="P16" s="853" t="s">
        <v>200</v>
      </c>
      <c r="Q16" s="853" t="s">
        <v>200</v>
      </c>
      <c r="R16" s="853" t="s">
        <v>200</v>
      </c>
      <c r="S16" s="853"/>
      <c r="T16" s="853"/>
      <c r="U16" s="867" t="str">
        <f t="shared" si="0"/>
        <v/>
      </c>
      <c r="V16" s="867"/>
      <c r="W16" s="861"/>
    </row>
    <row r="17" s="862" customFormat="1" spans="1:23">
      <c r="A17" s="866"/>
      <c r="B17" s="852"/>
      <c r="C17" s="852"/>
      <c r="D17" s="852"/>
      <c r="E17" s="852"/>
      <c r="F17" s="853" t="s">
        <v>199</v>
      </c>
      <c r="G17" s="853" t="s">
        <v>199</v>
      </c>
      <c r="H17" s="853" t="s">
        <v>200</v>
      </c>
      <c r="I17" s="853"/>
      <c r="J17" s="853"/>
      <c r="K17" s="853" t="s">
        <v>199</v>
      </c>
      <c r="L17" s="853" t="s">
        <v>199</v>
      </c>
      <c r="M17" s="853" t="s">
        <v>200</v>
      </c>
      <c r="N17" s="853"/>
      <c r="O17" s="853"/>
      <c r="P17" s="853" t="s">
        <v>200</v>
      </c>
      <c r="Q17" s="853" t="s">
        <v>200</v>
      </c>
      <c r="R17" s="853" t="s">
        <v>200</v>
      </c>
      <c r="S17" s="853"/>
      <c r="T17" s="853"/>
      <c r="U17" s="867" t="str">
        <f t="shared" si="0"/>
        <v/>
      </c>
      <c r="V17" s="867"/>
      <c r="W17" s="861"/>
    </row>
    <row r="18" s="862" customFormat="1" spans="1:23">
      <c r="A18" s="866"/>
      <c r="B18" s="852"/>
      <c r="C18" s="852"/>
      <c r="D18" s="852"/>
      <c r="E18" s="852"/>
      <c r="F18" s="853" t="s">
        <v>199</v>
      </c>
      <c r="G18" s="853" t="s">
        <v>199</v>
      </c>
      <c r="H18" s="853" t="s">
        <v>200</v>
      </c>
      <c r="I18" s="853"/>
      <c r="J18" s="853"/>
      <c r="K18" s="853" t="s">
        <v>199</v>
      </c>
      <c r="L18" s="853" t="s">
        <v>199</v>
      </c>
      <c r="M18" s="853" t="s">
        <v>200</v>
      </c>
      <c r="N18" s="853"/>
      <c r="O18" s="853"/>
      <c r="P18" s="853" t="s">
        <v>200</v>
      </c>
      <c r="Q18" s="853" t="s">
        <v>200</v>
      </c>
      <c r="R18" s="853" t="s">
        <v>200</v>
      </c>
      <c r="S18" s="853"/>
      <c r="T18" s="853"/>
      <c r="U18" s="867" t="str">
        <f t="shared" si="0"/>
        <v/>
      </c>
      <c r="V18" s="867"/>
      <c r="W18" s="861"/>
    </row>
    <row r="19" s="862" customFormat="1" spans="1:23">
      <c r="A19" s="866"/>
      <c r="B19" s="852"/>
      <c r="C19" s="852"/>
      <c r="D19" s="852"/>
      <c r="E19" s="852"/>
      <c r="F19" s="853" t="s">
        <v>199</v>
      </c>
      <c r="G19" s="853" t="s">
        <v>199</v>
      </c>
      <c r="H19" s="853" t="s">
        <v>200</v>
      </c>
      <c r="I19" s="853"/>
      <c r="J19" s="853"/>
      <c r="K19" s="853" t="s">
        <v>199</v>
      </c>
      <c r="L19" s="853" t="s">
        <v>199</v>
      </c>
      <c r="M19" s="853" t="s">
        <v>200</v>
      </c>
      <c r="N19" s="853"/>
      <c r="O19" s="853"/>
      <c r="P19" s="853" t="s">
        <v>200</v>
      </c>
      <c r="Q19" s="853" t="s">
        <v>200</v>
      </c>
      <c r="R19" s="853" t="s">
        <v>200</v>
      </c>
      <c r="S19" s="853"/>
      <c r="T19" s="853"/>
      <c r="U19" s="867" t="str">
        <f t="shared" si="0"/>
        <v/>
      </c>
      <c r="V19" s="867"/>
      <c r="W19" s="861"/>
    </row>
    <row r="20" s="862" customFormat="1" spans="1:23">
      <c r="A20" s="866"/>
      <c r="B20" s="852"/>
      <c r="C20" s="852"/>
      <c r="D20" s="852"/>
      <c r="E20" s="852"/>
      <c r="F20" s="853" t="s">
        <v>199</v>
      </c>
      <c r="G20" s="853" t="s">
        <v>199</v>
      </c>
      <c r="H20" s="853" t="s">
        <v>200</v>
      </c>
      <c r="I20" s="853"/>
      <c r="J20" s="853"/>
      <c r="K20" s="853" t="s">
        <v>199</v>
      </c>
      <c r="L20" s="853" t="s">
        <v>199</v>
      </c>
      <c r="M20" s="853" t="s">
        <v>200</v>
      </c>
      <c r="N20" s="853"/>
      <c r="O20" s="853"/>
      <c r="P20" s="853" t="s">
        <v>200</v>
      </c>
      <c r="Q20" s="853" t="s">
        <v>200</v>
      </c>
      <c r="R20" s="853" t="s">
        <v>200</v>
      </c>
      <c r="S20" s="853"/>
      <c r="T20" s="853"/>
      <c r="U20" s="867"/>
      <c r="V20" s="867"/>
      <c r="W20" s="861"/>
    </row>
    <row r="21" s="862" customFormat="1" spans="1:23">
      <c r="A21" s="866"/>
      <c r="B21" s="852"/>
      <c r="C21" s="852"/>
      <c r="D21" s="852"/>
      <c r="E21" s="852"/>
      <c r="F21" s="853" t="s">
        <v>199</v>
      </c>
      <c r="G21" s="853" t="s">
        <v>199</v>
      </c>
      <c r="H21" s="853" t="s">
        <v>200</v>
      </c>
      <c r="I21" s="853"/>
      <c r="J21" s="853"/>
      <c r="K21" s="853" t="s">
        <v>199</v>
      </c>
      <c r="L21" s="853" t="s">
        <v>199</v>
      </c>
      <c r="M21" s="853" t="s">
        <v>200</v>
      </c>
      <c r="N21" s="853"/>
      <c r="O21" s="853"/>
      <c r="P21" s="853" t="s">
        <v>200</v>
      </c>
      <c r="Q21" s="853" t="s">
        <v>200</v>
      </c>
      <c r="R21" s="853" t="s">
        <v>200</v>
      </c>
      <c r="S21" s="853"/>
      <c r="T21" s="853"/>
      <c r="U21" s="867"/>
      <c r="V21" s="867"/>
      <c r="W21" s="861"/>
    </row>
    <row r="22" s="862" customFormat="1" spans="1:23">
      <c r="A22" s="866"/>
      <c r="B22" s="852"/>
      <c r="C22" s="852"/>
      <c r="D22" s="852"/>
      <c r="E22" s="852"/>
      <c r="F22" s="853" t="s">
        <v>199</v>
      </c>
      <c r="G22" s="853" t="s">
        <v>199</v>
      </c>
      <c r="H22" s="853" t="s">
        <v>200</v>
      </c>
      <c r="I22" s="853"/>
      <c r="J22" s="853"/>
      <c r="K22" s="853" t="s">
        <v>199</v>
      </c>
      <c r="L22" s="853" t="s">
        <v>199</v>
      </c>
      <c r="M22" s="853" t="s">
        <v>200</v>
      </c>
      <c r="N22" s="853"/>
      <c r="O22" s="853"/>
      <c r="P22" s="853" t="s">
        <v>200</v>
      </c>
      <c r="Q22" s="853" t="s">
        <v>200</v>
      </c>
      <c r="R22" s="853" t="s">
        <v>200</v>
      </c>
      <c r="S22" s="853"/>
      <c r="T22" s="853"/>
      <c r="U22" s="867"/>
      <c r="V22" s="867"/>
      <c r="W22" s="861"/>
    </row>
    <row r="23" s="861" customFormat="1" spans="1:23">
      <c r="A23" s="866"/>
      <c r="B23" s="852"/>
      <c r="C23" s="852"/>
      <c r="D23" s="852"/>
      <c r="E23" s="852"/>
      <c r="F23" s="853" t="s">
        <v>199</v>
      </c>
      <c r="G23" s="853" t="s">
        <v>199</v>
      </c>
      <c r="H23" s="853" t="s">
        <v>200</v>
      </c>
      <c r="I23" s="853"/>
      <c r="J23" s="853"/>
      <c r="K23" s="853" t="s">
        <v>199</v>
      </c>
      <c r="L23" s="853" t="s">
        <v>199</v>
      </c>
      <c r="M23" s="853" t="s">
        <v>200</v>
      </c>
      <c r="N23" s="853"/>
      <c r="O23" s="853"/>
      <c r="P23" s="853" t="s">
        <v>200</v>
      </c>
      <c r="Q23" s="853" t="s">
        <v>200</v>
      </c>
      <c r="R23" s="853" t="s">
        <v>200</v>
      </c>
      <c r="S23" s="853"/>
      <c r="T23" s="853"/>
      <c r="U23" s="867" t="str">
        <f>D23&amp;E23</f>
        <v/>
      </c>
      <c r="V23" s="867"/>
    </row>
    <row r="24" s="862" customFormat="1" spans="1:23">
      <c r="A24" s="866"/>
      <c r="B24" s="852"/>
      <c r="C24" s="852"/>
      <c r="D24" s="852"/>
      <c r="E24" s="852"/>
      <c r="F24" s="853" t="s">
        <v>199</v>
      </c>
      <c r="G24" s="853" t="s">
        <v>199</v>
      </c>
      <c r="H24" s="853" t="s">
        <v>200</v>
      </c>
      <c r="I24" s="853"/>
      <c r="J24" s="853"/>
      <c r="K24" s="853" t="s">
        <v>199</v>
      </c>
      <c r="L24" s="853" t="s">
        <v>199</v>
      </c>
      <c r="M24" s="853" t="s">
        <v>200</v>
      </c>
      <c r="N24" s="853"/>
      <c r="O24" s="853"/>
      <c r="P24" s="853" t="s">
        <v>200</v>
      </c>
      <c r="Q24" s="853" t="s">
        <v>200</v>
      </c>
      <c r="R24" s="853" t="s">
        <v>200</v>
      </c>
      <c r="S24" s="853"/>
      <c r="T24" s="853"/>
      <c r="U24" s="867" t="str">
        <f>D24&amp;E24</f>
        <v/>
      </c>
      <c r="V24" s="867"/>
      <c r="W24" s="861"/>
    </row>
  </sheetData>
  <mergeCells count="7">
    <mergeCell ref="F2:J2"/>
    <mergeCell ref="K2:O2"/>
    <mergeCell ref="P2:T2"/>
    <mergeCell ref="B2:B3"/>
    <mergeCell ref="C2:C3"/>
    <mergeCell ref="D2:D3"/>
    <mergeCell ref="E2:E3"/>
  </mergeCells>
  <conditionalFormatting sqref="A2:A3 W2:XFD24 F3:J3 L3:T3">
    <cfRule type="cellIs" dxfId="1" priority="153" operator="lessThan">
      <formula>0</formula>
    </cfRule>
  </conditionalFormatting>
  <conditionalFormatting sqref="B2:F2 P2 K2:K3">
    <cfRule type="cellIs" dxfId="1" priority="154" operator="lessThan">
      <formula>0</formula>
    </cfRule>
  </conditionalFormatting>
  <conditionalFormatting sqref="B3 D3">
    <cfRule type="cellIs" dxfId="1" priority="155" operator="lessThan">
      <formula>0</formula>
    </cfRule>
  </conditionalFormatting>
  <conditionalFormatting sqref="A4:T24">
    <cfRule type="cellIs" dxfId="1" priority="1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2" tint="-0.249977111117893"/>
  </sheetPr>
  <dimension ref="A1:BD100"/>
  <sheetViews>
    <sheetView zoomScale="85" zoomScaleNormal="85" workbookViewId="0">
      <pane xSplit="4" ySplit="3" topLeftCell="H4" activePane="bottomRight" state="frozen"/>
      <selection/>
      <selection pane="topRight"/>
      <selection pane="bottomLeft"/>
      <selection pane="bottomRight" activeCell="E1" sqref="E1:AD1"/>
    </sheetView>
  </sheetViews>
  <sheetFormatPr defaultColWidth="9" defaultRowHeight="13.5"/>
  <cols>
    <col min="4" max="4" width="13.5416666666667" customWidth="1"/>
  </cols>
  <sheetData>
    <row r="1" spans="1:56">
      <c r="A1" s="202" t="s">
        <v>185</v>
      </c>
      <c r="B1" s="859" t="s">
        <v>489</v>
      </c>
      <c r="C1" s="859" t="s">
        <v>490</v>
      </c>
      <c r="D1" s="859" t="s">
        <v>493</v>
      </c>
      <c r="E1" s="859" t="s">
        <v>1347</v>
      </c>
      <c r="F1" s="859"/>
      <c r="G1" s="859"/>
      <c r="H1" s="859"/>
      <c r="I1" s="859"/>
      <c r="J1" s="859"/>
      <c r="K1" s="859"/>
      <c r="L1" s="859"/>
      <c r="M1" s="859"/>
      <c r="N1" s="859"/>
      <c r="O1" s="859"/>
      <c r="P1" s="859"/>
      <c r="Q1" s="859"/>
      <c r="R1" s="859"/>
      <c r="S1" s="859"/>
      <c r="T1" s="859"/>
      <c r="U1" s="859"/>
      <c r="V1" s="859"/>
      <c r="W1" s="859"/>
      <c r="X1" s="859"/>
      <c r="Y1" s="859"/>
      <c r="Z1" s="859"/>
      <c r="AA1" s="859"/>
      <c r="AB1" s="859"/>
      <c r="AC1" s="859"/>
      <c r="AD1" s="859"/>
      <c r="AE1" s="859" t="s">
        <v>1348</v>
      </c>
      <c r="AF1" s="859"/>
      <c r="AG1" s="859"/>
      <c r="AH1" s="859"/>
      <c r="AI1" s="859"/>
      <c r="AJ1" s="859"/>
      <c r="AK1" s="859"/>
      <c r="AL1" s="859"/>
      <c r="AM1" s="859"/>
      <c r="AN1" s="859"/>
      <c r="AO1" s="859"/>
      <c r="AP1" s="859"/>
      <c r="AQ1" s="859"/>
      <c r="AR1" s="859"/>
      <c r="AS1" s="859"/>
      <c r="AT1" s="859"/>
      <c r="AU1" s="859"/>
      <c r="AV1" s="859"/>
      <c r="AW1" s="859"/>
      <c r="AX1" s="859"/>
      <c r="AY1" s="859"/>
      <c r="AZ1" s="859"/>
      <c r="BA1" s="859"/>
      <c r="BB1" s="859"/>
      <c r="BC1" s="859"/>
      <c r="BD1" s="859"/>
    </row>
    <row r="2" spans="1:56">
      <c r="B2" s="859"/>
      <c r="C2" s="859"/>
      <c r="D2" s="859"/>
      <c r="E2" s="859" t="s">
        <v>1349</v>
      </c>
      <c r="F2" s="859"/>
      <c r="G2" s="859"/>
      <c r="H2" s="859"/>
      <c r="I2" s="859"/>
      <c r="J2" s="859"/>
      <c r="K2" s="859"/>
      <c r="L2" s="859"/>
      <c r="M2" s="859"/>
      <c r="N2" s="859"/>
      <c r="O2" s="859"/>
      <c r="P2" s="859"/>
      <c r="Q2" s="859"/>
      <c r="R2" s="859" t="s">
        <v>287</v>
      </c>
      <c r="S2" s="859"/>
      <c r="T2" s="859"/>
      <c r="U2" s="859"/>
      <c r="V2" s="859"/>
      <c r="W2" s="859"/>
      <c r="X2" s="859"/>
      <c r="Y2" s="859"/>
      <c r="Z2" s="859"/>
      <c r="AA2" s="859"/>
      <c r="AB2" s="859"/>
      <c r="AC2" s="859"/>
      <c r="AD2" s="859"/>
      <c r="AE2" s="859" t="s">
        <v>1349</v>
      </c>
      <c r="AF2" s="859"/>
      <c r="AG2" s="859"/>
      <c r="AH2" s="859"/>
      <c r="AI2" s="859"/>
      <c r="AJ2" s="859"/>
      <c r="AK2" s="859"/>
      <c r="AL2" s="859"/>
      <c r="AM2" s="859"/>
      <c r="AN2" s="859"/>
      <c r="AO2" s="859"/>
      <c r="AP2" s="859"/>
      <c r="AQ2" s="859"/>
      <c r="AR2" s="859" t="s">
        <v>287</v>
      </c>
      <c r="AS2" s="859"/>
      <c r="AT2" s="859"/>
      <c r="AU2" s="859"/>
      <c r="AV2" s="859"/>
      <c r="AW2" s="859"/>
      <c r="AX2" s="859"/>
      <c r="AY2" s="859"/>
      <c r="AZ2" s="859"/>
      <c r="BA2" s="859"/>
      <c r="BB2" s="859"/>
      <c r="BC2" s="859"/>
      <c r="BD2" s="859"/>
    </row>
    <row r="3" spans="1:56">
      <c r="B3" s="859"/>
      <c r="C3" s="859"/>
      <c r="D3" s="859"/>
      <c r="E3" s="859" t="s">
        <v>304</v>
      </c>
      <c r="F3" s="859" t="s">
        <v>305</v>
      </c>
      <c r="G3" s="859" t="s">
        <v>306</v>
      </c>
      <c r="H3" s="859" t="s">
        <v>307</v>
      </c>
      <c r="I3" s="859" t="s">
        <v>308</v>
      </c>
      <c r="J3" s="859" t="s">
        <v>309</v>
      </c>
      <c r="K3" s="859" t="s">
        <v>310</v>
      </c>
      <c r="L3" s="859" t="s">
        <v>311</v>
      </c>
      <c r="M3" s="859" t="s">
        <v>312</v>
      </c>
      <c r="N3" s="859" t="s">
        <v>313</v>
      </c>
      <c r="O3" s="859" t="s">
        <v>314</v>
      </c>
      <c r="P3" s="859" t="s">
        <v>315</v>
      </c>
      <c r="Q3" s="859" t="s">
        <v>281</v>
      </c>
      <c r="R3" s="859" t="s">
        <v>304</v>
      </c>
      <c r="S3" s="859" t="s">
        <v>305</v>
      </c>
      <c r="T3" s="859" t="s">
        <v>306</v>
      </c>
      <c r="U3" s="859" t="s">
        <v>307</v>
      </c>
      <c r="V3" s="859" t="s">
        <v>308</v>
      </c>
      <c r="W3" s="859" t="s">
        <v>309</v>
      </c>
      <c r="X3" s="859" t="s">
        <v>310</v>
      </c>
      <c r="Y3" s="859" t="s">
        <v>311</v>
      </c>
      <c r="Z3" s="859" t="s">
        <v>312</v>
      </c>
      <c r="AA3" s="859" t="s">
        <v>313</v>
      </c>
      <c r="AB3" s="859" t="s">
        <v>314</v>
      </c>
      <c r="AC3" s="859" t="s">
        <v>315</v>
      </c>
      <c r="AD3" s="859" t="s">
        <v>281</v>
      </c>
      <c r="AE3" s="859" t="s">
        <v>304</v>
      </c>
      <c r="AF3" s="859" t="s">
        <v>305</v>
      </c>
      <c r="AG3" s="859" t="s">
        <v>306</v>
      </c>
      <c r="AH3" s="859" t="s">
        <v>307</v>
      </c>
      <c r="AI3" s="859" t="s">
        <v>308</v>
      </c>
      <c r="AJ3" s="859" t="s">
        <v>309</v>
      </c>
      <c r="AK3" s="859" t="s">
        <v>310</v>
      </c>
      <c r="AL3" s="859" t="s">
        <v>311</v>
      </c>
      <c r="AM3" s="859" t="s">
        <v>312</v>
      </c>
      <c r="AN3" s="859" t="s">
        <v>313</v>
      </c>
      <c r="AO3" s="859" t="s">
        <v>314</v>
      </c>
      <c r="AP3" s="859" t="s">
        <v>315</v>
      </c>
      <c r="AQ3" s="859" t="s">
        <v>281</v>
      </c>
      <c r="AR3" s="859" t="s">
        <v>304</v>
      </c>
      <c r="AS3" s="859" t="s">
        <v>305</v>
      </c>
      <c r="AT3" s="859" t="s">
        <v>306</v>
      </c>
      <c r="AU3" s="859" t="s">
        <v>307</v>
      </c>
      <c r="AV3" s="859" t="s">
        <v>308</v>
      </c>
      <c r="AW3" s="859" t="s">
        <v>309</v>
      </c>
      <c r="AX3" s="859" t="s">
        <v>310</v>
      </c>
      <c r="AY3" s="859" t="s">
        <v>311</v>
      </c>
      <c r="AZ3" s="859" t="s">
        <v>312</v>
      </c>
      <c r="BA3" s="859" t="s">
        <v>313</v>
      </c>
      <c r="BB3" s="859" t="s">
        <v>314</v>
      </c>
      <c r="BC3" s="859" t="s">
        <v>315</v>
      </c>
      <c r="BD3" s="859" t="s">
        <v>281</v>
      </c>
    </row>
    <row r="4" spans="1:56">
      <c r="B4" s="127" t="s">
        <v>231</v>
      </c>
      <c r="C4" s="127" t="s">
        <v>993</v>
      </c>
      <c r="D4" s="127" t="s">
        <v>1350</v>
      </c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823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823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823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823"/>
    </row>
    <row r="5" spans="1:56">
      <c r="B5" s="127"/>
      <c r="C5" s="127"/>
      <c r="D5" s="127" t="s">
        <v>1351</v>
      </c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823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823"/>
      <c r="AE5" s="127"/>
      <c r="AF5" s="127"/>
      <c r="AG5" s="127"/>
      <c r="AH5" s="127"/>
      <c r="AI5" s="127"/>
      <c r="AJ5" s="127"/>
      <c r="AK5" s="127"/>
      <c r="AL5" s="127"/>
      <c r="AM5" s="127"/>
      <c r="AN5" s="127"/>
      <c r="AO5" s="127"/>
      <c r="AP5" s="127"/>
      <c r="AQ5" s="823"/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823"/>
    </row>
    <row r="6" spans="1:56">
      <c r="B6" s="127"/>
      <c r="C6" s="127"/>
      <c r="D6" s="127" t="s">
        <v>1352</v>
      </c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823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823"/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823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823"/>
    </row>
    <row r="7" spans="1:56">
      <c r="B7" s="127"/>
      <c r="C7" s="127"/>
      <c r="D7" s="127" t="s">
        <v>993</v>
      </c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823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823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823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823"/>
    </row>
    <row r="8" spans="1:56"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823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823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823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823"/>
    </row>
    <row r="9" spans="1:56"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823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823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823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823"/>
    </row>
    <row r="10" spans="1:56"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823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823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7"/>
      <c r="AQ10" s="823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823"/>
    </row>
    <row r="11" spans="1:56"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823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823"/>
      <c r="AE11" s="127"/>
      <c r="AF11" s="127"/>
      <c r="AG11" s="127"/>
      <c r="AH11" s="127"/>
      <c r="AI11" s="127"/>
      <c r="AJ11" s="127"/>
      <c r="AK11" s="127"/>
      <c r="AL11" s="127"/>
      <c r="AM11" s="127"/>
      <c r="AN11" s="127"/>
      <c r="AO11" s="127"/>
      <c r="AP11" s="127"/>
      <c r="AQ11" s="823"/>
      <c r="AR11" s="127"/>
      <c r="AS11" s="127"/>
      <c r="AT11" s="127"/>
      <c r="AU11" s="127"/>
      <c r="AV11" s="127"/>
      <c r="AW11" s="127"/>
      <c r="AX11" s="127"/>
      <c r="AY11" s="127"/>
      <c r="AZ11" s="127"/>
      <c r="BA11" s="127"/>
      <c r="BB11" s="127"/>
      <c r="BC11" s="127"/>
      <c r="BD11" s="823"/>
    </row>
    <row r="12" spans="1:56"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823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823"/>
      <c r="AE12" s="127"/>
      <c r="AF12" s="127"/>
      <c r="AG12" s="127"/>
      <c r="AH12" s="127"/>
      <c r="AI12" s="127"/>
      <c r="AJ12" s="127"/>
      <c r="AK12" s="127"/>
      <c r="AL12" s="127"/>
      <c r="AM12" s="127"/>
      <c r="AN12" s="127"/>
      <c r="AO12" s="127"/>
      <c r="AP12" s="127"/>
      <c r="AQ12" s="823"/>
      <c r="AR12" s="127"/>
      <c r="AS12" s="127"/>
      <c r="AT12" s="127"/>
      <c r="AU12" s="127"/>
      <c r="AV12" s="127"/>
      <c r="AW12" s="127"/>
      <c r="AX12" s="127"/>
      <c r="AY12" s="127"/>
      <c r="AZ12" s="127"/>
      <c r="BA12" s="127"/>
      <c r="BB12" s="127"/>
      <c r="BC12" s="127"/>
      <c r="BD12" s="823"/>
    </row>
    <row r="13" spans="1:56"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823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823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  <c r="AO13" s="127"/>
      <c r="AP13" s="127"/>
      <c r="AQ13" s="823"/>
      <c r="AR13" s="127"/>
      <c r="AS13" s="127"/>
      <c r="AT13" s="127"/>
      <c r="AU13" s="127"/>
      <c r="AV13" s="127"/>
      <c r="AW13" s="127"/>
      <c r="AX13" s="127"/>
      <c r="AY13" s="127"/>
      <c r="AZ13" s="127"/>
      <c r="BA13" s="127"/>
      <c r="BB13" s="127"/>
      <c r="BC13" s="127"/>
      <c r="BD13" s="823"/>
    </row>
    <row r="14" spans="1:56"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823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823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823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7"/>
      <c r="BD14" s="823"/>
    </row>
    <row r="15" spans="1:56"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823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823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823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823"/>
    </row>
    <row r="16" spans="1:56"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823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823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823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127"/>
      <c r="BD16" s="823"/>
    </row>
    <row r="17" spans="2:56"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823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823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823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823"/>
    </row>
    <row r="18" spans="2:56"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823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823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AQ18" s="823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27"/>
      <c r="BD18" s="823"/>
    </row>
    <row r="19" spans="2:56"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823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823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823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823"/>
    </row>
    <row r="20" spans="2:56"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823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823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AQ20" s="823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  <c r="BD20" s="823"/>
    </row>
    <row r="21" spans="2:56"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823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823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823"/>
      <c r="AR21" s="127"/>
      <c r="AS21" s="127"/>
      <c r="AT21" s="127"/>
      <c r="AU21" s="127"/>
      <c r="AV21" s="127"/>
      <c r="AW21" s="127"/>
      <c r="AX21" s="127"/>
      <c r="AY21" s="127"/>
      <c r="AZ21" s="127"/>
      <c r="BA21" s="127"/>
      <c r="BB21" s="127"/>
      <c r="BC21" s="127"/>
      <c r="BD21" s="823"/>
    </row>
    <row r="22" spans="2:56"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823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823"/>
      <c r="AE22" s="127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AQ22" s="823"/>
      <c r="AR22" s="127"/>
      <c r="AS22" s="127"/>
      <c r="AT22" s="127"/>
      <c r="AU22" s="127"/>
      <c r="AV22" s="127"/>
      <c r="AW22" s="127"/>
      <c r="AX22" s="127"/>
      <c r="AY22" s="127"/>
      <c r="AZ22" s="127"/>
      <c r="BA22" s="127"/>
      <c r="BB22" s="127"/>
      <c r="BC22" s="127"/>
      <c r="BD22" s="823"/>
    </row>
    <row r="23" spans="2:56"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823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823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7"/>
      <c r="AQ23" s="823"/>
      <c r="AR23" s="127"/>
      <c r="AS23" s="127"/>
      <c r="AT23" s="127"/>
      <c r="AU23" s="127"/>
      <c r="AV23" s="127"/>
      <c r="AW23" s="127"/>
      <c r="AX23" s="127"/>
      <c r="AY23" s="127"/>
      <c r="AZ23" s="127"/>
      <c r="BA23" s="127"/>
      <c r="BB23" s="127"/>
      <c r="BC23" s="127"/>
      <c r="BD23" s="823"/>
    </row>
    <row r="24" spans="2:56"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823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823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823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823"/>
    </row>
    <row r="25" spans="2:56"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823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823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AQ25" s="823"/>
      <c r="AR25" s="127"/>
      <c r="AS25" s="127"/>
      <c r="AT25" s="127"/>
      <c r="AU25" s="127"/>
      <c r="AV25" s="127"/>
      <c r="AW25" s="127"/>
      <c r="AX25" s="127"/>
      <c r="AY25" s="127"/>
      <c r="AZ25" s="127"/>
      <c r="BA25" s="127"/>
      <c r="BB25" s="127"/>
      <c r="BC25" s="127"/>
      <c r="BD25" s="823"/>
    </row>
    <row r="26" spans="2:56"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823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823"/>
      <c r="AE26" s="127"/>
      <c r="AF26" s="127"/>
      <c r="AG26" s="127"/>
      <c r="AH26" s="127"/>
      <c r="AI26" s="127"/>
      <c r="AJ26" s="127"/>
      <c r="AK26" s="127"/>
      <c r="AL26" s="127"/>
      <c r="AM26" s="127"/>
      <c r="AN26" s="127"/>
      <c r="AO26" s="127"/>
      <c r="AP26" s="127"/>
      <c r="AQ26" s="823"/>
      <c r="AR26" s="127"/>
      <c r="AS26" s="127"/>
      <c r="AT26" s="127"/>
      <c r="AU26" s="127"/>
      <c r="AV26" s="127"/>
      <c r="AW26" s="127"/>
      <c r="AX26" s="127"/>
      <c r="AY26" s="127"/>
      <c r="AZ26" s="127"/>
      <c r="BA26" s="127"/>
      <c r="BB26" s="127"/>
      <c r="BC26" s="127"/>
      <c r="BD26" s="823"/>
    </row>
    <row r="27" spans="2:56"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823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823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823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823"/>
    </row>
    <row r="28" spans="2:56"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823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823"/>
      <c r="AE28" s="127"/>
      <c r="AF28" s="127"/>
      <c r="AG28" s="127"/>
      <c r="AH28" s="127"/>
      <c r="AI28" s="127"/>
      <c r="AJ28" s="127"/>
      <c r="AK28" s="127"/>
      <c r="AL28" s="127"/>
      <c r="AM28" s="127"/>
      <c r="AN28" s="127"/>
      <c r="AO28" s="127"/>
      <c r="AP28" s="127"/>
      <c r="AQ28" s="823"/>
      <c r="AR28" s="127"/>
      <c r="AS28" s="127"/>
      <c r="AT28" s="127"/>
      <c r="AU28" s="127"/>
      <c r="AV28" s="127"/>
      <c r="AW28" s="127"/>
      <c r="AX28" s="127"/>
      <c r="AY28" s="127"/>
      <c r="AZ28" s="127"/>
      <c r="BA28" s="127"/>
      <c r="BB28" s="127"/>
      <c r="BC28" s="127"/>
      <c r="BD28" s="823"/>
    </row>
    <row r="29" spans="2:56"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823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823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127"/>
      <c r="AQ29" s="823"/>
      <c r="AR29" s="127"/>
      <c r="AS29" s="127"/>
      <c r="AT29" s="127"/>
      <c r="AU29" s="127"/>
      <c r="AV29" s="127"/>
      <c r="AW29" s="127"/>
      <c r="AX29" s="127"/>
      <c r="AY29" s="127"/>
      <c r="AZ29" s="127"/>
      <c r="BA29" s="127"/>
      <c r="BB29" s="127"/>
      <c r="BC29" s="127"/>
      <c r="BD29" s="823"/>
    </row>
    <row r="30" spans="2:56"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823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823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7"/>
      <c r="AQ30" s="823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  <c r="BD30" s="823"/>
    </row>
    <row r="31" spans="2:56"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823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823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823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7"/>
      <c r="BC31" s="127"/>
      <c r="BD31" s="823"/>
    </row>
    <row r="32" spans="2:56"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823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823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7"/>
      <c r="AQ32" s="823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823"/>
    </row>
    <row r="33" spans="2:56"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823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823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7"/>
      <c r="AQ33" s="823"/>
      <c r="AR33" s="127"/>
      <c r="AS33" s="127"/>
      <c r="AT33" s="127"/>
      <c r="AU33" s="127"/>
      <c r="AV33" s="127"/>
      <c r="AW33" s="127"/>
      <c r="AX33" s="127"/>
      <c r="AY33" s="127"/>
      <c r="AZ33" s="127"/>
      <c r="BA33" s="127"/>
      <c r="BB33" s="127"/>
      <c r="BC33" s="127"/>
      <c r="BD33" s="823"/>
    </row>
    <row r="34" spans="2:56"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823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823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823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823"/>
    </row>
    <row r="35" spans="2:56"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823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823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823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823"/>
    </row>
    <row r="36" spans="2:56"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823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823"/>
      <c r="AE36" s="127"/>
      <c r="AF36" s="127"/>
      <c r="AG36" s="127"/>
      <c r="AH36" s="127"/>
      <c r="AI36" s="127"/>
      <c r="AJ36" s="127"/>
      <c r="AK36" s="127"/>
      <c r="AL36" s="127"/>
      <c r="AM36" s="127"/>
      <c r="AN36" s="127"/>
      <c r="AO36" s="127"/>
      <c r="AP36" s="127"/>
      <c r="AQ36" s="823"/>
      <c r="AR36" s="127"/>
      <c r="AS36" s="127"/>
      <c r="AT36" s="127"/>
      <c r="AU36" s="127"/>
      <c r="AV36" s="127"/>
      <c r="AW36" s="127"/>
      <c r="AX36" s="127"/>
      <c r="AY36" s="127"/>
      <c r="AZ36" s="127"/>
      <c r="BA36" s="127"/>
      <c r="BB36" s="127"/>
      <c r="BC36" s="127"/>
      <c r="BD36" s="823"/>
    </row>
    <row r="37" spans="2:56"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823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823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823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823"/>
    </row>
    <row r="38" spans="2:56"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823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823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823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823"/>
    </row>
    <row r="39" spans="2:56"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823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823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823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823"/>
    </row>
    <row r="40" spans="2:56"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823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823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823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27"/>
      <c r="BC40" s="127"/>
      <c r="BD40" s="823"/>
    </row>
    <row r="41" spans="2:56"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823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823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823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823"/>
    </row>
    <row r="42" spans="2:56"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823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823"/>
      <c r="AE42" s="127"/>
      <c r="AF42" s="127"/>
      <c r="AG42" s="127"/>
      <c r="AH42" s="127"/>
      <c r="AI42" s="127"/>
      <c r="AJ42" s="127"/>
      <c r="AK42" s="127"/>
      <c r="AL42" s="127"/>
      <c r="AM42" s="127"/>
      <c r="AN42" s="127"/>
      <c r="AO42" s="127"/>
      <c r="AP42" s="127"/>
      <c r="AQ42" s="823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127"/>
      <c r="BD42" s="823"/>
    </row>
    <row r="43" spans="2:56"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823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823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823"/>
      <c r="AR43" s="127"/>
      <c r="AS43" s="127"/>
      <c r="AT43" s="127"/>
      <c r="AU43" s="127"/>
      <c r="AV43" s="127"/>
      <c r="AW43" s="127"/>
      <c r="AX43" s="127"/>
      <c r="AY43" s="127"/>
      <c r="AZ43" s="127"/>
      <c r="BA43" s="127"/>
      <c r="BB43" s="127"/>
      <c r="BC43" s="127"/>
      <c r="BD43" s="823"/>
    </row>
    <row r="44" spans="2:56"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823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823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823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127"/>
      <c r="BD44" s="823"/>
    </row>
    <row r="45" spans="2:56"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823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823"/>
      <c r="AE45" s="127"/>
      <c r="AF45" s="127"/>
      <c r="AG45" s="127"/>
      <c r="AH45" s="127"/>
      <c r="AI45" s="127"/>
      <c r="AJ45" s="127"/>
      <c r="AK45" s="127"/>
      <c r="AL45" s="127"/>
      <c r="AM45" s="127"/>
      <c r="AN45" s="127"/>
      <c r="AO45" s="127"/>
      <c r="AP45" s="127"/>
      <c r="AQ45" s="823"/>
      <c r="AR45" s="127"/>
      <c r="AS45" s="127"/>
      <c r="AT45" s="127"/>
      <c r="AU45" s="127"/>
      <c r="AV45" s="127"/>
      <c r="AW45" s="127"/>
      <c r="AX45" s="127"/>
      <c r="AY45" s="127"/>
      <c r="AZ45" s="127"/>
      <c r="BA45" s="127"/>
      <c r="BB45" s="127"/>
      <c r="BC45" s="127"/>
      <c r="BD45" s="823"/>
    </row>
    <row r="46" spans="2:56"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823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823"/>
      <c r="AE46" s="127"/>
      <c r="AF46" s="127"/>
      <c r="AG46" s="127"/>
      <c r="AH46" s="127"/>
      <c r="AI46" s="127"/>
      <c r="AJ46" s="127"/>
      <c r="AK46" s="127"/>
      <c r="AL46" s="127"/>
      <c r="AM46" s="127"/>
      <c r="AN46" s="127"/>
      <c r="AO46" s="127"/>
      <c r="AP46" s="127"/>
      <c r="AQ46" s="823"/>
      <c r="AR46" s="127"/>
      <c r="AS46" s="127"/>
      <c r="AT46" s="127"/>
      <c r="AU46" s="127"/>
      <c r="AV46" s="127"/>
      <c r="AW46" s="127"/>
      <c r="AX46" s="127"/>
      <c r="AY46" s="127"/>
      <c r="AZ46" s="127"/>
      <c r="BA46" s="127"/>
      <c r="BB46" s="127"/>
      <c r="BC46" s="127"/>
      <c r="BD46" s="823"/>
    </row>
    <row r="47" spans="2:56"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823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823"/>
      <c r="AE47" s="127"/>
      <c r="AF47" s="127"/>
      <c r="AG47" s="127"/>
      <c r="AH47" s="127"/>
      <c r="AI47" s="127"/>
      <c r="AJ47" s="127"/>
      <c r="AK47" s="127"/>
      <c r="AL47" s="127"/>
      <c r="AM47" s="127"/>
      <c r="AN47" s="127"/>
      <c r="AO47" s="127"/>
      <c r="AP47" s="127"/>
      <c r="AQ47" s="823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823"/>
    </row>
    <row r="48" spans="2:56"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823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823"/>
      <c r="AE48" s="127"/>
      <c r="AF48" s="127"/>
      <c r="AG48" s="127"/>
      <c r="AH48" s="127"/>
      <c r="AI48" s="127"/>
      <c r="AJ48" s="127"/>
      <c r="AK48" s="127"/>
      <c r="AL48" s="127"/>
      <c r="AM48" s="127"/>
      <c r="AN48" s="127"/>
      <c r="AO48" s="127"/>
      <c r="AP48" s="127"/>
      <c r="AQ48" s="823"/>
      <c r="AR48" s="127"/>
      <c r="AS48" s="127"/>
      <c r="AT48" s="127"/>
      <c r="AU48" s="127"/>
      <c r="AV48" s="127"/>
      <c r="AW48" s="127"/>
      <c r="AX48" s="127"/>
      <c r="AY48" s="127"/>
      <c r="AZ48" s="127"/>
      <c r="BA48" s="127"/>
      <c r="BB48" s="127"/>
      <c r="BC48" s="127"/>
      <c r="BD48" s="823"/>
    </row>
    <row r="49" spans="2:56"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823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823"/>
      <c r="AE49" s="127"/>
      <c r="AF49" s="127"/>
      <c r="AG49" s="127"/>
      <c r="AH49" s="127"/>
      <c r="AI49" s="127"/>
      <c r="AJ49" s="127"/>
      <c r="AK49" s="127"/>
      <c r="AL49" s="127"/>
      <c r="AM49" s="127"/>
      <c r="AN49" s="127"/>
      <c r="AO49" s="127"/>
      <c r="AP49" s="127"/>
      <c r="AQ49" s="823"/>
      <c r="AR49" s="127"/>
      <c r="AS49" s="127"/>
      <c r="AT49" s="127"/>
      <c r="AU49" s="127"/>
      <c r="AV49" s="127"/>
      <c r="AW49" s="127"/>
      <c r="AX49" s="127"/>
      <c r="AY49" s="127"/>
      <c r="AZ49" s="127"/>
      <c r="BA49" s="127"/>
      <c r="BB49" s="127"/>
      <c r="BC49" s="127"/>
      <c r="BD49" s="823"/>
    </row>
    <row r="50" spans="2:56"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823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823"/>
      <c r="AE50" s="127"/>
      <c r="AF50" s="127"/>
      <c r="AG50" s="127"/>
      <c r="AH50" s="127"/>
      <c r="AI50" s="127"/>
      <c r="AJ50" s="127"/>
      <c r="AK50" s="127"/>
      <c r="AL50" s="127"/>
      <c r="AM50" s="127"/>
      <c r="AN50" s="127"/>
      <c r="AO50" s="127"/>
      <c r="AP50" s="127"/>
      <c r="AQ50" s="823"/>
      <c r="AR50" s="127"/>
      <c r="AS50" s="127"/>
      <c r="AT50" s="127"/>
      <c r="AU50" s="127"/>
      <c r="AV50" s="127"/>
      <c r="AW50" s="127"/>
      <c r="AX50" s="127"/>
      <c r="AY50" s="127"/>
      <c r="AZ50" s="127"/>
      <c r="BA50" s="127"/>
      <c r="BB50" s="127"/>
      <c r="BC50" s="127"/>
      <c r="BD50" s="823"/>
    </row>
    <row r="51" spans="2:56"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823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823"/>
      <c r="AE51" s="127"/>
      <c r="AF51" s="127"/>
      <c r="AG51" s="127"/>
      <c r="AH51" s="127"/>
      <c r="AI51" s="127"/>
      <c r="AJ51" s="127"/>
      <c r="AK51" s="127"/>
      <c r="AL51" s="127"/>
      <c r="AM51" s="127"/>
      <c r="AN51" s="127"/>
      <c r="AO51" s="127"/>
      <c r="AP51" s="127"/>
      <c r="AQ51" s="823"/>
      <c r="AR51" s="127"/>
      <c r="AS51" s="127"/>
      <c r="AT51" s="127"/>
      <c r="AU51" s="127"/>
      <c r="AV51" s="127"/>
      <c r="AW51" s="127"/>
      <c r="AX51" s="127"/>
      <c r="AY51" s="127"/>
      <c r="AZ51" s="127"/>
      <c r="BA51" s="127"/>
      <c r="BB51" s="127"/>
      <c r="BC51" s="127"/>
      <c r="BD51" s="823"/>
    </row>
    <row r="52" spans="2:56"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823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823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7"/>
      <c r="AP52" s="127"/>
      <c r="AQ52" s="823"/>
      <c r="AR52" s="127"/>
      <c r="AS52" s="127"/>
      <c r="AT52" s="127"/>
      <c r="AU52" s="127"/>
      <c r="AV52" s="127"/>
      <c r="AW52" s="127"/>
      <c r="AX52" s="127"/>
      <c r="AY52" s="127"/>
      <c r="AZ52" s="127"/>
      <c r="BA52" s="127"/>
      <c r="BB52" s="127"/>
      <c r="BC52" s="127"/>
      <c r="BD52" s="823"/>
    </row>
    <row r="53" spans="2:56"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823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823"/>
      <c r="AE53" s="127"/>
      <c r="AF53" s="127"/>
      <c r="AG53" s="127"/>
      <c r="AH53" s="127"/>
      <c r="AI53" s="127"/>
      <c r="AJ53" s="127"/>
      <c r="AK53" s="127"/>
      <c r="AL53" s="127"/>
      <c r="AM53" s="127"/>
      <c r="AN53" s="127"/>
      <c r="AO53" s="127"/>
      <c r="AP53" s="127"/>
      <c r="AQ53" s="823"/>
      <c r="AR53" s="127"/>
      <c r="AS53" s="127"/>
      <c r="AT53" s="127"/>
      <c r="AU53" s="127"/>
      <c r="AV53" s="127"/>
      <c r="AW53" s="127"/>
      <c r="AX53" s="127"/>
      <c r="AY53" s="127"/>
      <c r="AZ53" s="127"/>
      <c r="BA53" s="127"/>
      <c r="BB53" s="127"/>
      <c r="BC53" s="127"/>
      <c r="BD53" s="823"/>
    </row>
    <row r="54" spans="2:56"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823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823"/>
      <c r="AE54" s="127"/>
      <c r="AF54" s="127"/>
      <c r="AG54" s="127"/>
      <c r="AH54" s="127"/>
      <c r="AI54" s="127"/>
      <c r="AJ54" s="127"/>
      <c r="AK54" s="127"/>
      <c r="AL54" s="127"/>
      <c r="AM54" s="127"/>
      <c r="AN54" s="127"/>
      <c r="AO54" s="127"/>
      <c r="AP54" s="127"/>
      <c r="AQ54" s="823"/>
      <c r="AR54" s="127"/>
      <c r="AS54" s="127"/>
      <c r="AT54" s="127"/>
      <c r="AU54" s="127"/>
      <c r="AV54" s="127"/>
      <c r="AW54" s="127"/>
      <c r="AX54" s="127"/>
      <c r="AY54" s="127"/>
      <c r="AZ54" s="127"/>
      <c r="BA54" s="127"/>
      <c r="BB54" s="127"/>
      <c r="BC54" s="127"/>
      <c r="BD54" s="823"/>
    </row>
    <row r="55" spans="2:56"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823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823"/>
      <c r="AE55" s="127"/>
      <c r="AF55" s="127"/>
      <c r="AG55" s="127"/>
      <c r="AH55" s="127"/>
      <c r="AI55" s="127"/>
      <c r="AJ55" s="127"/>
      <c r="AK55" s="127"/>
      <c r="AL55" s="127"/>
      <c r="AM55" s="127"/>
      <c r="AN55" s="127"/>
      <c r="AO55" s="127"/>
      <c r="AP55" s="127"/>
      <c r="AQ55" s="823"/>
      <c r="AR55" s="127"/>
      <c r="AS55" s="127"/>
      <c r="AT55" s="127"/>
      <c r="AU55" s="127"/>
      <c r="AV55" s="127"/>
      <c r="AW55" s="127"/>
      <c r="AX55" s="127"/>
      <c r="AY55" s="127"/>
      <c r="AZ55" s="127"/>
      <c r="BA55" s="127"/>
      <c r="BB55" s="127"/>
      <c r="BC55" s="127"/>
      <c r="BD55" s="823"/>
    </row>
    <row r="56" spans="2:56"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823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823"/>
      <c r="AE56" s="127"/>
      <c r="AF56" s="127"/>
      <c r="AG56" s="127"/>
      <c r="AH56" s="127"/>
      <c r="AI56" s="127"/>
      <c r="AJ56" s="127"/>
      <c r="AK56" s="127"/>
      <c r="AL56" s="127"/>
      <c r="AM56" s="127"/>
      <c r="AN56" s="127"/>
      <c r="AO56" s="127"/>
      <c r="AP56" s="127"/>
      <c r="AQ56" s="823"/>
      <c r="AR56" s="127"/>
      <c r="AS56" s="127"/>
      <c r="AT56" s="127"/>
      <c r="AU56" s="127"/>
      <c r="AV56" s="127"/>
      <c r="AW56" s="127"/>
      <c r="AX56" s="127"/>
      <c r="AY56" s="127"/>
      <c r="AZ56" s="127"/>
      <c r="BA56" s="127"/>
      <c r="BB56" s="127"/>
      <c r="BC56" s="127"/>
      <c r="BD56" s="823"/>
    </row>
    <row r="57" spans="2:56"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823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823"/>
      <c r="AE57" s="127"/>
      <c r="AF57" s="127"/>
      <c r="AG57" s="127"/>
      <c r="AH57" s="127"/>
      <c r="AI57" s="127"/>
      <c r="AJ57" s="127"/>
      <c r="AK57" s="127"/>
      <c r="AL57" s="127"/>
      <c r="AM57" s="127"/>
      <c r="AN57" s="127"/>
      <c r="AO57" s="127"/>
      <c r="AP57" s="127"/>
      <c r="AQ57" s="823"/>
      <c r="AR57" s="127"/>
      <c r="AS57" s="127"/>
      <c r="AT57" s="127"/>
      <c r="AU57" s="127"/>
      <c r="AV57" s="127"/>
      <c r="AW57" s="127"/>
      <c r="AX57" s="127"/>
      <c r="AY57" s="127"/>
      <c r="AZ57" s="127"/>
      <c r="BA57" s="127"/>
      <c r="BB57" s="127"/>
      <c r="BC57" s="127"/>
      <c r="BD57" s="823"/>
    </row>
    <row r="58" spans="2:56"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823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823"/>
      <c r="AE58" s="127"/>
      <c r="AF58" s="127"/>
      <c r="AG58" s="127"/>
      <c r="AH58" s="127"/>
      <c r="AI58" s="127"/>
      <c r="AJ58" s="127"/>
      <c r="AK58" s="127"/>
      <c r="AL58" s="127"/>
      <c r="AM58" s="127"/>
      <c r="AN58" s="127"/>
      <c r="AO58" s="127"/>
      <c r="AP58" s="127"/>
      <c r="AQ58" s="823"/>
      <c r="AR58" s="127"/>
      <c r="AS58" s="127"/>
      <c r="AT58" s="127"/>
      <c r="AU58" s="127"/>
      <c r="AV58" s="127"/>
      <c r="AW58" s="127"/>
      <c r="AX58" s="127"/>
      <c r="AY58" s="127"/>
      <c r="AZ58" s="127"/>
      <c r="BA58" s="127"/>
      <c r="BB58" s="127"/>
      <c r="BC58" s="127"/>
      <c r="BD58" s="823"/>
    </row>
    <row r="59" spans="2:56"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823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823"/>
      <c r="AE59" s="127"/>
      <c r="AF59" s="127"/>
      <c r="AG59" s="127"/>
      <c r="AH59" s="127"/>
      <c r="AI59" s="127"/>
      <c r="AJ59" s="127"/>
      <c r="AK59" s="127"/>
      <c r="AL59" s="127"/>
      <c r="AM59" s="127"/>
      <c r="AN59" s="127"/>
      <c r="AO59" s="127"/>
      <c r="AP59" s="127"/>
      <c r="AQ59" s="823"/>
      <c r="AR59" s="127"/>
      <c r="AS59" s="127"/>
      <c r="AT59" s="127"/>
      <c r="AU59" s="127"/>
      <c r="AV59" s="127"/>
      <c r="AW59" s="127"/>
      <c r="AX59" s="127"/>
      <c r="AY59" s="127"/>
      <c r="AZ59" s="127"/>
      <c r="BA59" s="127"/>
      <c r="BB59" s="127"/>
      <c r="BC59" s="127"/>
      <c r="BD59" s="823"/>
    </row>
    <row r="60" spans="2:56"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823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823"/>
      <c r="AE60" s="127"/>
      <c r="AF60" s="127"/>
      <c r="AG60" s="127"/>
      <c r="AH60" s="127"/>
      <c r="AI60" s="127"/>
      <c r="AJ60" s="127"/>
      <c r="AK60" s="127"/>
      <c r="AL60" s="127"/>
      <c r="AM60" s="127"/>
      <c r="AN60" s="127"/>
      <c r="AO60" s="127"/>
      <c r="AP60" s="127"/>
      <c r="AQ60" s="823"/>
      <c r="AR60" s="127"/>
      <c r="AS60" s="127"/>
      <c r="AT60" s="127"/>
      <c r="AU60" s="127"/>
      <c r="AV60" s="127"/>
      <c r="AW60" s="127"/>
      <c r="AX60" s="127"/>
      <c r="AY60" s="127"/>
      <c r="AZ60" s="127"/>
      <c r="BA60" s="127"/>
      <c r="BB60" s="127"/>
      <c r="BC60" s="127"/>
      <c r="BD60" s="823"/>
    </row>
    <row r="61" spans="2:56"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823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823"/>
      <c r="AE61" s="127"/>
      <c r="AF61" s="127"/>
      <c r="AG61" s="127"/>
      <c r="AH61" s="127"/>
      <c r="AI61" s="127"/>
      <c r="AJ61" s="127"/>
      <c r="AK61" s="127"/>
      <c r="AL61" s="127"/>
      <c r="AM61" s="127"/>
      <c r="AN61" s="127"/>
      <c r="AO61" s="127"/>
      <c r="AP61" s="127"/>
      <c r="AQ61" s="823"/>
      <c r="AR61" s="127"/>
      <c r="AS61" s="127"/>
      <c r="AT61" s="127"/>
      <c r="AU61" s="127"/>
      <c r="AV61" s="127"/>
      <c r="AW61" s="127"/>
      <c r="AX61" s="127"/>
      <c r="AY61" s="127"/>
      <c r="AZ61" s="127"/>
      <c r="BA61" s="127"/>
      <c r="BB61" s="127"/>
      <c r="BC61" s="127"/>
      <c r="BD61" s="823"/>
    </row>
    <row r="62" spans="2:56"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823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823"/>
      <c r="AE62" s="127"/>
      <c r="AF62" s="127"/>
      <c r="AG62" s="127"/>
      <c r="AH62" s="127"/>
      <c r="AI62" s="127"/>
      <c r="AJ62" s="127"/>
      <c r="AK62" s="127"/>
      <c r="AL62" s="127"/>
      <c r="AM62" s="127"/>
      <c r="AN62" s="127"/>
      <c r="AO62" s="127"/>
      <c r="AP62" s="127"/>
      <c r="AQ62" s="823"/>
      <c r="AR62" s="127"/>
      <c r="AS62" s="127"/>
      <c r="AT62" s="127"/>
      <c r="AU62" s="127"/>
      <c r="AV62" s="127"/>
      <c r="AW62" s="127"/>
      <c r="AX62" s="127"/>
      <c r="AY62" s="127"/>
      <c r="AZ62" s="127"/>
      <c r="BA62" s="127"/>
      <c r="BB62" s="127"/>
      <c r="BC62" s="127"/>
      <c r="BD62" s="823"/>
    </row>
    <row r="63" spans="2:56"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823"/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127"/>
      <c r="AC63" s="127"/>
      <c r="AD63" s="823"/>
      <c r="AE63" s="127"/>
      <c r="AF63" s="127"/>
      <c r="AG63" s="127"/>
      <c r="AH63" s="127"/>
      <c r="AI63" s="127"/>
      <c r="AJ63" s="127"/>
      <c r="AK63" s="127"/>
      <c r="AL63" s="127"/>
      <c r="AM63" s="127"/>
      <c r="AN63" s="127"/>
      <c r="AO63" s="127"/>
      <c r="AP63" s="127"/>
      <c r="AQ63" s="823"/>
      <c r="AR63" s="127"/>
      <c r="AS63" s="127"/>
      <c r="AT63" s="127"/>
      <c r="AU63" s="127"/>
      <c r="AV63" s="127"/>
      <c r="AW63" s="127"/>
      <c r="AX63" s="127"/>
      <c r="AY63" s="127"/>
      <c r="AZ63" s="127"/>
      <c r="BA63" s="127"/>
      <c r="BB63" s="127"/>
      <c r="BC63" s="127"/>
      <c r="BD63" s="823"/>
    </row>
    <row r="64" spans="2:56"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823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823"/>
      <c r="AE64" s="127"/>
      <c r="AF64" s="127"/>
      <c r="AG64" s="127"/>
      <c r="AH64" s="127"/>
      <c r="AI64" s="127"/>
      <c r="AJ64" s="127"/>
      <c r="AK64" s="127"/>
      <c r="AL64" s="127"/>
      <c r="AM64" s="127"/>
      <c r="AN64" s="127"/>
      <c r="AO64" s="127"/>
      <c r="AP64" s="127"/>
      <c r="AQ64" s="823"/>
      <c r="AR64" s="127"/>
      <c r="AS64" s="127"/>
      <c r="AT64" s="127"/>
      <c r="AU64" s="127"/>
      <c r="AV64" s="127"/>
      <c r="AW64" s="127"/>
      <c r="AX64" s="127"/>
      <c r="AY64" s="127"/>
      <c r="AZ64" s="127"/>
      <c r="BA64" s="127"/>
      <c r="BB64" s="127"/>
      <c r="BC64" s="127"/>
      <c r="BD64" s="823"/>
    </row>
    <row r="65" spans="2:56"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823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823"/>
      <c r="AE65" s="127"/>
      <c r="AF65" s="127"/>
      <c r="AG65" s="127"/>
      <c r="AH65" s="127"/>
      <c r="AI65" s="127"/>
      <c r="AJ65" s="127"/>
      <c r="AK65" s="127"/>
      <c r="AL65" s="127"/>
      <c r="AM65" s="127"/>
      <c r="AN65" s="127"/>
      <c r="AO65" s="127"/>
      <c r="AP65" s="127"/>
      <c r="AQ65" s="823"/>
      <c r="AR65" s="127"/>
      <c r="AS65" s="127"/>
      <c r="AT65" s="127"/>
      <c r="AU65" s="127"/>
      <c r="AV65" s="127"/>
      <c r="AW65" s="127"/>
      <c r="AX65" s="127"/>
      <c r="AY65" s="127"/>
      <c r="AZ65" s="127"/>
      <c r="BA65" s="127"/>
      <c r="BB65" s="127"/>
      <c r="BC65" s="127"/>
      <c r="BD65" s="823"/>
    </row>
    <row r="66" spans="2:56"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823"/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823"/>
      <c r="AE66" s="127"/>
      <c r="AF66" s="127"/>
      <c r="AG66" s="127"/>
      <c r="AH66" s="127"/>
      <c r="AI66" s="127"/>
      <c r="AJ66" s="127"/>
      <c r="AK66" s="127"/>
      <c r="AL66" s="127"/>
      <c r="AM66" s="127"/>
      <c r="AN66" s="127"/>
      <c r="AO66" s="127"/>
      <c r="AP66" s="127"/>
      <c r="AQ66" s="823"/>
      <c r="AR66" s="127"/>
      <c r="AS66" s="127"/>
      <c r="AT66" s="127"/>
      <c r="AU66" s="127"/>
      <c r="AV66" s="127"/>
      <c r="AW66" s="127"/>
      <c r="AX66" s="127"/>
      <c r="AY66" s="127"/>
      <c r="AZ66" s="127"/>
      <c r="BA66" s="127"/>
      <c r="BB66" s="127"/>
      <c r="BC66" s="127"/>
      <c r="BD66" s="823"/>
    </row>
    <row r="67" spans="2:56"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823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823"/>
      <c r="AE67" s="127"/>
      <c r="AF67" s="127"/>
      <c r="AG67" s="127"/>
      <c r="AH67" s="127"/>
      <c r="AI67" s="127"/>
      <c r="AJ67" s="127"/>
      <c r="AK67" s="127"/>
      <c r="AL67" s="127"/>
      <c r="AM67" s="127"/>
      <c r="AN67" s="127"/>
      <c r="AO67" s="127"/>
      <c r="AP67" s="127"/>
      <c r="AQ67" s="823"/>
      <c r="AR67" s="127"/>
      <c r="AS67" s="127"/>
      <c r="AT67" s="127"/>
      <c r="AU67" s="127"/>
      <c r="AV67" s="127"/>
      <c r="AW67" s="127"/>
      <c r="AX67" s="127"/>
      <c r="AY67" s="127"/>
      <c r="AZ67" s="127"/>
      <c r="BA67" s="127"/>
      <c r="BB67" s="127"/>
      <c r="BC67" s="127"/>
      <c r="BD67" s="823"/>
    </row>
    <row r="68" spans="2:56"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823"/>
      <c r="R68" s="127"/>
      <c r="S68" s="127"/>
      <c r="T68" s="127"/>
      <c r="U68" s="127"/>
      <c r="V68" s="127"/>
      <c r="W68" s="127"/>
      <c r="X68" s="127"/>
      <c r="Y68" s="127"/>
      <c r="Z68" s="127"/>
      <c r="AA68" s="127"/>
      <c r="AB68" s="127"/>
      <c r="AC68" s="127"/>
      <c r="AD68" s="823"/>
      <c r="AE68" s="127"/>
      <c r="AF68" s="127"/>
      <c r="AG68" s="127"/>
      <c r="AH68" s="127"/>
      <c r="AI68" s="127"/>
      <c r="AJ68" s="127"/>
      <c r="AK68" s="127"/>
      <c r="AL68" s="127"/>
      <c r="AM68" s="127"/>
      <c r="AN68" s="127"/>
      <c r="AO68" s="127"/>
      <c r="AP68" s="127"/>
      <c r="AQ68" s="823"/>
      <c r="AR68" s="127"/>
      <c r="AS68" s="127"/>
      <c r="AT68" s="127"/>
      <c r="AU68" s="127"/>
      <c r="AV68" s="127"/>
      <c r="AW68" s="127"/>
      <c r="AX68" s="127"/>
      <c r="AY68" s="127"/>
      <c r="AZ68" s="127"/>
      <c r="BA68" s="127"/>
      <c r="BB68" s="127"/>
      <c r="BC68" s="127"/>
      <c r="BD68" s="823"/>
    </row>
    <row r="69" spans="2:56"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823"/>
      <c r="R69" s="127"/>
      <c r="S69" s="127"/>
      <c r="T69" s="127"/>
      <c r="U69" s="127"/>
      <c r="V69" s="127"/>
      <c r="W69" s="127"/>
      <c r="X69" s="127"/>
      <c r="Y69" s="127"/>
      <c r="Z69" s="127"/>
      <c r="AA69" s="127"/>
      <c r="AB69" s="127"/>
      <c r="AC69" s="127"/>
      <c r="AD69" s="823"/>
      <c r="AE69" s="127"/>
      <c r="AF69" s="127"/>
      <c r="AG69" s="127"/>
      <c r="AH69" s="127"/>
      <c r="AI69" s="127"/>
      <c r="AJ69" s="127"/>
      <c r="AK69" s="127"/>
      <c r="AL69" s="127"/>
      <c r="AM69" s="127"/>
      <c r="AN69" s="127"/>
      <c r="AO69" s="127"/>
      <c r="AP69" s="127"/>
      <c r="AQ69" s="823"/>
      <c r="AR69" s="127"/>
      <c r="AS69" s="127"/>
      <c r="AT69" s="127"/>
      <c r="AU69" s="127"/>
      <c r="AV69" s="127"/>
      <c r="AW69" s="127"/>
      <c r="AX69" s="127"/>
      <c r="AY69" s="127"/>
      <c r="AZ69" s="127"/>
      <c r="BA69" s="127"/>
      <c r="BB69" s="127"/>
      <c r="BC69" s="127"/>
      <c r="BD69" s="823"/>
    </row>
    <row r="70" spans="2:56"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823"/>
      <c r="R70" s="127"/>
      <c r="S70" s="127"/>
      <c r="T70" s="127"/>
      <c r="U70" s="127"/>
      <c r="V70" s="127"/>
      <c r="W70" s="127"/>
      <c r="X70" s="127"/>
      <c r="Y70" s="127"/>
      <c r="Z70" s="127"/>
      <c r="AA70" s="127"/>
      <c r="AB70" s="127"/>
      <c r="AC70" s="127"/>
      <c r="AD70" s="823"/>
      <c r="AE70" s="127"/>
      <c r="AF70" s="127"/>
      <c r="AG70" s="127"/>
      <c r="AH70" s="127"/>
      <c r="AI70" s="127"/>
      <c r="AJ70" s="127"/>
      <c r="AK70" s="127"/>
      <c r="AL70" s="127"/>
      <c r="AM70" s="127"/>
      <c r="AN70" s="127"/>
      <c r="AO70" s="127"/>
      <c r="AP70" s="127"/>
      <c r="AQ70" s="823"/>
      <c r="AR70" s="127"/>
      <c r="AS70" s="127"/>
      <c r="AT70" s="127"/>
      <c r="AU70" s="127"/>
      <c r="AV70" s="127"/>
      <c r="AW70" s="127"/>
      <c r="AX70" s="127"/>
      <c r="AY70" s="127"/>
      <c r="AZ70" s="127"/>
      <c r="BA70" s="127"/>
      <c r="BB70" s="127"/>
      <c r="BC70" s="127"/>
      <c r="BD70" s="823"/>
    </row>
    <row r="71" spans="2:56"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823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823"/>
      <c r="AE71" s="127"/>
      <c r="AF71" s="127"/>
      <c r="AG71" s="127"/>
      <c r="AH71" s="127"/>
      <c r="AI71" s="127"/>
      <c r="AJ71" s="127"/>
      <c r="AK71" s="127"/>
      <c r="AL71" s="127"/>
      <c r="AM71" s="127"/>
      <c r="AN71" s="127"/>
      <c r="AO71" s="127"/>
      <c r="AP71" s="127"/>
      <c r="AQ71" s="823"/>
      <c r="AR71" s="127"/>
      <c r="AS71" s="127"/>
      <c r="AT71" s="127"/>
      <c r="AU71" s="127"/>
      <c r="AV71" s="127"/>
      <c r="AW71" s="127"/>
      <c r="AX71" s="127"/>
      <c r="AY71" s="127"/>
      <c r="AZ71" s="127"/>
      <c r="BA71" s="127"/>
      <c r="BB71" s="127"/>
      <c r="BC71" s="127"/>
      <c r="BD71" s="823"/>
    </row>
    <row r="72" spans="2:56"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823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823"/>
      <c r="AE72" s="127"/>
      <c r="AF72" s="127"/>
      <c r="AG72" s="127"/>
      <c r="AH72" s="127"/>
      <c r="AI72" s="127"/>
      <c r="AJ72" s="127"/>
      <c r="AK72" s="127"/>
      <c r="AL72" s="127"/>
      <c r="AM72" s="127"/>
      <c r="AN72" s="127"/>
      <c r="AO72" s="127"/>
      <c r="AP72" s="127"/>
      <c r="AQ72" s="823"/>
      <c r="AR72" s="127"/>
      <c r="AS72" s="127"/>
      <c r="AT72" s="127"/>
      <c r="AU72" s="127"/>
      <c r="AV72" s="127"/>
      <c r="AW72" s="127"/>
      <c r="AX72" s="127"/>
      <c r="AY72" s="127"/>
      <c r="AZ72" s="127"/>
      <c r="BA72" s="127"/>
      <c r="BB72" s="127"/>
      <c r="BC72" s="127"/>
      <c r="BD72" s="823"/>
    </row>
    <row r="73" spans="2:56"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823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823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  <c r="AO73" s="127"/>
      <c r="AP73" s="127"/>
      <c r="AQ73" s="823"/>
      <c r="AR73" s="127"/>
      <c r="AS73" s="127"/>
      <c r="AT73" s="127"/>
      <c r="AU73" s="127"/>
      <c r="AV73" s="127"/>
      <c r="AW73" s="127"/>
      <c r="AX73" s="127"/>
      <c r="AY73" s="127"/>
      <c r="AZ73" s="127"/>
      <c r="BA73" s="127"/>
      <c r="BB73" s="127"/>
      <c r="BC73" s="127"/>
      <c r="BD73" s="823"/>
    </row>
    <row r="74" spans="2:56"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823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823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823"/>
      <c r="AR74" s="127"/>
      <c r="AS74" s="127"/>
      <c r="AT74" s="127"/>
      <c r="AU74" s="127"/>
      <c r="AV74" s="127"/>
      <c r="AW74" s="127"/>
      <c r="AX74" s="127"/>
      <c r="AY74" s="127"/>
      <c r="AZ74" s="127"/>
      <c r="BA74" s="127"/>
      <c r="BB74" s="127"/>
      <c r="BC74" s="127"/>
      <c r="BD74" s="823"/>
    </row>
    <row r="75" spans="2:56"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823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823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823"/>
      <c r="AR75" s="127"/>
      <c r="AS75" s="127"/>
      <c r="AT75" s="127"/>
      <c r="AU75" s="127"/>
      <c r="AV75" s="127"/>
      <c r="AW75" s="127"/>
      <c r="AX75" s="127"/>
      <c r="AY75" s="127"/>
      <c r="AZ75" s="127"/>
      <c r="BA75" s="127"/>
      <c r="BB75" s="127"/>
      <c r="BC75" s="127"/>
      <c r="BD75" s="823"/>
    </row>
    <row r="76" spans="2:56"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823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823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  <c r="AQ76" s="823"/>
      <c r="AR76" s="127"/>
      <c r="AS76" s="127"/>
      <c r="AT76" s="127"/>
      <c r="AU76" s="127"/>
      <c r="AV76" s="127"/>
      <c r="AW76" s="127"/>
      <c r="AX76" s="127"/>
      <c r="AY76" s="127"/>
      <c r="AZ76" s="127"/>
      <c r="BA76" s="127"/>
      <c r="BB76" s="127"/>
      <c r="BC76" s="127"/>
      <c r="BD76" s="823"/>
    </row>
    <row r="77" spans="2:56"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823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823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  <c r="AO77" s="127"/>
      <c r="AP77" s="127"/>
      <c r="AQ77" s="823"/>
      <c r="AR77" s="127"/>
      <c r="AS77" s="127"/>
      <c r="AT77" s="127"/>
      <c r="AU77" s="127"/>
      <c r="AV77" s="127"/>
      <c r="AW77" s="127"/>
      <c r="AX77" s="127"/>
      <c r="AY77" s="127"/>
      <c r="AZ77" s="127"/>
      <c r="BA77" s="127"/>
      <c r="BB77" s="127"/>
      <c r="BC77" s="127"/>
      <c r="BD77" s="823"/>
    </row>
    <row r="78" spans="2:56"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823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823"/>
      <c r="AE78" s="127"/>
      <c r="AF78" s="127"/>
      <c r="AG78" s="127"/>
      <c r="AH78" s="127"/>
      <c r="AI78" s="127"/>
      <c r="AJ78" s="127"/>
      <c r="AK78" s="127"/>
      <c r="AL78" s="127"/>
      <c r="AM78" s="127"/>
      <c r="AN78" s="127"/>
      <c r="AO78" s="127"/>
      <c r="AP78" s="127"/>
      <c r="AQ78" s="823"/>
      <c r="AR78" s="127"/>
      <c r="AS78" s="127"/>
      <c r="AT78" s="127"/>
      <c r="AU78" s="127"/>
      <c r="AV78" s="127"/>
      <c r="AW78" s="127"/>
      <c r="AX78" s="127"/>
      <c r="AY78" s="127"/>
      <c r="AZ78" s="127"/>
      <c r="BA78" s="127"/>
      <c r="BB78" s="127"/>
      <c r="BC78" s="127"/>
      <c r="BD78" s="823"/>
    </row>
    <row r="79" spans="2:56"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823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823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823"/>
      <c r="AR79" s="127"/>
      <c r="AS79" s="127"/>
      <c r="AT79" s="127"/>
      <c r="AU79" s="127"/>
      <c r="AV79" s="127"/>
      <c r="AW79" s="127"/>
      <c r="AX79" s="127"/>
      <c r="AY79" s="127"/>
      <c r="AZ79" s="127"/>
      <c r="BA79" s="127"/>
      <c r="BB79" s="127"/>
      <c r="BC79" s="127"/>
      <c r="BD79" s="823"/>
    </row>
    <row r="80" spans="2:56"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823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823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  <c r="AQ80" s="823"/>
      <c r="AR80" s="127"/>
      <c r="AS80" s="127"/>
      <c r="AT80" s="127"/>
      <c r="AU80" s="127"/>
      <c r="AV80" s="127"/>
      <c r="AW80" s="127"/>
      <c r="AX80" s="127"/>
      <c r="AY80" s="127"/>
      <c r="AZ80" s="127"/>
      <c r="BA80" s="127"/>
      <c r="BB80" s="127"/>
      <c r="BC80" s="127"/>
      <c r="BD80" s="823"/>
    </row>
    <row r="81" spans="2:56"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823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823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27"/>
      <c r="AP81" s="127"/>
      <c r="AQ81" s="823"/>
      <c r="AR81" s="127"/>
      <c r="AS81" s="127"/>
      <c r="AT81" s="127"/>
      <c r="AU81" s="127"/>
      <c r="AV81" s="127"/>
      <c r="AW81" s="127"/>
      <c r="AX81" s="127"/>
      <c r="AY81" s="127"/>
      <c r="AZ81" s="127"/>
      <c r="BA81" s="127"/>
      <c r="BB81" s="127"/>
      <c r="BC81" s="127"/>
      <c r="BD81" s="823"/>
    </row>
    <row r="82" spans="2:56"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823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823"/>
      <c r="AE82" s="127"/>
      <c r="AF82" s="127"/>
      <c r="AG82" s="127"/>
      <c r="AH82" s="127"/>
      <c r="AI82" s="127"/>
      <c r="AJ82" s="127"/>
      <c r="AK82" s="127"/>
      <c r="AL82" s="127"/>
      <c r="AM82" s="127"/>
      <c r="AN82" s="127"/>
      <c r="AO82" s="127"/>
      <c r="AP82" s="127"/>
      <c r="AQ82" s="823"/>
      <c r="AR82" s="127"/>
      <c r="AS82" s="127"/>
      <c r="AT82" s="127"/>
      <c r="AU82" s="127"/>
      <c r="AV82" s="127"/>
      <c r="AW82" s="127"/>
      <c r="AX82" s="127"/>
      <c r="AY82" s="127"/>
      <c r="AZ82" s="127"/>
      <c r="BA82" s="127"/>
      <c r="BB82" s="127"/>
      <c r="BC82" s="127"/>
      <c r="BD82" s="823"/>
    </row>
    <row r="83" spans="2:56"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823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823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27"/>
      <c r="AP83" s="127"/>
      <c r="AQ83" s="823"/>
      <c r="AR83" s="127"/>
      <c r="AS83" s="127"/>
      <c r="AT83" s="127"/>
      <c r="AU83" s="127"/>
      <c r="AV83" s="127"/>
      <c r="AW83" s="127"/>
      <c r="AX83" s="127"/>
      <c r="AY83" s="127"/>
      <c r="AZ83" s="127"/>
      <c r="BA83" s="127"/>
      <c r="BB83" s="127"/>
      <c r="BC83" s="127"/>
      <c r="BD83" s="823"/>
    </row>
    <row r="84" spans="2:56"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823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823"/>
      <c r="AE84" s="127"/>
      <c r="AF84" s="127"/>
      <c r="AG84" s="127"/>
      <c r="AH84" s="127"/>
      <c r="AI84" s="127"/>
      <c r="AJ84" s="127"/>
      <c r="AK84" s="127"/>
      <c r="AL84" s="127"/>
      <c r="AM84" s="127"/>
      <c r="AN84" s="127"/>
      <c r="AO84" s="127"/>
      <c r="AP84" s="127"/>
      <c r="AQ84" s="823"/>
      <c r="AR84" s="127"/>
      <c r="AS84" s="127"/>
      <c r="AT84" s="127"/>
      <c r="AU84" s="127"/>
      <c r="AV84" s="127"/>
      <c r="AW84" s="127"/>
      <c r="AX84" s="127"/>
      <c r="AY84" s="127"/>
      <c r="AZ84" s="127"/>
      <c r="BA84" s="127"/>
      <c r="BB84" s="127"/>
      <c r="BC84" s="127"/>
      <c r="BD84" s="823"/>
    </row>
    <row r="85" spans="2:56"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823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823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  <c r="AO85" s="127"/>
      <c r="AP85" s="127"/>
      <c r="AQ85" s="823"/>
      <c r="AR85" s="127"/>
      <c r="AS85" s="127"/>
      <c r="AT85" s="127"/>
      <c r="AU85" s="127"/>
      <c r="AV85" s="127"/>
      <c r="AW85" s="127"/>
      <c r="AX85" s="127"/>
      <c r="AY85" s="127"/>
      <c r="AZ85" s="127"/>
      <c r="BA85" s="127"/>
      <c r="BB85" s="127"/>
      <c r="BC85" s="127"/>
      <c r="BD85" s="823"/>
    </row>
    <row r="86" spans="2:56"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823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823"/>
      <c r="AE86" s="127"/>
      <c r="AF86" s="127"/>
      <c r="AG86" s="127"/>
      <c r="AH86" s="127"/>
      <c r="AI86" s="127"/>
      <c r="AJ86" s="127"/>
      <c r="AK86" s="127"/>
      <c r="AL86" s="127"/>
      <c r="AM86" s="127"/>
      <c r="AN86" s="127"/>
      <c r="AO86" s="127"/>
      <c r="AP86" s="127"/>
      <c r="AQ86" s="823"/>
      <c r="AR86" s="127"/>
      <c r="AS86" s="127"/>
      <c r="AT86" s="127"/>
      <c r="AU86" s="127"/>
      <c r="AV86" s="127"/>
      <c r="AW86" s="127"/>
      <c r="AX86" s="127"/>
      <c r="AY86" s="127"/>
      <c r="AZ86" s="127"/>
      <c r="BA86" s="127"/>
      <c r="BB86" s="127"/>
      <c r="BC86" s="127"/>
      <c r="BD86" s="823"/>
    </row>
    <row r="87" spans="2:56"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823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823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  <c r="AO87" s="127"/>
      <c r="AP87" s="127"/>
      <c r="AQ87" s="823"/>
      <c r="AR87" s="127"/>
      <c r="AS87" s="127"/>
      <c r="AT87" s="127"/>
      <c r="AU87" s="127"/>
      <c r="AV87" s="127"/>
      <c r="AW87" s="127"/>
      <c r="AX87" s="127"/>
      <c r="AY87" s="127"/>
      <c r="AZ87" s="127"/>
      <c r="BA87" s="127"/>
      <c r="BB87" s="127"/>
      <c r="BC87" s="127"/>
      <c r="BD87" s="823"/>
    </row>
    <row r="88" spans="2:56"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823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823"/>
      <c r="AE88" s="127"/>
      <c r="AF88" s="127"/>
      <c r="AG88" s="127"/>
      <c r="AH88" s="127"/>
      <c r="AI88" s="127"/>
      <c r="AJ88" s="127"/>
      <c r="AK88" s="127"/>
      <c r="AL88" s="127"/>
      <c r="AM88" s="127"/>
      <c r="AN88" s="127"/>
      <c r="AO88" s="127"/>
      <c r="AP88" s="127"/>
      <c r="AQ88" s="823"/>
      <c r="AR88" s="127"/>
      <c r="AS88" s="127"/>
      <c r="AT88" s="127"/>
      <c r="AU88" s="127"/>
      <c r="AV88" s="127"/>
      <c r="AW88" s="127"/>
      <c r="AX88" s="127"/>
      <c r="AY88" s="127"/>
      <c r="AZ88" s="127"/>
      <c r="BA88" s="127"/>
      <c r="BB88" s="127"/>
      <c r="BC88" s="127"/>
      <c r="BD88" s="823"/>
    </row>
    <row r="89" spans="2:56"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823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823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  <c r="AO89" s="127"/>
      <c r="AP89" s="127"/>
      <c r="AQ89" s="823"/>
      <c r="AR89" s="127"/>
      <c r="AS89" s="127"/>
      <c r="AT89" s="127"/>
      <c r="AU89" s="127"/>
      <c r="AV89" s="127"/>
      <c r="AW89" s="127"/>
      <c r="AX89" s="127"/>
      <c r="AY89" s="127"/>
      <c r="AZ89" s="127"/>
      <c r="BA89" s="127"/>
      <c r="BB89" s="127"/>
      <c r="BC89" s="127"/>
      <c r="BD89" s="823"/>
    </row>
    <row r="90" spans="2:56"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823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823"/>
      <c r="AE90" s="127"/>
      <c r="AF90" s="127"/>
      <c r="AG90" s="127"/>
      <c r="AH90" s="127"/>
      <c r="AI90" s="127"/>
      <c r="AJ90" s="127"/>
      <c r="AK90" s="127"/>
      <c r="AL90" s="127"/>
      <c r="AM90" s="127"/>
      <c r="AN90" s="127"/>
      <c r="AO90" s="127"/>
      <c r="AP90" s="127"/>
      <c r="AQ90" s="823"/>
      <c r="AR90" s="127"/>
      <c r="AS90" s="127"/>
      <c r="AT90" s="127"/>
      <c r="AU90" s="127"/>
      <c r="AV90" s="127"/>
      <c r="AW90" s="127"/>
      <c r="AX90" s="127"/>
      <c r="AY90" s="127"/>
      <c r="AZ90" s="127"/>
      <c r="BA90" s="127"/>
      <c r="BB90" s="127"/>
      <c r="BC90" s="127"/>
      <c r="BD90" s="823"/>
    </row>
    <row r="91" spans="2:56"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823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823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823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  <c r="BB91" s="127"/>
      <c r="BC91" s="127"/>
      <c r="BD91" s="823"/>
    </row>
    <row r="92" spans="2:56"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823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823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823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27"/>
      <c r="BC92" s="127"/>
      <c r="BD92" s="823"/>
    </row>
    <row r="93" spans="2:56"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823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823"/>
      <c r="AE93" s="127"/>
      <c r="AF93" s="127"/>
      <c r="AG93" s="127"/>
      <c r="AH93" s="127"/>
      <c r="AI93" s="127"/>
      <c r="AJ93" s="127"/>
      <c r="AK93" s="127"/>
      <c r="AL93" s="127"/>
      <c r="AM93" s="127"/>
      <c r="AN93" s="127"/>
      <c r="AO93" s="127"/>
      <c r="AP93" s="127"/>
      <c r="AQ93" s="823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  <c r="BB93" s="127"/>
      <c r="BC93" s="127"/>
      <c r="BD93" s="823"/>
    </row>
    <row r="94" spans="2:56"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823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823"/>
      <c r="AE94" s="127"/>
      <c r="AF94" s="127"/>
      <c r="AG94" s="127"/>
      <c r="AH94" s="127"/>
      <c r="AI94" s="127"/>
      <c r="AJ94" s="127"/>
      <c r="AK94" s="127"/>
      <c r="AL94" s="127"/>
      <c r="AM94" s="127"/>
      <c r="AN94" s="127"/>
      <c r="AO94" s="127"/>
      <c r="AP94" s="127"/>
      <c r="AQ94" s="823"/>
      <c r="AR94" s="127"/>
      <c r="AS94" s="127"/>
      <c r="AT94" s="127"/>
      <c r="AU94" s="127"/>
      <c r="AV94" s="127"/>
      <c r="AW94" s="127"/>
      <c r="AX94" s="127"/>
      <c r="AY94" s="127"/>
      <c r="AZ94" s="127"/>
      <c r="BA94" s="127"/>
      <c r="BB94" s="127"/>
      <c r="BC94" s="127"/>
      <c r="BD94" s="823"/>
    </row>
    <row r="95" spans="2:56"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823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823"/>
      <c r="AE95" s="127"/>
      <c r="AF95" s="127"/>
      <c r="AG95" s="127"/>
      <c r="AH95" s="127"/>
      <c r="AI95" s="127"/>
      <c r="AJ95" s="127"/>
      <c r="AK95" s="127"/>
      <c r="AL95" s="127"/>
      <c r="AM95" s="127"/>
      <c r="AN95" s="127"/>
      <c r="AO95" s="127"/>
      <c r="AP95" s="127"/>
      <c r="AQ95" s="823"/>
      <c r="AR95" s="127"/>
      <c r="AS95" s="127"/>
      <c r="AT95" s="127"/>
      <c r="AU95" s="127"/>
      <c r="AV95" s="127"/>
      <c r="AW95" s="127"/>
      <c r="AX95" s="127"/>
      <c r="AY95" s="127"/>
      <c r="AZ95" s="127"/>
      <c r="BA95" s="127"/>
      <c r="BB95" s="127"/>
      <c r="BC95" s="127"/>
      <c r="BD95" s="823"/>
    </row>
    <row r="96" spans="2:56"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823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823"/>
      <c r="AE96" s="127"/>
      <c r="AF96" s="127"/>
      <c r="AG96" s="127"/>
      <c r="AH96" s="127"/>
      <c r="AI96" s="127"/>
      <c r="AJ96" s="127"/>
      <c r="AK96" s="127"/>
      <c r="AL96" s="127"/>
      <c r="AM96" s="127"/>
      <c r="AN96" s="127"/>
      <c r="AO96" s="127"/>
      <c r="AP96" s="127"/>
      <c r="AQ96" s="823"/>
      <c r="AR96" s="127"/>
      <c r="AS96" s="127"/>
      <c r="AT96" s="127"/>
      <c r="AU96" s="127"/>
      <c r="AV96" s="127"/>
      <c r="AW96" s="127"/>
      <c r="AX96" s="127"/>
      <c r="AY96" s="127"/>
      <c r="AZ96" s="127"/>
      <c r="BA96" s="127"/>
      <c r="BB96" s="127"/>
      <c r="BC96" s="127"/>
      <c r="BD96" s="823"/>
    </row>
    <row r="97" spans="2:56"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823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823"/>
      <c r="AE97" s="127"/>
      <c r="AF97" s="127"/>
      <c r="AG97" s="127"/>
      <c r="AH97" s="127"/>
      <c r="AI97" s="127"/>
      <c r="AJ97" s="127"/>
      <c r="AK97" s="127"/>
      <c r="AL97" s="127"/>
      <c r="AM97" s="127"/>
      <c r="AN97" s="127"/>
      <c r="AO97" s="127"/>
      <c r="AP97" s="127"/>
      <c r="AQ97" s="823"/>
      <c r="AR97" s="127"/>
      <c r="AS97" s="127"/>
      <c r="AT97" s="127"/>
      <c r="AU97" s="127"/>
      <c r="AV97" s="127"/>
      <c r="AW97" s="127"/>
      <c r="AX97" s="127"/>
      <c r="AY97" s="127"/>
      <c r="AZ97" s="127"/>
      <c r="BA97" s="127"/>
      <c r="BB97" s="127"/>
      <c r="BC97" s="127"/>
      <c r="BD97" s="823"/>
    </row>
    <row r="98" spans="2:56"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823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823"/>
      <c r="AE98" s="127"/>
      <c r="AF98" s="127"/>
      <c r="AG98" s="127"/>
      <c r="AH98" s="127"/>
      <c r="AI98" s="127"/>
      <c r="AJ98" s="127"/>
      <c r="AK98" s="127"/>
      <c r="AL98" s="127"/>
      <c r="AM98" s="127"/>
      <c r="AN98" s="127"/>
      <c r="AO98" s="127"/>
      <c r="AP98" s="127"/>
      <c r="AQ98" s="823"/>
      <c r="AR98" s="127"/>
      <c r="AS98" s="127"/>
      <c r="AT98" s="127"/>
      <c r="AU98" s="127"/>
      <c r="AV98" s="127"/>
      <c r="AW98" s="127"/>
      <c r="AX98" s="127"/>
      <c r="AY98" s="127"/>
      <c r="AZ98" s="127"/>
      <c r="BA98" s="127"/>
      <c r="BB98" s="127"/>
      <c r="BC98" s="127"/>
      <c r="BD98" s="823"/>
    </row>
    <row r="99" spans="2:56"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823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823"/>
      <c r="AE99" s="127"/>
      <c r="AF99" s="127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823"/>
      <c r="AR99" s="127"/>
      <c r="AS99" s="127"/>
      <c r="AT99" s="127"/>
      <c r="AU99" s="127"/>
      <c r="AV99" s="127"/>
      <c r="AW99" s="127"/>
      <c r="AX99" s="127"/>
      <c r="AY99" s="127"/>
      <c r="AZ99" s="127"/>
      <c r="BA99" s="127"/>
      <c r="BB99" s="127"/>
      <c r="BC99" s="127"/>
      <c r="BD99" s="823"/>
    </row>
    <row r="100" spans="2:56"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823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823"/>
      <c r="AE100" s="127"/>
      <c r="AF100" s="127"/>
      <c r="AG100" s="127"/>
      <c r="AH100" s="127"/>
      <c r="AI100" s="127"/>
      <c r="AJ100" s="127"/>
      <c r="AK100" s="127"/>
      <c r="AL100" s="127"/>
      <c r="AM100" s="127"/>
      <c r="AN100" s="127"/>
      <c r="AO100" s="127"/>
      <c r="AP100" s="127"/>
      <c r="AQ100" s="823"/>
      <c r="AR100" s="127"/>
      <c r="AS100" s="127"/>
      <c r="AT100" s="127"/>
      <c r="AU100" s="127"/>
      <c r="AV100" s="127"/>
      <c r="AW100" s="127"/>
      <c r="AX100" s="127"/>
      <c r="AY100" s="127"/>
      <c r="AZ100" s="127"/>
      <c r="BA100" s="127"/>
      <c r="BB100" s="127"/>
      <c r="BC100" s="127"/>
      <c r="BD100" s="823"/>
    </row>
  </sheetData>
  <mergeCells count="9">
    <mergeCell ref="E1:AD1"/>
    <mergeCell ref="AE1:BD1"/>
    <mergeCell ref="E2:Q2"/>
    <mergeCell ref="R2:AD2"/>
    <mergeCell ref="AE2:AQ2"/>
    <mergeCell ref="AR2:BD2"/>
    <mergeCell ref="B1:B3"/>
    <mergeCell ref="C1:C3"/>
    <mergeCell ref="D1:D3"/>
  </mergeCells>
  <hyperlinks>
    <hyperlink ref="A1" location="目录!A1" display="← 返回目录"/>
  </hyperlink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2" tint="-0.249977111117893"/>
  </sheetPr>
  <dimension ref="A1:AL8"/>
  <sheetViews>
    <sheetView zoomScale="85" zoomScaleNormal="85" topLeftCell="C1" workbookViewId="0">
      <selection activeCell="C7" sqref="C7:AD8"/>
    </sheetView>
  </sheetViews>
  <sheetFormatPr defaultColWidth="8.90833333333333" defaultRowHeight="13.5" outlineLevelRow="7"/>
  <cols>
    <col min="1" max="1" width="5.63333333333333" customWidth="1"/>
    <col min="2" max="2" width="11.9083333333333" customWidth="1"/>
    <col min="3" max="3" width="20" customWidth="1"/>
    <col min="4" max="4" width="13.0916666666667" customWidth="1"/>
    <col min="5" max="5" width="9.63333333333333" customWidth="1"/>
    <col min="6" max="6" width="5.63333333333333" customWidth="1"/>
    <col min="7" max="7" width="11.9083333333333" customWidth="1"/>
    <col min="8" max="9" width="14.0916666666667" customWidth="1"/>
    <col min="10" max="10" width="7.36666666666667" customWidth="1"/>
    <col min="11" max="11" width="5.63333333333333" customWidth="1"/>
    <col min="12" max="15" width="9.63333333333333" customWidth="1"/>
    <col min="16" max="19" width="8.81666666666667" customWidth="1"/>
    <col min="20" max="20" width="12.8166666666667" customWidth="1"/>
    <col min="21" max="21" width="8.81666666666667" customWidth="1"/>
    <col min="22" max="22" width="12.8166666666667" customWidth="1"/>
    <col min="23" max="23" width="8.81666666666667" customWidth="1"/>
    <col min="24" max="24" width="15.3666666666667" customWidth="1"/>
    <col min="25" max="25" width="10.8166666666667" customWidth="1"/>
    <col min="26" max="27" width="6.81666666666667" customWidth="1"/>
    <col min="28" max="32" width="10.8166666666667" customWidth="1"/>
    <col min="33" max="33" width="13.9083333333333" customWidth="1"/>
    <col min="34" max="34" width="11.9083333333333" customWidth="1"/>
    <col min="35" max="35" width="8.81666666666667" customWidth="1"/>
    <col min="36" max="38" width="10.8166666666667" customWidth="1"/>
  </cols>
  <sheetData>
    <row r="1" spans="1:38">
      <c r="A1" s="202" t="s">
        <v>185</v>
      </c>
      <c r="B1" s="855" t="s">
        <v>1353</v>
      </c>
      <c r="C1" s="856" t="s">
        <v>1354</v>
      </c>
      <c r="D1" s="127"/>
      <c r="E1" s="127"/>
    </row>
    <row r="2" spans="1:38">
      <c r="B2" s="855" t="s">
        <v>1355</v>
      </c>
      <c r="C2" s="856">
        <v>2026</v>
      </c>
      <c r="D2" s="855" t="s">
        <v>1356</v>
      </c>
      <c r="E2" s="127" t="s">
        <v>1357</v>
      </c>
    </row>
    <row r="3" spans="1:38">
      <c r="B3" s="855" t="s">
        <v>1358</v>
      </c>
      <c r="C3" s="856" t="s">
        <v>1359</v>
      </c>
      <c r="D3" s="127"/>
      <c r="E3" s="127"/>
    </row>
    <row r="4" spans="1:38">
      <c r="B4" s="855" t="s">
        <v>1360</v>
      </c>
      <c r="C4" s="857" t="s">
        <v>1361</v>
      </c>
      <c r="D4" s="127"/>
      <c r="E4" s="127"/>
    </row>
    <row r="5" spans="1:38">
      <c r="B5" s="855" t="s">
        <v>1362</v>
      </c>
      <c r="C5" s="856" t="s">
        <v>1363</v>
      </c>
      <c r="D5" s="127"/>
      <c r="E5" s="127"/>
    </row>
    <row r="7" s="721" customFormat="1" ht="24" spans="1:38">
      <c r="A7" s="810" t="s">
        <v>1364</v>
      </c>
      <c r="B7" s="810" t="s">
        <v>187</v>
      </c>
      <c r="C7" s="810" t="s">
        <v>188</v>
      </c>
      <c r="D7" s="811" t="s">
        <v>1365</v>
      </c>
      <c r="E7" s="811" t="s">
        <v>1366</v>
      </c>
      <c r="F7" s="811" t="s">
        <v>1367</v>
      </c>
      <c r="G7" s="811" t="s">
        <v>1368</v>
      </c>
      <c r="H7" s="811" t="s">
        <v>1369</v>
      </c>
      <c r="I7" s="811" t="s">
        <v>1370</v>
      </c>
      <c r="J7" s="811" t="s">
        <v>489</v>
      </c>
      <c r="K7" s="811" t="s">
        <v>490</v>
      </c>
      <c r="L7" s="811" t="s">
        <v>1371</v>
      </c>
      <c r="M7" s="812" t="s">
        <v>1372</v>
      </c>
      <c r="N7" s="812" t="s">
        <v>1373</v>
      </c>
      <c r="O7" s="812" t="s">
        <v>1374</v>
      </c>
      <c r="P7" s="813" t="s">
        <v>1375</v>
      </c>
      <c r="Q7" s="813" t="s">
        <v>1376</v>
      </c>
      <c r="R7" s="813" t="s">
        <v>1377</v>
      </c>
      <c r="S7" s="813" t="s">
        <v>1378</v>
      </c>
      <c r="T7" s="813" t="s">
        <v>1379</v>
      </c>
      <c r="U7" s="854" t="s">
        <v>1380</v>
      </c>
      <c r="V7" s="854" t="s">
        <v>1381</v>
      </c>
      <c r="W7" s="854" t="s">
        <v>1382</v>
      </c>
      <c r="X7" s="854" t="s">
        <v>1383</v>
      </c>
      <c r="Y7" s="854" t="s">
        <v>1384</v>
      </c>
      <c r="Z7" s="854" t="s">
        <v>1385</v>
      </c>
      <c r="AA7" s="854" t="s">
        <v>1386</v>
      </c>
      <c r="AB7" s="854" t="s">
        <v>1387</v>
      </c>
      <c r="AC7" s="854" t="s">
        <v>1388</v>
      </c>
      <c r="AD7" s="854" t="s">
        <v>1389</v>
      </c>
      <c r="AE7" s="854" t="s">
        <v>1347</v>
      </c>
      <c r="AF7" s="854" t="s">
        <v>1390</v>
      </c>
      <c r="AG7" s="858" t="s">
        <v>1391</v>
      </c>
      <c r="AH7" s="858" t="s">
        <v>1392</v>
      </c>
      <c r="AI7" s="854" t="s">
        <v>1348</v>
      </c>
      <c r="AJ7" s="813" t="s">
        <v>1393</v>
      </c>
      <c r="AK7" s="813" t="s">
        <v>1394</v>
      </c>
      <c r="AL7" s="813" t="s">
        <v>1395</v>
      </c>
    </row>
    <row r="8" s="722" customFormat="1" ht="12" spans="1:38">
      <c r="A8" s="814" t="s">
        <v>1396</v>
      </c>
      <c r="B8" s="814" t="s">
        <v>1397</v>
      </c>
      <c r="C8" s="814" t="s">
        <v>1363</v>
      </c>
      <c r="D8" s="814"/>
      <c r="E8" s="814"/>
      <c r="F8" s="814"/>
      <c r="G8" s="814"/>
      <c r="H8" s="814" t="s">
        <v>1398</v>
      </c>
      <c r="I8" s="814" t="s">
        <v>993</v>
      </c>
      <c r="J8" s="814" t="s">
        <v>296</v>
      </c>
      <c r="K8" s="814" t="s">
        <v>231</v>
      </c>
      <c r="L8" s="814" t="s">
        <v>1399</v>
      </c>
      <c r="M8" s="814"/>
      <c r="N8" s="814"/>
      <c r="O8" s="814"/>
      <c r="P8" s="814"/>
      <c r="Q8" s="814"/>
      <c r="R8" s="814"/>
      <c r="S8" s="814"/>
      <c r="T8" s="814"/>
      <c r="U8" s="814"/>
      <c r="V8" s="814"/>
      <c r="W8" s="814"/>
      <c r="X8" s="814"/>
      <c r="Y8" s="814"/>
      <c r="Z8" s="814"/>
      <c r="AA8" s="814"/>
      <c r="AB8" s="814"/>
      <c r="AC8" s="814"/>
      <c r="AD8" s="814"/>
      <c r="AE8" s="814"/>
      <c r="AF8" s="814"/>
      <c r="AG8" s="814"/>
      <c r="AH8" s="814"/>
      <c r="AI8" s="814"/>
      <c r="AJ8" s="814"/>
      <c r="AK8" s="814"/>
      <c r="AL8" s="814"/>
    </row>
  </sheetData>
  <hyperlinks>
    <hyperlink ref="A1" location="目录!A1" display="← 返回目录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theme="2" tint="-0.249977111117893"/>
  </sheetPr>
  <dimension ref="A1:AE8"/>
  <sheetViews>
    <sheetView zoomScale="85" zoomScaleNormal="85" workbookViewId="0">
      <selection activeCell="D1" sqref="D1"/>
    </sheetView>
  </sheetViews>
  <sheetFormatPr defaultColWidth="8.90833333333333" defaultRowHeight="13.5" outlineLevelRow="7"/>
  <cols>
    <col min="1" max="1" width="5.63333333333333" customWidth="1"/>
    <col min="2" max="2" width="11.9083333333333" customWidth="1"/>
    <col min="3" max="3" width="20" customWidth="1"/>
    <col min="4" max="4" width="13.0916666666667" customWidth="1"/>
    <col min="5" max="5" width="9.63333333333333" customWidth="1"/>
    <col min="6" max="6" width="5.63333333333333" customWidth="1"/>
    <col min="7" max="7" width="11.9083333333333" customWidth="1"/>
    <col min="8" max="9" width="14.0916666666667" customWidth="1"/>
    <col min="10" max="10" width="7.36666666666667" customWidth="1"/>
    <col min="11" max="11" width="5.63333333333333" customWidth="1"/>
    <col min="12" max="15" width="9.63333333333333" customWidth="1"/>
    <col min="16" max="17" width="8.81666666666667" customWidth="1"/>
    <col min="18" max="18" width="12.8166666666667" customWidth="1"/>
    <col min="19" max="19" width="8.81666666666667" customWidth="1"/>
    <col min="20" max="20" width="12.8166666666667" customWidth="1"/>
    <col min="21" max="21" width="15.3666666666667" customWidth="1"/>
    <col min="22" max="22" width="10.8166666666667" customWidth="1"/>
    <col min="23" max="24" width="6.81666666666667" customWidth="1"/>
    <col min="25" max="29" width="10.8166666666667" customWidth="1"/>
    <col min="30" max="30" width="8.81666666666667" customWidth="1"/>
    <col min="31" max="31" width="10.8166666666667" customWidth="1"/>
  </cols>
  <sheetData>
    <row r="1" spans="1:31">
      <c r="A1" s="162" t="s">
        <v>185</v>
      </c>
      <c r="B1" s="807" t="s">
        <v>1353</v>
      </c>
      <c r="C1" s="272" t="s">
        <v>1354</v>
      </c>
    </row>
    <row r="2" spans="1:31">
      <c r="B2" s="807" t="s">
        <v>1355</v>
      </c>
      <c r="C2" s="272">
        <v>2026</v>
      </c>
      <c r="D2" s="807" t="s">
        <v>1356</v>
      </c>
      <c r="E2" t="s">
        <v>1357</v>
      </c>
    </row>
    <row r="3" spans="1:31">
      <c r="B3" s="807" t="s">
        <v>1358</v>
      </c>
      <c r="C3" s="272" t="s">
        <v>1359</v>
      </c>
    </row>
    <row r="4" spans="1:31">
      <c r="B4" s="807" t="s">
        <v>1360</v>
      </c>
      <c r="C4" s="808" t="s">
        <v>1361</v>
      </c>
    </row>
    <row r="5" spans="1:31">
      <c r="B5" s="807" t="s">
        <v>1362</v>
      </c>
      <c r="C5" s="272" t="s">
        <v>1363</v>
      </c>
    </row>
    <row r="7" s="721" customFormat="1" ht="24" spans="1:31">
      <c r="A7" s="810" t="s">
        <v>1364</v>
      </c>
      <c r="B7" s="810" t="s">
        <v>187</v>
      </c>
      <c r="C7" s="810" t="s">
        <v>188</v>
      </c>
      <c r="D7" s="811" t="s">
        <v>1365</v>
      </c>
      <c r="E7" s="811" t="s">
        <v>1366</v>
      </c>
      <c r="F7" s="811" t="s">
        <v>1367</v>
      </c>
      <c r="G7" s="811" t="s">
        <v>1368</v>
      </c>
      <c r="H7" s="811" t="s">
        <v>1369</v>
      </c>
      <c r="I7" s="811" t="s">
        <v>1370</v>
      </c>
      <c r="J7" s="811" t="s">
        <v>489</v>
      </c>
      <c r="K7" s="811" t="s">
        <v>490</v>
      </c>
      <c r="L7" s="811" t="s">
        <v>1371</v>
      </c>
      <c r="M7" s="812" t="s">
        <v>1372</v>
      </c>
      <c r="N7" s="812" t="s">
        <v>1373</v>
      </c>
      <c r="O7" s="812" t="s">
        <v>1374</v>
      </c>
      <c r="P7" s="813" t="s">
        <v>1375</v>
      </c>
      <c r="Q7" s="813" t="s">
        <v>1378</v>
      </c>
      <c r="R7" s="813" t="s">
        <v>1379</v>
      </c>
      <c r="S7" s="854" t="s">
        <v>1380</v>
      </c>
      <c r="T7" s="854" t="s">
        <v>1381</v>
      </c>
      <c r="U7" s="854" t="s">
        <v>1383</v>
      </c>
      <c r="V7" s="854" t="s">
        <v>1384</v>
      </c>
      <c r="W7" s="854" t="s">
        <v>1385</v>
      </c>
      <c r="X7" s="854" t="s">
        <v>1386</v>
      </c>
      <c r="Y7" s="854" t="s">
        <v>1387</v>
      </c>
      <c r="Z7" s="854" t="s">
        <v>1388</v>
      </c>
      <c r="AA7" s="854" t="s">
        <v>1389</v>
      </c>
      <c r="AB7" s="854" t="s">
        <v>1347</v>
      </c>
      <c r="AC7" s="854" t="s">
        <v>1390</v>
      </c>
      <c r="AD7" s="854" t="s">
        <v>1348</v>
      </c>
      <c r="AE7" s="813" t="s">
        <v>1393</v>
      </c>
    </row>
    <row r="8" s="722" customFormat="1" ht="12" spans="1:31">
      <c r="A8" s="814" t="s">
        <v>1396</v>
      </c>
      <c r="B8" s="814" t="s">
        <v>1397</v>
      </c>
      <c r="C8" s="814" t="s">
        <v>1363</v>
      </c>
      <c r="D8" s="814"/>
      <c r="E8" s="814"/>
      <c r="F8" s="814"/>
      <c r="G8" s="814"/>
      <c r="H8" s="814" t="s">
        <v>1398</v>
      </c>
      <c r="I8" s="814" t="s">
        <v>993</v>
      </c>
      <c r="J8" s="814" t="s">
        <v>296</v>
      </c>
      <c r="K8" s="814" t="s">
        <v>231</v>
      </c>
      <c r="L8" s="814" t="s">
        <v>1399</v>
      </c>
      <c r="M8" s="814"/>
      <c r="N8" s="814"/>
      <c r="O8" s="814"/>
      <c r="P8" s="814"/>
      <c r="Q8" s="814"/>
      <c r="R8" s="814"/>
      <c r="S8" s="814"/>
      <c r="T8" s="814"/>
      <c r="U8" s="814"/>
      <c r="V8" s="814"/>
      <c r="W8" s="814"/>
      <c r="X8" s="814"/>
      <c r="Y8" s="814"/>
      <c r="Z8" s="814"/>
      <c r="AA8" s="814"/>
      <c r="AB8" s="814"/>
      <c r="AC8" s="814"/>
      <c r="AD8" s="814"/>
      <c r="AE8" s="814"/>
    </row>
  </sheetData>
  <hyperlinks>
    <hyperlink ref="A1" location="目录!A1" display="← 返回目录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>
    <tabColor theme="2" tint="-0.249977111117893"/>
  </sheetPr>
  <dimension ref="A1:Y23"/>
  <sheetViews>
    <sheetView zoomScale="80" zoomScaleNormal="80" workbookViewId="0">
      <selection activeCell="D1" sqref="D1:D2"/>
    </sheetView>
  </sheetViews>
  <sheetFormatPr defaultColWidth="9" defaultRowHeight="13.5"/>
  <cols>
    <col min="10" max="11" width="13.45" customWidth="1"/>
    <col min="17" max="18" width="12.2666666666667" customWidth="1"/>
    <col min="24" max="25" width="12.9083333333333" customWidth="1"/>
  </cols>
  <sheetData>
    <row r="1" spans="1:25">
      <c r="A1" s="162" t="s">
        <v>185</v>
      </c>
      <c r="B1" s="816" t="s">
        <v>188</v>
      </c>
      <c r="C1" s="816" t="s">
        <v>489</v>
      </c>
      <c r="D1" s="816" t="s">
        <v>490</v>
      </c>
      <c r="E1" s="827" t="s">
        <v>190</v>
      </c>
      <c r="F1" s="828"/>
      <c r="G1" s="828"/>
      <c r="H1" s="828"/>
      <c r="I1" s="828"/>
      <c r="J1" s="828"/>
      <c r="K1" s="828"/>
      <c r="L1" s="824" t="s">
        <v>1328</v>
      </c>
      <c r="M1" s="825"/>
      <c r="N1" s="825"/>
      <c r="O1" s="825"/>
      <c r="P1" s="825"/>
      <c r="Q1" s="825"/>
      <c r="R1" s="826"/>
      <c r="S1" s="822" t="s">
        <v>1344</v>
      </c>
      <c r="T1" s="822"/>
      <c r="U1" s="822"/>
      <c r="V1" s="822"/>
      <c r="W1" s="822"/>
      <c r="X1" s="822"/>
      <c r="Y1" s="822"/>
    </row>
    <row r="2" ht="24" spans="1:25">
      <c r="A2" s="851"/>
      <c r="B2" s="816"/>
      <c r="C2" s="851"/>
      <c r="D2" s="816"/>
      <c r="E2" s="816" t="s">
        <v>1383</v>
      </c>
      <c r="F2" s="816" t="s">
        <v>1384</v>
      </c>
      <c r="G2" s="816" t="s">
        <v>1389</v>
      </c>
      <c r="H2" s="816" t="s">
        <v>1400</v>
      </c>
      <c r="I2" s="816" t="s">
        <v>1401</v>
      </c>
      <c r="J2" s="816" t="s">
        <v>1402</v>
      </c>
      <c r="K2" s="816" t="s">
        <v>1403</v>
      </c>
      <c r="L2" s="816" t="s">
        <v>1383</v>
      </c>
      <c r="M2" s="816" t="s">
        <v>1384</v>
      </c>
      <c r="N2" s="816" t="s">
        <v>1389</v>
      </c>
      <c r="O2" s="816" t="s">
        <v>1400</v>
      </c>
      <c r="P2" s="816" t="s">
        <v>1401</v>
      </c>
      <c r="Q2" s="816" t="s">
        <v>1402</v>
      </c>
      <c r="R2" s="816" t="s">
        <v>1403</v>
      </c>
      <c r="S2" s="816" t="s">
        <v>1383</v>
      </c>
      <c r="T2" s="816" t="s">
        <v>1384</v>
      </c>
      <c r="U2" s="816" t="s">
        <v>1389</v>
      </c>
      <c r="V2" s="816" t="s">
        <v>1400</v>
      </c>
      <c r="W2" s="816" t="s">
        <v>1401</v>
      </c>
      <c r="X2" s="816" t="s">
        <v>1402</v>
      </c>
      <c r="Y2" s="816" t="s">
        <v>1403</v>
      </c>
    </row>
    <row r="3" spans="1:25">
      <c r="A3" s="852"/>
      <c r="B3" s="852"/>
      <c r="C3" s="852" t="s">
        <v>282</v>
      </c>
      <c r="D3" s="852" t="s">
        <v>1345</v>
      </c>
      <c r="E3" s="853"/>
      <c r="F3" s="853"/>
      <c r="G3" s="853"/>
      <c r="H3" s="853"/>
      <c r="I3" s="853"/>
      <c r="J3" s="853"/>
      <c r="K3" s="853"/>
      <c r="L3" s="853" t="s">
        <v>199</v>
      </c>
      <c r="M3" s="853" t="s">
        <v>199</v>
      </c>
      <c r="N3" s="853" t="s">
        <v>200</v>
      </c>
      <c r="O3" s="853"/>
      <c r="P3" s="853"/>
      <c r="Q3" s="853"/>
      <c r="R3" s="853"/>
      <c r="S3" s="853" t="s">
        <v>200</v>
      </c>
      <c r="T3" s="853" t="s">
        <v>200</v>
      </c>
      <c r="U3" s="853" t="s">
        <v>200</v>
      </c>
      <c r="V3" s="853"/>
      <c r="W3" s="853"/>
      <c r="X3" s="853"/>
      <c r="Y3" s="853"/>
    </row>
    <row r="4" spans="1:25">
      <c r="A4" s="852"/>
      <c r="B4" s="852"/>
      <c r="C4" s="852"/>
      <c r="D4" s="852" t="s">
        <v>1346</v>
      </c>
      <c r="E4" s="853"/>
      <c r="F4" s="853"/>
      <c r="G4" s="853"/>
      <c r="H4" s="853"/>
      <c r="I4" s="853"/>
      <c r="J4" s="853"/>
      <c r="K4" s="853"/>
      <c r="L4" s="853" t="s">
        <v>199</v>
      </c>
      <c r="M4" s="853" t="s">
        <v>199</v>
      </c>
      <c r="N4" s="853" t="s">
        <v>200</v>
      </c>
      <c r="O4" s="853"/>
      <c r="P4" s="853"/>
      <c r="Q4" s="853"/>
      <c r="R4" s="853"/>
      <c r="S4" s="853" t="s">
        <v>200</v>
      </c>
      <c r="T4" s="853" t="s">
        <v>200</v>
      </c>
      <c r="U4" s="853" t="s">
        <v>200</v>
      </c>
      <c r="V4" s="853"/>
      <c r="W4" s="853"/>
      <c r="X4" s="853"/>
      <c r="Y4" s="853"/>
    </row>
    <row r="5" spans="1:25">
      <c r="A5" s="852"/>
      <c r="B5" s="852"/>
      <c r="C5" s="852"/>
      <c r="D5" s="852"/>
      <c r="E5" s="853"/>
      <c r="F5" s="853"/>
      <c r="G5" s="853"/>
      <c r="H5" s="853"/>
      <c r="I5" s="853"/>
      <c r="J5" s="853"/>
      <c r="K5" s="853"/>
      <c r="L5" s="853" t="s">
        <v>199</v>
      </c>
      <c r="M5" s="853" t="s">
        <v>199</v>
      </c>
      <c r="N5" s="853" t="s">
        <v>200</v>
      </c>
      <c r="O5" s="853"/>
      <c r="P5" s="853"/>
      <c r="Q5" s="853"/>
      <c r="R5" s="853"/>
      <c r="S5" s="853" t="s">
        <v>200</v>
      </c>
      <c r="T5" s="853" t="s">
        <v>200</v>
      </c>
      <c r="U5" s="853" t="s">
        <v>200</v>
      </c>
      <c r="V5" s="853"/>
      <c r="W5" s="853"/>
      <c r="X5" s="853"/>
      <c r="Y5" s="853"/>
    </row>
    <row r="6" spans="1:25">
      <c r="A6" s="852"/>
      <c r="B6" s="852"/>
      <c r="C6" s="852"/>
      <c r="D6" s="852"/>
      <c r="E6" s="853"/>
      <c r="F6" s="853"/>
      <c r="G6" s="853"/>
      <c r="H6" s="853"/>
      <c r="I6" s="853"/>
      <c r="J6" s="853"/>
      <c r="K6" s="853"/>
      <c r="L6" s="853" t="s">
        <v>199</v>
      </c>
      <c r="M6" s="853" t="s">
        <v>199</v>
      </c>
      <c r="N6" s="853" t="s">
        <v>200</v>
      </c>
      <c r="O6" s="853"/>
      <c r="P6" s="853"/>
      <c r="Q6" s="853"/>
      <c r="R6" s="853"/>
      <c r="S6" s="853" t="s">
        <v>200</v>
      </c>
      <c r="T6" s="853" t="s">
        <v>200</v>
      </c>
      <c r="U6" s="853" t="s">
        <v>200</v>
      </c>
      <c r="V6" s="853"/>
      <c r="W6" s="853"/>
      <c r="X6" s="853"/>
      <c r="Y6" s="853"/>
    </row>
    <row r="7" spans="1:25">
      <c r="A7" s="852"/>
      <c r="B7" s="852"/>
      <c r="C7" s="852"/>
      <c r="D7" s="852"/>
      <c r="E7" s="853"/>
      <c r="F7" s="853"/>
      <c r="G7" s="853"/>
      <c r="H7" s="853"/>
      <c r="I7" s="853"/>
      <c r="J7" s="853"/>
      <c r="K7" s="853"/>
      <c r="L7" s="853" t="s">
        <v>199</v>
      </c>
      <c r="M7" s="853" t="s">
        <v>199</v>
      </c>
      <c r="N7" s="853" t="s">
        <v>200</v>
      </c>
      <c r="O7" s="853"/>
      <c r="P7" s="853"/>
      <c r="Q7" s="853"/>
      <c r="R7" s="853"/>
      <c r="S7" s="853" t="s">
        <v>200</v>
      </c>
      <c r="T7" s="853" t="s">
        <v>200</v>
      </c>
      <c r="U7" s="853" t="s">
        <v>200</v>
      </c>
      <c r="V7" s="853"/>
      <c r="W7" s="853"/>
      <c r="X7" s="853"/>
      <c r="Y7" s="853"/>
    </row>
    <row r="8" spans="1:25">
      <c r="A8" s="852"/>
      <c r="B8" s="852"/>
      <c r="C8" s="852"/>
      <c r="D8" s="852"/>
      <c r="E8" s="853"/>
      <c r="F8" s="853"/>
      <c r="G8" s="853"/>
      <c r="H8" s="853"/>
      <c r="I8" s="853"/>
      <c r="J8" s="853"/>
      <c r="K8" s="853"/>
      <c r="L8" s="853" t="s">
        <v>199</v>
      </c>
      <c r="M8" s="853" t="s">
        <v>199</v>
      </c>
      <c r="N8" s="853" t="s">
        <v>200</v>
      </c>
      <c r="O8" s="853"/>
      <c r="P8" s="853"/>
      <c r="Q8" s="853"/>
      <c r="R8" s="853"/>
      <c r="S8" s="853" t="s">
        <v>200</v>
      </c>
      <c r="T8" s="853" t="s">
        <v>200</v>
      </c>
      <c r="U8" s="853" t="s">
        <v>200</v>
      </c>
      <c r="V8" s="853"/>
      <c r="W8" s="853"/>
      <c r="X8" s="853"/>
      <c r="Y8" s="853"/>
    </row>
    <row r="9" spans="1:25">
      <c r="A9" s="852"/>
      <c r="B9" s="852"/>
      <c r="C9" s="852"/>
      <c r="D9" s="852"/>
      <c r="E9" s="853"/>
      <c r="F9" s="853"/>
      <c r="G9" s="853"/>
      <c r="H9" s="853"/>
      <c r="I9" s="853"/>
      <c r="J9" s="853"/>
      <c r="K9" s="853"/>
      <c r="L9" s="853" t="s">
        <v>199</v>
      </c>
      <c r="M9" s="853" t="s">
        <v>199</v>
      </c>
      <c r="N9" s="853" t="s">
        <v>200</v>
      </c>
      <c r="O9" s="853"/>
      <c r="P9" s="853"/>
      <c r="Q9" s="853"/>
      <c r="R9" s="853"/>
      <c r="S9" s="853" t="s">
        <v>200</v>
      </c>
      <c r="T9" s="853" t="s">
        <v>200</v>
      </c>
      <c r="U9" s="853" t="s">
        <v>200</v>
      </c>
      <c r="V9" s="853"/>
      <c r="W9" s="853"/>
      <c r="X9" s="853"/>
      <c r="Y9" s="853"/>
    </row>
    <row r="10" spans="1:25">
      <c r="A10" s="852"/>
      <c r="B10" s="852"/>
      <c r="C10" s="852"/>
      <c r="D10" s="852"/>
      <c r="E10" s="853"/>
      <c r="F10" s="853"/>
      <c r="G10" s="853"/>
      <c r="H10" s="853"/>
      <c r="I10" s="853"/>
      <c r="J10" s="853"/>
      <c r="K10" s="853"/>
      <c r="L10" s="853" t="s">
        <v>199</v>
      </c>
      <c r="M10" s="853" t="s">
        <v>199</v>
      </c>
      <c r="N10" s="853" t="s">
        <v>200</v>
      </c>
      <c r="O10" s="853"/>
      <c r="P10" s="853"/>
      <c r="Q10" s="853"/>
      <c r="R10" s="853"/>
      <c r="S10" s="853" t="s">
        <v>200</v>
      </c>
      <c r="T10" s="853" t="s">
        <v>200</v>
      </c>
      <c r="U10" s="853" t="s">
        <v>200</v>
      </c>
      <c r="V10" s="853"/>
      <c r="W10" s="853"/>
      <c r="X10" s="853"/>
      <c r="Y10" s="853"/>
    </row>
    <row r="11" spans="1:25">
      <c r="A11" s="852"/>
      <c r="B11" s="852"/>
      <c r="C11" s="852"/>
      <c r="D11" s="852"/>
      <c r="E11" s="853"/>
      <c r="F11" s="853"/>
      <c r="G11" s="853"/>
      <c r="H11" s="853"/>
      <c r="I11" s="853"/>
      <c r="J11" s="853"/>
      <c r="K11" s="853"/>
      <c r="L11" s="853" t="s">
        <v>199</v>
      </c>
      <c r="M11" s="853" t="s">
        <v>199</v>
      </c>
      <c r="N11" s="853" t="s">
        <v>200</v>
      </c>
      <c r="O11" s="853"/>
      <c r="P11" s="853"/>
      <c r="Q11" s="853"/>
      <c r="R11" s="853"/>
      <c r="S11" s="853" t="s">
        <v>200</v>
      </c>
      <c r="T11" s="853" t="s">
        <v>200</v>
      </c>
      <c r="U11" s="853" t="s">
        <v>200</v>
      </c>
      <c r="V11" s="853"/>
      <c r="W11" s="853"/>
      <c r="X11" s="853"/>
      <c r="Y11" s="853"/>
    </row>
    <row r="12" spans="1:25">
      <c r="A12" s="852"/>
      <c r="B12" s="852"/>
      <c r="C12" s="852"/>
      <c r="D12" s="852"/>
      <c r="E12" s="853"/>
      <c r="F12" s="853"/>
      <c r="G12" s="853"/>
      <c r="H12" s="853"/>
      <c r="I12" s="853"/>
      <c r="J12" s="853"/>
      <c r="K12" s="853"/>
      <c r="L12" s="853" t="s">
        <v>199</v>
      </c>
      <c r="M12" s="853" t="s">
        <v>199</v>
      </c>
      <c r="N12" s="853" t="s">
        <v>200</v>
      </c>
      <c r="O12" s="853"/>
      <c r="P12" s="853"/>
      <c r="Q12" s="853"/>
      <c r="R12" s="853"/>
      <c r="S12" s="853" t="s">
        <v>200</v>
      </c>
      <c r="T12" s="853" t="s">
        <v>200</v>
      </c>
      <c r="U12" s="853" t="s">
        <v>200</v>
      </c>
      <c r="V12" s="853"/>
      <c r="W12" s="853"/>
      <c r="X12" s="853"/>
      <c r="Y12" s="853"/>
    </row>
    <row r="13" spans="1:25">
      <c r="A13" s="852"/>
      <c r="B13" s="852"/>
      <c r="C13" s="852"/>
      <c r="D13" s="852"/>
      <c r="E13" s="853"/>
      <c r="F13" s="853"/>
      <c r="G13" s="853"/>
      <c r="H13" s="853"/>
      <c r="I13" s="853"/>
      <c r="J13" s="853"/>
      <c r="K13" s="853"/>
      <c r="L13" s="853" t="s">
        <v>199</v>
      </c>
      <c r="M13" s="853" t="s">
        <v>199</v>
      </c>
      <c r="N13" s="853" t="s">
        <v>200</v>
      </c>
      <c r="O13" s="853"/>
      <c r="P13" s="853"/>
      <c r="Q13" s="853"/>
      <c r="R13" s="853"/>
      <c r="S13" s="853" t="s">
        <v>200</v>
      </c>
      <c r="T13" s="853" t="s">
        <v>200</v>
      </c>
      <c r="U13" s="853" t="s">
        <v>200</v>
      </c>
      <c r="V13" s="853"/>
      <c r="W13" s="853"/>
      <c r="X13" s="853"/>
      <c r="Y13" s="853"/>
    </row>
    <row r="14" spans="1:25">
      <c r="A14" s="852"/>
      <c r="B14" s="852"/>
      <c r="C14" s="852"/>
      <c r="D14" s="852"/>
      <c r="E14" s="853"/>
      <c r="F14" s="853"/>
      <c r="G14" s="853"/>
      <c r="H14" s="853"/>
      <c r="I14" s="853"/>
      <c r="J14" s="853"/>
      <c r="K14" s="853"/>
      <c r="L14" s="853" t="s">
        <v>199</v>
      </c>
      <c r="M14" s="853" t="s">
        <v>199</v>
      </c>
      <c r="N14" s="853" t="s">
        <v>200</v>
      </c>
      <c r="O14" s="853"/>
      <c r="P14" s="853"/>
      <c r="Q14" s="853"/>
      <c r="R14" s="853"/>
      <c r="S14" s="853" t="s">
        <v>200</v>
      </c>
      <c r="T14" s="853" t="s">
        <v>200</v>
      </c>
      <c r="U14" s="853" t="s">
        <v>200</v>
      </c>
      <c r="V14" s="853"/>
      <c r="W14" s="853"/>
      <c r="X14" s="853"/>
      <c r="Y14" s="853"/>
    </row>
    <row r="15" spans="1:25">
      <c r="A15" s="852"/>
      <c r="B15" s="852"/>
      <c r="C15" s="852"/>
      <c r="D15" s="852"/>
      <c r="E15" s="853"/>
      <c r="F15" s="853"/>
      <c r="G15" s="853"/>
      <c r="H15" s="853"/>
      <c r="I15" s="853"/>
      <c r="J15" s="853"/>
      <c r="K15" s="853"/>
      <c r="L15" s="853" t="s">
        <v>199</v>
      </c>
      <c r="M15" s="853" t="s">
        <v>199</v>
      </c>
      <c r="N15" s="853" t="s">
        <v>200</v>
      </c>
      <c r="O15" s="853"/>
      <c r="P15" s="853"/>
      <c r="Q15" s="853"/>
      <c r="R15" s="853"/>
      <c r="S15" s="853" t="s">
        <v>200</v>
      </c>
      <c r="T15" s="853" t="s">
        <v>200</v>
      </c>
      <c r="U15" s="853" t="s">
        <v>200</v>
      </c>
      <c r="V15" s="853"/>
      <c r="W15" s="853"/>
      <c r="X15" s="853"/>
      <c r="Y15" s="853"/>
    </row>
    <row r="16" spans="1:25">
      <c r="A16" s="852"/>
      <c r="B16" s="852"/>
      <c r="C16" s="852"/>
      <c r="D16" s="852"/>
      <c r="E16" s="853"/>
      <c r="F16" s="853"/>
      <c r="G16" s="853"/>
      <c r="H16" s="853"/>
      <c r="I16" s="853"/>
      <c r="J16" s="853"/>
      <c r="K16" s="853"/>
      <c r="L16" s="853" t="s">
        <v>199</v>
      </c>
      <c r="M16" s="853" t="s">
        <v>199</v>
      </c>
      <c r="N16" s="853" t="s">
        <v>200</v>
      </c>
      <c r="O16" s="853"/>
      <c r="P16" s="853"/>
      <c r="Q16" s="853"/>
      <c r="R16" s="853"/>
      <c r="S16" s="853" t="s">
        <v>200</v>
      </c>
      <c r="T16" s="853" t="s">
        <v>200</v>
      </c>
      <c r="U16" s="853" t="s">
        <v>200</v>
      </c>
      <c r="V16" s="853"/>
      <c r="W16" s="853"/>
      <c r="X16" s="853"/>
      <c r="Y16" s="853"/>
    </row>
    <row r="17" spans="1:25">
      <c r="A17" s="852"/>
      <c r="B17" s="852"/>
      <c r="C17" s="852"/>
      <c r="D17" s="852"/>
      <c r="E17" s="853"/>
      <c r="F17" s="853"/>
      <c r="G17" s="853"/>
      <c r="H17" s="853"/>
      <c r="I17" s="853"/>
      <c r="J17" s="853"/>
      <c r="K17" s="853"/>
      <c r="L17" s="853" t="s">
        <v>199</v>
      </c>
      <c r="M17" s="853" t="s">
        <v>199</v>
      </c>
      <c r="N17" s="853" t="s">
        <v>200</v>
      </c>
      <c r="O17" s="853"/>
      <c r="P17" s="853"/>
      <c r="Q17" s="853"/>
      <c r="R17" s="853"/>
      <c r="S17" s="853" t="s">
        <v>200</v>
      </c>
      <c r="T17" s="853" t="s">
        <v>200</v>
      </c>
      <c r="U17" s="853" t="s">
        <v>200</v>
      </c>
      <c r="V17" s="853"/>
      <c r="W17" s="853"/>
      <c r="X17" s="853"/>
      <c r="Y17" s="853"/>
    </row>
    <row r="18" spans="1:25">
      <c r="A18" s="852"/>
      <c r="B18" s="852"/>
      <c r="C18" s="852"/>
      <c r="D18" s="852"/>
      <c r="E18" s="853"/>
      <c r="F18" s="853"/>
      <c r="G18" s="853"/>
      <c r="H18" s="853"/>
      <c r="I18" s="853"/>
      <c r="J18" s="853"/>
      <c r="K18" s="853"/>
      <c r="L18" s="853" t="s">
        <v>199</v>
      </c>
      <c r="M18" s="853" t="s">
        <v>199</v>
      </c>
      <c r="N18" s="853" t="s">
        <v>200</v>
      </c>
      <c r="O18" s="853"/>
      <c r="P18" s="853"/>
      <c r="Q18" s="853"/>
      <c r="R18" s="853"/>
      <c r="S18" s="853" t="s">
        <v>200</v>
      </c>
      <c r="T18" s="853" t="s">
        <v>200</v>
      </c>
      <c r="U18" s="853" t="s">
        <v>200</v>
      </c>
      <c r="V18" s="853"/>
      <c r="W18" s="853"/>
      <c r="X18" s="853"/>
      <c r="Y18" s="853"/>
    </row>
    <row r="19" spans="1:25">
      <c r="A19" s="852"/>
      <c r="B19" s="852"/>
      <c r="C19" s="852"/>
      <c r="D19" s="852"/>
      <c r="E19" s="853"/>
      <c r="F19" s="853"/>
      <c r="G19" s="853"/>
      <c r="H19" s="853"/>
      <c r="I19" s="853"/>
      <c r="J19" s="853"/>
      <c r="K19" s="853"/>
      <c r="L19" s="853" t="s">
        <v>199</v>
      </c>
      <c r="M19" s="853" t="s">
        <v>199</v>
      </c>
      <c r="N19" s="853" t="s">
        <v>200</v>
      </c>
      <c r="O19" s="853"/>
      <c r="P19" s="853"/>
      <c r="Q19" s="853"/>
      <c r="R19" s="853"/>
      <c r="S19" s="853" t="s">
        <v>200</v>
      </c>
      <c r="T19" s="853" t="s">
        <v>200</v>
      </c>
      <c r="U19" s="853" t="s">
        <v>200</v>
      </c>
      <c r="V19" s="853"/>
      <c r="W19" s="853"/>
      <c r="X19" s="853"/>
      <c r="Y19" s="853"/>
    </row>
    <row r="20" spans="1:25">
      <c r="A20" s="852"/>
      <c r="B20" s="852"/>
      <c r="C20" s="852"/>
      <c r="D20" s="852"/>
      <c r="E20" s="853"/>
      <c r="F20" s="853"/>
      <c r="G20" s="853"/>
      <c r="H20" s="853"/>
      <c r="I20" s="853"/>
      <c r="J20" s="853"/>
      <c r="K20" s="853"/>
      <c r="L20" s="853" t="s">
        <v>199</v>
      </c>
      <c r="M20" s="853" t="s">
        <v>199</v>
      </c>
      <c r="N20" s="853" t="s">
        <v>200</v>
      </c>
      <c r="O20" s="853"/>
      <c r="P20" s="853"/>
      <c r="Q20" s="853"/>
      <c r="R20" s="853"/>
      <c r="S20" s="853" t="s">
        <v>200</v>
      </c>
      <c r="T20" s="853" t="s">
        <v>200</v>
      </c>
      <c r="U20" s="853" t="s">
        <v>200</v>
      </c>
      <c r="V20" s="853"/>
      <c r="W20" s="853"/>
      <c r="X20" s="853"/>
      <c r="Y20" s="853"/>
    </row>
    <row r="21" spans="1:25">
      <c r="A21" s="852"/>
      <c r="B21" s="852"/>
      <c r="C21" s="852"/>
      <c r="D21" s="852"/>
      <c r="E21" s="853"/>
      <c r="F21" s="853"/>
      <c r="G21" s="853"/>
      <c r="H21" s="853"/>
      <c r="I21" s="853"/>
      <c r="J21" s="853"/>
      <c r="K21" s="853"/>
      <c r="L21" s="853" t="s">
        <v>199</v>
      </c>
      <c r="M21" s="853" t="s">
        <v>199</v>
      </c>
      <c r="N21" s="853" t="s">
        <v>200</v>
      </c>
      <c r="O21" s="853"/>
      <c r="P21" s="853"/>
      <c r="Q21" s="853"/>
      <c r="R21" s="853"/>
      <c r="S21" s="853" t="s">
        <v>200</v>
      </c>
      <c r="T21" s="853" t="s">
        <v>200</v>
      </c>
      <c r="U21" s="853" t="s">
        <v>200</v>
      </c>
      <c r="V21" s="853"/>
      <c r="W21" s="853"/>
      <c r="X21" s="853"/>
      <c r="Y21" s="853"/>
    </row>
    <row r="22" spans="1:25">
      <c r="A22" s="852"/>
      <c r="B22" s="852"/>
      <c r="C22" s="852"/>
      <c r="D22" s="852"/>
      <c r="E22" s="853"/>
      <c r="F22" s="853"/>
      <c r="G22" s="853"/>
      <c r="H22" s="853"/>
      <c r="I22" s="853"/>
      <c r="J22" s="853"/>
      <c r="K22" s="853"/>
      <c r="L22" s="853" t="s">
        <v>199</v>
      </c>
      <c r="M22" s="853" t="s">
        <v>199</v>
      </c>
      <c r="N22" s="853" t="s">
        <v>200</v>
      </c>
      <c r="O22" s="853"/>
      <c r="P22" s="853"/>
      <c r="Q22" s="853"/>
      <c r="R22" s="853"/>
      <c r="S22" s="853" t="s">
        <v>200</v>
      </c>
      <c r="T22" s="853" t="s">
        <v>200</v>
      </c>
      <c r="U22" s="853" t="s">
        <v>200</v>
      </c>
      <c r="V22" s="853"/>
      <c r="W22" s="853"/>
      <c r="X22" s="853"/>
      <c r="Y22" s="853"/>
    </row>
    <row r="23" spans="1:25">
      <c r="A23" s="852"/>
      <c r="B23" s="852"/>
      <c r="C23" s="852"/>
      <c r="D23" s="852"/>
      <c r="E23" s="853"/>
      <c r="F23" s="853"/>
      <c r="G23" s="853"/>
      <c r="H23" s="853"/>
      <c r="I23" s="853"/>
      <c r="J23" s="853"/>
      <c r="K23" s="853"/>
      <c r="L23" s="853" t="s">
        <v>199</v>
      </c>
      <c r="M23" s="853" t="s">
        <v>199</v>
      </c>
      <c r="N23" s="853" t="s">
        <v>200</v>
      </c>
      <c r="O23" s="853"/>
      <c r="P23" s="853"/>
      <c r="Q23" s="853"/>
      <c r="R23" s="853"/>
      <c r="S23" s="853" t="s">
        <v>200</v>
      </c>
      <c r="T23" s="853" t="s">
        <v>200</v>
      </c>
      <c r="U23" s="853" t="s">
        <v>200</v>
      </c>
      <c r="V23" s="853"/>
      <c r="W23" s="853"/>
      <c r="X23" s="853"/>
      <c r="Y23" s="853"/>
    </row>
  </sheetData>
  <mergeCells count="7">
    <mergeCell ref="E1:K1"/>
    <mergeCell ref="L1:R1"/>
    <mergeCell ref="S1:Y1"/>
    <mergeCell ref="A1:A2"/>
    <mergeCell ref="B1:B2"/>
    <mergeCell ref="C1:C2"/>
    <mergeCell ref="D1:D2"/>
  </mergeCells>
  <conditionalFormatting sqref="A1:E1 L1 S1">
    <cfRule type="cellIs" dxfId="1" priority="3" operator="lessThan">
      <formula>0</formula>
    </cfRule>
  </conditionalFormatting>
  <conditionalFormatting sqref="A2 C2">
    <cfRule type="cellIs" dxfId="1" priority="4" operator="lessThan">
      <formula>0</formula>
    </cfRule>
  </conditionalFormatting>
  <conditionalFormatting sqref="E2:Y2 A3:Y23">
    <cfRule type="cellIs" dxfId="1" priority="2" operator="lessThan">
      <formula>0</formula>
    </cfRule>
  </conditionalFormatting>
  <hyperlinks>
    <hyperlink ref="A1" location="目录!A1" display="← 返回目录"/>
  </hyperlink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>
    <tabColor theme="2" tint="-0.249977111117893"/>
  </sheetPr>
  <dimension ref="A1:AQ82"/>
  <sheetViews>
    <sheetView zoomScale="115" zoomScaleNormal="115" workbookViewId="0">
      <pane ySplit="11" topLeftCell="A12" activePane="bottomLeft" state="frozen"/>
      <selection/>
      <selection pane="bottomLeft" activeCell="A1" sqref="A1:D4"/>
    </sheetView>
  </sheetViews>
  <sheetFormatPr defaultColWidth="8.725" defaultRowHeight="13.5"/>
  <cols>
    <col min="2" max="2" width="10.9083333333333" customWidth="1"/>
    <col min="3" max="4" width="11.6333333333333" customWidth="1"/>
    <col min="5" max="7" width="11.5416666666667" customWidth="1"/>
    <col min="8" max="19" width="9.09166666666667" customWidth="1"/>
    <col min="20" max="31" width="9.45" customWidth="1"/>
  </cols>
  <sheetData>
    <row r="1" spans="1:43">
      <c r="A1" s="202" t="s">
        <v>185</v>
      </c>
      <c r="B1" s="492"/>
      <c r="C1" s="492"/>
      <c r="D1" s="492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70"/>
    </row>
    <row r="2" spans="1:43">
      <c r="A2" s="492"/>
      <c r="B2" s="492"/>
      <c r="C2" s="492"/>
      <c r="D2" s="492"/>
      <c r="E2" s="12"/>
      <c r="F2" s="13" t="s">
        <v>1406</v>
      </c>
      <c r="G2" s="13"/>
      <c r="H2" s="13"/>
      <c r="I2" s="13"/>
      <c r="J2" s="13"/>
      <c r="K2" s="13"/>
      <c r="L2" s="14"/>
      <c r="M2" s="14"/>
      <c r="N2" s="14"/>
      <c r="O2" s="14"/>
      <c r="P2" s="71"/>
    </row>
    <row r="3" spans="1:43">
      <c r="A3" s="492"/>
      <c r="B3" s="492"/>
      <c r="C3" s="492"/>
      <c r="D3" s="492"/>
      <c r="E3" s="12"/>
      <c r="F3" s="13" t="s">
        <v>1407</v>
      </c>
      <c r="G3" s="13"/>
      <c r="H3" s="13"/>
      <c r="I3" s="13"/>
      <c r="J3" s="13"/>
      <c r="K3" s="13"/>
      <c r="L3" s="15"/>
      <c r="M3" s="15"/>
      <c r="N3" s="15"/>
      <c r="O3" s="14"/>
      <c r="P3" s="71"/>
    </row>
    <row r="4" ht="14" customHeight="1" spans="1:43">
      <c r="A4" s="492"/>
      <c r="B4" s="492"/>
      <c r="C4" s="492"/>
      <c r="D4" s="492"/>
      <c r="E4" s="12"/>
      <c r="F4" s="13" t="s">
        <v>1408</v>
      </c>
      <c r="G4" s="13"/>
      <c r="H4" s="13"/>
      <c r="I4" s="13"/>
      <c r="J4" s="13"/>
      <c r="K4" s="13"/>
      <c r="L4" s="15"/>
      <c r="M4" s="15"/>
      <c r="N4" s="15"/>
      <c r="O4" s="14"/>
      <c r="P4" s="71"/>
    </row>
    <row r="5" spans="1:43">
      <c r="A5" s="292" t="s">
        <v>1409</v>
      </c>
      <c r="B5" s="292"/>
      <c r="C5" s="292"/>
      <c r="D5" s="292"/>
      <c r="E5" s="26" t="s">
        <v>1410</v>
      </c>
      <c r="F5" s="27"/>
      <c r="G5" s="27"/>
      <c r="H5" s="28"/>
      <c r="I5" s="28"/>
      <c r="J5" s="28"/>
      <c r="K5" s="28"/>
      <c r="L5" s="29"/>
      <c r="M5" s="29"/>
      <c r="N5" s="29"/>
      <c r="O5" s="30"/>
      <c r="P5" s="325"/>
    </row>
    <row r="6" spans="1:43">
      <c r="A6" s="1"/>
      <c r="B6" s="1"/>
      <c r="C6" s="1"/>
      <c r="D6" s="1"/>
      <c r="G6" s="32"/>
      <c r="H6" s="1"/>
      <c r="I6" s="1"/>
      <c r="J6" s="1"/>
      <c r="K6" s="1"/>
      <c r="L6" s="1"/>
      <c r="M6" s="1"/>
      <c r="N6" s="1"/>
      <c r="O6" s="1"/>
      <c r="P6" s="1"/>
    </row>
    <row r="7" spans="1:43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175"/>
      <c r="I7" s="1"/>
      <c r="J7" s="1"/>
      <c r="K7" s="1"/>
      <c r="L7" s="1"/>
      <c r="M7" s="1"/>
      <c r="N7" s="1"/>
    </row>
    <row r="8" spans="1:43">
      <c r="A8" s="1"/>
      <c r="B8" s="1"/>
      <c r="C8" s="1"/>
      <c r="D8" s="1"/>
      <c r="E8" s="1"/>
      <c r="F8" s="1"/>
      <c r="G8" s="1"/>
      <c r="H8" s="1"/>
      <c r="J8" s="1"/>
      <c r="K8" s="1"/>
      <c r="L8" s="1"/>
      <c r="M8" s="1"/>
      <c r="N8" s="1"/>
      <c r="P8" s="1"/>
      <c r="Q8" s="1"/>
    </row>
    <row r="9" ht="19" customHeight="1" spans="1:43">
      <c r="A9" s="729" t="s">
        <v>489</v>
      </c>
      <c r="B9" s="729" t="s">
        <v>490</v>
      </c>
      <c r="C9" s="729" t="s">
        <v>1369</v>
      </c>
      <c r="D9" s="845" t="s">
        <v>493</v>
      </c>
      <c r="E9" s="845" t="s">
        <v>1415</v>
      </c>
      <c r="F9" s="845" t="s">
        <v>1416</v>
      </c>
      <c r="G9" s="845" t="s">
        <v>1417</v>
      </c>
      <c r="H9" s="846" t="s">
        <v>1418</v>
      </c>
      <c r="I9" s="846"/>
      <c r="J9" s="846"/>
      <c r="K9" s="846"/>
      <c r="L9" s="846"/>
      <c r="M9" s="846"/>
      <c r="N9" s="846"/>
      <c r="O9" s="846"/>
      <c r="P9" s="846"/>
      <c r="Q9" s="846"/>
      <c r="R9" s="846"/>
      <c r="S9" s="846"/>
      <c r="T9" s="847" t="s">
        <v>1419</v>
      </c>
      <c r="U9" s="848"/>
      <c r="V9" s="848"/>
      <c r="W9" s="848"/>
      <c r="X9" s="848"/>
      <c r="Y9" s="848"/>
      <c r="Z9" s="848"/>
      <c r="AA9" s="848"/>
      <c r="AB9" s="848"/>
      <c r="AC9" s="848"/>
      <c r="AD9" s="848"/>
      <c r="AE9" s="848"/>
      <c r="AF9" s="846" t="s">
        <v>1420</v>
      </c>
      <c r="AG9" s="846"/>
      <c r="AH9" s="846"/>
      <c r="AI9" s="846"/>
      <c r="AJ9" s="846"/>
      <c r="AK9" s="846"/>
      <c r="AL9" s="846"/>
      <c r="AM9" s="846"/>
      <c r="AN9" s="846"/>
      <c r="AO9" s="846"/>
      <c r="AP9" s="846"/>
      <c r="AQ9" s="846"/>
    </row>
    <row r="10" s="728" customFormat="1" ht="19" customHeight="1" spans="1:43">
      <c r="A10" s="729"/>
      <c r="B10" s="729"/>
      <c r="C10" s="729"/>
      <c r="D10" s="845"/>
      <c r="E10" s="845"/>
      <c r="F10" s="845"/>
      <c r="G10" s="845"/>
      <c r="H10" s="766" t="s">
        <v>304</v>
      </c>
      <c r="I10" s="766" t="s">
        <v>305</v>
      </c>
      <c r="J10" s="766" t="s">
        <v>306</v>
      </c>
      <c r="K10" s="766" t="s">
        <v>307</v>
      </c>
      <c r="L10" s="766" t="s">
        <v>308</v>
      </c>
      <c r="M10" s="766" t="s">
        <v>309</v>
      </c>
      <c r="N10" s="766" t="s">
        <v>310</v>
      </c>
      <c r="O10" s="766" t="s">
        <v>311</v>
      </c>
      <c r="P10" s="766" t="s">
        <v>312</v>
      </c>
      <c r="Q10" s="766" t="s">
        <v>313</v>
      </c>
      <c r="R10" s="766" t="s">
        <v>314</v>
      </c>
      <c r="S10" s="766" t="s">
        <v>315</v>
      </c>
      <c r="T10" s="766" t="s">
        <v>304</v>
      </c>
      <c r="U10" s="766" t="s">
        <v>305</v>
      </c>
      <c r="V10" s="766" t="s">
        <v>306</v>
      </c>
      <c r="W10" s="766" t="s">
        <v>307</v>
      </c>
      <c r="X10" s="766" t="s">
        <v>308</v>
      </c>
      <c r="Y10" s="766" t="s">
        <v>309</v>
      </c>
      <c r="Z10" s="766" t="s">
        <v>310</v>
      </c>
      <c r="AA10" s="766" t="s">
        <v>311</v>
      </c>
      <c r="AB10" s="766" t="s">
        <v>312</v>
      </c>
      <c r="AC10" s="766" t="s">
        <v>313</v>
      </c>
      <c r="AD10" s="766" t="s">
        <v>314</v>
      </c>
      <c r="AE10" s="766" t="s">
        <v>315</v>
      </c>
      <c r="AF10" s="766" t="s">
        <v>304</v>
      </c>
      <c r="AG10" s="766" t="s">
        <v>305</v>
      </c>
      <c r="AH10" s="766" t="s">
        <v>306</v>
      </c>
      <c r="AI10" s="766" t="s">
        <v>307</v>
      </c>
      <c r="AJ10" s="766" t="s">
        <v>308</v>
      </c>
      <c r="AK10" s="766" t="s">
        <v>309</v>
      </c>
      <c r="AL10" s="766" t="s">
        <v>310</v>
      </c>
      <c r="AM10" s="766" t="s">
        <v>311</v>
      </c>
      <c r="AN10" s="766" t="s">
        <v>312</v>
      </c>
      <c r="AO10" s="766" t="s">
        <v>313</v>
      </c>
      <c r="AP10" s="766" t="s">
        <v>314</v>
      </c>
      <c r="AQ10" s="766" t="s">
        <v>315</v>
      </c>
    </row>
    <row r="11" s="543" customFormat="1" ht="21.5" customHeight="1" spans="1:43">
      <c r="A11" s="733" t="s">
        <v>1421</v>
      </c>
      <c r="B11" s="733" t="s">
        <v>1421</v>
      </c>
      <c r="C11" s="733" t="s">
        <v>1421</v>
      </c>
      <c r="D11" s="849" t="s">
        <v>1421</v>
      </c>
      <c r="E11" s="733" t="s">
        <v>1421</v>
      </c>
      <c r="F11" s="733" t="s">
        <v>199</v>
      </c>
      <c r="G11" s="733" t="s">
        <v>199</v>
      </c>
      <c r="H11" s="733" t="s">
        <v>1421</v>
      </c>
      <c r="I11" s="733" t="s">
        <v>1421</v>
      </c>
      <c r="J11" s="733" t="s">
        <v>1421</v>
      </c>
      <c r="K11" s="733" t="s">
        <v>1421</v>
      </c>
      <c r="L11" s="733" t="s">
        <v>1421</v>
      </c>
      <c r="M11" s="733" t="s">
        <v>1421</v>
      </c>
      <c r="N11" s="733" t="s">
        <v>1421</v>
      </c>
      <c r="O11" s="733" t="s">
        <v>1421</v>
      </c>
      <c r="P11" s="733" t="s">
        <v>1421</v>
      </c>
      <c r="Q11" s="733" t="s">
        <v>1421</v>
      </c>
      <c r="R11" s="733" t="s">
        <v>1421</v>
      </c>
      <c r="S11" s="733" t="s">
        <v>1421</v>
      </c>
      <c r="T11" s="850" t="s">
        <v>1421</v>
      </c>
      <c r="U11" s="850" t="s">
        <v>1421</v>
      </c>
      <c r="V11" s="850" t="s">
        <v>1421</v>
      </c>
      <c r="W11" s="850" t="s">
        <v>1421</v>
      </c>
      <c r="X11" s="850" t="s">
        <v>1421</v>
      </c>
      <c r="Y11" s="850" t="s">
        <v>1421</v>
      </c>
      <c r="Z11" s="850" t="s">
        <v>1421</v>
      </c>
      <c r="AA11" s="850" t="s">
        <v>1421</v>
      </c>
      <c r="AB11" s="850" t="s">
        <v>1421</v>
      </c>
      <c r="AC11" s="850" t="s">
        <v>1421</v>
      </c>
      <c r="AD11" s="850" t="s">
        <v>1421</v>
      </c>
      <c r="AE11" s="850" t="s">
        <v>1421</v>
      </c>
      <c r="AF11" s="733" t="s">
        <v>1421</v>
      </c>
      <c r="AG11" s="733" t="s">
        <v>1421</v>
      </c>
      <c r="AH11" s="733" t="s">
        <v>1421</v>
      </c>
      <c r="AI11" s="733" t="s">
        <v>1421</v>
      </c>
      <c r="AJ11" s="733" t="s">
        <v>1421</v>
      </c>
      <c r="AK11" s="733" t="s">
        <v>1421</v>
      </c>
      <c r="AL11" s="733" t="s">
        <v>1421</v>
      </c>
      <c r="AM11" s="733" t="s">
        <v>1421</v>
      </c>
      <c r="AN11" s="733" t="s">
        <v>1421</v>
      </c>
      <c r="AO11" s="733" t="s">
        <v>1421</v>
      </c>
      <c r="AP11" s="733" t="s">
        <v>1421</v>
      </c>
      <c r="AQ11" s="733" t="s">
        <v>1421</v>
      </c>
    </row>
    <row r="12" spans="1:43">
      <c r="A12" s="736"/>
      <c r="B12" s="736"/>
      <c r="C12" s="736"/>
      <c r="D12" s="736"/>
      <c r="E12" s="737"/>
      <c r="F12" s="737"/>
      <c r="G12" s="737"/>
      <c r="H12" s="736"/>
      <c r="I12" s="736"/>
      <c r="J12" s="736"/>
      <c r="K12" s="736"/>
      <c r="L12" s="736"/>
      <c r="M12" s="736"/>
      <c r="N12" s="736"/>
      <c r="O12" s="736"/>
      <c r="P12" s="736"/>
      <c r="Q12" s="736"/>
      <c r="R12" s="736"/>
      <c r="S12" s="736"/>
      <c r="T12" s="736"/>
      <c r="U12" s="736"/>
      <c r="V12" s="736"/>
      <c r="W12" s="736"/>
      <c r="X12" s="736"/>
      <c r="Y12" s="736"/>
      <c r="Z12" s="736"/>
      <c r="AA12" s="736"/>
      <c r="AB12" s="736"/>
      <c r="AC12" s="736"/>
      <c r="AD12" s="736"/>
      <c r="AE12" s="736"/>
      <c r="AF12" s="736"/>
      <c r="AG12" s="736"/>
      <c r="AH12" s="736"/>
      <c r="AI12" s="736"/>
      <c r="AJ12" s="736"/>
      <c r="AK12" s="736"/>
      <c r="AL12" s="736"/>
      <c r="AM12" s="736"/>
      <c r="AN12" s="736"/>
      <c r="AO12" s="736"/>
      <c r="AP12" s="736"/>
      <c r="AQ12" s="736"/>
    </row>
    <row r="13" spans="1:43">
      <c r="A13" s="736"/>
      <c r="B13" s="736"/>
      <c r="C13" s="736"/>
      <c r="D13" s="736"/>
      <c r="E13" s="737"/>
      <c r="F13" s="737"/>
      <c r="G13" s="737"/>
      <c r="H13" s="736"/>
      <c r="I13" s="736"/>
      <c r="J13" s="736"/>
      <c r="K13" s="736"/>
      <c r="L13" s="736"/>
      <c r="M13" s="736"/>
      <c r="N13" s="736"/>
      <c r="O13" s="736"/>
      <c r="P13" s="736"/>
      <c r="Q13" s="736"/>
      <c r="R13" s="736"/>
      <c r="S13" s="736"/>
      <c r="T13" s="736"/>
      <c r="U13" s="736"/>
      <c r="V13" s="736"/>
      <c r="W13" s="736"/>
      <c r="X13" s="736"/>
      <c r="Y13" s="736"/>
      <c r="Z13" s="736"/>
      <c r="AA13" s="736"/>
      <c r="AB13" s="736"/>
      <c r="AC13" s="736"/>
      <c r="AD13" s="736"/>
      <c r="AE13" s="736"/>
      <c r="AF13" s="736"/>
      <c r="AG13" s="736"/>
      <c r="AH13" s="736"/>
      <c r="AI13" s="736"/>
      <c r="AJ13" s="736"/>
      <c r="AK13" s="736"/>
      <c r="AL13" s="736"/>
      <c r="AM13" s="736"/>
      <c r="AN13" s="736"/>
      <c r="AO13" s="736"/>
      <c r="AP13" s="736"/>
      <c r="AQ13" s="736"/>
    </row>
    <row r="14" spans="1:43">
      <c r="A14" s="736"/>
      <c r="B14" s="736"/>
      <c r="C14" s="736"/>
      <c r="D14" s="736"/>
      <c r="E14" s="737"/>
      <c r="F14" s="737"/>
      <c r="G14" s="737"/>
      <c r="H14" s="736"/>
      <c r="I14" s="736"/>
      <c r="J14" s="736"/>
      <c r="K14" s="736"/>
      <c r="L14" s="736"/>
      <c r="M14" s="736"/>
      <c r="N14" s="736"/>
      <c r="O14" s="736"/>
      <c r="P14" s="736"/>
      <c r="Q14" s="736"/>
      <c r="R14" s="736"/>
      <c r="S14" s="736"/>
      <c r="T14" s="736"/>
      <c r="U14" s="736"/>
      <c r="V14" s="736"/>
      <c r="W14" s="736"/>
      <c r="X14" s="736"/>
      <c r="Y14" s="736"/>
      <c r="Z14" s="736"/>
      <c r="AA14" s="736"/>
      <c r="AB14" s="736"/>
      <c r="AC14" s="736"/>
      <c r="AD14" s="736"/>
      <c r="AE14" s="736"/>
      <c r="AF14" s="736"/>
      <c r="AG14" s="736"/>
      <c r="AH14" s="736"/>
      <c r="AI14" s="736"/>
      <c r="AJ14" s="736"/>
      <c r="AK14" s="736"/>
      <c r="AL14" s="736"/>
      <c r="AM14" s="736"/>
      <c r="AN14" s="736"/>
      <c r="AO14" s="736"/>
      <c r="AP14" s="736"/>
      <c r="AQ14" s="736"/>
    </row>
    <row r="15" spans="1:43">
      <c r="A15" s="736"/>
      <c r="B15" s="736"/>
      <c r="C15" s="736"/>
      <c r="D15" s="736"/>
      <c r="E15" s="737"/>
      <c r="F15" s="737"/>
      <c r="G15" s="737"/>
      <c r="H15" s="736"/>
      <c r="I15" s="736"/>
      <c r="J15" s="736"/>
      <c r="K15" s="736"/>
      <c r="L15" s="736"/>
      <c r="M15" s="736"/>
      <c r="N15" s="736"/>
      <c r="O15" s="736"/>
      <c r="P15" s="736"/>
      <c r="Q15" s="736"/>
      <c r="R15" s="736"/>
      <c r="S15" s="736"/>
      <c r="T15" s="736"/>
      <c r="U15" s="736"/>
      <c r="V15" s="736"/>
      <c r="W15" s="736"/>
      <c r="X15" s="736"/>
      <c r="Y15" s="736"/>
      <c r="Z15" s="736"/>
      <c r="AA15" s="736"/>
      <c r="AB15" s="736"/>
      <c r="AC15" s="736"/>
      <c r="AD15" s="736"/>
      <c r="AE15" s="736"/>
      <c r="AF15" s="736"/>
      <c r="AG15" s="736"/>
      <c r="AH15" s="736"/>
      <c r="AI15" s="736"/>
      <c r="AJ15" s="736"/>
      <c r="AK15" s="736"/>
      <c r="AL15" s="736"/>
      <c r="AM15" s="736"/>
      <c r="AN15" s="736"/>
      <c r="AO15" s="736"/>
      <c r="AP15" s="736"/>
      <c r="AQ15" s="736"/>
    </row>
    <row r="16" spans="1:43">
      <c r="A16" s="736"/>
      <c r="B16" s="736"/>
      <c r="C16" s="736"/>
      <c r="D16" s="736"/>
      <c r="E16" s="737"/>
      <c r="F16" s="737"/>
      <c r="G16" s="737"/>
      <c r="H16" s="736"/>
      <c r="I16" s="736"/>
      <c r="J16" s="736"/>
      <c r="K16" s="736"/>
      <c r="L16" s="736"/>
      <c r="M16" s="736"/>
      <c r="N16" s="736"/>
      <c r="O16" s="736"/>
      <c r="P16" s="736"/>
      <c r="Q16" s="736"/>
      <c r="R16" s="736"/>
      <c r="S16" s="736"/>
      <c r="T16" s="736"/>
      <c r="U16" s="736"/>
      <c r="V16" s="736"/>
      <c r="W16" s="736"/>
      <c r="X16" s="736"/>
      <c r="Y16" s="736"/>
      <c r="Z16" s="736"/>
      <c r="AA16" s="736"/>
      <c r="AB16" s="736"/>
      <c r="AC16" s="736"/>
      <c r="AD16" s="736"/>
      <c r="AE16" s="736"/>
      <c r="AF16" s="736"/>
      <c r="AG16" s="736"/>
      <c r="AH16" s="736"/>
      <c r="AI16" s="736"/>
      <c r="AJ16" s="736"/>
      <c r="AK16" s="736"/>
      <c r="AL16" s="736"/>
      <c r="AM16" s="736"/>
      <c r="AN16" s="736"/>
      <c r="AO16" s="736"/>
      <c r="AP16" s="736"/>
      <c r="AQ16" s="736"/>
    </row>
    <row r="17" spans="1:43">
      <c r="A17" s="736"/>
      <c r="B17" s="736"/>
      <c r="C17" s="736"/>
      <c r="D17" s="736"/>
      <c r="E17" s="737"/>
      <c r="F17" s="737"/>
      <c r="G17" s="737"/>
      <c r="H17" s="736"/>
      <c r="I17" s="736"/>
      <c r="J17" s="736"/>
      <c r="K17" s="736"/>
      <c r="L17" s="736"/>
      <c r="M17" s="736"/>
      <c r="N17" s="736"/>
      <c r="O17" s="736"/>
      <c r="P17" s="736"/>
      <c r="Q17" s="736"/>
      <c r="R17" s="736"/>
      <c r="S17" s="736"/>
      <c r="T17" s="736"/>
      <c r="U17" s="736"/>
      <c r="V17" s="736"/>
      <c r="W17" s="736"/>
      <c r="X17" s="736"/>
      <c r="Y17" s="736"/>
      <c r="Z17" s="736"/>
      <c r="AA17" s="736"/>
      <c r="AB17" s="736"/>
      <c r="AC17" s="736"/>
      <c r="AD17" s="736"/>
      <c r="AE17" s="736"/>
      <c r="AF17" s="736"/>
      <c r="AG17" s="736"/>
      <c r="AH17" s="736"/>
      <c r="AI17" s="736"/>
      <c r="AJ17" s="736"/>
      <c r="AK17" s="736"/>
      <c r="AL17" s="736"/>
      <c r="AM17" s="736"/>
      <c r="AN17" s="736"/>
      <c r="AO17" s="736"/>
      <c r="AP17" s="736"/>
      <c r="AQ17" s="736"/>
    </row>
    <row r="18" spans="1:43">
      <c r="A18" s="736"/>
      <c r="B18" s="736"/>
      <c r="C18" s="736"/>
      <c r="D18" s="736"/>
      <c r="E18" s="737"/>
      <c r="F18" s="737"/>
      <c r="G18" s="737"/>
      <c r="H18" s="736"/>
      <c r="I18" s="736"/>
      <c r="J18" s="736"/>
      <c r="K18" s="736"/>
      <c r="L18" s="736"/>
      <c r="M18" s="736"/>
      <c r="N18" s="736"/>
      <c r="O18" s="736"/>
      <c r="P18" s="736"/>
      <c r="Q18" s="736"/>
      <c r="R18" s="736"/>
      <c r="S18" s="736"/>
      <c r="T18" s="736"/>
      <c r="U18" s="736"/>
      <c r="V18" s="736"/>
      <c r="W18" s="736"/>
      <c r="X18" s="736"/>
      <c r="Y18" s="736"/>
      <c r="Z18" s="736"/>
      <c r="AA18" s="736"/>
      <c r="AB18" s="736"/>
      <c r="AC18" s="736"/>
      <c r="AD18" s="736"/>
      <c r="AE18" s="736"/>
      <c r="AF18" s="736"/>
      <c r="AG18" s="736"/>
      <c r="AH18" s="736"/>
      <c r="AI18" s="736"/>
      <c r="AJ18" s="736"/>
      <c r="AK18" s="736"/>
      <c r="AL18" s="736"/>
      <c r="AM18" s="736"/>
      <c r="AN18" s="736"/>
      <c r="AO18" s="736"/>
      <c r="AP18" s="736"/>
      <c r="AQ18" s="736"/>
    </row>
    <row r="19" spans="1:43">
      <c r="A19" s="736"/>
      <c r="B19" s="736"/>
      <c r="C19" s="736"/>
      <c r="D19" s="736"/>
      <c r="E19" s="737"/>
      <c r="F19" s="737"/>
      <c r="G19" s="737"/>
      <c r="H19" s="736"/>
      <c r="I19" s="736"/>
      <c r="J19" s="736"/>
      <c r="K19" s="736"/>
      <c r="L19" s="736"/>
      <c r="M19" s="736"/>
      <c r="N19" s="736"/>
      <c r="O19" s="736"/>
      <c r="P19" s="736"/>
      <c r="Q19" s="736"/>
      <c r="R19" s="736"/>
      <c r="S19" s="736"/>
      <c r="T19" s="736"/>
      <c r="U19" s="736"/>
      <c r="V19" s="736"/>
      <c r="W19" s="736"/>
      <c r="X19" s="736"/>
      <c r="Y19" s="736"/>
      <c r="Z19" s="736"/>
      <c r="AA19" s="736"/>
      <c r="AB19" s="736"/>
      <c r="AC19" s="736"/>
      <c r="AD19" s="736"/>
      <c r="AE19" s="736"/>
      <c r="AF19" s="736"/>
      <c r="AG19" s="736"/>
      <c r="AH19" s="736"/>
      <c r="AI19" s="736"/>
      <c r="AJ19" s="736"/>
      <c r="AK19" s="736"/>
      <c r="AL19" s="736"/>
      <c r="AM19" s="736"/>
      <c r="AN19" s="736"/>
      <c r="AO19" s="736"/>
      <c r="AP19" s="736"/>
      <c r="AQ19" s="736"/>
    </row>
    <row r="20" spans="1:43">
      <c r="A20" s="736"/>
      <c r="B20" s="736"/>
      <c r="C20" s="736"/>
      <c r="D20" s="736"/>
      <c r="E20" s="737"/>
      <c r="F20" s="737"/>
      <c r="G20" s="737"/>
      <c r="H20" s="736"/>
      <c r="I20" s="736"/>
      <c r="J20" s="736"/>
      <c r="K20" s="736"/>
      <c r="L20" s="736"/>
      <c r="M20" s="736"/>
      <c r="N20" s="736"/>
      <c r="O20" s="736"/>
      <c r="P20" s="736"/>
      <c r="Q20" s="736"/>
      <c r="R20" s="736"/>
      <c r="S20" s="736"/>
      <c r="T20" s="736"/>
      <c r="U20" s="736"/>
      <c r="V20" s="736"/>
      <c r="W20" s="736"/>
      <c r="X20" s="736"/>
      <c r="Y20" s="736"/>
      <c r="Z20" s="736"/>
      <c r="AA20" s="736"/>
      <c r="AB20" s="736"/>
      <c r="AC20" s="736"/>
      <c r="AD20" s="736"/>
      <c r="AE20" s="736"/>
      <c r="AF20" s="736"/>
      <c r="AG20" s="736"/>
      <c r="AH20" s="736"/>
      <c r="AI20" s="736"/>
      <c r="AJ20" s="736"/>
      <c r="AK20" s="736"/>
      <c r="AL20" s="736"/>
      <c r="AM20" s="736"/>
      <c r="AN20" s="736"/>
      <c r="AO20" s="736"/>
      <c r="AP20" s="736"/>
      <c r="AQ20" s="736"/>
    </row>
    <row r="21" spans="1:43">
      <c r="A21" s="736"/>
      <c r="B21" s="736"/>
      <c r="C21" s="736"/>
      <c r="D21" s="736"/>
      <c r="E21" s="737"/>
      <c r="F21" s="737"/>
      <c r="G21" s="737"/>
      <c r="H21" s="736"/>
      <c r="I21" s="736"/>
      <c r="J21" s="736"/>
      <c r="K21" s="736"/>
      <c r="L21" s="736"/>
      <c r="M21" s="736"/>
      <c r="N21" s="736"/>
      <c r="O21" s="736"/>
      <c r="P21" s="736"/>
      <c r="Q21" s="736"/>
      <c r="R21" s="736"/>
      <c r="S21" s="736"/>
      <c r="T21" s="736"/>
      <c r="U21" s="736"/>
      <c r="V21" s="736"/>
      <c r="W21" s="736"/>
      <c r="X21" s="736"/>
      <c r="Y21" s="736"/>
      <c r="Z21" s="736"/>
      <c r="AA21" s="736"/>
      <c r="AB21" s="736"/>
      <c r="AC21" s="736"/>
      <c r="AD21" s="736"/>
      <c r="AE21" s="736"/>
      <c r="AF21" s="736"/>
      <c r="AG21" s="736"/>
      <c r="AH21" s="736"/>
      <c r="AI21" s="736"/>
      <c r="AJ21" s="736"/>
      <c r="AK21" s="736"/>
      <c r="AL21" s="736"/>
      <c r="AM21" s="736"/>
      <c r="AN21" s="736"/>
      <c r="AO21" s="736"/>
      <c r="AP21" s="736"/>
      <c r="AQ21" s="736"/>
    </row>
    <row r="22" spans="1:43">
      <c r="A22" s="736"/>
      <c r="B22" s="736"/>
      <c r="C22" s="736"/>
      <c r="D22" s="736"/>
      <c r="E22" s="737"/>
      <c r="F22" s="737"/>
      <c r="G22" s="737"/>
      <c r="H22" s="736"/>
      <c r="I22" s="736"/>
      <c r="J22" s="736"/>
      <c r="K22" s="736"/>
      <c r="L22" s="736"/>
      <c r="M22" s="736"/>
      <c r="N22" s="736"/>
      <c r="O22" s="736"/>
      <c r="P22" s="736"/>
      <c r="Q22" s="736"/>
      <c r="R22" s="736"/>
      <c r="S22" s="736"/>
      <c r="T22" s="736"/>
      <c r="U22" s="736"/>
      <c r="V22" s="736"/>
      <c r="W22" s="736"/>
      <c r="X22" s="736"/>
      <c r="Y22" s="736"/>
      <c r="Z22" s="736"/>
      <c r="AA22" s="736"/>
      <c r="AB22" s="736"/>
      <c r="AC22" s="736"/>
      <c r="AD22" s="736"/>
      <c r="AE22" s="736"/>
      <c r="AF22" s="736"/>
      <c r="AG22" s="736"/>
      <c r="AH22" s="736"/>
      <c r="AI22" s="736"/>
      <c r="AJ22" s="736"/>
      <c r="AK22" s="736"/>
      <c r="AL22" s="736"/>
      <c r="AM22" s="736"/>
      <c r="AN22" s="736"/>
      <c r="AO22" s="736"/>
      <c r="AP22" s="736"/>
      <c r="AQ22" s="736"/>
    </row>
    <row r="23" spans="1:43">
      <c r="A23" s="736"/>
      <c r="B23" s="736"/>
      <c r="C23" s="736"/>
      <c r="D23" s="736"/>
      <c r="E23" s="737"/>
      <c r="F23" s="737"/>
      <c r="G23" s="737"/>
      <c r="H23" s="736"/>
      <c r="I23" s="736"/>
      <c r="J23" s="736"/>
      <c r="K23" s="736"/>
      <c r="L23" s="736"/>
      <c r="M23" s="736"/>
      <c r="N23" s="736"/>
      <c r="O23" s="736"/>
      <c r="P23" s="736"/>
      <c r="Q23" s="736"/>
      <c r="R23" s="736"/>
      <c r="S23" s="736"/>
      <c r="T23" s="736"/>
      <c r="U23" s="736"/>
      <c r="V23" s="736"/>
      <c r="W23" s="736"/>
      <c r="X23" s="736"/>
      <c r="Y23" s="736"/>
      <c r="Z23" s="736"/>
      <c r="AA23" s="736"/>
      <c r="AB23" s="736"/>
      <c r="AC23" s="736"/>
      <c r="AD23" s="736"/>
      <c r="AE23" s="736"/>
      <c r="AF23" s="736"/>
      <c r="AG23" s="736"/>
      <c r="AH23" s="736"/>
      <c r="AI23" s="736"/>
      <c r="AJ23" s="736"/>
      <c r="AK23" s="736"/>
      <c r="AL23" s="736"/>
      <c r="AM23" s="736"/>
      <c r="AN23" s="736"/>
      <c r="AO23" s="736"/>
      <c r="AP23" s="736"/>
      <c r="AQ23" s="736"/>
    </row>
    <row r="24" spans="1:43">
      <c r="A24" s="736"/>
      <c r="B24" s="736"/>
      <c r="C24" s="736"/>
      <c r="D24" s="736"/>
      <c r="E24" s="737"/>
      <c r="F24" s="737"/>
      <c r="G24" s="737"/>
      <c r="H24" s="736"/>
      <c r="I24" s="736"/>
      <c r="J24" s="736"/>
      <c r="K24" s="736"/>
      <c r="L24" s="736"/>
      <c r="M24" s="736"/>
      <c r="N24" s="736"/>
      <c r="O24" s="736"/>
      <c r="P24" s="736"/>
      <c r="Q24" s="736"/>
      <c r="R24" s="736"/>
      <c r="S24" s="736"/>
      <c r="T24" s="736"/>
      <c r="U24" s="736"/>
      <c r="V24" s="736"/>
      <c r="W24" s="736"/>
      <c r="X24" s="736"/>
      <c r="Y24" s="736"/>
      <c r="Z24" s="736"/>
      <c r="AA24" s="736"/>
      <c r="AB24" s="736"/>
      <c r="AC24" s="736"/>
      <c r="AD24" s="736"/>
      <c r="AE24" s="736"/>
      <c r="AF24" s="736"/>
      <c r="AG24" s="736"/>
      <c r="AH24" s="736"/>
      <c r="AI24" s="736"/>
      <c r="AJ24" s="736"/>
      <c r="AK24" s="736"/>
      <c r="AL24" s="736"/>
      <c r="AM24" s="736"/>
      <c r="AN24" s="736"/>
      <c r="AO24" s="736"/>
      <c r="AP24" s="736"/>
      <c r="AQ24" s="736"/>
    </row>
    <row r="25" spans="1:43">
      <c r="A25" s="736"/>
      <c r="B25" s="736"/>
      <c r="C25" s="736"/>
      <c r="D25" s="736"/>
      <c r="E25" s="737"/>
      <c r="F25" s="737"/>
      <c r="G25" s="737"/>
      <c r="H25" s="736"/>
      <c r="I25" s="736"/>
      <c r="J25" s="736"/>
      <c r="K25" s="736"/>
      <c r="L25" s="736"/>
      <c r="M25" s="736"/>
      <c r="N25" s="736"/>
      <c r="O25" s="736"/>
      <c r="P25" s="736"/>
      <c r="Q25" s="736"/>
      <c r="R25" s="736"/>
      <c r="S25" s="736"/>
      <c r="T25" s="736"/>
      <c r="U25" s="736"/>
      <c r="V25" s="736"/>
      <c r="W25" s="736"/>
      <c r="X25" s="736"/>
      <c r="Y25" s="736"/>
      <c r="Z25" s="736"/>
      <c r="AA25" s="736"/>
      <c r="AB25" s="736"/>
      <c r="AC25" s="736"/>
      <c r="AD25" s="736"/>
      <c r="AE25" s="736"/>
      <c r="AF25" s="736"/>
      <c r="AG25" s="736"/>
      <c r="AH25" s="736"/>
      <c r="AI25" s="736"/>
      <c r="AJ25" s="736"/>
      <c r="AK25" s="736"/>
      <c r="AL25" s="736"/>
      <c r="AM25" s="736"/>
      <c r="AN25" s="736"/>
      <c r="AO25" s="736"/>
      <c r="AP25" s="736"/>
      <c r="AQ25" s="736"/>
    </row>
    <row r="26" spans="1:43">
      <c r="A26" s="736"/>
      <c r="B26" s="736"/>
      <c r="C26" s="736"/>
      <c r="D26" s="736"/>
      <c r="E26" s="737"/>
      <c r="F26" s="737"/>
      <c r="G26" s="737"/>
      <c r="H26" s="736"/>
      <c r="I26" s="736"/>
      <c r="J26" s="736"/>
      <c r="K26" s="736"/>
      <c r="L26" s="736"/>
      <c r="M26" s="736"/>
      <c r="N26" s="736"/>
      <c r="O26" s="736"/>
      <c r="P26" s="736"/>
      <c r="Q26" s="736"/>
      <c r="R26" s="736"/>
      <c r="S26" s="736"/>
      <c r="T26" s="736"/>
      <c r="U26" s="736"/>
      <c r="V26" s="736"/>
      <c r="W26" s="736"/>
      <c r="X26" s="736"/>
      <c r="Y26" s="736"/>
      <c r="Z26" s="736"/>
      <c r="AA26" s="736"/>
      <c r="AB26" s="736"/>
      <c r="AC26" s="736"/>
      <c r="AD26" s="736"/>
      <c r="AE26" s="736"/>
      <c r="AF26" s="736"/>
      <c r="AG26" s="736"/>
      <c r="AH26" s="736"/>
      <c r="AI26" s="736"/>
      <c r="AJ26" s="736"/>
      <c r="AK26" s="736"/>
      <c r="AL26" s="736"/>
      <c r="AM26" s="736"/>
      <c r="AN26" s="736"/>
      <c r="AO26" s="736"/>
      <c r="AP26" s="736"/>
      <c r="AQ26" s="736"/>
    </row>
    <row r="27" spans="1:43">
      <c r="A27" s="736"/>
      <c r="B27" s="736"/>
      <c r="C27" s="736"/>
      <c r="D27" s="736"/>
      <c r="E27" s="737"/>
      <c r="F27" s="737"/>
      <c r="G27" s="737"/>
      <c r="H27" s="736"/>
      <c r="I27" s="736"/>
      <c r="J27" s="736"/>
      <c r="K27" s="736"/>
      <c r="L27" s="736"/>
      <c r="M27" s="736"/>
      <c r="N27" s="736"/>
      <c r="O27" s="736"/>
      <c r="P27" s="736"/>
      <c r="Q27" s="736"/>
      <c r="R27" s="736"/>
      <c r="S27" s="736"/>
      <c r="T27" s="736"/>
      <c r="U27" s="736"/>
      <c r="V27" s="736"/>
      <c r="W27" s="736"/>
      <c r="X27" s="736"/>
      <c r="Y27" s="736"/>
      <c r="Z27" s="736"/>
      <c r="AA27" s="736"/>
      <c r="AB27" s="736"/>
      <c r="AC27" s="736"/>
      <c r="AD27" s="736"/>
      <c r="AE27" s="736"/>
      <c r="AF27" s="736"/>
      <c r="AG27" s="736"/>
      <c r="AH27" s="736"/>
      <c r="AI27" s="736"/>
      <c r="AJ27" s="736"/>
      <c r="AK27" s="736"/>
      <c r="AL27" s="736"/>
      <c r="AM27" s="736"/>
      <c r="AN27" s="736"/>
      <c r="AO27" s="736"/>
      <c r="AP27" s="736"/>
      <c r="AQ27" s="736"/>
    </row>
    <row r="28" spans="1:43">
      <c r="A28" s="736"/>
      <c r="B28" s="736"/>
      <c r="C28" s="736"/>
      <c r="D28" s="736"/>
      <c r="E28" s="737"/>
      <c r="F28" s="737"/>
      <c r="G28" s="737"/>
      <c r="H28" s="736"/>
      <c r="I28" s="736"/>
      <c r="J28" s="736"/>
      <c r="K28" s="736"/>
      <c r="L28" s="736"/>
      <c r="M28" s="736"/>
      <c r="N28" s="736"/>
      <c r="O28" s="736"/>
      <c r="P28" s="736"/>
      <c r="Q28" s="736"/>
      <c r="R28" s="736"/>
      <c r="S28" s="736"/>
      <c r="T28" s="736"/>
      <c r="U28" s="736"/>
      <c r="V28" s="736"/>
      <c r="W28" s="736"/>
      <c r="X28" s="736"/>
      <c r="Y28" s="736"/>
      <c r="Z28" s="736"/>
      <c r="AA28" s="736"/>
      <c r="AB28" s="736"/>
      <c r="AC28" s="736"/>
      <c r="AD28" s="736"/>
      <c r="AE28" s="736"/>
      <c r="AF28" s="736"/>
      <c r="AG28" s="736"/>
      <c r="AH28" s="736"/>
      <c r="AI28" s="736"/>
      <c r="AJ28" s="736"/>
      <c r="AK28" s="736"/>
      <c r="AL28" s="736"/>
      <c r="AM28" s="736"/>
      <c r="AN28" s="736"/>
      <c r="AO28" s="736"/>
      <c r="AP28" s="736"/>
      <c r="AQ28" s="736"/>
    </row>
    <row r="29" spans="1:43">
      <c r="A29" s="736"/>
      <c r="B29" s="736"/>
      <c r="C29" s="736"/>
      <c r="D29" s="736"/>
      <c r="E29" s="737"/>
      <c r="F29" s="737"/>
      <c r="G29" s="737"/>
      <c r="H29" s="736"/>
      <c r="I29" s="736"/>
      <c r="J29" s="736"/>
      <c r="K29" s="736"/>
      <c r="L29" s="736"/>
      <c r="M29" s="736"/>
      <c r="N29" s="736"/>
      <c r="O29" s="736"/>
      <c r="P29" s="736"/>
      <c r="Q29" s="736"/>
      <c r="R29" s="736"/>
      <c r="S29" s="736"/>
      <c r="T29" s="736"/>
      <c r="U29" s="736"/>
      <c r="V29" s="736"/>
      <c r="W29" s="736"/>
      <c r="X29" s="736"/>
      <c r="Y29" s="736"/>
      <c r="Z29" s="736"/>
      <c r="AA29" s="736"/>
      <c r="AB29" s="736"/>
      <c r="AC29" s="736"/>
      <c r="AD29" s="736"/>
      <c r="AE29" s="736"/>
      <c r="AF29" s="736"/>
      <c r="AG29" s="736"/>
      <c r="AH29" s="736"/>
      <c r="AI29" s="736"/>
      <c r="AJ29" s="736"/>
      <c r="AK29" s="736"/>
      <c r="AL29" s="736"/>
      <c r="AM29" s="736"/>
      <c r="AN29" s="736"/>
      <c r="AO29" s="736"/>
      <c r="AP29" s="736"/>
      <c r="AQ29" s="736"/>
    </row>
    <row r="30" spans="1:43">
      <c r="A30" s="736"/>
      <c r="B30" s="736"/>
      <c r="C30" s="736"/>
      <c r="D30" s="736"/>
      <c r="E30" s="737"/>
      <c r="F30" s="737"/>
      <c r="G30" s="737"/>
      <c r="H30" s="736"/>
      <c r="I30" s="736"/>
      <c r="J30" s="736"/>
      <c r="K30" s="736"/>
      <c r="L30" s="736"/>
      <c r="M30" s="736"/>
      <c r="N30" s="736"/>
      <c r="O30" s="736"/>
      <c r="P30" s="736"/>
      <c r="Q30" s="736"/>
      <c r="R30" s="736"/>
      <c r="S30" s="736"/>
      <c r="T30" s="736"/>
      <c r="U30" s="736"/>
      <c r="V30" s="736"/>
      <c r="W30" s="736"/>
      <c r="X30" s="736"/>
      <c r="Y30" s="736"/>
      <c r="Z30" s="736"/>
      <c r="AA30" s="736"/>
      <c r="AB30" s="736"/>
      <c r="AC30" s="736"/>
      <c r="AD30" s="736"/>
      <c r="AE30" s="736"/>
      <c r="AF30" s="736"/>
      <c r="AG30" s="736"/>
      <c r="AH30" s="736"/>
      <c r="AI30" s="736"/>
      <c r="AJ30" s="736"/>
      <c r="AK30" s="736"/>
      <c r="AL30" s="736"/>
      <c r="AM30" s="736"/>
      <c r="AN30" s="736"/>
      <c r="AO30" s="736"/>
      <c r="AP30" s="736"/>
      <c r="AQ30" s="736"/>
    </row>
    <row r="31" spans="1:43">
      <c r="A31" s="736"/>
      <c r="B31" s="736"/>
      <c r="C31" s="736"/>
      <c r="D31" s="736"/>
      <c r="E31" s="737"/>
      <c r="F31" s="737"/>
      <c r="G31" s="737"/>
      <c r="H31" s="736"/>
      <c r="I31" s="736"/>
      <c r="J31" s="736"/>
      <c r="K31" s="736"/>
      <c r="L31" s="736"/>
      <c r="M31" s="736"/>
      <c r="N31" s="736"/>
      <c r="O31" s="736"/>
      <c r="P31" s="736"/>
      <c r="Q31" s="736"/>
      <c r="R31" s="736"/>
      <c r="S31" s="736"/>
      <c r="T31" s="736"/>
      <c r="U31" s="736"/>
      <c r="V31" s="736"/>
      <c r="W31" s="736"/>
      <c r="X31" s="736"/>
      <c r="Y31" s="736"/>
      <c r="Z31" s="736"/>
      <c r="AA31" s="736"/>
      <c r="AB31" s="736"/>
      <c r="AC31" s="736"/>
      <c r="AD31" s="736"/>
      <c r="AE31" s="736"/>
      <c r="AF31" s="736"/>
      <c r="AG31" s="736"/>
      <c r="AH31" s="736"/>
      <c r="AI31" s="736"/>
      <c r="AJ31" s="736"/>
      <c r="AK31" s="736"/>
      <c r="AL31" s="736"/>
      <c r="AM31" s="736"/>
      <c r="AN31" s="736"/>
      <c r="AO31" s="736"/>
      <c r="AP31" s="736"/>
      <c r="AQ31" s="736"/>
    </row>
    <row r="32" spans="1:43">
      <c r="A32" s="736"/>
      <c r="B32" s="736"/>
      <c r="C32" s="736"/>
      <c r="D32" s="736"/>
      <c r="E32" s="737"/>
      <c r="F32" s="737"/>
      <c r="G32" s="737"/>
      <c r="H32" s="736"/>
      <c r="I32" s="736"/>
      <c r="J32" s="736"/>
      <c r="K32" s="736"/>
      <c r="L32" s="736"/>
      <c r="M32" s="736"/>
      <c r="N32" s="736"/>
      <c r="O32" s="736"/>
      <c r="P32" s="736"/>
      <c r="Q32" s="736"/>
      <c r="R32" s="736"/>
      <c r="S32" s="736"/>
      <c r="T32" s="736"/>
      <c r="U32" s="736"/>
      <c r="V32" s="736"/>
      <c r="W32" s="736"/>
      <c r="X32" s="736"/>
      <c r="Y32" s="736"/>
      <c r="Z32" s="736"/>
      <c r="AA32" s="736"/>
      <c r="AB32" s="736"/>
      <c r="AC32" s="736"/>
      <c r="AD32" s="736"/>
      <c r="AE32" s="736"/>
      <c r="AF32" s="736"/>
      <c r="AG32" s="736"/>
      <c r="AH32" s="736"/>
      <c r="AI32" s="736"/>
      <c r="AJ32" s="736"/>
      <c r="AK32" s="736"/>
      <c r="AL32" s="736"/>
      <c r="AM32" s="736"/>
      <c r="AN32" s="736"/>
      <c r="AO32" s="736"/>
      <c r="AP32" s="736"/>
      <c r="AQ32" s="736"/>
    </row>
    <row r="33" spans="1:43">
      <c r="A33" s="736"/>
      <c r="B33" s="736"/>
      <c r="C33" s="736"/>
      <c r="D33" s="736"/>
      <c r="E33" s="737"/>
      <c r="F33" s="737"/>
      <c r="G33" s="737"/>
      <c r="H33" s="736"/>
      <c r="I33" s="736"/>
      <c r="J33" s="736"/>
      <c r="K33" s="736"/>
      <c r="L33" s="736"/>
      <c r="M33" s="736"/>
      <c r="N33" s="736"/>
      <c r="O33" s="736"/>
      <c r="P33" s="736"/>
      <c r="Q33" s="736"/>
      <c r="R33" s="736"/>
      <c r="S33" s="736"/>
      <c r="T33" s="736"/>
      <c r="U33" s="736"/>
      <c r="V33" s="736"/>
      <c r="W33" s="736"/>
      <c r="X33" s="736"/>
      <c r="Y33" s="736"/>
      <c r="Z33" s="736"/>
      <c r="AA33" s="736"/>
      <c r="AB33" s="736"/>
      <c r="AC33" s="736"/>
      <c r="AD33" s="736"/>
      <c r="AE33" s="736"/>
      <c r="AF33" s="736"/>
      <c r="AG33" s="736"/>
      <c r="AH33" s="736"/>
      <c r="AI33" s="736"/>
      <c r="AJ33" s="736"/>
      <c r="AK33" s="736"/>
      <c r="AL33" s="736"/>
      <c r="AM33" s="736"/>
      <c r="AN33" s="736"/>
      <c r="AO33" s="736"/>
      <c r="AP33" s="736"/>
      <c r="AQ33" s="736"/>
    </row>
    <row r="34" spans="1:43">
      <c r="A34" s="736"/>
      <c r="B34" s="736"/>
      <c r="C34" s="736"/>
      <c r="D34" s="736"/>
      <c r="E34" s="737"/>
      <c r="F34" s="737"/>
      <c r="G34" s="737"/>
      <c r="H34" s="736"/>
      <c r="I34" s="736"/>
      <c r="J34" s="736"/>
      <c r="K34" s="736"/>
      <c r="L34" s="736"/>
      <c r="M34" s="736"/>
      <c r="N34" s="736"/>
      <c r="O34" s="736"/>
      <c r="P34" s="736"/>
      <c r="Q34" s="736"/>
      <c r="R34" s="736"/>
      <c r="S34" s="736"/>
      <c r="T34" s="736"/>
      <c r="U34" s="736"/>
      <c r="V34" s="736"/>
      <c r="W34" s="736"/>
      <c r="X34" s="736"/>
      <c r="Y34" s="736"/>
      <c r="Z34" s="736"/>
      <c r="AA34" s="736"/>
      <c r="AB34" s="736"/>
      <c r="AC34" s="736"/>
      <c r="AD34" s="736"/>
      <c r="AE34" s="736"/>
      <c r="AF34" s="736"/>
      <c r="AG34" s="736"/>
      <c r="AH34" s="736"/>
      <c r="AI34" s="736"/>
      <c r="AJ34" s="736"/>
      <c r="AK34" s="736"/>
      <c r="AL34" s="736"/>
      <c r="AM34" s="736"/>
      <c r="AN34" s="736"/>
      <c r="AO34" s="736"/>
      <c r="AP34" s="736"/>
      <c r="AQ34" s="736"/>
    </row>
    <row r="35" spans="1:43">
      <c r="A35" s="736"/>
      <c r="B35" s="736"/>
      <c r="C35" s="736"/>
      <c r="D35" s="736"/>
      <c r="E35" s="737"/>
      <c r="F35" s="737"/>
      <c r="G35" s="737"/>
      <c r="H35" s="736"/>
      <c r="I35" s="736"/>
      <c r="J35" s="736"/>
      <c r="K35" s="736"/>
      <c r="L35" s="736"/>
      <c r="M35" s="736"/>
      <c r="N35" s="736"/>
      <c r="O35" s="736"/>
      <c r="P35" s="736"/>
      <c r="Q35" s="736"/>
      <c r="R35" s="736"/>
      <c r="S35" s="736"/>
      <c r="T35" s="736"/>
      <c r="U35" s="736"/>
      <c r="V35" s="736"/>
      <c r="W35" s="736"/>
      <c r="X35" s="736"/>
      <c r="Y35" s="736"/>
      <c r="Z35" s="736"/>
      <c r="AA35" s="736"/>
      <c r="AB35" s="736"/>
      <c r="AC35" s="736"/>
      <c r="AD35" s="736"/>
      <c r="AE35" s="736"/>
      <c r="AF35" s="736"/>
      <c r="AG35" s="736"/>
      <c r="AH35" s="736"/>
      <c r="AI35" s="736"/>
      <c r="AJ35" s="736"/>
      <c r="AK35" s="736"/>
      <c r="AL35" s="736"/>
      <c r="AM35" s="736"/>
      <c r="AN35" s="736"/>
      <c r="AO35" s="736"/>
      <c r="AP35" s="736"/>
      <c r="AQ35" s="736"/>
    </row>
    <row r="36" spans="1:43">
      <c r="A36" s="736"/>
      <c r="B36" s="736"/>
      <c r="C36" s="736"/>
      <c r="D36" s="736"/>
      <c r="E36" s="737"/>
      <c r="F36" s="737"/>
      <c r="G36" s="737"/>
      <c r="H36" s="736"/>
      <c r="I36" s="736"/>
      <c r="J36" s="736"/>
      <c r="K36" s="736"/>
      <c r="L36" s="736"/>
      <c r="M36" s="736"/>
      <c r="N36" s="736"/>
      <c r="O36" s="736"/>
      <c r="P36" s="736"/>
      <c r="Q36" s="736"/>
      <c r="R36" s="736"/>
      <c r="S36" s="736"/>
      <c r="T36" s="736"/>
      <c r="U36" s="736"/>
      <c r="V36" s="736"/>
      <c r="W36" s="736"/>
      <c r="X36" s="736"/>
      <c r="Y36" s="736"/>
      <c r="Z36" s="736"/>
      <c r="AA36" s="736"/>
      <c r="AB36" s="736"/>
      <c r="AC36" s="736"/>
      <c r="AD36" s="736"/>
      <c r="AE36" s="736"/>
      <c r="AF36" s="736"/>
      <c r="AG36" s="736"/>
      <c r="AH36" s="736"/>
      <c r="AI36" s="736"/>
      <c r="AJ36" s="736"/>
      <c r="AK36" s="736"/>
      <c r="AL36" s="736"/>
      <c r="AM36" s="736"/>
      <c r="AN36" s="736"/>
      <c r="AO36" s="736"/>
      <c r="AP36" s="736"/>
      <c r="AQ36" s="736"/>
    </row>
    <row r="37" spans="1:43">
      <c r="A37" s="736"/>
      <c r="B37" s="736"/>
      <c r="C37" s="736"/>
      <c r="D37" s="736"/>
      <c r="E37" s="737"/>
      <c r="F37" s="737"/>
      <c r="G37" s="737"/>
      <c r="H37" s="736"/>
      <c r="I37" s="736"/>
      <c r="J37" s="736"/>
      <c r="K37" s="736"/>
      <c r="L37" s="736"/>
      <c r="M37" s="736"/>
      <c r="N37" s="736"/>
      <c r="O37" s="736"/>
      <c r="P37" s="736"/>
      <c r="Q37" s="736"/>
      <c r="R37" s="736"/>
      <c r="S37" s="736"/>
      <c r="T37" s="736"/>
      <c r="U37" s="736"/>
      <c r="V37" s="736"/>
      <c r="W37" s="736"/>
      <c r="X37" s="736"/>
      <c r="Y37" s="736"/>
      <c r="Z37" s="736"/>
      <c r="AA37" s="736"/>
      <c r="AB37" s="736"/>
      <c r="AC37" s="736"/>
      <c r="AD37" s="736"/>
      <c r="AE37" s="736"/>
      <c r="AF37" s="736"/>
      <c r="AG37" s="736"/>
      <c r="AH37" s="736"/>
      <c r="AI37" s="736"/>
      <c r="AJ37" s="736"/>
      <c r="AK37" s="736"/>
      <c r="AL37" s="736"/>
      <c r="AM37" s="736"/>
      <c r="AN37" s="736"/>
      <c r="AO37" s="736"/>
      <c r="AP37" s="736"/>
      <c r="AQ37" s="736"/>
    </row>
    <row r="38" spans="1:43">
      <c r="A38" s="736"/>
      <c r="B38" s="736"/>
      <c r="C38" s="736"/>
      <c r="D38" s="736"/>
      <c r="E38" s="737"/>
      <c r="F38" s="737"/>
      <c r="G38" s="737"/>
      <c r="H38" s="736"/>
      <c r="I38" s="736"/>
      <c r="J38" s="736"/>
      <c r="K38" s="736"/>
      <c r="L38" s="736"/>
      <c r="M38" s="736"/>
      <c r="N38" s="736"/>
      <c r="O38" s="736"/>
      <c r="P38" s="736"/>
      <c r="Q38" s="736"/>
      <c r="R38" s="736"/>
      <c r="S38" s="736"/>
      <c r="T38" s="736"/>
      <c r="U38" s="736"/>
      <c r="V38" s="736"/>
      <c r="W38" s="736"/>
      <c r="X38" s="736"/>
      <c r="Y38" s="736"/>
      <c r="Z38" s="736"/>
      <c r="AA38" s="736"/>
      <c r="AB38" s="736"/>
      <c r="AC38" s="736"/>
      <c r="AD38" s="736"/>
      <c r="AE38" s="736"/>
      <c r="AF38" s="736"/>
      <c r="AG38" s="736"/>
      <c r="AH38" s="736"/>
      <c r="AI38" s="736"/>
      <c r="AJ38" s="736"/>
      <c r="AK38" s="736"/>
      <c r="AL38" s="736"/>
      <c r="AM38" s="736"/>
      <c r="AN38" s="736"/>
      <c r="AO38" s="736"/>
      <c r="AP38" s="736"/>
      <c r="AQ38" s="736"/>
    </row>
    <row r="39" spans="1:43">
      <c r="A39" s="736"/>
      <c r="B39" s="736"/>
      <c r="C39" s="736"/>
      <c r="D39" s="736"/>
      <c r="E39" s="737"/>
      <c r="F39" s="737"/>
      <c r="G39" s="737"/>
      <c r="H39" s="738"/>
      <c r="I39" s="738"/>
      <c r="J39" s="738"/>
      <c r="K39" s="738"/>
      <c r="L39" s="738"/>
      <c r="M39" s="738"/>
      <c r="N39" s="738"/>
      <c r="O39" s="738"/>
      <c r="P39" s="738"/>
      <c r="Q39" s="738"/>
      <c r="R39" s="738"/>
      <c r="S39" s="738"/>
      <c r="T39" s="738"/>
      <c r="U39" s="738"/>
      <c r="V39" s="738"/>
      <c r="W39" s="738"/>
      <c r="X39" s="738"/>
      <c r="Y39" s="738"/>
      <c r="Z39" s="738"/>
      <c r="AA39" s="738"/>
      <c r="AB39" s="738"/>
      <c r="AC39" s="738"/>
      <c r="AD39" s="738"/>
      <c r="AE39" s="738"/>
      <c r="AF39" s="738"/>
      <c r="AG39" s="738"/>
      <c r="AH39" s="738"/>
      <c r="AI39" s="738"/>
      <c r="AJ39" s="738"/>
      <c r="AK39" s="738"/>
      <c r="AL39" s="738"/>
      <c r="AM39" s="738"/>
      <c r="AN39" s="738"/>
      <c r="AO39" s="738"/>
      <c r="AP39" s="738"/>
      <c r="AQ39" s="738"/>
    </row>
    <row r="40" spans="1:43">
      <c r="A40" s="736"/>
      <c r="B40" s="736"/>
      <c r="C40" s="736"/>
      <c r="D40" s="736"/>
      <c r="E40" s="737"/>
      <c r="F40" s="737"/>
      <c r="G40" s="737"/>
      <c r="H40" s="736"/>
      <c r="I40" s="736"/>
      <c r="J40" s="736"/>
      <c r="K40" s="736"/>
      <c r="L40" s="736"/>
      <c r="M40" s="736"/>
      <c r="N40" s="736"/>
      <c r="O40" s="736"/>
      <c r="P40" s="736"/>
      <c r="Q40" s="736"/>
      <c r="R40" s="736"/>
      <c r="S40" s="736"/>
      <c r="T40" s="736"/>
      <c r="U40" s="736"/>
      <c r="V40" s="736"/>
      <c r="W40" s="736"/>
      <c r="X40" s="736"/>
      <c r="Y40" s="736"/>
      <c r="Z40" s="736"/>
      <c r="AA40" s="736"/>
      <c r="AB40" s="736"/>
      <c r="AC40" s="736"/>
      <c r="AD40" s="736"/>
      <c r="AE40" s="736"/>
      <c r="AF40" s="736"/>
      <c r="AG40" s="736"/>
      <c r="AH40" s="736"/>
      <c r="AI40" s="736"/>
      <c r="AJ40" s="736"/>
      <c r="AK40" s="736"/>
      <c r="AL40" s="736"/>
      <c r="AM40" s="736"/>
      <c r="AN40" s="736"/>
      <c r="AO40" s="736"/>
      <c r="AP40" s="736"/>
      <c r="AQ40" s="736"/>
    </row>
    <row r="41" spans="1:43">
      <c r="A41" s="736"/>
      <c r="B41" s="736"/>
      <c r="C41" s="736"/>
      <c r="D41" s="736"/>
      <c r="E41" s="737"/>
      <c r="F41" s="737"/>
      <c r="G41" s="737"/>
      <c r="H41" s="736"/>
      <c r="I41" s="736"/>
      <c r="J41" s="736"/>
      <c r="K41" s="736"/>
      <c r="L41" s="736"/>
      <c r="M41" s="736"/>
      <c r="N41" s="736"/>
      <c r="O41" s="736"/>
      <c r="P41" s="736"/>
      <c r="Q41" s="736"/>
      <c r="R41" s="736"/>
      <c r="S41" s="736"/>
      <c r="T41" s="736"/>
      <c r="U41" s="736"/>
      <c r="V41" s="736"/>
      <c r="W41" s="736"/>
      <c r="X41" s="736"/>
      <c r="Y41" s="736"/>
      <c r="Z41" s="736"/>
      <c r="AA41" s="736"/>
      <c r="AB41" s="736"/>
      <c r="AC41" s="736"/>
      <c r="AD41" s="736"/>
      <c r="AE41" s="736"/>
      <c r="AF41" s="736"/>
      <c r="AG41" s="736"/>
      <c r="AH41" s="736"/>
      <c r="AI41" s="736"/>
      <c r="AJ41" s="736"/>
      <c r="AK41" s="736"/>
      <c r="AL41" s="736"/>
      <c r="AM41" s="736"/>
      <c r="AN41" s="736"/>
      <c r="AO41" s="736"/>
      <c r="AP41" s="736"/>
      <c r="AQ41" s="736"/>
    </row>
    <row r="42" spans="1:43">
      <c r="A42" s="736"/>
      <c r="B42" s="736"/>
      <c r="C42" s="736"/>
      <c r="D42" s="736"/>
      <c r="E42" s="737"/>
      <c r="F42" s="737"/>
      <c r="G42" s="737"/>
      <c r="H42" s="736"/>
      <c r="I42" s="736"/>
      <c r="J42" s="736"/>
      <c r="K42" s="736"/>
      <c r="L42" s="736"/>
      <c r="M42" s="736"/>
      <c r="N42" s="736"/>
      <c r="O42" s="736"/>
      <c r="P42" s="736"/>
      <c r="Q42" s="736"/>
      <c r="R42" s="736"/>
      <c r="S42" s="736"/>
      <c r="T42" s="736"/>
      <c r="U42" s="736"/>
      <c r="V42" s="736"/>
      <c r="W42" s="736"/>
      <c r="X42" s="736"/>
      <c r="Y42" s="736"/>
      <c r="Z42" s="736"/>
      <c r="AA42" s="736"/>
      <c r="AB42" s="736"/>
      <c r="AC42" s="736"/>
      <c r="AD42" s="736"/>
      <c r="AE42" s="736"/>
      <c r="AF42" s="736"/>
      <c r="AG42" s="736"/>
      <c r="AH42" s="736"/>
      <c r="AI42" s="736"/>
      <c r="AJ42" s="736"/>
      <c r="AK42" s="736"/>
      <c r="AL42" s="736"/>
      <c r="AM42" s="736"/>
      <c r="AN42" s="736"/>
      <c r="AO42" s="736"/>
      <c r="AP42" s="736"/>
      <c r="AQ42" s="736"/>
    </row>
    <row r="43" spans="1:43">
      <c r="A43" s="736"/>
      <c r="B43" s="736"/>
      <c r="C43" s="736"/>
      <c r="D43" s="736"/>
      <c r="E43" s="737"/>
      <c r="F43" s="737"/>
      <c r="G43" s="737"/>
      <c r="H43" s="736"/>
      <c r="I43" s="736"/>
      <c r="J43" s="736"/>
      <c r="K43" s="736"/>
      <c r="L43" s="736"/>
      <c r="M43" s="736"/>
      <c r="N43" s="736"/>
      <c r="O43" s="736"/>
      <c r="P43" s="736"/>
      <c r="Q43" s="736"/>
      <c r="R43" s="736"/>
      <c r="S43" s="736"/>
      <c r="T43" s="736"/>
      <c r="U43" s="736"/>
      <c r="V43" s="736"/>
      <c r="W43" s="736"/>
      <c r="X43" s="736"/>
      <c r="Y43" s="736"/>
      <c r="Z43" s="736"/>
      <c r="AA43" s="736"/>
      <c r="AB43" s="736"/>
      <c r="AC43" s="736"/>
      <c r="AD43" s="736"/>
      <c r="AE43" s="736"/>
      <c r="AF43" s="736"/>
      <c r="AG43" s="736"/>
      <c r="AH43" s="736"/>
      <c r="AI43" s="736"/>
      <c r="AJ43" s="736"/>
      <c r="AK43" s="736"/>
      <c r="AL43" s="736"/>
      <c r="AM43" s="736"/>
      <c r="AN43" s="736"/>
      <c r="AO43" s="736"/>
      <c r="AP43" s="736"/>
      <c r="AQ43" s="736"/>
    </row>
    <row r="44" spans="1:43">
      <c r="A44" s="736"/>
      <c r="B44" s="736"/>
      <c r="C44" s="736"/>
      <c r="D44" s="736"/>
      <c r="E44" s="737"/>
      <c r="F44" s="737"/>
      <c r="G44" s="737"/>
      <c r="H44" s="736"/>
      <c r="I44" s="736"/>
      <c r="J44" s="736"/>
      <c r="K44" s="736"/>
      <c r="L44" s="736"/>
      <c r="M44" s="736"/>
      <c r="N44" s="736"/>
      <c r="O44" s="736"/>
      <c r="P44" s="736"/>
      <c r="Q44" s="736"/>
      <c r="R44" s="736"/>
      <c r="S44" s="736"/>
      <c r="T44" s="736"/>
      <c r="U44" s="736"/>
      <c r="V44" s="736"/>
      <c r="W44" s="736"/>
      <c r="X44" s="736"/>
      <c r="Y44" s="736"/>
      <c r="Z44" s="736"/>
      <c r="AA44" s="736"/>
      <c r="AB44" s="736"/>
      <c r="AC44" s="736"/>
      <c r="AD44" s="736"/>
      <c r="AE44" s="736"/>
      <c r="AF44" s="736"/>
      <c r="AG44" s="736"/>
      <c r="AH44" s="736"/>
      <c r="AI44" s="736"/>
      <c r="AJ44" s="736"/>
      <c r="AK44" s="736"/>
      <c r="AL44" s="736"/>
      <c r="AM44" s="736"/>
      <c r="AN44" s="736"/>
      <c r="AO44" s="736"/>
      <c r="AP44" s="736"/>
      <c r="AQ44" s="736"/>
    </row>
    <row r="45" spans="1:43">
      <c r="A45" s="736"/>
      <c r="B45" s="736"/>
      <c r="C45" s="736"/>
      <c r="D45" s="736"/>
      <c r="E45" s="737"/>
      <c r="F45" s="737"/>
      <c r="G45" s="737"/>
      <c r="H45" s="736"/>
      <c r="I45" s="736"/>
      <c r="J45" s="736"/>
      <c r="K45" s="736"/>
      <c r="L45" s="736"/>
      <c r="M45" s="736"/>
      <c r="N45" s="736"/>
      <c r="O45" s="736"/>
      <c r="P45" s="736"/>
      <c r="Q45" s="736"/>
      <c r="R45" s="736"/>
      <c r="S45" s="736"/>
      <c r="T45" s="736"/>
      <c r="U45" s="736"/>
      <c r="V45" s="736"/>
      <c r="W45" s="736"/>
      <c r="X45" s="736"/>
      <c r="Y45" s="736"/>
      <c r="Z45" s="736"/>
      <c r="AA45" s="736"/>
      <c r="AB45" s="736"/>
      <c r="AC45" s="736"/>
      <c r="AD45" s="736"/>
      <c r="AE45" s="736"/>
      <c r="AF45" s="736"/>
      <c r="AG45" s="736"/>
      <c r="AH45" s="736"/>
      <c r="AI45" s="736"/>
      <c r="AJ45" s="736"/>
      <c r="AK45" s="736"/>
      <c r="AL45" s="736"/>
      <c r="AM45" s="736"/>
      <c r="AN45" s="736"/>
      <c r="AO45" s="736"/>
      <c r="AP45" s="736"/>
      <c r="AQ45" s="736"/>
    </row>
    <row r="46" spans="1:43">
      <c r="A46" s="736"/>
      <c r="B46" s="736"/>
      <c r="C46" s="736"/>
      <c r="D46" s="736"/>
      <c r="E46" s="737"/>
      <c r="F46" s="737"/>
      <c r="G46" s="737"/>
      <c r="H46" s="738"/>
      <c r="I46" s="738"/>
      <c r="J46" s="738"/>
      <c r="K46" s="738"/>
      <c r="L46" s="738"/>
      <c r="M46" s="738"/>
      <c r="N46" s="738"/>
      <c r="O46" s="738"/>
      <c r="P46" s="738"/>
      <c r="Q46" s="738"/>
      <c r="R46" s="738"/>
      <c r="S46" s="738"/>
      <c r="T46" s="738"/>
      <c r="U46" s="738"/>
      <c r="V46" s="738"/>
      <c r="W46" s="738"/>
      <c r="X46" s="738"/>
      <c r="Y46" s="738"/>
      <c r="Z46" s="738"/>
      <c r="AA46" s="738"/>
      <c r="AB46" s="738"/>
      <c r="AC46" s="738"/>
      <c r="AD46" s="738"/>
      <c r="AE46" s="738"/>
      <c r="AF46" s="738"/>
      <c r="AG46" s="738"/>
      <c r="AH46" s="738"/>
      <c r="AI46" s="738"/>
      <c r="AJ46" s="738"/>
      <c r="AK46" s="738"/>
      <c r="AL46" s="738"/>
      <c r="AM46" s="738"/>
      <c r="AN46" s="738"/>
      <c r="AO46" s="738"/>
      <c r="AP46" s="738"/>
      <c r="AQ46" s="738"/>
    </row>
    <row r="47" spans="1:43">
      <c r="A47" s="736"/>
      <c r="B47" s="736"/>
      <c r="C47" s="736"/>
      <c r="D47" s="736"/>
      <c r="E47" s="737"/>
      <c r="F47" s="737"/>
      <c r="G47" s="737"/>
      <c r="H47" s="736"/>
      <c r="I47" s="736"/>
      <c r="J47" s="736"/>
      <c r="K47" s="736"/>
      <c r="L47" s="736"/>
      <c r="M47" s="736"/>
      <c r="N47" s="736"/>
      <c r="O47" s="736"/>
      <c r="P47" s="736"/>
      <c r="Q47" s="736"/>
      <c r="R47" s="736"/>
      <c r="S47" s="736"/>
      <c r="T47" s="736"/>
      <c r="U47" s="736"/>
      <c r="V47" s="736"/>
      <c r="W47" s="736"/>
      <c r="X47" s="736"/>
      <c r="Y47" s="736"/>
      <c r="Z47" s="736"/>
      <c r="AA47" s="736"/>
      <c r="AB47" s="736"/>
      <c r="AC47" s="736"/>
      <c r="AD47" s="736"/>
      <c r="AE47" s="736"/>
      <c r="AF47" s="736"/>
      <c r="AG47" s="736"/>
      <c r="AH47" s="736"/>
      <c r="AI47" s="736"/>
      <c r="AJ47" s="736"/>
      <c r="AK47" s="736"/>
      <c r="AL47" s="736"/>
      <c r="AM47" s="736"/>
      <c r="AN47" s="736"/>
      <c r="AO47" s="736"/>
      <c r="AP47" s="736"/>
      <c r="AQ47" s="736"/>
    </row>
    <row r="48" spans="1:43">
      <c r="A48" s="736"/>
      <c r="B48" s="736"/>
      <c r="C48" s="736"/>
      <c r="D48" s="736"/>
      <c r="E48" s="737"/>
      <c r="F48" s="737"/>
      <c r="G48" s="737"/>
      <c r="H48" s="738"/>
      <c r="I48" s="738"/>
      <c r="J48" s="738"/>
      <c r="K48" s="738"/>
      <c r="L48" s="738"/>
      <c r="M48" s="738"/>
      <c r="N48" s="738"/>
      <c r="O48" s="738"/>
      <c r="P48" s="738"/>
      <c r="Q48" s="738"/>
      <c r="R48" s="738"/>
      <c r="S48" s="738"/>
      <c r="T48" s="738"/>
      <c r="U48" s="738"/>
      <c r="V48" s="738"/>
      <c r="W48" s="738"/>
      <c r="X48" s="738"/>
      <c r="Y48" s="738"/>
      <c r="Z48" s="738"/>
      <c r="AA48" s="738"/>
      <c r="AB48" s="738"/>
      <c r="AC48" s="738"/>
      <c r="AD48" s="738"/>
      <c r="AE48" s="738"/>
      <c r="AF48" s="738"/>
      <c r="AG48" s="738"/>
      <c r="AH48" s="738"/>
      <c r="AI48" s="738"/>
      <c r="AJ48" s="738"/>
      <c r="AK48" s="738"/>
      <c r="AL48" s="738"/>
      <c r="AM48" s="738"/>
      <c r="AN48" s="738"/>
      <c r="AO48" s="738"/>
      <c r="AP48" s="738"/>
      <c r="AQ48" s="738"/>
    </row>
    <row r="49" spans="1:43">
      <c r="A49" s="736"/>
      <c r="B49" s="736"/>
      <c r="C49" s="736"/>
      <c r="D49" s="736"/>
      <c r="E49" s="737"/>
      <c r="F49" s="737"/>
      <c r="G49" s="737"/>
      <c r="H49" s="736"/>
      <c r="I49" s="736"/>
      <c r="J49" s="736"/>
      <c r="K49" s="736"/>
      <c r="L49" s="736"/>
      <c r="M49" s="736"/>
      <c r="N49" s="736"/>
      <c r="O49" s="736"/>
      <c r="P49" s="736"/>
      <c r="Q49" s="736"/>
      <c r="R49" s="736"/>
      <c r="S49" s="736"/>
      <c r="T49" s="736"/>
      <c r="U49" s="736"/>
      <c r="V49" s="736"/>
      <c r="W49" s="736"/>
      <c r="X49" s="736"/>
      <c r="Y49" s="736"/>
      <c r="Z49" s="736"/>
      <c r="AA49" s="736"/>
      <c r="AB49" s="736"/>
      <c r="AC49" s="736"/>
      <c r="AD49" s="736"/>
      <c r="AE49" s="736"/>
      <c r="AF49" s="736"/>
      <c r="AG49" s="736"/>
      <c r="AH49" s="736"/>
      <c r="AI49" s="736"/>
      <c r="AJ49" s="736"/>
      <c r="AK49" s="736"/>
      <c r="AL49" s="736"/>
      <c r="AM49" s="736"/>
      <c r="AN49" s="736"/>
      <c r="AO49" s="736"/>
      <c r="AP49" s="736"/>
      <c r="AQ49" s="736"/>
    </row>
    <row r="50" spans="1:43">
      <c r="A50" s="736"/>
      <c r="B50" s="736"/>
      <c r="C50" s="736"/>
      <c r="D50" s="736"/>
      <c r="E50" s="737"/>
      <c r="F50" s="737"/>
      <c r="G50" s="737"/>
      <c r="H50" s="736"/>
      <c r="I50" s="736"/>
      <c r="J50" s="736"/>
      <c r="K50" s="736"/>
      <c r="L50" s="736"/>
      <c r="M50" s="736"/>
      <c r="N50" s="736"/>
      <c r="O50" s="736"/>
      <c r="P50" s="736"/>
      <c r="Q50" s="736"/>
      <c r="R50" s="736"/>
      <c r="S50" s="736"/>
      <c r="T50" s="736"/>
      <c r="U50" s="736"/>
      <c r="V50" s="736"/>
      <c r="W50" s="736"/>
      <c r="X50" s="736"/>
      <c r="Y50" s="736"/>
      <c r="Z50" s="736"/>
      <c r="AA50" s="736"/>
      <c r="AB50" s="736"/>
      <c r="AC50" s="736"/>
      <c r="AD50" s="736"/>
      <c r="AE50" s="736"/>
      <c r="AF50" s="736"/>
      <c r="AG50" s="736"/>
      <c r="AH50" s="736"/>
      <c r="AI50" s="736"/>
      <c r="AJ50" s="736"/>
      <c r="AK50" s="736"/>
      <c r="AL50" s="736"/>
      <c r="AM50" s="736"/>
      <c r="AN50" s="736"/>
      <c r="AO50" s="736"/>
      <c r="AP50" s="736"/>
      <c r="AQ50" s="736"/>
    </row>
    <row r="51" spans="1:43">
      <c r="A51" s="736"/>
      <c r="B51" s="736"/>
      <c r="C51" s="736"/>
      <c r="D51" s="736"/>
      <c r="E51" s="737"/>
      <c r="F51" s="737"/>
      <c r="G51" s="737"/>
      <c r="H51" s="736"/>
      <c r="I51" s="736"/>
      <c r="J51" s="736"/>
      <c r="K51" s="736"/>
      <c r="L51" s="736"/>
      <c r="M51" s="736"/>
      <c r="N51" s="736"/>
      <c r="O51" s="736"/>
      <c r="P51" s="736"/>
      <c r="Q51" s="736"/>
      <c r="R51" s="736"/>
      <c r="S51" s="736"/>
      <c r="T51" s="736"/>
      <c r="U51" s="736"/>
      <c r="V51" s="736"/>
      <c r="W51" s="736"/>
      <c r="X51" s="736"/>
      <c r="Y51" s="736"/>
      <c r="Z51" s="736"/>
      <c r="AA51" s="736"/>
      <c r="AB51" s="736"/>
      <c r="AC51" s="736"/>
      <c r="AD51" s="736"/>
      <c r="AE51" s="736"/>
      <c r="AF51" s="736"/>
      <c r="AG51" s="736"/>
      <c r="AH51" s="736"/>
      <c r="AI51" s="736"/>
      <c r="AJ51" s="736"/>
      <c r="AK51" s="736"/>
      <c r="AL51" s="736"/>
      <c r="AM51" s="736"/>
      <c r="AN51" s="736"/>
      <c r="AO51" s="736"/>
      <c r="AP51" s="736"/>
      <c r="AQ51" s="736"/>
    </row>
    <row r="52" spans="1:43">
      <c r="A52" s="736"/>
      <c r="B52" s="736"/>
      <c r="C52" s="736"/>
      <c r="D52" s="736"/>
      <c r="E52" s="737"/>
      <c r="F52" s="737"/>
      <c r="G52" s="737"/>
      <c r="H52" s="736"/>
      <c r="I52" s="736"/>
      <c r="J52" s="736"/>
      <c r="K52" s="736"/>
      <c r="L52" s="736"/>
      <c r="M52" s="736"/>
      <c r="N52" s="736"/>
      <c r="O52" s="736"/>
      <c r="P52" s="736"/>
      <c r="Q52" s="736"/>
      <c r="R52" s="736"/>
      <c r="S52" s="736"/>
      <c r="T52" s="736"/>
      <c r="U52" s="736"/>
      <c r="V52" s="736"/>
      <c r="W52" s="736"/>
      <c r="X52" s="736"/>
      <c r="Y52" s="736"/>
      <c r="Z52" s="736"/>
      <c r="AA52" s="736"/>
      <c r="AB52" s="736"/>
      <c r="AC52" s="736"/>
      <c r="AD52" s="736"/>
      <c r="AE52" s="736"/>
      <c r="AF52" s="736"/>
      <c r="AG52" s="736"/>
      <c r="AH52" s="736"/>
      <c r="AI52" s="736"/>
      <c r="AJ52" s="736"/>
      <c r="AK52" s="736"/>
      <c r="AL52" s="736"/>
      <c r="AM52" s="736"/>
      <c r="AN52" s="736"/>
      <c r="AO52" s="736"/>
      <c r="AP52" s="736"/>
      <c r="AQ52" s="736"/>
    </row>
    <row r="53" spans="1:43">
      <c r="A53" s="736"/>
      <c r="B53" s="736"/>
      <c r="C53" s="736"/>
      <c r="D53" s="736"/>
      <c r="E53" s="737"/>
      <c r="F53" s="737"/>
      <c r="G53" s="737"/>
      <c r="H53" s="736"/>
      <c r="I53" s="736"/>
      <c r="J53" s="736"/>
      <c r="K53" s="736"/>
      <c r="L53" s="736"/>
      <c r="M53" s="736"/>
      <c r="N53" s="736"/>
      <c r="O53" s="736"/>
      <c r="P53" s="736"/>
      <c r="Q53" s="736"/>
      <c r="R53" s="736"/>
      <c r="S53" s="736"/>
      <c r="T53" s="736"/>
      <c r="U53" s="736"/>
      <c r="V53" s="736"/>
      <c r="W53" s="736"/>
      <c r="X53" s="736"/>
      <c r="Y53" s="736"/>
      <c r="Z53" s="736"/>
      <c r="AA53" s="736"/>
      <c r="AB53" s="736"/>
      <c r="AC53" s="736"/>
      <c r="AD53" s="736"/>
      <c r="AE53" s="736"/>
      <c r="AF53" s="736"/>
      <c r="AG53" s="736"/>
      <c r="AH53" s="736"/>
      <c r="AI53" s="736"/>
      <c r="AJ53" s="736"/>
      <c r="AK53" s="736"/>
      <c r="AL53" s="736"/>
      <c r="AM53" s="736"/>
      <c r="AN53" s="736"/>
      <c r="AO53" s="736"/>
      <c r="AP53" s="736"/>
      <c r="AQ53" s="736"/>
    </row>
    <row r="54" spans="1:43">
      <c r="A54" s="736"/>
      <c r="B54" s="736"/>
      <c r="C54" s="736"/>
      <c r="D54" s="736"/>
      <c r="E54" s="737"/>
      <c r="F54" s="737"/>
      <c r="G54" s="737"/>
      <c r="H54" s="736"/>
      <c r="I54" s="736"/>
      <c r="J54" s="736"/>
      <c r="K54" s="736"/>
      <c r="L54" s="736"/>
      <c r="M54" s="736"/>
      <c r="N54" s="736"/>
      <c r="O54" s="736"/>
      <c r="P54" s="736"/>
      <c r="Q54" s="736"/>
      <c r="R54" s="736"/>
      <c r="S54" s="736"/>
      <c r="T54" s="736"/>
      <c r="U54" s="736"/>
      <c r="V54" s="736"/>
      <c r="W54" s="736"/>
      <c r="X54" s="736"/>
      <c r="Y54" s="736"/>
      <c r="Z54" s="736"/>
      <c r="AA54" s="736"/>
      <c r="AB54" s="736"/>
      <c r="AC54" s="736"/>
      <c r="AD54" s="736"/>
      <c r="AE54" s="736"/>
      <c r="AF54" s="736"/>
      <c r="AG54" s="736"/>
      <c r="AH54" s="736"/>
      <c r="AI54" s="736"/>
      <c r="AJ54" s="736"/>
      <c r="AK54" s="736"/>
      <c r="AL54" s="736"/>
      <c r="AM54" s="736"/>
      <c r="AN54" s="736"/>
      <c r="AO54" s="736"/>
      <c r="AP54" s="736"/>
      <c r="AQ54" s="736"/>
    </row>
    <row r="55" spans="1:43">
      <c r="A55" s="736"/>
      <c r="B55" s="736"/>
      <c r="C55" s="736"/>
      <c r="D55" s="736"/>
      <c r="E55" s="737"/>
      <c r="F55" s="737"/>
      <c r="G55" s="737"/>
      <c r="H55" s="738"/>
      <c r="I55" s="738"/>
      <c r="J55" s="738"/>
      <c r="K55" s="738"/>
      <c r="L55" s="738"/>
      <c r="M55" s="738"/>
      <c r="N55" s="738"/>
      <c r="O55" s="738"/>
      <c r="P55" s="738"/>
      <c r="Q55" s="738"/>
      <c r="R55" s="738"/>
      <c r="S55" s="738"/>
      <c r="T55" s="738"/>
      <c r="U55" s="738"/>
      <c r="V55" s="738"/>
      <c r="W55" s="738"/>
      <c r="X55" s="738"/>
      <c r="Y55" s="738"/>
      <c r="Z55" s="738"/>
      <c r="AA55" s="738"/>
      <c r="AB55" s="738"/>
      <c r="AC55" s="738"/>
      <c r="AD55" s="738"/>
      <c r="AE55" s="738"/>
      <c r="AF55" s="738"/>
      <c r="AG55" s="738"/>
      <c r="AH55" s="738"/>
      <c r="AI55" s="738"/>
      <c r="AJ55" s="738"/>
      <c r="AK55" s="738"/>
      <c r="AL55" s="738"/>
      <c r="AM55" s="738"/>
      <c r="AN55" s="738"/>
      <c r="AO55" s="738"/>
      <c r="AP55" s="738"/>
      <c r="AQ55" s="738"/>
    </row>
    <row r="56" spans="1:43">
      <c r="A56" s="736"/>
      <c r="B56" s="736"/>
      <c r="C56" s="736"/>
      <c r="D56" s="736"/>
      <c r="E56" s="737"/>
      <c r="F56" s="737"/>
      <c r="G56" s="737"/>
      <c r="H56" s="736"/>
      <c r="I56" s="736"/>
      <c r="J56" s="736"/>
      <c r="K56" s="736"/>
      <c r="L56" s="736"/>
      <c r="M56" s="736"/>
      <c r="N56" s="736"/>
      <c r="O56" s="736"/>
      <c r="P56" s="736"/>
      <c r="Q56" s="736"/>
      <c r="R56" s="736"/>
      <c r="S56" s="736"/>
      <c r="T56" s="736"/>
      <c r="U56" s="736"/>
      <c r="V56" s="736"/>
      <c r="W56" s="736"/>
      <c r="X56" s="736"/>
      <c r="Y56" s="736"/>
      <c r="Z56" s="736"/>
      <c r="AA56" s="736"/>
      <c r="AB56" s="736"/>
      <c r="AC56" s="736"/>
      <c r="AD56" s="736"/>
      <c r="AE56" s="736"/>
      <c r="AF56" s="736"/>
      <c r="AG56" s="736"/>
      <c r="AH56" s="736"/>
      <c r="AI56" s="736"/>
      <c r="AJ56" s="736"/>
      <c r="AK56" s="736"/>
      <c r="AL56" s="736"/>
      <c r="AM56" s="736"/>
      <c r="AN56" s="736"/>
      <c r="AO56" s="736"/>
      <c r="AP56" s="736"/>
      <c r="AQ56" s="736"/>
    </row>
    <row r="57" spans="1:43">
      <c r="A57" s="736"/>
      <c r="B57" s="736"/>
      <c r="C57" s="736"/>
      <c r="D57" s="736"/>
      <c r="E57" s="737"/>
      <c r="F57" s="737"/>
      <c r="G57" s="737"/>
      <c r="H57" s="736"/>
      <c r="I57" s="736"/>
      <c r="J57" s="736"/>
      <c r="K57" s="736"/>
      <c r="L57" s="736"/>
      <c r="M57" s="736"/>
      <c r="N57" s="736"/>
      <c r="O57" s="736"/>
      <c r="P57" s="736"/>
      <c r="Q57" s="736"/>
      <c r="R57" s="736"/>
      <c r="S57" s="736"/>
      <c r="T57" s="736"/>
      <c r="U57" s="736"/>
      <c r="V57" s="736"/>
      <c r="W57" s="736"/>
      <c r="X57" s="736"/>
      <c r="Y57" s="736"/>
      <c r="Z57" s="736"/>
      <c r="AA57" s="736"/>
      <c r="AB57" s="736"/>
      <c r="AC57" s="736"/>
      <c r="AD57" s="736"/>
      <c r="AE57" s="736"/>
      <c r="AF57" s="736"/>
      <c r="AG57" s="736"/>
      <c r="AH57" s="736"/>
      <c r="AI57" s="736"/>
      <c r="AJ57" s="736"/>
      <c r="AK57" s="736"/>
      <c r="AL57" s="736"/>
      <c r="AM57" s="736"/>
      <c r="AN57" s="736"/>
      <c r="AO57" s="736"/>
      <c r="AP57" s="736"/>
      <c r="AQ57" s="736"/>
    </row>
    <row r="58" spans="1:43">
      <c r="A58" s="736"/>
      <c r="B58" s="736"/>
      <c r="C58" s="736"/>
      <c r="D58" s="736"/>
      <c r="E58" s="737"/>
      <c r="F58" s="737"/>
      <c r="G58" s="737"/>
      <c r="H58" s="736"/>
      <c r="I58" s="736"/>
      <c r="J58" s="736"/>
      <c r="K58" s="736"/>
      <c r="L58" s="736"/>
      <c r="M58" s="736"/>
      <c r="N58" s="736"/>
      <c r="O58" s="736"/>
      <c r="P58" s="736"/>
      <c r="Q58" s="736"/>
      <c r="R58" s="736"/>
      <c r="S58" s="736"/>
      <c r="T58" s="736"/>
      <c r="U58" s="736"/>
      <c r="V58" s="736"/>
      <c r="W58" s="736"/>
      <c r="X58" s="736"/>
      <c r="Y58" s="736"/>
      <c r="Z58" s="736"/>
      <c r="AA58" s="736"/>
      <c r="AB58" s="736"/>
      <c r="AC58" s="736"/>
      <c r="AD58" s="736"/>
      <c r="AE58" s="736"/>
      <c r="AF58" s="736"/>
      <c r="AG58" s="736"/>
      <c r="AH58" s="736"/>
      <c r="AI58" s="736"/>
      <c r="AJ58" s="736"/>
      <c r="AK58" s="736"/>
      <c r="AL58" s="736"/>
      <c r="AM58" s="736"/>
      <c r="AN58" s="736"/>
      <c r="AO58" s="736"/>
      <c r="AP58" s="736"/>
      <c r="AQ58" s="736"/>
    </row>
    <row r="59" spans="1:43">
      <c r="A59" s="736"/>
      <c r="B59" s="736"/>
      <c r="C59" s="736"/>
      <c r="D59" s="736"/>
      <c r="E59" s="737"/>
      <c r="F59" s="737"/>
      <c r="G59" s="737"/>
      <c r="H59" s="736"/>
      <c r="I59" s="736"/>
      <c r="J59" s="736"/>
      <c r="K59" s="736"/>
      <c r="L59" s="736"/>
      <c r="M59" s="736"/>
      <c r="N59" s="736"/>
      <c r="O59" s="736"/>
      <c r="P59" s="736"/>
      <c r="Q59" s="736"/>
      <c r="R59" s="736"/>
      <c r="S59" s="736"/>
      <c r="T59" s="736"/>
      <c r="U59" s="736"/>
      <c r="V59" s="736"/>
      <c r="W59" s="736"/>
      <c r="X59" s="736"/>
      <c r="Y59" s="736"/>
      <c r="Z59" s="736"/>
      <c r="AA59" s="736"/>
      <c r="AB59" s="736"/>
      <c r="AC59" s="736"/>
      <c r="AD59" s="736"/>
      <c r="AE59" s="736"/>
      <c r="AF59" s="736"/>
      <c r="AG59" s="736"/>
      <c r="AH59" s="736"/>
      <c r="AI59" s="736"/>
      <c r="AJ59" s="736"/>
      <c r="AK59" s="736"/>
      <c r="AL59" s="736"/>
      <c r="AM59" s="736"/>
      <c r="AN59" s="736"/>
      <c r="AO59" s="736"/>
      <c r="AP59" s="736"/>
      <c r="AQ59" s="736"/>
    </row>
    <row r="60" spans="1:43">
      <c r="A60" s="736"/>
      <c r="B60" s="736"/>
      <c r="C60" s="736"/>
      <c r="D60" s="736"/>
      <c r="E60" s="737"/>
      <c r="F60" s="737"/>
      <c r="G60" s="737"/>
      <c r="H60" s="736"/>
      <c r="I60" s="736"/>
      <c r="J60" s="736"/>
      <c r="K60" s="736"/>
      <c r="L60" s="736"/>
      <c r="M60" s="736"/>
      <c r="N60" s="736"/>
      <c r="O60" s="736"/>
      <c r="P60" s="736"/>
      <c r="Q60" s="736"/>
      <c r="R60" s="736"/>
      <c r="S60" s="736"/>
      <c r="T60" s="736"/>
      <c r="U60" s="736"/>
      <c r="V60" s="736"/>
      <c r="W60" s="736"/>
      <c r="X60" s="736"/>
      <c r="Y60" s="736"/>
      <c r="Z60" s="736"/>
      <c r="AA60" s="736"/>
      <c r="AB60" s="736"/>
      <c r="AC60" s="736"/>
      <c r="AD60" s="736"/>
      <c r="AE60" s="736"/>
      <c r="AF60" s="736"/>
      <c r="AG60" s="736"/>
      <c r="AH60" s="736"/>
      <c r="AI60" s="736"/>
      <c r="AJ60" s="736"/>
      <c r="AK60" s="736"/>
      <c r="AL60" s="736"/>
      <c r="AM60" s="736"/>
      <c r="AN60" s="736"/>
      <c r="AO60" s="736"/>
      <c r="AP60" s="736"/>
      <c r="AQ60" s="736"/>
    </row>
    <row r="61" spans="1:43">
      <c r="A61" s="736"/>
      <c r="B61" s="736"/>
      <c r="C61" s="736"/>
      <c r="D61" s="736"/>
      <c r="E61" s="737"/>
      <c r="F61" s="737"/>
      <c r="G61" s="737"/>
      <c r="H61" s="736"/>
      <c r="I61" s="736"/>
      <c r="J61" s="736"/>
      <c r="K61" s="736"/>
      <c r="L61" s="736"/>
      <c r="M61" s="736"/>
      <c r="N61" s="736"/>
      <c r="O61" s="736"/>
      <c r="P61" s="736"/>
      <c r="Q61" s="736"/>
      <c r="R61" s="736"/>
      <c r="S61" s="736"/>
      <c r="T61" s="736"/>
      <c r="U61" s="736"/>
      <c r="V61" s="736"/>
      <c r="W61" s="736"/>
      <c r="X61" s="736"/>
      <c r="Y61" s="736"/>
      <c r="Z61" s="736"/>
      <c r="AA61" s="736"/>
      <c r="AB61" s="736"/>
      <c r="AC61" s="736"/>
      <c r="AD61" s="736"/>
      <c r="AE61" s="736"/>
      <c r="AF61" s="736"/>
      <c r="AG61" s="736"/>
      <c r="AH61" s="736"/>
      <c r="AI61" s="736"/>
      <c r="AJ61" s="736"/>
      <c r="AK61" s="736"/>
      <c r="AL61" s="736"/>
      <c r="AM61" s="736"/>
      <c r="AN61" s="736"/>
      <c r="AO61" s="736"/>
      <c r="AP61" s="736"/>
      <c r="AQ61" s="736"/>
    </row>
    <row r="62" spans="1:43">
      <c r="A62" s="736"/>
      <c r="B62" s="736"/>
      <c r="C62" s="736"/>
      <c r="D62" s="736"/>
      <c r="E62" s="737"/>
      <c r="F62" s="737"/>
      <c r="G62" s="737"/>
      <c r="H62" s="736"/>
      <c r="I62" s="736"/>
      <c r="J62" s="736"/>
      <c r="K62" s="736"/>
      <c r="L62" s="736"/>
      <c r="M62" s="736"/>
      <c r="N62" s="736"/>
      <c r="O62" s="736"/>
      <c r="P62" s="736"/>
      <c r="Q62" s="736"/>
      <c r="R62" s="736"/>
      <c r="S62" s="736"/>
      <c r="T62" s="736"/>
      <c r="U62" s="736"/>
      <c r="V62" s="736"/>
      <c r="W62" s="736"/>
      <c r="X62" s="736"/>
      <c r="Y62" s="736"/>
      <c r="Z62" s="736"/>
      <c r="AA62" s="736"/>
      <c r="AB62" s="736"/>
      <c r="AC62" s="736"/>
      <c r="AD62" s="736"/>
      <c r="AE62" s="736"/>
      <c r="AF62" s="736"/>
      <c r="AG62" s="736"/>
      <c r="AH62" s="736"/>
      <c r="AI62" s="736"/>
      <c r="AJ62" s="736"/>
      <c r="AK62" s="736"/>
      <c r="AL62" s="736"/>
      <c r="AM62" s="736"/>
      <c r="AN62" s="736"/>
      <c r="AO62" s="736"/>
      <c r="AP62" s="736"/>
      <c r="AQ62" s="736"/>
    </row>
    <row r="63" spans="1:43">
      <c r="A63" s="736"/>
      <c r="B63" s="736"/>
      <c r="C63" s="736"/>
      <c r="D63" s="736"/>
      <c r="E63" s="737"/>
      <c r="F63" s="737"/>
      <c r="G63" s="737"/>
      <c r="H63" s="736"/>
      <c r="I63" s="736"/>
      <c r="J63" s="736"/>
      <c r="K63" s="736"/>
      <c r="L63" s="736"/>
      <c r="M63" s="736"/>
      <c r="N63" s="736"/>
      <c r="O63" s="736"/>
      <c r="P63" s="736"/>
      <c r="Q63" s="736"/>
      <c r="R63" s="736"/>
      <c r="S63" s="736"/>
      <c r="T63" s="736"/>
      <c r="U63" s="736"/>
      <c r="V63" s="736"/>
      <c r="W63" s="736"/>
      <c r="X63" s="736"/>
      <c r="Y63" s="736"/>
      <c r="Z63" s="736"/>
      <c r="AA63" s="736"/>
      <c r="AB63" s="736"/>
      <c r="AC63" s="736"/>
      <c r="AD63" s="736"/>
      <c r="AE63" s="736"/>
      <c r="AF63" s="736"/>
      <c r="AG63" s="736"/>
      <c r="AH63" s="736"/>
      <c r="AI63" s="736"/>
      <c r="AJ63" s="736"/>
      <c r="AK63" s="736"/>
      <c r="AL63" s="736"/>
      <c r="AM63" s="736"/>
      <c r="AN63" s="736"/>
      <c r="AO63" s="736"/>
      <c r="AP63" s="736"/>
      <c r="AQ63" s="736"/>
    </row>
    <row r="64" spans="1:43">
      <c r="A64" s="736"/>
      <c r="B64" s="736"/>
      <c r="C64" s="736"/>
      <c r="D64" s="736"/>
      <c r="E64" s="737"/>
      <c r="F64" s="737"/>
      <c r="G64" s="737"/>
      <c r="H64" s="736"/>
      <c r="I64" s="736"/>
      <c r="J64" s="736"/>
      <c r="K64" s="736"/>
      <c r="L64" s="736"/>
      <c r="M64" s="736"/>
      <c r="N64" s="736"/>
      <c r="O64" s="736"/>
      <c r="P64" s="736"/>
      <c r="Q64" s="736"/>
      <c r="R64" s="736"/>
      <c r="S64" s="736"/>
      <c r="T64" s="736"/>
      <c r="U64" s="736"/>
      <c r="V64" s="736"/>
      <c r="W64" s="736"/>
      <c r="X64" s="736"/>
      <c r="Y64" s="736"/>
      <c r="Z64" s="736"/>
      <c r="AA64" s="736"/>
      <c r="AB64" s="736"/>
      <c r="AC64" s="736"/>
      <c r="AD64" s="736"/>
      <c r="AE64" s="736"/>
      <c r="AF64" s="736"/>
      <c r="AG64" s="736"/>
      <c r="AH64" s="736"/>
      <c r="AI64" s="736"/>
      <c r="AJ64" s="736"/>
      <c r="AK64" s="736"/>
      <c r="AL64" s="736"/>
      <c r="AM64" s="736"/>
      <c r="AN64" s="736"/>
      <c r="AO64" s="736"/>
      <c r="AP64" s="736"/>
      <c r="AQ64" s="736"/>
    </row>
    <row r="65" spans="1:43">
      <c r="A65" s="736"/>
      <c r="B65" s="736"/>
      <c r="C65" s="736"/>
      <c r="D65" s="736"/>
      <c r="E65" s="737"/>
      <c r="F65" s="737"/>
      <c r="G65" s="737"/>
      <c r="H65" s="736"/>
      <c r="I65" s="736"/>
      <c r="J65" s="736"/>
      <c r="K65" s="736"/>
      <c r="L65" s="736"/>
      <c r="M65" s="736"/>
      <c r="N65" s="736"/>
      <c r="O65" s="736"/>
      <c r="P65" s="736"/>
      <c r="Q65" s="736"/>
      <c r="R65" s="736"/>
      <c r="S65" s="736"/>
      <c r="T65" s="736"/>
      <c r="U65" s="736"/>
      <c r="V65" s="736"/>
      <c r="W65" s="736"/>
      <c r="X65" s="736"/>
      <c r="Y65" s="736"/>
      <c r="Z65" s="736"/>
      <c r="AA65" s="736"/>
      <c r="AB65" s="736"/>
      <c r="AC65" s="736"/>
      <c r="AD65" s="736"/>
      <c r="AE65" s="736"/>
      <c r="AF65" s="736"/>
      <c r="AG65" s="736"/>
      <c r="AH65" s="736"/>
      <c r="AI65" s="736"/>
      <c r="AJ65" s="736"/>
      <c r="AK65" s="736"/>
      <c r="AL65" s="736"/>
      <c r="AM65" s="736"/>
      <c r="AN65" s="736"/>
      <c r="AO65" s="736"/>
      <c r="AP65" s="736"/>
      <c r="AQ65" s="736"/>
    </row>
    <row r="66" spans="1:43">
      <c r="A66" s="736"/>
      <c r="B66" s="736"/>
      <c r="C66" s="736"/>
      <c r="D66" s="736"/>
      <c r="E66" s="737"/>
      <c r="F66" s="737"/>
      <c r="G66" s="737"/>
      <c r="H66" s="736"/>
      <c r="I66" s="736"/>
      <c r="J66" s="736"/>
      <c r="K66" s="736"/>
      <c r="L66" s="736"/>
      <c r="M66" s="736"/>
      <c r="N66" s="736"/>
      <c r="O66" s="736"/>
      <c r="P66" s="736"/>
      <c r="Q66" s="736"/>
      <c r="R66" s="736"/>
      <c r="S66" s="736"/>
      <c r="T66" s="736"/>
      <c r="U66" s="736"/>
      <c r="V66" s="736"/>
      <c r="W66" s="736"/>
      <c r="X66" s="736"/>
      <c r="Y66" s="736"/>
      <c r="Z66" s="736"/>
      <c r="AA66" s="736"/>
      <c r="AB66" s="736"/>
      <c r="AC66" s="736"/>
      <c r="AD66" s="736"/>
      <c r="AE66" s="736"/>
      <c r="AF66" s="736"/>
      <c r="AG66" s="736"/>
      <c r="AH66" s="736"/>
      <c r="AI66" s="736"/>
      <c r="AJ66" s="736"/>
      <c r="AK66" s="736"/>
      <c r="AL66" s="736"/>
      <c r="AM66" s="736"/>
      <c r="AN66" s="736"/>
      <c r="AO66" s="736"/>
      <c r="AP66" s="736"/>
      <c r="AQ66" s="736"/>
    </row>
    <row r="67" spans="1:43">
      <c r="A67" s="736"/>
      <c r="B67" s="736"/>
      <c r="C67" s="736"/>
      <c r="D67" s="736"/>
      <c r="E67" s="737"/>
      <c r="F67" s="737"/>
      <c r="G67" s="737"/>
      <c r="H67" s="736"/>
      <c r="I67" s="736"/>
      <c r="J67" s="736"/>
      <c r="K67" s="736"/>
      <c r="L67" s="736"/>
      <c r="M67" s="736"/>
      <c r="N67" s="736"/>
      <c r="O67" s="736"/>
      <c r="P67" s="736"/>
      <c r="Q67" s="736"/>
      <c r="R67" s="736"/>
      <c r="S67" s="736"/>
      <c r="T67" s="736"/>
      <c r="U67" s="736"/>
      <c r="V67" s="736"/>
      <c r="W67" s="736"/>
      <c r="X67" s="736"/>
      <c r="Y67" s="736"/>
      <c r="Z67" s="736"/>
      <c r="AA67" s="736"/>
      <c r="AB67" s="736"/>
      <c r="AC67" s="736"/>
      <c r="AD67" s="736"/>
      <c r="AE67" s="736"/>
      <c r="AF67" s="736"/>
      <c r="AG67" s="736"/>
      <c r="AH67" s="736"/>
      <c r="AI67" s="736"/>
      <c r="AJ67" s="736"/>
      <c r="AK67" s="736"/>
      <c r="AL67" s="736"/>
      <c r="AM67" s="736"/>
      <c r="AN67" s="736"/>
      <c r="AO67" s="736"/>
      <c r="AP67" s="736"/>
      <c r="AQ67" s="736"/>
    </row>
    <row r="68" spans="1:43">
      <c r="A68" s="736"/>
      <c r="B68" s="736"/>
      <c r="C68" s="736"/>
      <c r="D68" s="736"/>
      <c r="E68" s="737"/>
      <c r="F68" s="737"/>
      <c r="G68" s="737"/>
      <c r="H68" s="736"/>
      <c r="I68" s="736"/>
      <c r="J68" s="736"/>
      <c r="K68" s="736"/>
      <c r="L68" s="736"/>
      <c r="M68" s="736"/>
      <c r="N68" s="736"/>
      <c r="O68" s="736"/>
      <c r="P68" s="736"/>
      <c r="Q68" s="736"/>
      <c r="R68" s="736"/>
      <c r="S68" s="736"/>
      <c r="T68" s="736"/>
      <c r="U68" s="736"/>
      <c r="V68" s="736"/>
      <c r="W68" s="736"/>
      <c r="X68" s="736"/>
      <c r="Y68" s="736"/>
      <c r="Z68" s="736"/>
      <c r="AA68" s="736"/>
      <c r="AB68" s="736"/>
      <c r="AC68" s="736"/>
      <c r="AD68" s="736"/>
      <c r="AE68" s="736"/>
      <c r="AF68" s="736"/>
      <c r="AG68" s="736"/>
      <c r="AH68" s="736"/>
      <c r="AI68" s="736"/>
      <c r="AJ68" s="736"/>
      <c r="AK68" s="736"/>
      <c r="AL68" s="736"/>
      <c r="AM68" s="736"/>
      <c r="AN68" s="736"/>
      <c r="AO68" s="736"/>
      <c r="AP68" s="736"/>
      <c r="AQ68" s="736"/>
    </row>
    <row r="69" spans="1:43">
      <c r="A69" s="736"/>
      <c r="B69" s="736"/>
      <c r="C69" s="736"/>
      <c r="D69" s="736"/>
      <c r="E69" s="737"/>
      <c r="F69" s="737"/>
      <c r="G69" s="737"/>
      <c r="H69" s="736"/>
      <c r="I69" s="736"/>
      <c r="J69" s="736"/>
      <c r="K69" s="736"/>
      <c r="L69" s="736"/>
      <c r="M69" s="736"/>
      <c r="N69" s="736"/>
      <c r="O69" s="736"/>
      <c r="P69" s="736"/>
      <c r="Q69" s="736"/>
      <c r="R69" s="736"/>
      <c r="S69" s="736"/>
      <c r="T69" s="736"/>
      <c r="U69" s="736"/>
      <c r="V69" s="736"/>
      <c r="W69" s="736"/>
      <c r="X69" s="736"/>
      <c r="Y69" s="736"/>
      <c r="Z69" s="736"/>
      <c r="AA69" s="736"/>
      <c r="AB69" s="736"/>
      <c r="AC69" s="736"/>
      <c r="AD69" s="736"/>
      <c r="AE69" s="736"/>
      <c r="AF69" s="736"/>
      <c r="AG69" s="736"/>
      <c r="AH69" s="736"/>
      <c r="AI69" s="736"/>
      <c r="AJ69" s="736"/>
      <c r="AK69" s="736"/>
      <c r="AL69" s="736"/>
      <c r="AM69" s="736"/>
      <c r="AN69" s="736"/>
      <c r="AO69" s="736"/>
      <c r="AP69" s="736"/>
      <c r="AQ69" s="736"/>
    </row>
    <row r="70" spans="1:43">
      <c r="A70" s="736"/>
      <c r="B70" s="736"/>
      <c r="C70" s="736"/>
      <c r="D70" s="736"/>
      <c r="E70" s="737"/>
      <c r="F70" s="737"/>
      <c r="G70" s="737"/>
      <c r="H70" s="736"/>
      <c r="I70" s="736"/>
      <c r="J70" s="736"/>
      <c r="K70" s="736"/>
      <c r="L70" s="736"/>
      <c r="M70" s="736"/>
      <c r="N70" s="736"/>
      <c r="O70" s="736"/>
      <c r="P70" s="736"/>
      <c r="Q70" s="736"/>
      <c r="R70" s="736"/>
      <c r="S70" s="736"/>
      <c r="T70" s="736"/>
      <c r="U70" s="736"/>
      <c r="V70" s="736"/>
      <c r="W70" s="736"/>
      <c r="X70" s="736"/>
      <c r="Y70" s="736"/>
      <c r="Z70" s="736"/>
      <c r="AA70" s="736"/>
      <c r="AB70" s="736"/>
      <c r="AC70" s="736"/>
      <c r="AD70" s="736"/>
      <c r="AE70" s="736"/>
      <c r="AF70" s="736"/>
      <c r="AG70" s="736"/>
      <c r="AH70" s="736"/>
      <c r="AI70" s="736"/>
      <c r="AJ70" s="736"/>
      <c r="AK70" s="736"/>
      <c r="AL70" s="736"/>
      <c r="AM70" s="736"/>
      <c r="AN70" s="736"/>
      <c r="AO70" s="736"/>
      <c r="AP70" s="736"/>
      <c r="AQ70" s="736"/>
    </row>
    <row r="71" spans="1:43">
      <c r="A71" s="736"/>
      <c r="B71" s="736"/>
      <c r="C71" s="736"/>
      <c r="D71" s="736"/>
      <c r="E71" s="737"/>
      <c r="F71" s="737"/>
      <c r="G71" s="737"/>
      <c r="H71" s="738"/>
      <c r="I71" s="738"/>
      <c r="J71" s="738"/>
      <c r="K71" s="738"/>
      <c r="L71" s="738"/>
      <c r="M71" s="738"/>
      <c r="N71" s="738"/>
      <c r="O71" s="738"/>
      <c r="P71" s="738"/>
      <c r="Q71" s="738"/>
      <c r="R71" s="738"/>
      <c r="S71" s="738"/>
      <c r="T71" s="738"/>
      <c r="U71" s="738"/>
      <c r="V71" s="738"/>
      <c r="W71" s="738"/>
      <c r="X71" s="738"/>
      <c r="Y71" s="738"/>
      <c r="Z71" s="738"/>
      <c r="AA71" s="738"/>
      <c r="AB71" s="738"/>
      <c r="AC71" s="738"/>
      <c r="AD71" s="738"/>
      <c r="AE71" s="738"/>
      <c r="AF71" s="738"/>
      <c r="AG71" s="738"/>
      <c r="AH71" s="738"/>
      <c r="AI71" s="738"/>
      <c r="AJ71" s="738"/>
      <c r="AK71" s="738"/>
      <c r="AL71" s="738"/>
      <c r="AM71" s="738"/>
      <c r="AN71" s="738"/>
      <c r="AO71" s="738"/>
      <c r="AP71" s="738"/>
      <c r="AQ71" s="738"/>
    </row>
    <row r="72" spans="1:43">
      <c r="A72" s="736"/>
      <c r="B72" s="736"/>
      <c r="C72" s="736"/>
      <c r="D72" s="736"/>
      <c r="E72" s="737"/>
      <c r="F72" s="737"/>
      <c r="G72" s="737"/>
      <c r="H72" s="738"/>
      <c r="I72" s="738"/>
      <c r="J72" s="738"/>
      <c r="K72" s="738"/>
      <c r="L72" s="738"/>
      <c r="M72" s="738"/>
      <c r="N72" s="738"/>
      <c r="O72" s="738"/>
      <c r="P72" s="738"/>
      <c r="Q72" s="738"/>
      <c r="R72" s="738"/>
      <c r="S72" s="738"/>
      <c r="T72" s="738"/>
      <c r="U72" s="738"/>
      <c r="V72" s="738"/>
      <c r="W72" s="738"/>
      <c r="X72" s="738"/>
      <c r="Y72" s="738"/>
      <c r="Z72" s="738"/>
      <c r="AA72" s="738"/>
      <c r="AB72" s="738"/>
      <c r="AC72" s="738"/>
      <c r="AD72" s="738"/>
      <c r="AE72" s="738"/>
      <c r="AF72" s="738"/>
      <c r="AG72" s="738"/>
      <c r="AH72" s="738"/>
      <c r="AI72" s="738"/>
      <c r="AJ72" s="738"/>
      <c r="AK72" s="738"/>
      <c r="AL72" s="738"/>
      <c r="AM72" s="738"/>
      <c r="AN72" s="738"/>
      <c r="AO72" s="738"/>
      <c r="AP72" s="738"/>
      <c r="AQ72" s="738"/>
    </row>
    <row r="73" spans="1:43">
      <c r="A73" s="736"/>
      <c r="B73" s="736"/>
      <c r="C73" s="736"/>
      <c r="D73" s="736"/>
      <c r="E73" s="737"/>
      <c r="F73" s="737"/>
      <c r="G73" s="737"/>
      <c r="H73" s="738"/>
      <c r="I73" s="738"/>
      <c r="J73" s="738"/>
      <c r="K73" s="738"/>
      <c r="L73" s="738"/>
      <c r="M73" s="738"/>
      <c r="N73" s="738"/>
      <c r="O73" s="738"/>
      <c r="P73" s="738"/>
      <c r="Q73" s="738"/>
      <c r="R73" s="738"/>
      <c r="S73" s="738"/>
      <c r="T73" s="738"/>
      <c r="U73" s="738"/>
      <c r="V73" s="738"/>
      <c r="W73" s="738"/>
      <c r="X73" s="738"/>
      <c r="Y73" s="738"/>
      <c r="Z73" s="738"/>
      <c r="AA73" s="738"/>
      <c r="AB73" s="738"/>
      <c r="AC73" s="738"/>
      <c r="AD73" s="738"/>
      <c r="AE73" s="738"/>
      <c r="AF73" s="738"/>
      <c r="AG73" s="738"/>
      <c r="AH73" s="738"/>
      <c r="AI73" s="738"/>
      <c r="AJ73" s="738"/>
      <c r="AK73" s="738"/>
      <c r="AL73" s="738"/>
      <c r="AM73" s="738"/>
      <c r="AN73" s="738"/>
      <c r="AO73" s="738"/>
      <c r="AP73" s="738"/>
      <c r="AQ73" s="738"/>
    </row>
    <row r="74" spans="1:43">
      <c r="A74" s="736"/>
      <c r="B74" s="736"/>
      <c r="C74" s="736"/>
      <c r="D74" s="736"/>
      <c r="E74" s="737"/>
      <c r="F74" s="737"/>
      <c r="G74" s="737"/>
      <c r="H74" s="738"/>
      <c r="I74" s="738"/>
      <c r="J74" s="738"/>
      <c r="K74" s="738"/>
      <c r="L74" s="738"/>
      <c r="M74" s="738"/>
      <c r="N74" s="738"/>
      <c r="O74" s="738"/>
      <c r="P74" s="738"/>
      <c r="Q74" s="738"/>
      <c r="R74" s="738"/>
      <c r="S74" s="738"/>
      <c r="T74" s="738"/>
      <c r="U74" s="738"/>
      <c r="V74" s="738"/>
      <c r="W74" s="738"/>
      <c r="X74" s="738"/>
      <c r="Y74" s="738"/>
      <c r="Z74" s="738"/>
      <c r="AA74" s="738"/>
      <c r="AB74" s="738"/>
      <c r="AC74" s="738"/>
      <c r="AD74" s="738"/>
      <c r="AE74" s="738"/>
      <c r="AF74" s="738"/>
      <c r="AG74" s="738"/>
      <c r="AH74" s="738"/>
      <c r="AI74" s="738"/>
      <c r="AJ74" s="738"/>
      <c r="AK74" s="738"/>
      <c r="AL74" s="738"/>
      <c r="AM74" s="738"/>
      <c r="AN74" s="738"/>
      <c r="AO74" s="738"/>
      <c r="AP74" s="738"/>
      <c r="AQ74" s="738"/>
    </row>
    <row r="75" spans="1:43">
      <c r="A75" s="736"/>
      <c r="B75" s="736"/>
      <c r="C75" s="736"/>
      <c r="D75" s="736"/>
      <c r="E75" s="737"/>
      <c r="F75" s="737"/>
      <c r="G75" s="737"/>
      <c r="H75" s="736"/>
      <c r="I75" s="736"/>
      <c r="J75" s="736"/>
      <c r="K75" s="736"/>
      <c r="L75" s="736"/>
      <c r="M75" s="736"/>
      <c r="N75" s="736"/>
      <c r="O75" s="736"/>
      <c r="P75" s="736"/>
      <c r="Q75" s="736"/>
      <c r="R75" s="736"/>
      <c r="S75" s="736"/>
      <c r="T75" s="736"/>
      <c r="U75" s="736"/>
      <c r="V75" s="736"/>
      <c r="W75" s="736"/>
      <c r="X75" s="736"/>
      <c r="Y75" s="736"/>
      <c r="Z75" s="736"/>
      <c r="AA75" s="736"/>
      <c r="AB75" s="736"/>
      <c r="AC75" s="736"/>
      <c r="AD75" s="736"/>
      <c r="AE75" s="736"/>
      <c r="AF75" s="736"/>
      <c r="AG75" s="736"/>
      <c r="AH75" s="736"/>
      <c r="AI75" s="736"/>
      <c r="AJ75" s="736"/>
      <c r="AK75" s="736"/>
      <c r="AL75" s="736"/>
      <c r="AM75" s="736"/>
      <c r="AN75" s="736"/>
      <c r="AO75" s="736"/>
      <c r="AP75" s="736"/>
      <c r="AQ75" s="736"/>
    </row>
    <row r="76" spans="1:43">
      <c r="A76" s="736"/>
      <c r="B76" s="736"/>
      <c r="C76" s="736"/>
      <c r="D76" s="736"/>
      <c r="E76" s="737"/>
      <c r="F76" s="737"/>
      <c r="G76" s="737"/>
      <c r="H76" s="736"/>
      <c r="I76" s="736"/>
      <c r="J76" s="736"/>
      <c r="K76" s="736"/>
      <c r="L76" s="736"/>
      <c r="M76" s="736"/>
      <c r="N76" s="736"/>
      <c r="O76" s="736"/>
      <c r="P76" s="736"/>
      <c r="Q76" s="736"/>
      <c r="R76" s="736"/>
      <c r="S76" s="736"/>
      <c r="T76" s="736"/>
      <c r="U76" s="736"/>
      <c r="V76" s="736"/>
      <c r="W76" s="736"/>
      <c r="X76" s="736"/>
      <c r="Y76" s="736"/>
      <c r="Z76" s="736"/>
      <c r="AA76" s="736"/>
      <c r="AB76" s="736"/>
      <c r="AC76" s="736"/>
      <c r="AD76" s="736"/>
      <c r="AE76" s="736"/>
      <c r="AF76" s="736"/>
      <c r="AG76" s="736"/>
      <c r="AH76" s="736"/>
      <c r="AI76" s="736"/>
      <c r="AJ76" s="736"/>
      <c r="AK76" s="736"/>
      <c r="AL76" s="736"/>
      <c r="AM76" s="736"/>
      <c r="AN76" s="736"/>
      <c r="AO76" s="736"/>
      <c r="AP76" s="736"/>
      <c r="AQ76" s="736"/>
    </row>
    <row r="77" spans="1:43">
      <c r="A77" s="736"/>
      <c r="B77" s="736"/>
      <c r="C77" s="736"/>
      <c r="D77" s="736"/>
      <c r="E77" s="737"/>
      <c r="F77" s="737"/>
      <c r="G77" s="737"/>
      <c r="H77" s="736"/>
      <c r="I77" s="736"/>
      <c r="J77" s="736"/>
      <c r="K77" s="736"/>
      <c r="L77" s="736"/>
      <c r="M77" s="736"/>
      <c r="N77" s="736"/>
      <c r="O77" s="736"/>
      <c r="P77" s="736"/>
      <c r="Q77" s="736"/>
      <c r="R77" s="736"/>
      <c r="S77" s="736"/>
      <c r="T77" s="736"/>
      <c r="U77" s="736"/>
      <c r="V77" s="736"/>
      <c r="W77" s="736"/>
      <c r="X77" s="736"/>
      <c r="Y77" s="736"/>
      <c r="Z77" s="736"/>
      <c r="AA77" s="736"/>
      <c r="AB77" s="736"/>
      <c r="AC77" s="736"/>
      <c r="AD77" s="736"/>
      <c r="AE77" s="736"/>
      <c r="AF77" s="736"/>
      <c r="AG77" s="736"/>
      <c r="AH77" s="736"/>
      <c r="AI77" s="736"/>
      <c r="AJ77" s="736"/>
      <c r="AK77" s="736"/>
      <c r="AL77" s="736"/>
      <c r="AM77" s="736"/>
      <c r="AN77" s="736"/>
      <c r="AO77" s="736"/>
      <c r="AP77" s="736"/>
      <c r="AQ77" s="736"/>
    </row>
    <row r="78" spans="1:43">
      <c r="A78" s="736"/>
      <c r="B78" s="736"/>
      <c r="C78" s="736"/>
      <c r="D78" s="736"/>
      <c r="E78" s="737"/>
      <c r="F78" s="737"/>
      <c r="G78" s="737"/>
      <c r="H78" s="738"/>
      <c r="I78" s="738"/>
      <c r="J78" s="738"/>
      <c r="K78" s="738"/>
      <c r="L78" s="738"/>
      <c r="M78" s="738"/>
      <c r="N78" s="738"/>
      <c r="O78" s="738"/>
      <c r="P78" s="738"/>
      <c r="Q78" s="738"/>
      <c r="R78" s="738"/>
      <c r="S78" s="738"/>
      <c r="T78" s="738"/>
      <c r="U78" s="738"/>
      <c r="V78" s="738"/>
      <c r="W78" s="738"/>
      <c r="X78" s="738"/>
      <c r="Y78" s="738"/>
      <c r="Z78" s="738"/>
      <c r="AA78" s="738"/>
      <c r="AB78" s="738"/>
      <c r="AC78" s="738"/>
      <c r="AD78" s="738"/>
      <c r="AE78" s="738"/>
      <c r="AF78" s="738"/>
      <c r="AG78" s="738"/>
      <c r="AH78" s="738"/>
      <c r="AI78" s="738"/>
      <c r="AJ78" s="738"/>
      <c r="AK78" s="738"/>
      <c r="AL78" s="738"/>
      <c r="AM78" s="738"/>
      <c r="AN78" s="738"/>
      <c r="AO78" s="738"/>
      <c r="AP78" s="738"/>
      <c r="AQ78" s="738"/>
    </row>
    <row r="79" spans="1:43">
      <c r="A79" s="736"/>
      <c r="B79" s="736"/>
      <c r="C79" s="736"/>
      <c r="D79" s="736"/>
      <c r="E79" s="737"/>
      <c r="F79" s="737"/>
      <c r="G79" s="737"/>
      <c r="H79" s="736"/>
      <c r="I79" s="736"/>
      <c r="J79" s="736"/>
      <c r="K79" s="736"/>
      <c r="L79" s="736"/>
      <c r="M79" s="736"/>
      <c r="N79" s="736"/>
      <c r="O79" s="736"/>
      <c r="P79" s="736"/>
      <c r="Q79" s="736"/>
      <c r="R79" s="736"/>
      <c r="S79" s="736"/>
      <c r="T79" s="736"/>
      <c r="U79" s="736"/>
      <c r="V79" s="736"/>
      <c r="W79" s="736"/>
      <c r="X79" s="736"/>
      <c r="Y79" s="736"/>
      <c r="Z79" s="736"/>
      <c r="AA79" s="736"/>
      <c r="AB79" s="736"/>
      <c r="AC79" s="736"/>
      <c r="AD79" s="736"/>
      <c r="AE79" s="736"/>
      <c r="AF79" s="736"/>
      <c r="AG79" s="736"/>
      <c r="AH79" s="736"/>
      <c r="AI79" s="736"/>
      <c r="AJ79" s="736"/>
      <c r="AK79" s="736"/>
      <c r="AL79" s="736"/>
      <c r="AM79" s="736"/>
      <c r="AN79" s="736"/>
      <c r="AO79" s="736"/>
      <c r="AP79" s="736"/>
      <c r="AQ79" s="736"/>
    </row>
    <row r="80" spans="1:43">
      <c r="A80" s="736"/>
      <c r="B80" s="736"/>
      <c r="C80" s="736"/>
      <c r="D80" s="736"/>
      <c r="E80" s="737"/>
      <c r="F80" s="737"/>
      <c r="G80" s="737"/>
      <c r="H80" s="736"/>
      <c r="I80" s="736"/>
      <c r="J80" s="736"/>
      <c r="K80" s="736"/>
      <c r="L80" s="736"/>
      <c r="M80" s="736"/>
      <c r="N80" s="736"/>
      <c r="O80" s="736"/>
      <c r="P80" s="736"/>
      <c r="Q80" s="736"/>
      <c r="R80" s="736"/>
      <c r="S80" s="736"/>
      <c r="T80" s="736"/>
      <c r="U80" s="736"/>
      <c r="V80" s="736"/>
      <c r="W80" s="736"/>
      <c r="X80" s="736"/>
      <c r="Y80" s="736"/>
      <c r="Z80" s="736"/>
      <c r="AA80" s="736"/>
      <c r="AB80" s="736"/>
      <c r="AC80" s="736"/>
      <c r="AD80" s="736"/>
      <c r="AE80" s="736"/>
      <c r="AF80" s="736"/>
      <c r="AG80" s="736"/>
      <c r="AH80" s="736"/>
      <c r="AI80" s="736"/>
      <c r="AJ80" s="736"/>
      <c r="AK80" s="736"/>
      <c r="AL80" s="736"/>
      <c r="AM80" s="736"/>
      <c r="AN80" s="736"/>
      <c r="AO80" s="736"/>
      <c r="AP80" s="736"/>
      <c r="AQ80" s="736"/>
    </row>
    <row r="81" spans="1:43">
      <c r="A81" s="736"/>
      <c r="B81" s="736"/>
      <c r="C81" s="736"/>
      <c r="D81" s="736"/>
      <c r="E81" s="737"/>
      <c r="F81" s="737"/>
      <c r="G81" s="737"/>
      <c r="H81" s="736"/>
      <c r="I81" s="736"/>
      <c r="J81" s="736"/>
      <c r="K81" s="736"/>
      <c r="L81" s="736"/>
      <c r="M81" s="736"/>
      <c r="N81" s="736"/>
      <c r="O81" s="736"/>
      <c r="P81" s="736"/>
      <c r="Q81" s="736"/>
      <c r="R81" s="736"/>
      <c r="S81" s="736"/>
      <c r="T81" s="736"/>
      <c r="U81" s="736"/>
      <c r="V81" s="736"/>
      <c r="W81" s="736"/>
      <c r="X81" s="736"/>
      <c r="Y81" s="736"/>
      <c r="Z81" s="736"/>
      <c r="AA81" s="736"/>
      <c r="AB81" s="736"/>
      <c r="AC81" s="736"/>
      <c r="AD81" s="736"/>
      <c r="AE81" s="736"/>
      <c r="AF81" s="736"/>
      <c r="AG81" s="736"/>
      <c r="AH81" s="736"/>
      <c r="AI81" s="736"/>
      <c r="AJ81" s="736"/>
      <c r="AK81" s="736"/>
      <c r="AL81" s="736"/>
      <c r="AM81" s="736"/>
      <c r="AN81" s="736"/>
      <c r="AO81" s="736"/>
      <c r="AP81" s="736"/>
      <c r="AQ81" s="736"/>
    </row>
    <row r="82" spans="1:43">
      <c r="A82" s="736"/>
      <c r="B82" s="736"/>
      <c r="C82" s="736"/>
      <c r="D82" s="736"/>
      <c r="E82" s="737"/>
      <c r="F82" s="737"/>
      <c r="G82" s="737"/>
      <c r="H82" s="738"/>
      <c r="I82" s="738"/>
      <c r="J82" s="738"/>
      <c r="K82" s="738"/>
      <c r="L82" s="738"/>
      <c r="M82" s="738"/>
      <c r="N82" s="738"/>
      <c r="O82" s="738"/>
      <c r="P82" s="738"/>
      <c r="Q82" s="738"/>
      <c r="R82" s="738"/>
      <c r="S82" s="738"/>
      <c r="T82" s="738"/>
      <c r="U82" s="738"/>
      <c r="V82" s="738"/>
      <c r="W82" s="738"/>
      <c r="X82" s="738"/>
      <c r="Y82" s="738"/>
      <c r="Z82" s="738"/>
      <c r="AA82" s="738"/>
      <c r="AB82" s="738"/>
      <c r="AC82" s="738"/>
      <c r="AD82" s="738"/>
      <c r="AE82" s="738"/>
      <c r="AF82" s="738"/>
      <c r="AG82" s="738"/>
      <c r="AH82" s="738"/>
      <c r="AI82" s="738"/>
      <c r="AJ82" s="738"/>
      <c r="AK82" s="738"/>
      <c r="AL82" s="738"/>
      <c r="AM82" s="738"/>
      <c r="AN82" s="738"/>
      <c r="AO82" s="738"/>
      <c r="AP82" s="738"/>
      <c r="AQ82" s="738"/>
    </row>
  </sheetData>
  <mergeCells count="12">
    <mergeCell ref="A5:D5"/>
    <mergeCell ref="H9:S9"/>
    <mergeCell ref="T9:AE9"/>
    <mergeCell ref="AF9:AQ9"/>
    <mergeCell ref="A9:A10"/>
    <mergeCell ref="B9:B10"/>
    <mergeCell ref="C9:C10"/>
    <mergeCell ref="D9:D10"/>
    <mergeCell ref="E9:E10"/>
    <mergeCell ref="F9:F10"/>
    <mergeCell ref="G9:G10"/>
    <mergeCell ref="A1:D4"/>
  </mergeCells>
  <conditionalFormatting sqref="D9:G9">
    <cfRule type="cellIs" dxfId="1" priority="4" operator="lessThan">
      <formula>0</formula>
    </cfRule>
    <cfRule type="cellIs" priority="5" operator="lessThan">
      <formula>0</formula>
    </cfRule>
  </conditionalFormatting>
  <conditionalFormatting sqref="D82">
    <cfRule type="duplicateValues" dxfId="2" priority="205"/>
  </conditionalFormatting>
  <conditionalFormatting sqref="D14:D81">
    <cfRule type="duplicateValues" dxfId="2" priority="203"/>
  </conditionalFormatting>
  <hyperlinks>
    <hyperlink ref="A1" location="目录!A1" display="← 返回目录"/>
  </hyperlink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6">
    <tabColor rgb="FF00B0F0"/>
  </sheetPr>
  <dimension ref="A1:N30"/>
  <sheetViews>
    <sheetView workbookViewId="0">
      <selection activeCell="B7" sqref="B7"/>
    </sheetView>
  </sheetViews>
  <sheetFormatPr defaultColWidth="9" defaultRowHeight="13.5"/>
  <cols>
    <col min="4" max="4" width="10.0916666666667" customWidth="1"/>
  </cols>
  <sheetData>
    <row r="1" spans="1:14">
      <c r="A1" s="162" t="s">
        <v>185</v>
      </c>
    </row>
    <row r="2" spans="1:14">
      <c r="A2" s="272"/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</row>
    <row r="3" ht="14" customHeight="1" spans="1:14">
      <c r="A3" s="816" t="s">
        <v>489</v>
      </c>
      <c r="B3" s="816" t="s">
        <v>493</v>
      </c>
      <c r="C3" s="824" t="s">
        <v>190</v>
      </c>
      <c r="D3" s="825"/>
      <c r="E3" s="825"/>
      <c r="F3" s="826"/>
      <c r="G3" s="827" t="s">
        <v>1328</v>
      </c>
      <c r="H3" s="828"/>
      <c r="I3" s="828"/>
      <c r="J3" s="829"/>
      <c r="K3" s="830" t="s">
        <v>1329</v>
      </c>
      <c r="L3" s="831"/>
      <c r="M3" s="831"/>
      <c r="N3" s="832"/>
    </row>
    <row r="4" spans="1:14">
      <c r="A4" s="820"/>
      <c r="B4" s="820"/>
      <c r="C4" s="833"/>
      <c r="D4" s="834"/>
      <c r="E4" s="834"/>
      <c r="F4" s="835"/>
      <c r="G4" s="836"/>
      <c r="H4" s="837"/>
      <c r="I4" s="837"/>
      <c r="J4" s="838"/>
      <c r="K4" s="839"/>
      <c r="L4" s="840"/>
      <c r="M4" s="840"/>
      <c r="N4" s="841"/>
    </row>
    <row r="5" spans="1:14">
      <c r="A5" s="821"/>
      <c r="B5" s="821"/>
      <c r="C5" s="842" t="s">
        <v>1422</v>
      </c>
      <c r="D5" s="843" t="s">
        <v>45</v>
      </c>
      <c r="E5" s="842" t="s">
        <v>1318</v>
      </c>
      <c r="F5" s="842" t="s">
        <v>204</v>
      </c>
      <c r="G5" s="820" t="s">
        <v>1422</v>
      </c>
      <c r="H5" s="843" t="s">
        <v>45</v>
      </c>
      <c r="I5" s="820" t="s">
        <v>1318</v>
      </c>
      <c r="J5" s="820" t="s">
        <v>204</v>
      </c>
      <c r="K5" s="844" t="s">
        <v>1422</v>
      </c>
      <c r="L5" s="844" t="s">
        <v>1423</v>
      </c>
      <c r="M5" s="844" t="s">
        <v>1318</v>
      </c>
      <c r="N5" s="844" t="s">
        <v>204</v>
      </c>
    </row>
    <row r="6" spans="1:14">
      <c r="A6" s="127" t="s">
        <v>1424</v>
      </c>
      <c r="B6" s="127" t="s">
        <v>1425</v>
      </c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</row>
    <row r="7" spans="1:14">
      <c r="A7" s="127"/>
      <c r="B7" s="127" t="s">
        <v>1426</v>
      </c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</row>
    <row r="8" spans="1:14">
      <c r="A8" s="127"/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</row>
    <row r="9" spans="1:14">
      <c r="A9" s="127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</row>
    <row r="10" spans="1:14">
      <c r="A10" s="127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</row>
    <row r="11" spans="1:14">
      <c r="A11" s="127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</row>
    <row r="12" spans="1:14">
      <c r="A12" s="127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</row>
    <row r="13" spans="1:14">
      <c r="A13" s="127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</row>
    <row r="14" spans="1:14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</row>
    <row r="15" spans="1:14">
      <c r="A15" s="127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</row>
    <row r="16" spans="1:14">
      <c r="A16" s="127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</row>
    <row r="17" spans="1:14">
      <c r="A17" s="127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</row>
    <row r="18" spans="1:14">
      <c r="A18" s="127"/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</row>
    <row r="19" spans="1:14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</row>
    <row r="20" spans="1:14">
      <c r="A20" s="127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</row>
    <row r="21" spans="1:14">
      <c r="A21" s="127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</row>
    <row r="22" spans="1:14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</row>
    <row r="23" spans="1:14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</row>
    <row r="24" spans="1:14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</row>
    <row r="25" spans="1:14">
      <c r="A25" s="127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</row>
    <row r="26" spans="1:14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</row>
    <row r="27" spans="1:14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</row>
    <row r="28" spans="1:14">
      <c r="A28" s="127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</row>
    <row r="29" spans="1:14">
      <c r="A29" s="127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</row>
    <row r="30" spans="1:14">
      <c r="A30" s="127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</row>
  </sheetData>
  <mergeCells count="5">
    <mergeCell ref="A3:A5"/>
    <mergeCell ref="B3:B5"/>
    <mergeCell ref="C3:F4"/>
    <mergeCell ref="G3:J4"/>
    <mergeCell ref="K3:N4"/>
  </mergeCells>
  <conditionalFormatting sqref="C5:N5">
    <cfRule type="cellIs" dxfId="1" priority="4" operator="lessThan">
      <formula>0</formula>
    </cfRule>
  </conditionalFormatting>
  <conditionalFormatting sqref="A3:B5">
    <cfRule type="cellIs" dxfId="1" priority="2" operator="lessThan">
      <formula>0</formula>
    </cfRule>
  </conditionalFormatting>
  <conditionalFormatting sqref="G3 K3">
    <cfRule type="cellIs" dxfId="1" priority="3" operator="lessThan">
      <formula>0</formula>
    </cfRule>
  </conditionalFormatting>
  <hyperlinks>
    <hyperlink ref="A1" location="目录!A1" display="← 返回目录"/>
  </hyperlink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7">
    <tabColor rgb="FF00B0F0"/>
  </sheetPr>
  <dimension ref="A1:BB30"/>
  <sheetViews>
    <sheetView workbookViewId="0">
      <selection activeCell="D1" sqref="D1"/>
    </sheetView>
  </sheetViews>
  <sheetFormatPr defaultColWidth="9" defaultRowHeight="13.5"/>
  <sheetData>
    <row r="1" spans="1:54">
      <c r="A1" s="202" t="s">
        <v>185</v>
      </c>
    </row>
    <row r="2" spans="1:54">
      <c r="A2" s="272"/>
      <c r="B2" s="272"/>
      <c r="C2" s="272"/>
    </row>
    <row r="3" spans="1:54">
      <c r="A3" s="816" t="s">
        <v>489</v>
      </c>
      <c r="B3" s="816" t="s">
        <v>493</v>
      </c>
      <c r="C3" s="817" t="s">
        <v>1422</v>
      </c>
      <c r="D3" s="818"/>
      <c r="E3" s="818"/>
      <c r="F3" s="818"/>
      <c r="G3" s="818"/>
      <c r="H3" s="818"/>
      <c r="I3" s="818"/>
      <c r="J3" s="818"/>
      <c r="K3" s="818"/>
      <c r="L3" s="818"/>
      <c r="M3" s="818"/>
      <c r="N3" s="818"/>
      <c r="O3" s="818"/>
      <c r="P3" s="818"/>
      <c r="Q3" s="818"/>
      <c r="R3" s="818"/>
      <c r="S3" s="818"/>
      <c r="T3" s="818"/>
      <c r="U3" s="818"/>
      <c r="V3" s="818"/>
      <c r="W3" s="818"/>
      <c r="X3" s="818"/>
      <c r="Y3" s="818"/>
      <c r="Z3" s="818"/>
      <c r="AA3" s="818"/>
      <c r="AB3" s="819"/>
      <c r="AC3" s="817" t="s">
        <v>1325</v>
      </c>
      <c r="AD3" s="818"/>
      <c r="AE3" s="818"/>
      <c r="AF3" s="818"/>
      <c r="AG3" s="818"/>
      <c r="AH3" s="818"/>
      <c r="AI3" s="818"/>
      <c r="AJ3" s="818"/>
      <c r="AK3" s="818"/>
      <c r="AL3" s="818"/>
      <c r="AM3" s="818"/>
      <c r="AN3" s="818"/>
      <c r="AO3" s="818"/>
      <c r="AP3" s="818"/>
      <c r="AQ3" s="818"/>
      <c r="AR3" s="818"/>
      <c r="AS3" s="818"/>
      <c r="AT3" s="818"/>
      <c r="AU3" s="818"/>
      <c r="AV3" s="818"/>
      <c r="AW3" s="818"/>
      <c r="AX3" s="818"/>
      <c r="AY3" s="818"/>
      <c r="AZ3" s="818"/>
      <c r="BA3" s="818"/>
      <c r="BB3" s="819"/>
    </row>
    <row r="4" spans="1:54">
      <c r="A4" s="820"/>
      <c r="B4" s="820"/>
      <c r="C4" s="817" t="s">
        <v>1427</v>
      </c>
      <c r="D4" s="818"/>
      <c r="E4" s="818"/>
      <c r="F4" s="818"/>
      <c r="G4" s="818"/>
      <c r="H4" s="818"/>
      <c r="I4" s="818"/>
      <c r="J4" s="818"/>
      <c r="K4" s="818"/>
      <c r="L4" s="818"/>
      <c r="M4" s="818"/>
      <c r="N4" s="818"/>
      <c r="O4" s="819"/>
      <c r="P4" s="817" t="s">
        <v>287</v>
      </c>
      <c r="Q4" s="818"/>
      <c r="R4" s="818"/>
      <c r="S4" s="818"/>
      <c r="T4" s="818"/>
      <c r="U4" s="818"/>
      <c r="V4" s="818"/>
      <c r="W4" s="818"/>
      <c r="X4" s="818"/>
      <c r="Y4" s="818"/>
      <c r="Z4" s="818"/>
      <c r="AA4" s="818"/>
      <c r="AB4" s="819"/>
      <c r="AC4" s="817" t="s">
        <v>1427</v>
      </c>
      <c r="AD4" s="818"/>
      <c r="AE4" s="818"/>
      <c r="AF4" s="818"/>
      <c r="AG4" s="818"/>
      <c r="AH4" s="818"/>
      <c r="AI4" s="818"/>
      <c r="AJ4" s="818"/>
      <c r="AK4" s="818"/>
      <c r="AL4" s="818"/>
      <c r="AM4" s="818"/>
      <c r="AN4" s="818"/>
      <c r="AO4" s="819"/>
      <c r="AP4" s="817" t="s">
        <v>287</v>
      </c>
      <c r="AQ4" s="818"/>
      <c r="AR4" s="818"/>
      <c r="AS4" s="818"/>
      <c r="AT4" s="818"/>
      <c r="AU4" s="818"/>
      <c r="AV4" s="818"/>
      <c r="AW4" s="818"/>
      <c r="AX4" s="818"/>
      <c r="AY4" s="818"/>
      <c r="AZ4" s="818"/>
      <c r="BA4" s="818"/>
      <c r="BB4" s="819"/>
    </row>
    <row r="5" spans="1:54">
      <c r="A5" s="821"/>
      <c r="B5" s="821"/>
      <c r="C5" s="821" t="s">
        <v>281</v>
      </c>
      <c r="D5" s="822" t="s">
        <v>304</v>
      </c>
      <c r="E5" s="822" t="s">
        <v>305</v>
      </c>
      <c r="F5" s="822" t="s">
        <v>306</v>
      </c>
      <c r="G5" s="822" t="s">
        <v>307</v>
      </c>
      <c r="H5" s="822" t="s">
        <v>308</v>
      </c>
      <c r="I5" s="822" t="s">
        <v>309</v>
      </c>
      <c r="J5" s="822" t="s">
        <v>310</v>
      </c>
      <c r="K5" s="822" t="s">
        <v>311</v>
      </c>
      <c r="L5" s="822" t="s">
        <v>312</v>
      </c>
      <c r="M5" s="822" t="s">
        <v>313</v>
      </c>
      <c r="N5" s="822" t="s">
        <v>314</v>
      </c>
      <c r="O5" s="822" t="s">
        <v>315</v>
      </c>
      <c r="P5" s="822" t="s">
        <v>281</v>
      </c>
      <c r="Q5" s="822" t="s">
        <v>304</v>
      </c>
      <c r="R5" s="822" t="s">
        <v>305</v>
      </c>
      <c r="S5" s="822" t="s">
        <v>306</v>
      </c>
      <c r="T5" s="822" t="s">
        <v>307</v>
      </c>
      <c r="U5" s="822" t="s">
        <v>308</v>
      </c>
      <c r="V5" s="822" t="s">
        <v>309</v>
      </c>
      <c r="W5" s="822" t="s">
        <v>310</v>
      </c>
      <c r="X5" s="822" t="s">
        <v>311</v>
      </c>
      <c r="Y5" s="822" t="s">
        <v>312</v>
      </c>
      <c r="Z5" s="822" t="s">
        <v>313</v>
      </c>
      <c r="AA5" s="822" t="s">
        <v>314</v>
      </c>
      <c r="AB5" s="822" t="s">
        <v>315</v>
      </c>
      <c r="AC5" s="822" t="s">
        <v>281</v>
      </c>
      <c r="AD5" s="822" t="s">
        <v>304</v>
      </c>
      <c r="AE5" s="822" t="s">
        <v>305</v>
      </c>
      <c r="AF5" s="822" t="s">
        <v>306</v>
      </c>
      <c r="AG5" s="822" t="s">
        <v>307</v>
      </c>
      <c r="AH5" s="822" t="s">
        <v>308</v>
      </c>
      <c r="AI5" s="822" t="s">
        <v>309</v>
      </c>
      <c r="AJ5" s="822" t="s">
        <v>310</v>
      </c>
      <c r="AK5" s="822" t="s">
        <v>311</v>
      </c>
      <c r="AL5" s="822" t="s">
        <v>312</v>
      </c>
      <c r="AM5" s="822" t="s">
        <v>313</v>
      </c>
      <c r="AN5" s="822" t="s">
        <v>314</v>
      </c>
      <c r="AO5" s="822" t="s">
        <v>315</v>
      </c>
      <c r="AP5" s="822" t="s">
        <v>281</v>
      </c>
      <c r="AQ5" s="822" t="s">
        <v>304</v>
      </c>
      <c r="AR5" s="822" t="s">
        <v>305</v>
      </c>
      <c r="AS5" s="822" t="s">
        <v>306</v>
      </c>
      <c r="AT5" s="822" t="s">
        <v>307</v>
      </c>
      <c r="AU5" s="822" t="s">
        <v>308</v>
      </c>
      <c r="AV5" s="822" t="s">
        <v>309</v>
      </c>
      <c r="AW5" s="822" t="s">
        <v>310</v>
      </c>
      <c r="AX5" s="822" t="s">
        <v>311</v>
      </c>
      <c r="AY5" s="822" t="s">
        <v>312</v>
      </c>
      <c r="AZ5" s="822" t="s">
        <v>313</v>
      </c>
      <c r="BA5" s="822" t="s">
        <v>314</v>
      </c>
      <c r="BB5" s="822" t="s">
        <v>315</v>
      </c>
    </row>
    <row r="6" spans="1:54">
      <c r="A6" s="127" t="s">
        <v>1424</v>
      </c>
      <c r="B6" s="127" t="s">
        <v>1425</v>
      </c>
      <c r="C6" s="823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823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823"/>
      <c r="AD6" s="127"/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823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</row>
    <row r="7" spans="1:54">
      <c r="A7" s="127"/>
      <c r="B7" s="127" t="s">
        <v>1426</v>
      </c>
      <c r="C7" s="823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823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823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823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</row>
    <row r="8" spans="1:54">
      <c r="A8" s="127"/>
      <c r="B8" s="127"/>
      <c r="C8" s="823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823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823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823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</row>
    <row r="9" spans="1:54">
      <c r="A9" s="127"/>
      <c r="B9" s="127"/>
      <c r="C9" s="823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823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823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823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</row>
    <row r="10" spans="1:54">
      <c r="A10" s="127"/>
      <c r="B10" s="127"/>
      <c r="C10" s="823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823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823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823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</row>
    <row r="11" spans="1:54">
      <c r="A11" s="127"/>
      <c r="B11" s="127"/>
      <c r="C11" s="823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823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823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  <c r="AN11" s="127"/>
      <c r="AO11" s="127"/>
      <c r="AP11" s="823"/>
      <c r="AQ11" s="127"/>
      <c r="AR11" s="127"/>
      <c r="AS11" s="127"/>
      <c r="AT11" s="127"/>
      <c r="AU11" s="127"/>
      <c r="AV11" s="127"/>
      <c r="AW11" s="127"/>
      <c r="AX11" s="127"/>
      <c r="AY11" s="127"/>
      <c r="AZ11" s="127"/>
      <c r="BA11" s="127"/>
      <c r="BB11" s="127"/>
    </row>
    <row r="12" spans="1:54">
      <c r="A12" s="127"/>
      <c r="B12" s="127"/>
      <c r="C12" s="823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823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823"/>
      <c r="AD12" s="127"/>
      <c r="AE12" s="127"/>
      <c r="AF12" s="127"/>
      <c r="AG12" s="127"/>
      <c r="AH12" s="127"/>
      <c r="AI12" s="127"/>
      <c r="AJ12" s="127"/>
      <c r="AK12" s="127"/>
      <c r="AL12" s="127"/>
      <c r="AM12" s="127"/>
      <c r="AN12" s="127"/>
      <c r="AO12" s="127"/>
      <c r="AP12" s="823"/>
      <c r="AQ12" s="127"/>
      <c r="AR12" s="127"/>
      <c r="AS12" s="127"/>
      <c r="AT12" s="127"/>
      <c r="AU12" s="127"/>
      <c r="AV12" s="127"/>
      <c r="AW12" s="127"/>
      <c r="AX12" s="127"/>
      <c r="AY12" s="127"/>
      <c r="AZ12" s="127"/>
      <c r="BA12" s="127"/>
      <c r="BB12" s="127"/>
    </row>
    <row r="13" spans="1:54">
      <c r="A13" s="127"/>
      <c r="B13" s="127"/>
      <c r="C13" s="823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823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823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  <c r="AO13" s="127"/>
      <c r="AP13" s="823"/>
      <c r="AQ13" s="127"/>
      <c r="AR13" s="127"/>
      <c r="AS13" s="127"/>
      <c r="AT13" s="127"/>
      <c r="AU13" s="127"/>
      <c r="AV13" s="127"/>
      <c r="AW13" s="127"/>
      <c r="AX13" s="127"/>
      <c r="AY13" s="127"/>
      <c r="AZ13" s="127"/>
      <c r="BA13" s="127"/>
      <c r="BB13" s="127"/>
    </row>
    <row r="14" spans="1:54">
      <c r="A14" s="127"/>
      <c r="B14" s="127"/>
      <c r="C14" s="823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823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823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823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</row>
    <row r="15" spans="1:54">
      <c r="A15" s="127"/>
      <c r="B15" s="127"/>
      <c r="C15" s="823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823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823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823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</row>
    <row r="16" spans="1:54">
      <c r="A16" s="127"/>
      <c r="B16" s="127"/>
      <c r="C16" s="823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823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823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823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</row>
    <row r="17" spans="1:54">
      <c r="A17" s="127"/>
      <c r="B17" s="127"/>
      <c r="C17" s="823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823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823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823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</row>
    <row r="18" spans="1:54">
      <c r="A18" s="127"/>
      <c r="B18" s="127"/>
      <c r="C18" s="823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823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823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823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</row>
    <row r="19" spans="1:54">
      <c r="A19" s="127"/>
      <c r="B19" s="127"/>
      <c r="C19" s="823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823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823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823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</row>
    <row r="20" spans="1:54">
      <c r="A20" s="127"/>
      <c r="B20" s="127"/>
      <c r="C20" s="823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823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823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823"/>
      <c r="AQ20" s="127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</row>
    <row r="21" spans="1:54">
      <c r="A21" s="127"/>
      <c r="B21" s="127"/>
      <c r="C21" s="823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823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823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823"/>
      <c r="AQ21" s="127"/>
      <c r="AR21" s="127"/>
      <c r="AS21" s="127"/>
      <c r="AT21" s="127"/>
      <c r="AU21" s="127"/>
      <c r="AV21" s="127"/>
      <c r="AW21" s="127"/>
      <c r="AX21" s="127"/>
      <c r="AY21" s="127"/>
      <c r="AZ21" s="127"/>
      <c r="BA21" s="127"/>
      <c r="BB21" s="127"/>
    </row>
    <row r="22" spans="1:54">
      <c r="A22" s="127"/>
      <c r="B22" s="127"/>
      <c r="C22" s="823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823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823"/>
      <c r="AD22" s="127"/>
      <c r="AE22" s="127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823"/>
      <c r="AQ22" s="127"/>
      <c r="AR22" s="127"/>
      <c r="AS22" s="127"/>
      <c r="AT22" s="127"/>
      <c r="AU22" s="127"/>
      <c r="AV22" s="127"/>
      <c r="AW22" s="127"/>
      <c r="AX22" s="127"/>
      <c r="AY22" s="127"/>
      <c r="AZ22" s="127"/>
      <c r="BA22" s="127"/>
      <c r="BB22" s="127"/>
    </row>
    <row r="23" spans="1:54">
      <c r="A23" s="127"/>
      <c r="B23" s="127"/>
      <c r="C23" s="823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823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823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823"/>
      <c r="AQ23" s="127"/>
      <c r="AR23" s="127"/>
      <c r="AS23" s="127"/>
      <c r="AT23" s="127"/>
      <c r="AU23" s="127"/>
      <c r="AV23" s="127"/>
      <c r="AW23" s="127"/>
      <c r="AX23" s="127"/>
      <c r="AY23" s="127"/>
      <c r="AZ23" s="127"/>
      <c r="BA23" s="127"/>
      <c r="BB23" s="127"/>
    </row>
    <row r="24" spans="1:54">
      <c r="A24" s="127"/>
      <c r="B24" s="127"/>
      <c r="C24" s="823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823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823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823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</row>
    <row r="25" spans="1:54">
      <c r="A25" s="127"/>
      <c r="B25" s="127"/>
      <c r="C25" s="823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823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823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823"/>
      <c r="AQ25" s="127"/>
      <c r="AR25" s="127"/>
      <c r="AS25" s="127"/>
      <c r="AT25" s="127"/>
      <c r="AU25" s="127"/>
      <c r="AV25" s="127"/>
      <c r="AW25" s="127"/>
      <c r="AX25" s="127"/>
      <c r="AY25" s="127"/>
      <c r="AZ25" s="127"/>
      <c r="BA25" s="127"/>
      <c r="BB25" s="127"/>
    </row>
    <row r="26" spans="1:54">
      <c r="A26" s="127"/>
      <c r="B26" s="127"/>
      <c r="C26" s="823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823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823"/>
      <c r="AD26" s="127"/>
      <c r="AE26" s="127"/>
      <c r="AF26" s="127"/>
      <c r="AG26" s="127"/>
      <c r="AH26" s="127"/>
      <c r="AI26" s="127"/>
      <c r="AJ26" s="127"/>
      <c r="AK26" s="127"/>
      <c r="AL26" s="127"/>
      <c r="AM26" s="127"/>
      <c r="AN26" s="127"/>
      <c r="AO26" s="127"/>
      <c r="AP26" s="823"/>
      <c r="AQ26" s="127"/>
      <c r="AR26" s="127"/>
      <c r="AS26" s="127"/>
      <c r="AT26" s="127"/>
      <c r="AU26" s="127"/>
      <c r="AV26" s="127"/>
      <c r="AW26" s="127"/>
      <c r="AX26" s="127"/>
      <c r="AY26" s="127"/>
      <c r="AZ26" s="127"/>
      <c r="BA26" s="127"/>
      <c r="BB26" s="127"/>
    </row>
    <row r="27" spans="1:54">
      <c r="A27" s="127"/>
      <c r="B27" s="127"/>
      <c r="C27" s="823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823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823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823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</row>
    <row r="28" spans="1:54">
      <c r="A28" s="127"/>
      <c r="B28" s="127"/>
      <c r="C28" s="823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823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823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  <c r="AN28" s="127"/>
      <c r="AO28" s="127"/>
      <c r="AP28" s="823"/>
      <c r="AQ28" s="127"/>
      <c r="AR28" s="127"/>
      <c r="AS28" s="127"/>
      <c r="AT28" s="127"/>
      <c r="AU28" s="127"/>
      <c r="AV28" s="127"/>
      <c r="AW28" s="127"/>
      <c r="AX28" s="127"/>
      <c r="AY28" s="127"/>
      <c r="AZ28" s="127"/>
      <c r="BA28" s="127"/>
      <c r="BB28" s="127"/>
    </row>
    <row r="29" spans="1:54">
      <c r="A29" s="127"/>
      <c r="B29" s="127"/>
      <c r="C29" s="823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823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823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823"/>
      <c r="AQ29" s="127"/>
      <c r="AR29" s="127"/>
      <c r="AS29" s="127"/>
      <c r="AT29" s="127"/>
      <c r="AU29" s="127"/>
      <c r="AV29" s="127"/>
      <c r="AW29" s="127"/>
      <c r="AX29" s="127"/>
      <c r="AY29" s="127"/>
      <c r="AZ29" s="127"/>
      <c r="BA29" s="127"/>
      <c r="BB29" s="127"/>
    </row>
    <row r="30" spans="1:54">
      <c r="A30" s="127"/>
      <c r="B30" s="127"/>
      <c r="C30" s="823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823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823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823"/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</row>
  </sheetData>
  <mergeCells count="8">
    <mergeCell ref="C3:AB3"/>
    <mergeCell ref="AC3:BB3"/>
    <mergeCell ref="C4:O4"/>
    <mergeCell ref="P4:AB4"/>
    <mergeCell ref="AC4:AO4"/>
    <mergeCell ref="AP4:BB4"/>
    <mergeCell ref="A3:A5"/>
    <mergeCell ref="B3:B5"/>
  </mergeCells>
  <conditionalFormatting sqref="A3:B4 A5:BB5">
    <cfRule type="cellIs" dxfId="1" priority="1" operator="lessThan">
      <formula>0</formula>
    </cfRule>
  </conditionalFormatting>
  <hyperlinks>
    <hyperlink ref="A1" location="目录!A1" display="← 返回目录"/>
  </hyperlink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8">
    <tabColor rgb="FF00B0F0"/>
  </sheetPr>
  <dimension ref="A1:BB30"/>
  <sheetViews>
    <sheetView workbookViewId="0">
      <selection activeCell="D1" sqref="D1"/>
    </sheetView>
  </sheetViews>
  <sheetFormatPr defaultColWidth="9" defaultRowHeight="13.5"/>
  <sheetData>
    <row r="1" spans="1:54">
      <c r="A1" s="162" t="s">
        <v>185</v>
      </c>
    </row>
    <row r="2" spans="1:54">
      <c r="A2" s="272"/>
      <c r="B2" s="272"/>
      <c r="C2" s="809" t="s">
        <v>1428</v>
      </c>
    </row>
    <row r="3" spans="1:54">
      <c r="A3" s="816" t="s">
        <v>188</v>
      </c>
      <c r="B3" s="816" t="s">
        <v>489</v>
      </c>
      <c r="C3" s="817" t="s">
        <v>1422</v>
      </c>
      <c r="D3" s="818"/>
      <c r="E3" s="818"/>
      <c r="F3" s="818"/>
      <c r="G3" s="818"/>
      <c r="H3" s="818"/>
      <c r="I3" s="818"/>
      <c r="J3" s="818"/>
      <c r="K3" s="818"/>
      <c r="L3" s="818"/>
      <c r="M3" s="818"/>
      <c r="N3" s="818"/>
      <c r="O3" s="818"/>
      <c r="P3" s="818"/>
      <c r="Q3" s="818"/>
      <c r="R3" s="818"/>
      <c r="S3" s="818"/>
      <c r="T3" s="818"/>
      <c r="U3" s="818"/>
      <c r="V3" s="818"/>
      <c r="W3" s="818"/>
      <c r="X3" s="818"/>
      <c r="Y3" s="818"/>
      <c r="Z3" s="818"/>
      <c r="AA3" s="818"/>
      <c r="AB3" s="819"/>
      <c r="AC3" s="817" t="s">
        <v>1325</v>
      </c>
      <c r="AD3" s="818"/>
      <c r="AE3" s="818"/>
      <c r="AF3" s="818"/>
      <c r="AG3" s="818"/>
      <c r="AH3" s="818"/>
      <c r="AI3" s="818"/>
      <c r="AJ3" s="818"/>
      <c r="AK3" s="818"/>
      <c r="AL3" s="818"/>
      <c r="AM3" s="818"/>
      <c r="AN3" s="818"/>
      <c r="AO3" s="818"/>
      <c r="AP3" s="818"/>
      <c r="AQ3" s="818"/>
      <c r="AR3" s="818"/>
      <c r="AS3" s="818"/>
      <c r="AT3" s="818"/>
      <c r="AU3" s="818"/>
      <c r="AV3" s="818"/>
      <c r="AW3" s="818"/>
      <c r="AX3" s="818"/>
      <c r="AY3" s="818"/>
      <c r="AZ3" s="818"/>
      <c r="BA3" s="818"/>
      <c r="BB3" s="819"/>
    </row>
    <row r="4" spans="1:54">
      <c r="A4" s="820"/>
      <c r="B4" s="820"/>
      <c r="C4" s="817" t="s">
        <v>1427</v>
      </c>
      <c r="D4" s="818"/>
      <c r="E4" s="818"/>
      <c r="F4" s="818"/>
      <c r="G4" s="818"/>
      <c r="H4" s="818"/>
      <c r="I4" s="818"/>
      <c r="J4" s="818"/>
      <c r="K4" s="818"/>
      <c r="L4" s="818"/>
      <c r="M4" s="818"/>
      <c r="N4" s="818"/>
      <c r="O4" s="819"/>
      <c r="P4" s="817" t="s">
        <v>287</v>
      </c>
      <c r="Q4" s="818"/>
      <c r="R4" s="818"/>
      <c r="S4" s="818"/>
      <c r="T4" s="818"/>
      <c r="U4" s="818"/>
      <c r="V4" s="818"/>
      <c r="W4" s="818"/>
      <c r="X4" s="818"/>
      <c r="Y4" s="818"/>
      <c r="Z4" s="818"/>
      <c r="AA4" s="818"/>
      <c r="AB4" s="819"/>
      <c r="AC4" s="817" t="s">
        <v>1427</v>
      </c>
      <c r="AD4" s="818"/>
      <c r="AE4" s="818"/>
      <c r="AF4" s="818"/>
      <c r="AG4" s="818"/>
      <c r="AH4" s="818"/>
      <c r="AI4" s="818"/>
      <c r="AJ4" s="818"/>
      <c r="AK4" s="818"/>
      <c r="AL4" s="818"/>
      <c r="AM4" s="818"/>
      <c r="AN4" s="818"/>
      <c r="AO4" s="819"/>
      <c r="AP4" s="817" t="s">
        <v>287</v>
      </c>
      <c r="AQ4" s="818"/>
      <c r="AR4" s="818"/>
      <c r="AS4" s="818"/>
      <c r="AT4" s="818"/>
      <c r="AU4" s="818"/>
      <c r="AV4" s="818"/>
      <c r="AW4" s="818"/>
      <c r="AX4" s="818"/>
      <c r="AY4" s="818"/>
      <c r="AZ4" s="818"/>
      <c r="BA4" s="818"/>
      <c r="BB4" s="819"/>
    </row>
    <row r="5" spans="1:54">
      <c r="A5" s="821"/>
      <c r="B5" s="821"/>
      <c r="C5" s="821" t="s">
        <v>281</v>
      </c>
      <c r="D5" s="822" t="s">
        <v>304</v>
      </c>
      <c r="E5" s="822" t="s">
        <v>305</v>
      </c>
      <c r="F5" s="822" t="s">
        <v>306</v>
      </c>
      <c r="G5" s="822" t="s">
        <v>307</v>
      </c>
      <c r="H5" s="822" t="s">
        <v>308</v>
      </c>
      <c r="I5" s="822" t="s">
        <v>309</v>
      </c>
      <c r="J5" s="822" t="s">
        <v>310</v>
      </c>
      <c r="K5" s="822" t="s">
        <v>311</v>
      </c>
      <c r="L5" s="822" t="s">
        <v>312</v>
      </c>
      <c r="M5" s="822" t="s">
        <v>313</v>
      </c>
      <c r="N5" s="822" t="s">
        <v>314</v>
      </c>
      <c r="O5" s="822" t="s">
        <v>315</v>
      </c>
      <c r="P5" s="822" t="s">
        <v>281</v>
      </c>
      <c r="Q5" s="822" t="s">
        <v>304</v>
      </c>
      <c r="R5" s="822" t="s">
        <v>305</v>
      </c>
      <c r="S5" s="822" t="s">
        <v>306</v>
      </c>
      <c r="T5" s="822" t="s">
        <v>307</v>
      </c>
      <c r="U5" s="822" t="s">
        <v>308</v>
      </c>
      <c r="V5" s="822" t="s">
        <v>309</v>
      </c>
      <c r="W5" s="822" t="s">
        <v>310</v>
      </c>
      <c r="X5" s="822" t="s">
        <v>311</v>
      </c>
      <c r="Y5" s="822" t="s">
        <v>312</v>
      </c>
      <c r="Z5" s="822" t="s">
        <v>313</v>
      </c>
      <c r="AA5" s="822" t="s">
        <v>314</v>
      </c>
      <c r="AB5" s="822" t="s">
        <v>315</v>
      </c>
      <c r="AC5" s="822" t="s">
        <v>281</v>
      </c>
      <c r="AD5" s="822" t="s">
        <v>304</v>
      </c>
      <c r="AE5" s="822" t="s">
        <v>305</v>
      </c>
      <c r="AF5" s="822" t="s">
        <v>306</v>
      </c>
      <c r="AG5" s="822" t="s">
        <v>307</v>
      </c>
      <c r="AH5" s="822" t="s">
        <v>308</v>
      </c>
      <c r="AI5" s="822" t="s">
        <v>309</v>
      </c>
      <c r="AJ5" s="822" t="s">
        <v>310</v>
      </c>
      <c r="AK5" s="822" t="s">
        <v>311</v>
      </c>
      <c r="AL5" s="822" t="s">
        <v>312</v>
      </c>
      <c r="AM5" s="822" t="s">
        <v>313</v>
      </c>
      <c r="AN5" s="822" t="s">
        <v>314</v>
      </c>
      <c r="AO5" s="822" t="s">
        <v>315</v>
      </c>
      <c r="AP5" s="822" t="s">
        <v>281</v>
      </c>
      <c r="AQ5" s="822" t="s">
        <v>304</v>
      </c>
      <c r="AR5" s="822" t="s">
        <v>305</v>
      </c>
      <c r="AS5" s="822" t="s">
        <v>306</v>
      </c>
      <c r="AT5" s="822" t="s">
        <v>307</v>
      </c>
      <c r="AU5" s="822" t="s">
        <v>308</v>
      </c>
      <c r="AV5" s="822" t="s">
        <v>309</v>
      </c>
      <c r="AW5" s="822" t="s">
        <v>310</v>
      </c>
      <c r="AX5" s="822" t="s">
        <v>311</v>
      </c>
      <c r="AY5" s="822" t="s">
        <v>312</v>
      </c>
      <c r="AZ5" s="822" t="s">
        <v>313</v>
      </c>
      <c r="BA5" s="822" t="s">
        <v>314</v>
      </c>
      <c r="BB5" s="822" t="s">
        <v>315</v>
      </c>
    </row>
    <row r="6" spans="1:54">
      <c r="A6" s="127" t="s">
        <v>1429</v>
      </c>
      <c r="B6" s="127" t="s">
        <v>1424</v>
      </c>
      <c r="C6" s="823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823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823"/>
      <c r="AD6" s="127"/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823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</row>
    <row r="7" spans="1:54">
      <c r="A7" s="127"/>
      <c r="B7" s="127" t="s">
        <v>1430</v>
      </c>
      <c r="C7" s="823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823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823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823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</row>
    <row r="8" spans="1:54">
      <c r="A8" s="127" t="s">
        <v>343</v>
      </c>
      <c r="B8" s="127" t="s">
        <v>1424</v>
      </c>
      <c r="C8" s="823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823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823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823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</row>
    <row r="9" spans="1:54">
      <c r="A9" s="127"/>
      <c r="B9" s="127" t="s">
        <v>1430</v>
      </c>
      <c r="C9" s="823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823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823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823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</row>
    <row r="10" spans="1:54">
      <c r="A10" s="127"/>
      <c r="B10" s="127"/>
      <c r="C10" s="823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823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823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823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</row>
    <row r="11" spans="1:54">
      <c r="A11" s="127"/>
      <c r="B11" s="127"/>
      <c r="C11" s="823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823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823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  <c r="AN11" s="127"/>
      <c r="AO11" s="127"/>
      <c r="AP11" s="823"/>
      <c r="AQ11" s="127"/>
      <c r="AR11" s="127"/>
      <c r="AS11" s="127"/>
      <c r="AT11" s="127"/>
      <c r="AU11" s="127"/>
      <c r="AV11" s="127"/>
      <c r="AW11" s="127"/>
      <c r="AX11" s="127"/>
      <c r="AY11" s="127"/>
      <c r="AZ11" s="127"/>
      <c r="BA11" s="127"/>
      <c r="BB11" s="127"/>
    </row>
    <row r="12" spans="1:54">
      <c r="A12" s="127"/>
      <c r="B12" s="127"/>
      <c r="C12" s="823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823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823"/>
      <c r="AD12" s="127"/>
      <c r="AE12" s="127"/>
      <c r="AF12" s="127"/>
      <c r="AG12" s="127"/>
      <c r="AH12" s="127"/>
      <c r="AI12" s="127"/>
      <c r="AJ12" s="127"/>
      <c r="AK12" s="127"/>
      <c r="AL12" s="127"/>
      <c r="AM12" s="127"/>
      <c r="AN12" s="127"/>
      <c r="AO12" s="127"/>
      <c r="AP12" s="823"/>
      <c r="AQ12" s="127"/>
      <c r="AR12" s="127"/>
      <c r="AS12" s="127"/>
      <c r="AT12" s="127"/>
      <c r="AU12" s="127"/>
      <c r="AV12" s="127"/>
      <c r="AW12" s="127"/>
      <c r="AX12" s="127"/>
      <c r="AY12" s="127"/>
      <c r="AZ12" s="127"/>
      <c r="BA12" s="127"/>
      <c r="BB12" s="127"/>
    </row>
    <row r="13" spans="1:54">
      <c r="A13" s="127"/>
      <c r="B13" s="127"/>
      <c r="C13" s="823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823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823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  <c r="AO13" s="127"/>
      <c r="AP13" s="823"/>
      <c r="AQ13" s="127"/>
      <c r="AR13" s="127"/>
      <c r="AS13" s="127"/>
      <c r="AT13" s="127"/>
      <c r="AU13" s="127"/>
      <c r="AV13" s="127"/>
      <c r="AW13" s="127"/>
      <c r="AX13" s="127"/>
      <c r="AY13" s="127"/>
      <c r="AZ13" s="127"/>
      <c r="BA13" s="127"/>
      <c r="BB13" s="127"/>
    </row>
    <row r="14" spans="1:54">
      <c r="A14" s="127"/>
      <c r="B14" s="127"/>
      <c r="C14" s="823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823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823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823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</row>
    <row r="15" spans="1:54">
      <c r="A15" s="127"/>
      <c r="B15" s="127"/>
      <c r="C15" s="823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823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823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823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</row>
    <row r="16" spans="1:54">
      <c r="A16" s="127"/>
      <c r="B16" s="127"/>
      <c r="C16" s="823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823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823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823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</row>
    <row r="17" spans="1:54">
      <c r="A17" s="127"/>
      <c r="B17" s="127"/>
      <c r="C17" s="823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823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823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823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</row>
    <row r="18" spans="1:54">
      <c r="A18" s="127"/>
      <c r="B18" s="127"/>
      <c r="C18" s="823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823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823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823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</row>
    <row r="19" spans="1:54">
      <c r="A19" s="127"/>
      <c r="B19" s="127"/>
      <c r="C19" s="823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823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823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823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</row>
    <row r="20" spans="1:54">
      <c r="A20" s="127"/>
      <c r="B20" s="127"/>
      <c r="C20" s="823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823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823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823"/>
      <c r="AQ20" s="127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</row>
    <row r="21" spans="1:54">
      <c r="A21" s="127"/>
      <c r="B21" s="127"/>
      <c r="C21" s="823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823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823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823"/>
      <c r="AQ21" s="127"/>
      <c r="AR21" s="127"/>
      <c r="AS21" s="127"/>
      <c r="AT21" s="127"/>
      <c r="AU21" s="127"/>
      <c r="AV21" s="127"/>
      <c r="AW21" s="127"/>
      <c r="AX21" s="127"/>
      <c r="AY21" s="127"/>
      <c r="AZ21" s="127"/>
      <c r="BA21" s="127"/>
      <c r="BB21" s="127"/>
    </row>
    <row r="22" spans="1:54">
      <c r="A22" s="127"/>
      <c r="B22" s="127"/>
      <c r="C22" s="823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823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823"/>
      <c r="AD22" s="127"/>
      <c r="AE22" s="127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823"/>
      <c r="AQ22" s="127"/>
      <c r="AR22" s="127"/>
      <c r="AS22" s="127"/>
      <c r="AT22" s="127"/>
      <c r="AU22" s="127"/>
      <c r="AV22" s="127"/>
      <c r="AW22" s="127"/>
      <c r="AX22" s="127"/>
      <c r="AY22" s="127"/>
      <c r="AZ22" s="127"/>
      <c r="BA22" s="127"/>
      <c r="BB22" s="127"/>
    </row>
    <row r="23" spans="1:54">
      <c r="A23" s="127"/>
      <c r="B23" s="127"/>
      <c r="C23" s="823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823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823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823"/>
      <c r="AQ23" s="127"/>
      <c r="AR23" s="127"/>
      <c r="AS23" s="127"/>
      <c r="AT23" s="127"/>
      <c r="AU23" s="127"/>
      <c r="AV23" s="127"/>
      <c r="AW23" s="127"/>
      <c r="AX23" s="127"/>
      <c r="AY23" s="127"/>
      <c r="AZ23" s="127"/>
      <c r="BA23" s="127"/>
      <c r="BB23" s="127"/>
    </row>
    <row r="24" spans="1:54">
      <c r="A24" s="127"/>
      <c r="B24" s="127"/>
      <c r="C24" s="823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823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823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823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</row>
    <row r="25" spans="1:54">
      <c r="A25" s="127"/>
      <c r="B25" s="127"/>
      <c r="C25" s="823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823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823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823"/>
      <c r="AQ25" s="127"/>
      <c r="AR25" s="127"/>
      <c r="AS25" s="127"/>
      <c r="AT25" s="127"/>
      <c r="AU25" s="127"/>
      <c r="AV25" s="127"/>
      <c r="AW25" s="127"/>
      <c r="AX25" s="127"/>
      <c r="AY25" s="127"/>
      <c r="AZ25" s="127"/>
      <c r="BA25" s="127"/>
      <c r="BB25" s="127"/>
    </row>
    <row r="26" spans="1:54">
      <c r="A26" s="127"/>
      <c r="B26" s="127"/>
      <c r="C26" s="823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823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823"/>
      <c r="AD26" s="127"/>
      <c r="AE26" s="127"/>
      <c r="AF26" s="127"/>
      <c r="AG26" s="127"/>
      <c r="AH26" s="127"/>
      <c r="AI26" s="127"/>
      <c r="AJ26" s="127"/>
      <c r="AK26" s="127"/>
      <c r="AL26" s="127"/>
      <c r="AM26" s="127"/>
      <c r="AN26" s="127"/>
      <c r="AO26" s="127"/>
      <c r="AP26" s="823"/>
      <c r="AQ26" s="127"/>
      <c r="AR26" s="127"/>
      <c r="AS26" s="127"/>
      <c r="AT26" s="127"/>
      <c r="AU26" s="127"/>
      <c r="AV26" s="127"/>
      <c r="AW26" s="127"/>
      <c r="AX26" s="127"/>
      <c r="AY26" s="127"/>
      <c r="AZ26" s="127"/>
      <c r="BA26" s="127"/>
      <c r="BB26" s="127"/>
    </row>
    <row r="27" spans="1:54">
      <c r="A27" s="127"/>
      <c r="B27" s="127"/>
      <c r="C27" s="823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823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823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823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</row>
    <row r="28" spans="1:54">
      <c r="A28" s="127"/>
      <c r="B28" s="127"/>
      <c r="C28" s="823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823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823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  <c r="AN28" s="127"/>
      <c r="AO28" s="127"/>
      <c r="AP28" s="823"/>
      <c r="AQ28" s="127"/>
      <c r="AR28" s="127"/>
      <c r="AS28" s="127"/>
      <c r="AT28" s="127"/>
      <c r="AU28" s="127"/>
      <c r="AV28" s="127"/>
      <c r="AW28" s="127"/>
      <c r="AX28" s="127"/>
      <c r="AY28" s="127"/>
      <c r="AZ28" s="127"/>
      <c r="BA28" s="127"/>
      <c r="BB28" s="127"/>
    </row>
    <row r="29" spans="1:54">
      <c r="A29" s="127"/>
      <c r="B29" s="127"/>
      <c r="C29" s="823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823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823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823"/>
      <c r="AQ29" s="127"/>
      <c r="AR29" s="127"/>
      <c r="AS29" s="127"/>
      <c r="AT29" s="127"/>
      <c r="AU29" s="127"/>
      <c r="AV29" s="127"/>
      <c r="AW29" s="127"/>
      <c r="AX29" s="127"/>
      <c r="AY29" s="127"/>
      <c r="AZ29" s="127"/>
      <c r="BA29" s="127"/>
      <c r="BB29" s="127"/>
    </row>
    <row r="30" spans="1:54">
      <c r="A30" s="127"/>
      <c r="B30" s="127"/>
      <c r="C30" s="823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823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823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823"/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</row>
  </sheetData>
  <mergeCells count="8">
    <mergeCell ref="C3:AB3"/>
    <mergeCell ref="AC3:BB3"/>
    <mergeCell ref="C4:O4"/>
    <mergeCell ref="P4:AB4"/>
    <mergeCell ref="AC4:AO4"/>
    <mergeCell ref="AP4:BB4"/>
    <mergeCell ref="A3:A5"/>
    <mergeCell ref="B3:B5"/>
  </mergeCells>
  <conditionalFormatting sqref="A3:B4 A5:BB5">
    <cfRule type="cellIs" dxfId="1" priority="1" operator="lessThan">
      <formula>0</formula>
    </cfRule>
  </conditionalFormatting>
  <hyperlinks>
    <hyperlink ref="A1" location="目录!A1" display="← 返回目录"/>
  </hyperlink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9">
    <tabColor rgb="FF00B0F0"/>
  </sheetPr>
  <dimension ref="A1:M17"/>
  <sheetViews>
    <sheetView zoomScale="85" zoomScaleNormal="85" workbookViewId="0">
      <selection activeCell="D1" sqref="D1"/>
    </sheetView>
  </sheetViews>
  <sheetFormatPr defaultColWidth="8.90833333333333" defaultRowHeight="13.5"/>
  <cols>
    <col min="1" max="1" width="5.63333333333333" customWidth="1"/>
    <col min="2" max="2" width="11.9083333333333" customWidth="1"/>
    <col min="3" max="3" width="20" customWidth="1"/>
    <col min="4" max="4" width="13.0916666666667" customWidth="1"/>
    <col min="5" max="5" width="9.63333333333333" customWidth="1"/>
    <col min="6" max="6" width="12.0916666666667" customWidth="1"/>
    <col min="7" max="7" width="11.9083333333333" customWidth="1"/>
    <col min="8" max="9" width="14.0916666666667" customWidth="1"/>
    <col min="10" max="10" width="9.63333333333333" customWidth="1"/>
    <col min="11" max="11" width="8.81666666666667" customWidth="1"/>
  </cols>
  <sheetData>
    <row r="1" spans="1:13">
      <c r="A1" s="202" t="s">
        <v>185</v>
      </c>
      <c r="B1" s="807" t="s">
        <v>1353</v>
      </c>
      <c r="C1" s="272" t="s">
        <v>1431</v>
      </c>
    </row>
    <row r="2" spans="1:13">
      <c r="B2" s="807" t="s">
        <v>1355</v>
      </c>
      <c r="C2" s="272">
        <v>2026</v>
      </c>
      <c r="D2" s="807" t="s">
        <v>1356</v>
      </c>
      <c r="E2" t="s">
        <v>1357</v>
      </c>
    </row>
    <row r="3" spans="1:13">
      <c r="B3" s="807" t="s">
        <v>1358</v>
      </c>
      <c r="C3" s="272" t="s">
        <v>1359</v>
      </c>
    </row>
    <row r="4" spans="1:13">
      <c r="B4" s="807" t="s">
        <v>1360</v>
      </c>
      <c r="C4" s="808" t="s">
        <v>1361</v>
      </c>
    </row>
    <row r="5" spans="1:13">
      <c r="B5" s="807" t="s">
        <v>1362</v>
      </c>
      <c r="C5" s="272" t="s">
        <v>1432</v>
      </c>
    </row>
    <row r="6" spans="1:13">
      <c r="J6" s="809"/>
    </row>
    <row r="7" s="721" customFormat="1" ht="28.5" customHeight="1" spans="1:13">
      <c r="A7" s="810" t="s">
        <v>1364</v>
      </c>
      <c r="B7" s="810" t="s">
        <v>187</v>
      </c>
      <c r="C7" s="810" t="s">
        <v>188</v>
      </c>
      <c r="D7" s="811" t="s">
        <v>1365</v>
      </c>
      <c r="E7" s="811" t="s">
        <v>1366</v>
      </c>
      <c r="F7" s="811" t="s">
        <v>1367</v>
      </c>
      <c r="G7" s="811" t="s">
        <v>489</v>
      </c>
      <c r="H7" s="811" t="s">
        <v>1369</v>
      </c>
      <c r="I7" s="811" t="s">
        <v>1370</v>
      </c>
      <c r="J7" s="812" t="s">
        <v>1422</v>
      </c>
      <c r="K7" s="813" t="s">
        <v>1433</v>
      </c>
      <c r="L7" s="813" t="s">
        <v>1434</v>
      </c>
      <c r="M7" s="813" t="s">
        <v>204</v>
      </c>
    </row>
    <row r="8" s="722" customFormat="1" ht="12" spans="1:13">
      <c r="A8" s="814" t="s">
        <v>1396</v>
      </c>
      <c r="B8" s="814" t="s">
        <v>1397</v>
      </c>
      <c r="C8" s="814" t="s">
        <v>1363</v>
      </c>
      <c r="D8" s="814"/>
      <c r="E8" s="814"/>
      <c r="F8" s="814"/>
      <c r="G8" s="814" t="s">
        <v>1424</v>
      </c>
      <c r="H8" s="814" t="s">
        <v>1398</v>
      </c>
      <c r="I8" s="814" t="s">
        <v>1425</v>
      </c>
      <c r="J8" s="814"/>
      <c r="K8" s="814"/>
      <c r="L8" s="815"/>
      <c r="M8" s="815"/>
    </row>
    <row r="9" spans="1:13">
      <c r="A9" s="814"/>
      <c r="B9" s="814"/>
      <c r="C9" s="814"/>
      <c r="D9" s="814"/>
      <c r="E9" s="814"/>
      <c r="F9" s="814"/>
      <c r="G9" s="814"/>
      <c r="H9" s="814"/>
      <c r="I9" s="814"/>
      <c r="J9" s="814"/>
      <c r="K9" s="814"/>
      <c r="L9" s="814"/>
      <c r="M9" s="815"/>
    </row>
    <row r="10" spans="1:13">
      <c r="A10" s="814"/>
      <c r="B10" s="814"/>
      <c r="C10" s="814"/>
      <c r="D10" s="814"/>
      <c r="E10" s="814"/>
      <c r="F10" s="814"/>
      <c r="G10" s="814"/>
      <c r="H10" s="814"/>
      <c r="I10" s="814"/>
      <c r="J10" s="814"/>
      <c r="K10" s="814"/>
      <c r="L10" s="814"/>
      <c r="M10" s="815"/>
    </row>
    <row r="11" spans="1:13">
      <c r="A11" s="814"/>
      <c r="B11" s="814"/>
      <c r="C11" s="814"/>
      <c r="D11" s="814"/>
      <c r="E11" s="814"/>
      <c r="F11" s="814"/>
      <c r="G11" s="814"/>
      <c r="H11" s="814"/>
      <c r="I11" s="814"/>
      <c r="J11" s="814"/>
      <c r="K11" s="814"/>
      <c r="L11" s="814"/>
      <c r="M11" s="815"/>
    </row>
    <row r="12" spans="1:13">
      <c r="A12" s="814"/>
      <c r="B12" s="814"/>
      <c r="C12" s="814"/>
      <c r="D12" s="814"/>
      <c r="E12" s="814"/>
      <c r="F12" s="814"/>
      <c r="G12" s="814"/>
      <c r="H12" s="814"/>
      <c r="I12" s="814"/>
      <c r="J12" s="814"/>
      <c r="K12" s="814"/>
      <c r="L12" s="814"/>
      <c r="M12" s="815"/>
    </row>
    <row r="13" spans="1:13">
      <c r="A13" s="814"/>
      <c r="B13" s="814"/>
      <c r="C13" s="814"/>
      <c r="D13" s="814"/>
      <c r="E13" s="814"/>
      <c r="F13" s="814"/>
      <c r="G13" s="814"/>
      <c r="H13" s="814"/>
      <c r="I13" s="814"/>
      <c r="J13" s="814"/>
      <c r="K13" s="814"/>
      <c r="L13" s="814"/>
      <c r="M13" s="815"/>
    </row>
    <row r="14" spans="1:13">
      <c r="A14" s="814"/>
      <c r="B14" s="814"/>
      <c r="C14" s="814"/>
      <c r="D14" s="814"/>
      <c r="E14" s="814"/>
      <c r="F14" s="814"/>
      <c r="G14" s="814"/>
      <c r="H14" s="814"/>
      <c r="I14" s="814"/>
      <c r="J14" s="814"/>
      <c r="K14" s="814"/>
      <c r="L14" s="814"/>
      <c r="M14" s="815"/>
    </row>
    <row r="15" spans="1:13">
      <c r="A15" s="814"/>
      <c r="B15" s="814"/>
      <c r="C15" s="814"/>
      <c r="D15" s="814"/>
      <c r="E15" s="814"/>
      <c r="F15" s="814"/>
      <c r="G15" s="814"/>
      <c r="H15" s="814"/>
      <c r="I15" s="814"/>
      <c r="J15" s="814"/>
      <c r="K15" s="814"/>
      <c r="L15" s="814"/>
      <c r="M15" s="815"/>
    </row>
    <row r="16" spans="1:13">
      <c r="A16" s="814"/>
      <c r="B16" s="814"/>
      <c r="C16" s="814"/>
      <c r="D16" s="814"/>
      <c r="E16" s="814"/>
      <c r="F16" s="814"/>
      <c r="G16" s="814"/>
      <c r="H16" s="814"/>
      <c r="I16" s="814"/>
      <c r="J16" s="814"/>
      <c r="K16" s="814"/>
      <c r="L16" s="814"/>
      <c r="M16" s="815"/>
    </row>
    <row r="17" spans="1:13">
      <c r="A17" s="814"/>
      <c r="B17" s="814"/>
      <c r="C17" s="814"/>
      <c r="D17" s="814"/>
      <c r="E17" s="814"/>
      <c r="F17" s="814"/>
      <c r="G17" s="814"/>
      <c r="H17" s="814"/>
      <c r="I17" s="814"/>
      <c r="J17" s="814"/>
      <c r="K17" s="814"/>
      <c r="L17" s="814"/>
      <c r="M17" s="815"/>
    </row>
  </sheetData>
  <hyperlinks>
    <hyperlink ref="A1" location="目录!A1" display="← 返回目录"/>
  </hyperlink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>
    <tabColor theme="8" tint="0.799981688894314"/>
  </sheetPr>
  <dimension ref="A1:AZ119"/>
  <sheetViews>
    <sheetView showGridLines="0" showZeros="0" zoomScale="85" zoomScaleNormal="85" topLeftCell="A10" workbookViewId="0">
      <selection activeCell="B21" sqref="B21:AB24"/>
    </sheetView>
  </sheetViews>
  <sheetFormatPr defaultColWidth="8.725" defaultRowHeight="11.25"/>
  <cols>
    <col min="1" max="1" width="1.63333333333333" style="1" customWidth="1"/>
    <col min="2" max="2" width="6.63333333333333" style="1" customWidth="1"/>
    <col min="3" max="3" width="12.6333333333333" style="1" customWidth="1"/>
    <col min="4" max="4" width="12.725" style="1" customWidth="1"/>
    <col min="5" max="5" width="15.6333333333333" style="1" customWidth="1"/>
    <col min="6" max="6" width="11.6333333333333" style="1" customWidth="1"/>
    <col min="7" max="7" width="10.0916666666667" style="1" customWidth="1"/>
    <col min="8" max="8" width="10.1833333333333" style="1" customWidth="1"/>
    <col min="9" max="9" width="13.5416666666667" style="1" customWidth="1"/>
    <col min="10" max="10" width="14.725" style="1" customWidth="1"/>
    <col min="11" max="12" width="12.6333333333333" style="1" customWidth="1"/>
    <col min="13" max="15" width="15.3666666666667" style="1" customWidth="1"/>
    <col min="16" max="27" width="8.90833333333333" style="1" customWidth="1"/>
    <col min="28" max="28" width="13.525" style="1" customWidth="1"/>
    <col min="29" max="40" width="10.5416666666667" style="1" customWidth="1"/>
    <col min="41" max="70" width="8.725" style="1" customWidth="1"/>
    <col min="71" max="16384" width="8.725" style="1"/>
  </cols>
  <sheetData>
    <row r="1" ht="16.5" hidden="1" customHeight="1" spans="1:30">
      <c r="A1" s="162" t="s">
        <v>185</v>
      </c>
      <c r="B1" s="1" t="s">
        <v>1435</v>
      </c>
      <c r="C1" s="1" t="s">
        <v>1436</v>
      </c>
    </row>
    <row r="2" ht="16.5" hidden="1" customHeight="1" spans="1:30">
      <c r="B2" s="754" t="s">
        <v>1437</v>
      </c>
      <c r="C2" s="1" t="s">
        <v>1438</v>
      </c>
    </row>
    <row r="3" ht="16.5" hidden="1" customHeight="1" spans="1:30">
      <c r="B3" s="754" t="s">
        <v>1439</v>
      </c>
      <c r="C3" s="1" t="s">
        <v>340</v>
      </c>
    </row>
    <row r="4" ht="16.5" hidden="1" customHeight="1" spans="1:30">
      <c r="B4" s="754" t="s">
        <v>1440</v>
      </c>
      <c r="C4" s="1" t="s">
        <v>1441</v>
      </c>
    </row>
    <row r="5" ht="16.5" hidden="1" customHeight="1" spans="1:30">
      <c r="B5" s="754" t="s">
        <v>1442</v>
      </c>
      <c r="C5" s="1" t="s">
        <v>1443</v>
      </c>
    </row>
    <row r="6" ht="16.5" hidden="1" customHeight="1" spans="1:30">
      <c r="B6" s="754" t="s">
        <v>333</v>
      </c>
      <c r="C6" s="1" t="s">
        <v>1444</v>
      </c>
    </row>
    <row r="7" ht="16.5" hidden="1" customHeight="1" spans="1:30">
      <c r="B7" s="754" t="s">
        <v>1445</v>
      </c>
      <c r="C7" s="1" t="s">
        <v>1446</v>
      </c>
    </row>
    <row r="8" ht="9" hidden="1" customHeight="1" spans="1:30">
      <c r="B8" s="754"/>
    </row>
    <row r="9" ht="9" hidden="1" customHeight="1"/>
    <row r="10" ht="3.65" customHeight="1" spans="1:30">
      <c r="B10" s="755"/>
      <c r="E10" s="756"/>
      <c r="F10" s="756"/>
    </row>
    <row r="11" ht="13" customHeight="1" spans="1:30">
      <c r="B11" s="492" t="s">
        <v>1447</v>
      </c>
      <c r="C11" s="492"/>
      <c r="D11" s="492"/>
      <c r="E11" s="492"/>
      <c r="F11" s="7" t="s">
        <v>1404</v>
      </c>
      <c r="G11" s="8" t="s">
        <v>1448</v>
      </c>
      <c r="H11" s="8"/>
      <c r="I11" s="8"/>
      <c r="J11" s="8"/>
      <c r="K11" s="8"/>
      <c r="L11" s="8"/>
      <c r="M11" s="8"/>
      <c r="N11" s="8"/>
      <c r="O11" s="70"/>
      <c r="AC11" s="8"/>
      <c r="AD11" s="70"/>
    </row>
    <row r="12" ht="13" customHeight="1" spans="1:30">
      <c r="B12" s="492"/>
      <c r="C12" s="492"/>
      <c r="D12" s="492"/>
      <c r="E12" s="492"/>
      <c r="F12" s="12"/>
      <c r="G12" s="13" t="s">
        <v>1449</v>
      </c>
      <c r="H12" s="13"/>
      <c r="I12" s="13"/>
      <c r="J12" s="13"/>
      <c r="K12" s="13"/>
      <c r="L12" s="13"/>
      <c r="M12" s="14"/>
      <c r="N12" s="14"/>
      <c r="O12" s="803"/>
      <c r="AC12" s="14"/>
      <c r="AD12" s="71"/>
    </row>
    <row r="13" ht="13" customHeight="1" spans="1:30">
      <c r="B13" s="492"/>
      <c r="C13" s="492"/>
      <c r="D13" s="492"/>
      <c r="E13" s="492"/>
      <c r="F13" s="12"/>
      <c r="G13" s="13" t="s">
        <v>1450</v>
      </c>
      <c r="H13" s="13"/>
      <c r="I13" s="13"/>
      <c r="J13" s="13"/>
      <c r="K13" s="13"/>
      <c r="L13" s="13"/>
      <c r="M13" s="14"/>
      <c r="N13" s="14"/>
      <c r="O13" s="803"/>
      <c r="AC13" s="14"/>
      <c r="AD13" s="71"/>
    </row>
    <row r="14" customHeight="1" spans="1:30">
      <c r="B14" s="492"/>
      <c r="C14" s="492"/>
      <c r="D14" s="492"/>
      <c r="E14" s="492"/>
      <c r="F14" s="12"/>
      <c r="G14" s="13" t="s">
        <v>1408</v>
      </c>
      <c r="H14" s="13"/>
      <c r="I14" s="13"/>
      <c r="J14" s="13"/>
      <c r="K14" s="13"/>
      <c r="L14" s="13"/>
      <c r="M14" s="15"/>
      <c r="N14" s="15"/>
      <c r="O14" s="804"/>
      <c r="AC14" s="14"/>
      <c r="AD14" s="71"/>
    </row>
    <row r="15" customHeight="1" spans="1:30">
      <c r="B15" s="292" t="s">
        <v>1451</v>
      </c>
      <c r="C15" s="292"/>
      <c r="D15" s="292"/>
      <c r="E15" s="292"/>
      <c r="F15" s="12"/>
      <c r="G15" s="806"/>
      <c r="H15" s="22"/>
      <c r="I15" s="13"/>
      <c r="J15" s="13"/>
      <c r="K15" s="13"/>
      <c r="L15" s="13"/>
      <c r="M15" s="15"/>
      <c r="N15" s="15"/>
      <c r="O15" s="804"/>
      <c r="AC15" s="14"/>
      <c r="AD15" s="71"/>
    </row>
    <row r="16" customHeight="1" spans="1:30">
      <c r="B16" s="292"/>
      <c r="C16" s="292"/>
      <c r="D16" s="292"/>
      <c r="E16" s="292"/>
      <c r="F16" s="26" t="s">
        <v>1452</v>
      </c>
      <c r="G16" s="27"/>
      <c r="H16" s="27"/>
      <c r="I16" s="28"/>
      <c r="J16" s="28"/>
      <c r="K16" s="28"/>
      <c r="L16" s="28"/>
      <c r="M16" s="29"/>
      <c r="N16" s="29"/>
      <c r="O16" s="805"/>
      <c r="AC16" s="30"/>
      <c r="AD16" s="72"/>
    </row>
    <row r="17" ht="4.5" customHeight="1" spans="2:52">
      <c r="F17" s="31"/>
      <c r="G17" s="32">
        <v>0</v>
      </c>
      <c r="H17" s="32"/>
      <c r="L17" s="33"/>
      <c r="M17" s="34"/>
      <c r="N17" s="34"/>
      <c r="O17" s="34"/>
    </row>
    <row r="18" ht="10.5" customHeight="1" spans="2:52">
      <c r="F18" s="35"/>
      <c r="G18" s="32"/>
      <c r="H18" s="32"/>
      <c r="AO18" s="1" t="s">
        <v>1453</v>
      </c>
    </row>
    <row r="19" ht="15" customHeight="1" spans="2:52">
      <c r="B19" s="36" t="s">
        <v>1411</v>
      </c>
      <c r="C19" s="37" t="s">
        <v>1412</v>
      </c>
      <c r="D19" s="36" t="s">
        <v>188</v>
      </c>
      <c r="E19" s="37" t="s">
        <v>1413</v>
      </c>
      <c r="F19" s="36" t="s">
        <v>5</v>
      </c>
      <c r="G19" s="37" t="s">
        <v>1454</v>
      </c>
      <c r="H19" s="36" t="s">
        <v>1364</v>
      </c>
      <c r="I19" s="37" t="s">
        <v>1396</v>
      </c>
      <c r="J19" s="36" t="s">
        <v>1414</v>
      </c>
      <c r="K19" s="38" t="s">
        <v>1359</v>
      </c>
    </row>
    <row r="20" ht="14.5" customHeight="1" spans="2:52">
      <c r="AC20" s="754"/>
    </row>
    <row r="21" s="753" customFormat="1" ht="20.5" customHeight="1" spans="2:52">
      <c r="B21" s="759" t="s">
        <v>1455</v>
      </c>
      <c r="C21" s="759" t="s">
        <v>1456</v>
      </c>
      <c r="D21" s="759" t="s">
        <v>1366</v>
      </c>
      <c r="E21" s="794" t="s">
        <v>1367</v>
      </c>
      <c r="F21" s="794" t="s">
        <v>1368</v>
      </c>
      <c r="G21" s="759" t="s">
        <v>489</v>
      </c>
      <c r="H21" s="759" t="s">
        <v>490</v>
      </c>
      <c r="I21" s="759" t="s">
        <v>1369</v>
      </c>
      <c r="J21" s="794" t="s">
        <v>493</v>
      </c>
      <c r="K21" s="759" t="s">
        <v>1457</v>
      </c>
      <c r="L21" s="759" t="s">
        <v>1458</v>
      </c>
      <c r="M21" s="759" t="s">
        <v>1459</v>
      </c>
      <c r="N21" s="759" t="s">
        <v>1460</v>
      </c>
      <c r="O21" s="759" t="s">
        <v>1461</v>
      </c>
      <c r="P21" s="795" t="s">
        <v>190</v>
      </c>
      <c r="Q21" s="796"/>
      <c r="R21" s="796"/>
      <c r="S21" s="796"/>
      <c r="T21" s="796"/>
      <c r="U21" s="796"/>
      <c r="V21" s="796"/>
      <c r="W21" s="796"/>
      <c r="X21" s="796"/>
      <c r="Y21" s="796"/>
      <c r="Z21" s="796"/>
      <c r="AA21" s="796"/>
      <c r="AB21" s="797"/>
      <c r="AC21" s="761" t="s">
        <v>280</v>
      </c>
      <c r="AD21" s="762"/>
      <c r="AE21" s="762"/>
      <c r="AF21" s="762"/>
      <c r="AG21" s="762"/>
      <c r="AH21" s="762"/>
      <c r="AI21" s="762"/>
      <c r="AJ21" s="762"/>
      <c r="AK21" s="762"/>
      <c r="AL21" s="762"/>
      <c r="AM21" s="762"/>
      <c r="AN21" s="802"/>
      <c r="AO21" s="761" t="s">
        <v>287</v>
      </c>
      <c r="AP21" s="762"/>
      <c r="AQ21" s="762"/>
      <c r="AR21" s="762"/>
      <c r="AS21" s="762"/>
      <c r="AT21" s="762"/>
      <c r="AU21" s="762"/>
      <c r="AV21" s="762"/>
      <c r="AW21" s="762"/>
      <c r="AX21" s="762"/>
      <c r="AY21" s="762"/>
      <c r="AZ21" s="802"/>
    </row>
    <row r="22" s="753" customFormat="1" ht="20.5" customHeight="1" spans="2:52">
      <c r="B22" s="764"/>
      <c r="C22" s="764"/>
      <c r="D22" s="764"/>
      <c r="E22" s="798"/>
      <c r="F22" s="798"/>
      <c r="G22" s="764"/>
      <c r="H22" s="764"/>
      <c r="I22" s="764"/>
      <c r="J22" s="798"/>
      <c r="K22" s="764"/>
      <c r="L22" s="764"/>
      <c r="M22" s="764"/>
      <c r="N22" s="764"/>
      <c r="O22" s="764"/>
      <c r="P22" s="732" t="s">
        <v>304</v>
      </c>
      <c r="Q22" s="732" t="s">
        <v>305</v>
      </c>
      <c r="R22" s="732" t="s">
        <v>306</v>
      </c>
      <c r="S22" s="732" t="s">
        <v>307</v>
      </c>
      <c r="T22" s="732" t="s">
        <v>308</v>
      </c>
      <c r="U22" s="732" t="s">
        <v>309</v>
      </c>
      <c r="V22" s="732" t="s">
        <v>310</v>
      </c>
      <c r="W22" s="732" t="s">
        <v>311</v>
      </c>
      <c r="X22" s="732" t="s">
        <v>312</v>
      </c>
      <c r="Y22" s="732" t="s">
        <v>313</v>
      </c>
      <c r="Z22" s="732" t="s">
        <v>314</v>
      </c>
      <c r="AA22" s="732" t="s">
        <v>315</v>
      </c>
      <c r="AB22" s="732" t="s">
        <v>1462</v>
      </c>
      <c r="AC22" s="766" t="s">
        <v>304</v>
      </c>
      <c r="AD22" s="766" t="s">
        <v>305</v>
      </c>
      <c r="AE22" s="766" t="s">
        <v>306</v>
      </c>
      <c r="AF22" s="766" t="s">
        <v>307</v>
      </c>
      <c r="AG22" s="766" t="s">
        <v>308</v>
      </c>
      <c r="AH22" s="766" t="s">
        <v>309</v>
      </c>
      <c r="AI22" s="766" t="s">
        <v>310</v>
      </c>
      <c r="AJ22" s="766" t="s">
        <v>311</v>
      </c>
      <c r="AK22" s="766" t="s">
        <v>312</v>
      </c>
      <c r="AL22" s="766" t="s">
        <v>313</v>
      </c>
      <c r="AM22" s="766" t="s">
        <v>314</v>
      </c>
      <c r="AN22" s="766" t="s">
        <v>315</v>
      </c>
      <c r="AO22" s="766" t="s">
        <v>304</v>
      </c>
      <c r="AP22" s="766" t="s">
        <v>305</v>
      </c>
      <c r="AQ22" s="766" t="s">
        <v>306</v>
      </c>
      <c r="AR22" s="766" t="s">
        <v>307</v>
      </c>
      <c r="AS22" s="766" t="s">
        <v>308</v>
      </c>
      <c r="AT22" s="766" t="s">
        <v>309</v>
      </c>
      <c r="AU22" s="766" t="s">
        <v>310</v>
      </c>
      <c r="AV22" s="766" t="s">
        <v>311</v>
      </c>
      <c r="AW22" s="766" t="s">
        <v>312</v>
      </c>
      <c r="AX22" s="766" t="s">
        <v>313</v>
      </c>
      <c r="AY22" s="766" t="s">
        <v>314</v>
      </c>
      <c r="AZ22" s="766" t="s">
        <v>315</v>
      </c>
    </row>
    <row r="23" s="753" customFormat="1" ht="20.5" customHeight="1" spans="2:52">
      <c r="B23" s="763"/>
      <c r="C23" s="763" t="s">
        <v>1421</v>
      </c>
      <c r="D23" s="763" t="s">
        <v>1421</v>
      </c>
      <c r="E23" s="744" t="s">
        <v>1463</v>
      </c>
      <c r="F23" s="744" t="s">
        <v>1463</v>
      </c>
      <c r="G23" s="763" t="s">
        <v>1421</v>
      </c>
      <c r="H23" s="763" t="s">
        <v>1421</v>
      </c>
      <c r="I23" s="763" t="s">
        <v>1421</v>
      </c>
      <c r="J23" s="744" t="s">
        <v>1463</v>
      </c>
      <c r="K23" s="763" t="s">
        <v>1421</v>
      </c>
      <c r="L23" s="763" t="s">
        <v>1421</v>
      </c>
      <c r="M23" s="763" t="s">
        <v>1464</v>
      </c>
      <c r="N23" s="763" t="s">
        <v>199</v>
      </c>
      <c r="O23" s="763" t="s">
        <v>199</v>
      </c>
      <c r="P23" s="746" t="s">
        <v>1465</v>
      </c>
      <c r="Q23" s="746" t="s">
        <v>1465</v>
      </c>
      <c r="R23" s="746" t="s">
        <v>1465</v>
      </c>
      <c r="S23" s="746" t="s">
        <v>1465</v>
      </c>
      <c r="T23" s="746" t="s">
        <v>1465</v>
      </c>
      <c r="U23" s="746" t="s">
        <v>1465</v>
      </c>
      <c r="V23" s="746" t="s">
        <v>1465</v>
      </c>
      <c r="W23" s="746" t="s">
        <v>1465</v>
      </c>
      <c r="X23" s="746" t="s">
        <v>1465</v>
      </c>
      <c r="Y23" s="746" t="s">
        <v>1465</v>
      </c>
      <c r="Z23" s="746" t="s">
        <v>1465</v>
      </c>
      <c r="AA23" s="746" t="s">
        <v>1465</v>
      </c>
      <c r="AB23" s="746" t="s">
        <v>1465</v>
      </c>
      <c r="AC23" s="766" t="s">
        <v>1421</v>
      </c>
      <c r="AD23" s="766" t="s">
        <v>1421</v>
      </c>
      <c r="AE23" s="766" t="s">
        <v>1421</v>
      </c>
      <c r="AF23" s="766" t="s">
        <v>1421</v>
      </c>
      <c r="AG23" s="766" t="s">
        <v>1421</v>
      </c>
      <c r="AH23" s="766" t="s">
        <v>1421</v>
      </c>
      <c r="AI23" s="766" t="s">
        <v>1421</v>
      </c>
      <c r="AJ23" s="766" t="s">
        <v>1421</v>
      </c>
      <c r="AK23" s="766" t="s">
        <v>1421</v>
      </c>
      <c r="AL23" s="766" t="s">
        <v>1421</v>
      </c>
      <c r="AM23" s="766" t="s">
        <v>1421</v>
      </c>
      <c r="AN23" s="766" t="s">
        <v>1421</v>
      </c>
      <c r="AO23" s="766" t="s">
        <v>199</v>
      </c>
      <c r="AP23" s="766" t="s">
        <v>199</v>
      </c>
      <c r="AQ23" s="766" t="s">
        <v>199</v>
      </c>
      <c r="AR23" s="766" t="s">
        <v>199</v>
      </c>
      <c r="AS23" s="766" t="s">
        <v>199</v>
      </c>
      <c r="AT23" s="766" t="s">
        <v>199</v>
      </c>
      <c r="AU23" s="766" t="s">
        <v>199</v>
      </c>
      <c r="AV23" s="766" t="s">
        <v>199</v>
      </c>
      <c r="AW23" s="766" t="s">
        <v>199</v>
      </c>
      <c r="AX23" s="766" t="s">
        <v>199</v>
      </c>
      <c r="AY23" s="766" t="s">
        <v>199</v>
      </c>
      <c r="AZ23" s="766" t="s">
        <v>199</v>
      </c>
    </row>
    <row r="24" ht="20.5" customHeight="1" spans="2:52">
      <c r="B24" s="767" t="s">
        <v>281</v>
      </c>
      <c r="C24" s="768" t="s">
        <v>1466</v>
      </c>
      <c r="D24" s="768" t="s">
        <v>1466</v>
      </c>
      <c r="E24" s="768" t="s">
        <v>1466</v>
      </c>
      <c r="F24" s="768" t="s">
        <v>1466</v>
      </c>
      <c r="G24" s="768" t="s">
        <v>1466</v>
      </c>
      <c r="H24" s="768" t="s">
        <v>1466</v>
      </c>
      <c r="I24" s="768" t="s">
        <v>1466</v>
      </c>
      <c r="J24" s="768" t="s">
        <v>1466</v>
      </c>
      <c r="K24" s="768" t="s">
        <v>1466</v>
      </c>
      <c r="L24" s="768"/>
      <c r="M24" s="769" t="s">
        <v>1464</v>
      </c>
      <c r="N24" s="769" t="s">
        <v>199</v>
      </c>
      <c r="O24" s="769" t="s">
        <v>199</v>
      </c>
      <c r="P24" s="769" t="s">
        <v>1464</v>
      </c>
      <c r="Q24" s="769" t="s">
        <v>1464</v>
      </c>
      <c r="R24" s="769" t="s">
        <v>1464</v>
      </c>
      <c r="S24" s="769" t="s">
        <v>1464</v>
      </c>
      <c r="T24" s="769" t="s">
        <v>1464</v>
      </c>
      <c r="U24" s="769" t="s">
        <v>1464</v>
      </c>
      <c r="V24" s="769" t="s">
        <v>1464</v>
      </c>
      <c r="W24" s="769" t="s">
        <v>1464</v>
      </c>
      <c r="X24" s="769" t="s">
        <v>1464</v>
      </c>
      <c r="Y24" s="769" t="s">
        <v>1464</v>
      </c>
      <c r="Z24" s="769" t="s">
        <v>1464</v>
      </c>
      <c r="AA24" s="769" t="s">
        <v>1464</v>
      </c>
      <c r="AB24" s="769"/>
      <c r="AC24" s="769" t="s">
        <v>1464</v>
      </c>
      <c r="AD24" s="769" t="s">
        <v>1464</v>
      </c>
      <c r="AE24" s="769" t="s">
        <v>1464</v>
      </c>
      <c r="AF24" s="769" t="s">
        <v>1464</v>
      </c>
      <c r="AG24" s="769" t="s">
        <v>1464</v>
      </c>
      <c r="AH24" s="769" t="s">
        <v>1464</v>
      </c>
      <c r="AI24" s="769" t="s">
        <v>1464</v>
      </c>
      <c r="AJ24" s="769" t="s">
        <v>1464</v>
      </c>
      <c r="AK24" s="769" t="s">
        <v>1464</v>
      </c>
      <c r="AL24" s="769" t="s">
        <v>1464</v>
      </c>
      <c r="AM24" s="769" t="s">
        <v>1464</v>
      </c>
      <c r="AN24" s="769" t="s">
        <v>1464</v>
      </c>
      <c r="AO24" s="769" t="s">
        <v>1464</v>
      </c>
      <c r="AP24" s="769" t="s">
        <v>1464</v>
      </c>
      <c r="AQ24" s="769" t="s">
        <v>1464</v>
      </c>
      <c r="AR24" s="769" t="s">
        <v>1464</v>
      </c>
      <c r="AS24" s="769" t="s">
        <v>1464</v>
      </c>
      <c r="AT24" s="769" t="s">
        <v>1464</v>
      </c>
      <c r="AU24" s="769" t="s">
        <v>1464</v>
      </c>
      <c r="AV24" s="769" t="s">
        <v>1464</v>
      </c>
      <c r="AW24" s="769" t="s">
        <v>1464</v>
      </c>
      <c r="AX24" s="769" t="s">
        <v>1464</v>
      </c>
      <c r="AY24" s="769" t="s">
        <v>1464</v>
      </c>
      <c r="AZ24" s="769" t="s">
        <v>1464</v>
      </c>
    </row>
    <row r="25" ht="15" customHeight="1" spans="2:52">
      <c r="B25" s="767" t="s">
        <v>1467</v>
      </c>
      <c r="C25" s="770"/>
      <c r="D25" s="770"/>
      <c r="E25" s="770"/>
      <c r="F25" s="770" t="s">
        <v>1468</v>
      </c>
      <c r="G25" s="770" t="s">
        <v>231</v>
      </c>
      <c r="H25" s="770" t="s">
        <v>993</v>
      </c>
      <c r="I25" s="770"/>
      <c r="J25" s="770" t="s">
        <v>1350</v>
      </c>
      <c r="K25" s="770"/>
      <c r="L25" s="770"/>
      <c r="M25" s="769" t="s">
        <v>1464</v>
      </c>
      <c r="N25" s="769" t="s">
        <v>199</v>
      </c>
      <c r="O25" s="769" t="s">
        <v>199</v>
      </c>
      <c r="P25" s="748"/>
      <c r="Q25" s="800"/>
      <c r="R25" s="800"/>
      <c r="S25" s="800"/>
      <c r="T25" s="800"/>
      <c r="U25" s="800"/>
      <c r="V25" s="800"/>
      <c r="W25" s="800"/>
      <c r="X25" s="800"/>
      <c r="Y25" s="800"/>
      <c r="Z25" s="748"/>
      <c r="AA25" s="748"/>
      <c r="AB25" s="748"/>
      <c r="AC25" s="748"/>
      <c r="AD25" s="800"/>
      <c r="AE25" s="800"/>
      <c r="AF25" s="800"/>
      <c r="AG25" s="800"/>
      <c r="AH25" s="800"/>
      <c r="AI25" s="800"/>
      <c r="AJ25" s="800"/>
      <c r="AK25" s="800"/>
      <c r="AL25" s="800"/>
      <c r="AM25" s="748"/>
      <c r="AN25" s="748"/>
      <c r="AO25" s="748"/>
      <c r="AP25" s="800"/>
      <c r="AQ25" s="800"/>
      <c r="AR25" s="800"/>
      <c r="AS25" s="800"/>
      <c r="AT25" s="800"/>
      <c r="AU25" s="800"/>
      <c r="AV25" s="800"/>
      <c r="AW25" s="800"/>
      <c r="AX25" s="800"/>
      <c r="AY25" s="748"/>
      <c r="AZ25" s="748"/>
    </row>
    <row r="26" ht="15" customHeight="1" spans="2:52">
      <c r="B26" s="767" t="s">
        <v>1469</v>
      </c>
      <c r="C26" s="770"/>
      <c r="D26" s="770"/>
      <c r="E26" s="770"/>
      <c r="F26" s="770" t="s">
        <v>1470</v>
      </c>
      <c r="G26" s="770"/>
      <c r="H26" s="770"/>
      <c r="I26" s="770"/>
      <c r="J26" s="770" t="s">
        <v>1351</v>
      </c>
      <c r="K26" s="770"/>
      <c r="L26" s="770"/>
      <c r="M26" s="769" t="s">
        <v>1464</v>
      </c>
      <c r="N26" s="769" t="s">
        <v>199</v>
      </c>
      <c r="O26" s="769" t="s">
        <v>199</v>
      </c>
      <c r="P26" s="748"/>
      <c r="Q26" s="748"/>
      <c r="R26" s="748"/>
      <c r="S26" s="748"/>
      <c r="T26" s="800"/>
      <c r="U26" s="800"/>
      <c r="V26" s="800"/>
      <c r="W26" s="800"/>
      <c r="X26" s="800"/>
      <c r="Y26" s="800"/>
      <c r="Z26" s="748"/>
      <c r="AA26" s="748"/>
      <c r="AB26" s="748"/>
      <c r="AC26" s="748"/>
      <c r="AD26" s="748"/>
      <c r="AE26" s="748"/>
      <c r="AF26" s="748"/>
      <c r="AG26" s="800"/>
      <c r="AH26" s="800"/>
      <c r="AI26" s="800"/>
      <c r="AJ26" s="800"/>
      <c r="AK26" s="800"/>
      <c r="AL26" s="800"/>
      <c r="AM26" s="748"/>
      <c r="AN26" s="748"/>
      <c r="AO26" s="748"/>
      <c r="AP26" s="748"/>
      <c r="AQ26" s="748"/>
      <c r="AR26" s="748"/>
      <c r="AS26" s="800"/>
      <c r="AT26" s="800"/>
      <c r="AU26" s="800"/>
      <c r="AV26" s="800"/>
      <c r="AW26" s="800"/>
      <c r="AX26" s="800"/>
      <c r="AY26" s="748"/>
      <c r="AZ26" s="748"/>
    </row>
    <row r="27" ht="15" customHeight="1" spans="2:52">
      <c r="B27" s="767" t="s">
        <v>1471</v>
      </c>
      <c r="C27" s="770"/>
      <c r="D27" s="770"/>
      <c r="E27" s="770"/>
      <c r="F27" s="770"/>
      <c r="G27" s="770"/>
      <c r="H27" s="770"/>
      <c r="I27" s="770"/>
      <c r="J27" s="770" t="s">
        <v>1352</v>
      </c>
      <c r="K27" s="770"/>
      <c r="L27" s="770"/>
      <c r="M27" s="769" t="s">
        <v>1464</v>
      </c>
      <c r="N27" s="769" t="s">
        <v>199</v>
      </c>
      <c r="O27" s="769" t="s">
        <v>199</v>
      </c>
      <c r="P27" s="800"/>
      <c r="Q27" s="800"/>
      <c r="R27" s="800"/>
      <c r="S27" s="800"/>
      <c r="T27" s="800"/>
      <c r="U27" s="800"/>
      <c r="V27" s="800"/>
      <c r="W27" s="800"/>
      <c r="X27" s="800"/>
      <c r="Y27" s="800"/>
      <c r="Z27" s="748"/>
      <c r="AA27" s="748"/>
      <c r="AB27" s="748"/>
      <c r="AC27" s="800"/>
      <c r="AD27" s="800"/>
      <c r="AE27" s="800"/>
      <c r="AF27" s="800"/>
      <c r="AG27" s="800"/>
      <c r="AH27" s="800"/>
      <c r="AI27" s="800"/>
      <c r="AJ27" s="800"/>
      <c r="AK27" s="800"/>
      <c r="AL27" s="800"/>
      <c r="AM27" s="748"/>
      <c r="AN27" s="748"/>
      <c r="AO27" s="800"/>
      <c r="AP27" s="800"/>
      <c r="AQ27" s="800"/>
      <c r="AR27" s="800"/>
      <c r="AS27" s="800"/>
      <c r="AT27" s="800"/>
      <c r="AU27" s="800"/>
      <c r="AV27" s="800"/>
      <c r="AW27" s="800"/>
      <c r="AX27" s="800"/>
      <c r="AY27" s="748"/>
      <c r="AZ27" s="748"/>
    </row>
    <row r="28" ht="15" customHeight="1" spans="2:52">
      <c r="B28" s="767" t="s">
        <v>1472</v>
      </c>
      <c r="C28" s="770"/>
      <c r="D28" s="770"/>
      <c r="E28" s="770"/>
      <c r="F28" s="770"/>
      <c r="G28" s="770"/>
      <c r="H28" s="770"/>
      <c r="I28" s="770"/>
      <c r="J28" s="770" t="s">
        <v>993</v>
      </c>
      <c r="K28" s="770"/>
      <c r="L28" s="770"/>
      <c r="M28" s="769" t="s">
        <v>1464</v>
      </c>
      <c r="N28" s="769" t="s">
        <v>199</v>
      </c>
      <c r="O28" s="769" t="s">
        <v>199</v>
      </c>
      <c r="P28" s="800"/>
      <c r="Q28" s="800"/>
      <c r="R28" s="800"/>
      <c r="S28" s="800"/>
      <c r="T28" s="800"/>
      <c r="U28" s="800"/>
      <c r="V28" s="800"/>
      <c r="W28" s="748"/>
      <c r="X28" s="800"/>
      <c r="Y28" s="748"/>
      <c r="Z28" s="748"/>
      <c r="AA28" s="748"/>
      <c r="AB28" s="748"/>
      <c r="AC28" s="800"/>
      <c r="AD28" s="800"/>
      <c r="AE28" s="800"/>
      <c r="AF28" s="800"/>
      <c r="AG28" s="800"/>
      <c r="AH28" s="800"/>
      <c r="AI28" s="800"/>
      <c r="AJ28" s="748"/>
      <c r="AK28" s="800"/>
      <c r="AL28" s="748"/>
      <c r="AM28" s="748"/>
      <c r="AN28" s="748"/>
      <c r="AO28" s="800"/>
      <c r="AP28" s="800"/>
      <c r="AQ28" s="800"/>
      <c r="AR28" s="800"/>
      <c r="AS28" s="800"/>
      <c r="AT28" s="800"/>
      <c r="AU28" s="800"/>
      <c r="AV28" s="748"/>
      <c r="AW28" s="800"/>
      <c r="AX28" s="748"/>
      <c r="AY28" s="748"/>
      <c r="AZ28" s="748"/>
    </row>
    <row r="29" ht="15" customHeight="1" spans="2:52">
      <c r="B29" s="767" t="s">
        <v>1473</v>
      </c>
      <c r="C29" s="770"/>
      <c r="D29" s="770"/>
      <c r="E29" s="770"/>
      <c r="F29" s="770"/>
      <c r="G29" s="770"/>
      <c r="H29" s="770"/>
      <c r="I29" s="770"/>
      <c r="J29" s="770"/>
      <c r="K29" s="770"/>
      <c r="L29" s="770"/>
      <c r="M29" s="769" t="s">
        <v>1464</v>
      </c>
      <c r="N29" s="769" t="s">
        <v>199</v>
      </c>
      <c r="O29" s="769" t="s">
        <v>199</v>
      </c>
      <c r="P29" s="748"/>
      <c r="Q29" s="748"/>
      <c r="R29" s="748"/>
      <c r="S29" s="748"/>
      <c r="T29" s="748"/>
      <c r="U29" s="748"/>
      <c r="V29" s="748"/>
      <c r="W29" s="748"/>
      <c r="X29" s="800"/>
      <c r="Y29" s="800"/>
      <c r="Z29" s="749"/>
      <c r="AA29" s="749"/>
      <c r="AB29" s="749"/>
      <c r="AC29" s="748"/>
      <c r="AD29" s="748"/>
      <c r="AE29" s="748"/>
      <c r="AF29" s="748"/>
      <c r="AG29" s="748"/>
      <c r="AH29" s="748"/>
      <c r="AI29" s="748"/>
      <c r="AJ29" s="748"/>
      <c r="AK29" s="800"/>
      <c r="AL29" s="800"/>
      <c r="AM29" s="749"/>
      <c r="AN29" s="749"/>
      <c r="AO29" s="748"/>
      <c r="AP29" s="748"/>
      <c r="AQ29" s="748"/>
      <c r="AR29" s="748"/>
      <c r="AS29" s="748"/>
      <c r="AT29" s="748"/>
      <c r="AU29" s="748"/>
      <c r="AV29" s="748"/>
      <c r="AW29" s="800"/>
      <c r="AX29" s="800"/>
      <c r="AY29" s="749"/>
      <c r="AZ29" s="749"/>
    </row>
    <row r="30" ht="15" customHeight="1" spans="2:52">
      <c r="B30" s="767" t="s">
        <v>1474</v>
      </c>
      <c r="C30" s="770"/>
      <c r="D30" s="770"/>
      <c r="E30" s="770"/>
      <c r="F30" s="770"/>
      <c r="G30" s="770"/>
      <c r="H30" s="770"/>
      <c r="I30" s="770"/>
      <c r="J30" s="770"/>
      <c r="K30" s="770"/>
      <c r="L30" s="770"/>
      <c r="M30" s="769" t="s">
        <v>1464</v>
      </c>
      <c r="N30" s="769" t="s">
        <v>199</v>
      </c>
      <c r="O30" s="769" t="s">
        <v>199</v>
      </c>
      <c r="P30" s="800"/>
      <c r="Q30" s="800"/>
      <c r="R30" s="800"/>
      <c r="S30" s="800"/>
      <c r="T30" s="800"/>
      <c r="U30" s="800"/>
      <c r="V30" s="800"/>
      <c r="W30" s="800"/>
      <c r="X30" s="800"/>
      <c r="Y30" s="800"/>
      <c r="Z30" s="749"/>
      <c r="AA30" s="749"/>
      <c r="AB30" s="749"/>
      <c r="AC30" s="800"/>
      <c r="AD30" s="800"/>
      <c r="AE30" s="800"/>
      <c r="AF30" s="800"/>
      <c r="AG30" s="800"/>
      <c r="AH30" s="800"/>
      <c r="AI30" s="800"/>
      <c r="AJ30" s="800"/>
      <c r="AK30" s="800"/>
      <c r="AL30" s="800"/>
      <c r="AM30" s="749"/>
      <c r="AN30" s="749"/>
      <c r="AO30" s="800"/>
      <c r="AP30" s="800"/>
      <c r="AQ30" s="800"/>
      <c r="AR30" s="800"/>
      <c r="AS30" s="800"/>
      <c r="AT30" s="800"/>
      <c r="AU30" s="800"/>
      <c r="AV30" s="800"/>
      <c r="AW30" s="800"/>
      <c r="AX30" s="800"/>
      <c r="AY30" s="749"/>
      <c r="AZ30" s="749"/>
    </row>
    <row r="31" ht="15" customHeight="1" spans="2:52">
      <c r="B31" s="767" t="s">
        <v>1475</v>
      </c>
      <c r="C31" s="770"/>
      <c r="D31" s="770"/>
      <c r="E31" s="770"/>
      <c r="F31" s="770"/>
      <c r="G31" s="770"/>
      <c r="H31" s="770"/>
      <c r="I31" s="770"/>
      <c r="J31" s="770"/>
      <c r="K31" s="770"/>
      <c r="L31" s="770"/>
      <c r="M31" s="769" t="s">
        <v>1464</v>
      </c>
      <c r="N31" s="769" t="s">
        <v>199</v>
      </c>
      <c r="O31" s="769" t="s">
        <v>199</v>
      </c>
      <c r="P31" s="750"/>
      <c r="Q31" s="750"/>
      <c r="R31" s="750"/>
      <c r="S31" s="750"/>
      <c r="T31" s="750"/>
      <c r="U31" s="750"/>
      <c r="V31" s="750"/>
      <c r="W31" s="750"/>
      <c r="X31" s="750"/>
      <c r="Y31" s="750"/>
      <c r="Z31" s="750"/>
      <c r="AA31" s="750"/>
      <c r="AB31" s="750"/>
      <c r="AC31" s="750"/>
      <c r="AD31" s="750"/>
      <c r="AE31" s="750"/>
      <c r="AF31" s="750"/>
      <c r="AG31" s="750"/>
      <c r="AH31" s="750"/>
      <c r="AI31" s="750"/>
      <c r="AJ31" s="750"/>
      <c r="AK31" s="750"/>
      <c r="AL31" s="750"/>
      <c r="AM31" s="750"/>
      <c r="AN31" s="750"/>
      <c r="AO31" s="750"/>
      <c r="AP31" s="750"/>
      <c r="AQ31" s="750"/>
      <c r="AR31" s="750"/>
      <c r="AS31" s="750"/>
      <c r="AT31" s="750"/>
      <c r="AU31" s="750"/>
      <c r="AV31" s="750"/>
      <c r="AW31" s="750"/>
      <c r="AX31" s="750"/>
      <c r="AY31" s="750"/>
      <c r="AZ31" s="750"/>
    </row>
    <row r="32" ht="15" customHeight="1" spans="2:52">
      <c r="B32" s="767" t="s">
        <v>1476</v>
      </c>
      <c r="C32" s="770"/>
      <c r="D32" s="770"/>
      <c r="E32" s="770"/>
      <c r="F32" s="770"/>
      <c r="G32" s="770"/>
      <c r="H32" s="770"/>
      <c r="I32" s="770"/>
      <c r="J32" s="770"/>
      <c r="K32" s="770"/>
      <c r="L32" s="770"/>
      <c r="M32" s="769" t="s">
        <v>1464</v>
      </c>
      <c r="N32" s="769" t="s">
        <v>199</v>
      </c>
      <c r="O32" s="769" t="s">
        <v>199</v>
      </c>
      <c r="P32" s="750"/>
      <c r="Q32" s="750"/>
      <c r="R32" s="750"/>
      <c r="S32" s="750"/>
      <c r="T32" s="750"/>
      <c r="U32" s="750"/>
      <c r="V32" s="750"/>
      <c r="W32" s="750"/>
      <c r="X32" s="750"/>
      <c r="Y32" s="750"/>
      <c r="Z32" s="750"/>
      <c r="AA32" s="750"/>
      <c r="AB32" s="750"/>
      <c r="AC32" s="750"/>
      <c r="AD32" s="750"/>
      <c r="AE32" s="750"/>
      <c r="AF32" s="750"/>
      <c r="AG32" s="750"/>
      <c r="AH32" s="750"/>
      <c r="AI32" s="750"/>
      <c r="AJ32" s="750"/>
      <c r="AK32" s="750"/>
      <c r="AL32" s="750"/>
      <c r="AM32" s="750"/>
      <c r="AN32" s="750"/>
      <c r="AO32" s="750"/>
      <c r="AP32" s="750"/>
      <c r="AQ32" s="750"/>
      <c r="AR32" s="750"/>
      <c r="AS32" s="750"/>
      <c r="AT32" s="750"/>
      <c r="AU32" s="750"/>
      <c r="AV32" s="750"/>
      <c r="AW32" s="750"/>
      <c r="AX32" s="750"/>
      <c r="AY32" s="750"/>
      <c r="AZ32" s="750"/>
    </row>
    <row r="33" ht="15" customHeight="1" spans="2:52">
      <c r="B33" s="767" t="s">
        <v>1477</v>
      </c>
      <c r="C33" s="784"/>
      <c r="D33" s="784"/>
      <c r="E33" s="785"/>
      <c r="F33" s="785"/>
      <c r="G33" s="785"/>
      <c r="H33" s="785"/>
      <c r="I33" s="785"/>
      <c r="J33" s="784"/>
      <c r="K33" s="784"/>
      <c r="L33" s="770"/>
      <c r="M33" s="769" t="s">
        <v>1464</v>
      </c>
      <c r="N33" s="769" t="s">
        <v>199</v>
      </c>
      <c r="O33" s="769" t="s">
        <v>199</v>
      </c>
      <c r="P33" s="750"/>
      <c r="Q33" s="750"/>
      <c r="R33" s="750"/>
      <c r="S33" s="750"/>
      <c r="T33" s="750"/>
      <c r="U33" s="750"/>
      <c r="V33" s="750"/>
      <c r="W33" s="750"/>
      <c r="X33" s="750"/>
      <c r="Y33" s="750"/>
      <c r="Z33" s="750"/>
      <c r="AA33" s="750"/>
      <c r="AB33" s="750"/>
      <c r="AC33" s="750"/>
      <c r="AD33" s="750"/>
      <c r="AE33" s="750"/>
      <c r="AF33" s="750"/>
      <c r="AG33" s="750"/>
      <c r="AH33" s="750"/>
      <c r="AI33" s="750"/>
      <c r="AJ33" s="750"/>
      <c r="AK33" s="750"/>
      <c r="AL33" s="750"/>
      <c r="AM33" s="750"/>
      <c r="AN33" s="750"/>
      <c r="AO33" s="750"/>
      <c r="AP33" s="750"/>
      <c r="AQ33" s="750"/>
      <c r="AR33" s="750"/>
      <c r="AS33" s="750"/>
      <c r="AT33" s="750"/>
      <c r="AU33" s="750"/>
      <c r="AV33" s="750"/>
      <c r="AW33" s="750"/>
      <c r="AX33" s="750"/>
      <c r="AY33" s="750"/>
      <c r="AZ33" s="750"/>
    </row>
    <row r="34" ht="15" customHeight="1" spans="2:52">
      <c r="B34" s="767" t="s">
        <v>1478</v>
      </c>
      <c r="C34" s="784"/>
      <c r="D34" s="784"/>
      <c r="E34" s="785"/>
      <c r="F34" s="785"/>
      <c r="G34" s="785"/>
      <c r="H34" s="785"/>
      <c r="I34" s="785"/>
      <c r="J34" s="784"/>
      <c r="K34" s="784"/>
      <c r="L34" s="770"/>
      <c r="M34" s="769" t="s">
        <v>1464</v>
      </c>
      <c r="N34" s="769" t="s">
        <v>199</v>
      </c>
      <c r="O34" s="769" t="s">
        <v>199</v>
      </c>
      <c r="P34" s="750"/>
      <c r="Q34" s="750"/>
      <c r="R34" s="750"/>
      <c r="S34" s="750"/>
      <c r="T34" s="750"/>
      <c r="U34" s="750"/>
      <c r="V34" s="750"/>
      <c r="W34" s="750"/>
      <c r="X34" s="750"/>
      <c r="Y34" s="750"/>
      <c r="Z34" s="750"/>
      <c r="AA34" s="750"/>
      <c r="AB34" s="750"/>
      <c r="AC34" s="750"/>
      <c r="AD34" s="750"/>
      <c r="AE34" s="750"/>
      <c r="AF34" s="750"/>
      <c r="AG34" s="750"/>
      <c r="AH34" s="750"/>
      <c r="AI34" s="750"/>
      <c r="AJ34" s="750"/>
      <c r="AK34" s="750"/>
      <c r="AL34" s="750"/>
      <c r="AM34" s="750"/>
      <c r="AN34" s="750"/>
      <c r="AO34" s="750"/>
      <c r="AP34" s="750"/>
      <c r="AQ34" s="750"/>
      <c r="AR34" s="750"/>
      <c r="AS34" s="750"/>
      <c r="AT34" s="750"/>
      <c r="AU34" s="750"/>
      <c r="AV34" s="750"/>
      <c r="AW34" s="750"/>
      <c r="AX34" s="750"/>
      <c r="AY34" s="750"/>
      <c r="AZ34" s="750"/>
    </row>
    <row r="35" ht="15" customHeight="1" spans="2:52">
      <c r="B35" s="767" t="s">
        <v>1479</v>
      </c>
      <c r="C35" s="784"/>
      <c r="D35" s="784"/>
      <c r="E35" s="785"/>
      <c r="F35" s="785"/>
      <c r="G35" s="785"/>
      <c r="H35" s="785"/>
      <c r="I35" s="785"/>
      <c r="J35" s="784"/>
      <c r="K35" s="784"/>
      <c r="L35" s="770"/>
      <c r="M35" s="769" t="s">
        <v>1464</v>
      </c>
      <c r="N35" s="769" t="s">
        <v>199</v>
      </c>
      <c r="O35" s="769" t="s">
        <v>199</v>
      </c>
      <c r="P35" s="750"/>
      <c r="Q35" s="750"/>
      <c r="R35" s="750"/>
      <c r="S35" s="750"/>
      <c r="T35" s="750"/>
      <c r="U35" s="750"/>
      <c r="V35" s="750"/>
      <c r="W35" s="750"/>
      <c r="X35" s="750"/>
      <c r="Y35" s="750"/>
      <c r="Z35" s="750"/>
      <c r="AA35" s="750"/>
      <c r="AB35" s="750"/>
      <c r="AC35" s="750"/>
      <c r="AD35" s="750"/>
      <c r="AE35" s="750"/>
      <c r="AF35" s="750"/>
      <c r="AG35" s="750"/>
      <c r="AH35" s="750"/>
      <c r="AI35" s="750"/>
      <c r="AJ35" s="750"/>
      <c r="AK35" s="750"/>
      <c r="AL35" s="750"/>
      <c r="AM35" s="750"/>
      <c r="AN35" s="750"/>
      <c r="AO35" s="750"/>
      <c r="AP35" s="750"/>
      <c r="AQ35" s="750"/>
      <c r="AR35" s="750"/>
      <c r="AS35" s="750"/>
      <c r="AT35" s="750"/>
      <c r="AU35" s="750"/>
      <c r="AV35" s="750"/>
      <c r="AW35" s="750"/>
      <c r="AX35" s="750"/>
      <c r="AY35" s="750"/>
      <c r="AZ35" s="750"/>
    </row>
    <row r="36" ht="15" customHeight="1" spans="2:52">
      <c r="B36" s="767" t="s">
        <v>1480</v>
      </c>
      <c r="C36" s="784"/>
      <c r="D36" s="784"/>
      <c r="E36" s="785"/>
      <c r="F36" s="785"/>
      <c r="G36" s="785"/>
      <c r="H36" s="785"/>
      <c r="I36" s="785"/>
      <c r="J36" s="784"/>
      <c r="K36" s="784"/>
      <c r="L36" s="770"/>
      <c r="M36" s="769" t="s">
        <v>1464</v>
      </c>
      <c r="N36" s="769" t="s">
        <v>199</v>
      </c>
      <c r="O36" s="769" t="s">
        <v>199</v>
      </c>
      <c r="P36" s="750"/>
      <c r="Q36" s="750"/>
      <c r="R36" s="750"/>
      <c r="S36" s="750"/>
      <c r="T36" s="750"/>
      <c r="U36" s="750"/>
      <c r="V36" s="750"/>
      <c r="W36" s="750"/>
      <c r="X36" s="750"/>
      <c r="Y36" s="750"/>
      <c r="Z36" s="750"/>
      <c r="AA36" s="750"/>
      <c r="AB36" s="750"/>
      <c r="AC36" s="750"/>
      <c r="AD36" s="750"/>
      <c r="AE36" s="750"/>
      <c r="AF36" s="750"/>
      <c r="AG36" s="750"/>
      <c r="AH36" s="750"/>
      <c r="AI36" s="750"/>
      <c r="AJ36" s="750"/>
      <c r="AK36" s="750"/>
      <c r="AL36" s="750"/>
      <c r="AM36" s="750"/>
      <c r="AN36" s="750"/>
      <c r="AO36" s="750"/>
      <c r="AP36" s="750"/>
      <c r="AQ36" s="750"/>
      <c r="AR36" s="750"/>
      <c r="AS36" s="750"/>
      <c r="AT36" s="750"/>
      <c r="AU36" s="750"/>
      <c r="AV36" s="750"/>
      <c r="AW36" s="750"/>
      <c r="AX36" s="750"/>
      <c r="AY36" s="750"/>
      <c r="AZ36" s="750"/>
    </row>
    <row r="37" ht="15" customHeight="1" spans="2:52">
      <c r="B37" s="767" t="s">
        <v>1481</v>
      </c>
      <c r="C37" s="784"/>
      <c r="D37" s="784"/>
      <c r="E37" s="784"/>
      <c r="F37" s="784"/>
      <c r="G37" s="784"/>
      <c r="H37" s="784"/>
      <c r="I37" s="784"/>
      <c r="J37" s="784"/>
      <c r="K37" s="784"/>
      <c r="L37" s="770"/>
      <c r="M37" s="769" t="s">
        <v>1464</v>
      </c>
      <c r="N37" s="769" t="s">
        <v>199</v>
      </c>
      <c r="O37" s="769" t="s">
        <v>199</v>
      </c>
      <c r="P37" s="750"/>
      <c r="Q37" s="750"/>
      <c r="R37" s="750"/>
      <c r="S37" s="750"/>
      <c r="T37" s="750"/>
      <c r="U37" s="750"/>
      <c r="V37" s="750"/>
      <c r="W37" s="750"/>
      <c r="X37" s="750"/>
      <c r="Y37" s="750"/>
      <c r="Z37" s="750"/>
      <c r="AA37" s="750"/>
      <c r="AB37" s="750"/>
      <c r="AC37" s="750"/>
      <c r="AD37" s="750"/>
      <c r="AE37" s="750"/>
      <c r="AF37" s="750"/>
      <c r="AG37" s="750"/>
      <c r="AH37" s="750"/>
      <c r="AI37" s="750"/>
      <c r="AJ37" s="750"/>
      <c r="AK37" s="750"/>
      <c r="AL37" s="750"/>
      <c r="AM37" s="750"/>
      <c r="AN37" s="750"/>
      <c r="AO37" s="750"/>
      <c r="AP37" s="750"/>
      <c r="AQ37" s="750"/>
      <c r="AR37" s="750"/>
      <c r="AS37" s="750"/>
      <c r="AT37" s="750"/>
      <c r="AU37" s="750"/>
      <c r="AV37" s="750"/>
      <c r="AW37" s="750"/>
      <c r="AX37" s="750"/>
      <c r="AY37" s="750"/>
      <c r="AZ37" s="750"/>
    </row>
    <row r="38" ht="15" customHeight="1" spans="2:52">
      <c r="B38" s="767" t="s">
        <v>1482</v>
      </c>
      <c r="C38" s="784"/>
      <c r="D38" s="784"/>
      <c r="E38" s="784"/>
      <c r="F38" s="784"/>
      <c r="G38" s="784"/>
      <c r="H38" s="784"/>
      <c r="I38" s="784"/>
      <c r="J38" s="784"/>
      <c r="K38" s="784"/>
      <c r="L38" s="770"/>
      <c r="M38" s="769" t="s">
        <v>1464</v>
      </c>
      <c r="N38" s="769" t="s">
        <v>199</v>
      </c>
      <c r="O38" s="769" t="s">
        <v>199</v>
      </c>
      <c r="P38" s="750"/>
      <c r="Q38" s="750"/>
      <c r="R38" s="750"/>
      <c r="S38" s="750"/>
      <c r="T38" s="750"/>
      <c r="U38" s="750"/>
      <c r="V38" s="750"/>
      <c r="W38" s="750"/>
      <c r="X38" s="750"/>
      <c r="Y38" s="750"/>
      <c r="Z38" s="750"/>
      <c r="AA38" s="750"/>
      <c r="AB38" s="750"/>
      <c r="AC38" s="750"/>
      <c r="AD38" s="750"/>
      <c r="AE38" s="750"/>
      <c r="AF38" s="750"/>
      <c r="AG38" s="750"/>
      <c r="AH38" s="750"/>
      <c r="AI38" s="750"/>
      <c r="AJ38" s="750"/>
      <c r="AK38" s="750"/>
      <c r="AL38" s="750"/>
      <c r="AM38" s="750"/>
      <c r="AN38" s="750"/>
      <c r="AO38" s="750"/>
      <c r="AP38" s="750"/>
      <c r="AQ38" s="750"/>
      <c r="AR38" s="750"/>
      <c r="AS38" s="750"/>
      <c r="AT38" s="750"/>
      <c r="AU38" s="750"/>
      <c r="AV38" s="750"/>
      <c r="AW38" s="750"/>
      <c r="AX38" s="750"/>
      <c r="AY38" s="750"/>
      <c r="AZ38" s="750"/>
    </row>
    <row r="39" ht="15" customHeight="1" spans="2:52">
      <c r="B39" s="767" t="s">
        <v>1483</v>
      </c>
      <c r="C39" s="784"/>
      <c r="D39" s="784"/>
      <c r="E39" s="784"/>
      <c r="F39" s="784"/>
      <c r="G39" s="784"/>
      <c r="H39" s="784"/>
      <c r="I39" s="784"/>
      <c r="J39" s="784"/>
      <c r="K39" s="784"/>
      <c r="L39" s="770"/>
      <c r="M39" s="769" t="s">
        <v>1464</v>
      </c>
      <c r="N39" s="769" t="s">
        <v>199</v>
      </c>
      <c r="O39" s="769" t="s">
        <v>199</v>
      </c>
      <c r="P39" s="750"/>
      <c r="Q39" s="750"/>
      <c r="R39" s="750"/>
      <c r="S39" s="750"/>
      <c r="T39" s="750"/>
      <c r="U39" s="750"/>
      <c r="V39" s="750"/>
      <c r="W39" s="750"/>
      <c r="X39" s="750"/>
      <c r="Y39" s="750"/>
      <c r="Z39" s="750"/>
      <c r="AA39" s="750"/>
      <c r="AB39" s="750"/>
      <c r="AC39" s="750"/>
      <c r="AD39" s="750"/>
      <c r="AE39" s="750"/>
      <c r="AF39" s="750"/>
      <c r="AG39" s="750"/>
      <c r="AH39" s="750"/>
      <c r="AI39" s="750"/>
      <c r="AJ39" s="750"/>
      <c r="AK39" s="750"/>
      <c r="AL39" s="750"/>
      <c r="AM39" s="750"/>
      <c r="AN39" s="750"/>
      <c r="AO39" s="750"/>
      <c r="AP39" s="750"/>
      <c r="AQ39" s="750"/>
      <c r="AR39" s="750"/>
      <c r="AS39" s="750"/>
      <c r="AT39" s="750"/>
      <c r="AU39" s="750"/>
      <c r="AV39" s="750"/>
      <c r="AW39" s="750"/>
      <c r="AX39" s="750"/>
      <c r="AY39" s="750"/>
      <c r="AZ39" s="750"/>
    </row>
    <row r="40" ht="15" customHeight="1" spans="2:52">
      <c r="B40" s="767" t="s">
        <v>1484</v>
      </c>
      <c r="C40" s="784"/>
      <c r="D40" s="784"/>
      <c r="E40" s="784"/>
      <c r="F40" s="784"/>
      <c r="G40" s="784"/>
      <c r="H40" s="784"/>
      <c r="I40" s="784"/>
      <c r="J40" s="784"/>
      <c r="K40" s="784"/>
      <c r="L40" s="770"/>
      <c r="M40" s="769" t="s">
        <v>1464</v>
      </c>
      <c r="N40" s="769" t="s">
        <v>199</v>
      </c>
      <c r="O40" s="769" t="s">
        <v>199</v>
      </c>
      <c r="P40" s="750"/>
      <c r="Q40" s="750"/>
      <c r="R40" s="750"/>
      <c r="S40" s="750"/>
      <c r="T40" s="750"/>
      <c r="U40" s="750"/>
      <c r="V40" s="750"/>
      <c r="W40" s="750"/>
      <c r="X40" s="750"/>
      <c r="Y40" s="750"/>
      <c r="Z40" s="750"/>
      <c r="AA40" s="750"/>
      <c r="AB40" s="750"/>
      <c r="AC40" s="750"/>
      <c r="AD40" s="750"/>
      <c r="AE40" s="750"/>
      <c r="AF40" s="750"/>
      <c r="AG40" s="750"/>
      <c r="AH40" s="750"/>
      <c r="AI40" s="750"/>
      <c r="AJ40" s="750"/>
      <c r="AK40" s="750"/>
      <c r="AL40" s="750"/>
      <c r="AM40" s="750"/>
      <c r="AN40" s="750"/>
      <c r="AO40" s="750"/>
      <c r="AP40" s="750"/>
      <c r="AQ40" s="750"/>
      <c r="AR40" s="750"/>
      <c r="AS40" s="750"/>
      <c r="AT40" s="750"/>
      <c r="AU40" s="750"/>
      <c r="AV40" s="750"/>
      <c r="AW40" s="750"/>
      <c r="AX40" s="750"/>
      <c r="AY40" s="750"/>
      <c r="AZ40" s="750"/>
    </row>
    <row r="41" ht="15" customHeight="1" spans="2:52">
      <c r="B41" s="767" t="s">
        <v>1485</v>
      </c>
      <c r="C41" s="784"/>
      <c r="D41" s="784"/>
      <c r="E41" s="784"/>
      <c r="F41" s="784"/>
      <c r="G41" s="784"/>
      <c r="H41" s="784"/>
      <c r="I41" s="784"/>
      <c r="J41" s="784"/>
      <c r="K41" s="784"/>
      <c r="L41" s="770"/>
      <c r="M41" s="769" t="s">
        <v>1464</v>
      </c>
      <c r="N41" s="769" t="s">
        <v>199</v>
      </c>
      <c r="O41" s="769" t="s">
        <v>199</v>
      </c>
      <c r="P41" s="750"/>
      <c r="Q41" s="750"/>
      <c r="R41" s="750"/>
      <c r="S41" s="750"/>
      <c r="T41" s="750"/>
      <c r="U41" s="750"/>
      <c r="V41" s="750"/>
      <c r="W41" s="750"/>
      <c r="X41" s="750"/>
      <c r="Y41" s="750"/>
      <c r="Z41" s="750"/>
      <c r="AA41" s="750"/>
      <c r="AB41" s="750"/>
      <c r="AC41" s="750"/>
      <c r="AD41" s="750"/>
      <c r="AE41" s="750"/>
      <c r="AF41" s="750"/>
      <c r="AG41" s="750"/>
      <c r="AH41" s="750"/>
      <c r="AI41" s="750"/>
      <c r="AJ41" s="750"/>
      <c r="AK41" s="750"/>
      <c r="AL41" s="750"/>
      <c r="AM41" s="750"/>
      <c r="AN41" s="750"/>
      <c r="AO41" s="750"/>
      <c r="AP41" s="750"/>
      <c r="AQ41" s="750"/>
      <c r="AR41" s="750"/>
      <c r="AS41" s="750"/>
      <c r="AT41" s="750"/>
      <c r="AU41" s="750"/>
      <c r="AV41" s="750"/>
      <c r="AW41" s="750"/>
      <c r="AX41" s="750"/>
      <c r="AY41" s="750"/>
      <c r="AZ41" s="750"/>
    </row>
    <row r="42" ht="15" customHeight="1" spans="2:52">
      <c r="B42" s="767" t="s">
        <v>1486</v>
      </c>
      <c r="C42" s="784"/>
      <c r="D42" s="784"/>
      <c r="E42" s="784"/>
      <c r="F42" s="784"/>
      <c r="G42" s="784"/>
      <c r="H42" s="784"/>
      <c r="I42" s="784"/>
      <c r="J42" s="784"/>
      <c r="K42" s="784"/>
      <c r="L42" s="770"/>
      <c r="M42" s="769" t="s">
        <v>1464</v>
      </c>
      <c r="N42" s="769" t="s">
        <v>199</v>
      </c>
      <c r="O42" s="769" t="s">
        <v>199</v>
      </c>
      <c r="P42" s="750"/>
      <c r="Q42" s="750"/>
      <c r="R42" s="750"/>
      <c r="S42" s="750"/>
      <c r="T42" s="750"/>
      <c r="U42" s="750"/>
      <c r="V42" s="750"/>
      <c r="W42" s="750"/>
      <c r="X42" s="750"/>
      <c r="Y42" s="750"/>
      <c r="Z42" s="750"/>
      <c r="AA42" s="750"/>
      <c r="AB42" s="750"/>
      <c r="AC42" s="750"/>
      <c r="AD42" s="750"/>
      <c r="AE42" s="750"/>
      <c r="AF42" s="750"/>
      <c r="AG42" s="750"/>
      <c r="AH42" s="750"/>
      <c r="AI42" s="750"/>
      <c r="AJ42" s="750"/>
      <c r="AK42" s="750"/>
      <c r="AL42" s="750"/>
      <c r="AM42" s="750"/>
      <c r="AN42" s="750"/>
      <c r="AO42" s="750"/>
      <c r="AP42" s="750"/>
      <c r="AQ42" s="750"/>
      <c r="AR42" s="750"/>
      <c r="AS42" s="750"/>
      <c r="AT42" s="750"/>
      <c r="AU42" s="750"/>
      <c r="AV42" s="750"/>
      <c r="AW42" s="750"/>
      <c r="AX42" s="750"/>
      <c r="AY42" s="750"/>
      <c r="AZ42" s="750"/>
    </row>
    <row r="43" ht="15" customHeight="1" spans="2:52">
      <c r="B43" s="767" t="s">
        <v>1487</v>
      </c>
      <c r="C43" s="784"/>
      <c r="D43" s="784"/>
      <c r="E43" s="784"/>
      <c r="F43" s="784"/>
      <c r="G43" s="784"/>
      <c r="H43" s="784"/>
      <c r="I43" s="784"/>
      <c r="J43" s="784"/>
      <c r="K43" s="784"/>
      <c r="L43" s="770"/>
      <c r="M43" s="769" t="s">
        <v>1464</v>
      </c>
      <c r="N43" s="769" t="s">
        <v>199</v>
      </c>
      <c r="O43" s="769" t="s">
        <v>199</v>
      </c>
      <c r="P43" s="750"/>
      <c r="Q43" s="750"/>
      <c r="R43" s="750"/>
      <c r="S43" s="750"/>
      <c r="T43" s="750"/>
      <c r="U43" s="750"/>
      <c r="V43" s="750"/>
      <c r="W43" s="750"/>
      <c r="X43" s="750"/>
      <c r="Y43" s="750"/>
      <c r="Z43" s="750"/>
      <c r="AA43" s="750"/>
      <c r="AB43" s="750"/>
      <c r="AC43" s="750"/>
      <c r="AD43" s="750"/>
      <c r="AE43" s="750"/>
      <c r="AF43" s="750"/>
      <c r="AG43" s="750"/>
      <c r="AH43" s="750"/>
      <c r="AI43" s="750"/>
      <c r="AJ43" s="750"/>
      <c r="AK43" s="750"/>
      <c r="AL43" s="750"/>
      <c r="AM43" s="750"/>
      <c r="AN43" s="750"/>
      <c r="AO43" s="750"/>
      <c r="AP43" s="750"/>
      <c r="AQ43" s="750"/>
      <c r="AR43" s="750"/>
      <c r="AS43" s="750"/>
      <c r="AT43" s="750"/>
      <c r="AU43" s="750"/>
      <c r="AV43" s="750"/>
      <c r="AW43" s="750"/>
      <c r="AX43" s="750"/>
      <c r="AY43" s="750"/>
      <c r="AZ43" s="750"/>
    </row>
    <row r="44" ht="15" customHeight="1" spans="2:52">
      <c r="B44" s="767" t="s">
        <v>1488</v>
      </c>
      <c r="C44" s="784"/>
      <c r="D44" s="784"/>
      <c r="E44" s="784"/>
      <c r="F44" s="784"/>
      <c r="G44" s="784"/>
      <c r="H44" s="784"/>
      <c r="I44" s="784"/>
      <c r="J44" s="784"/>
      <c r="K44" s="784"/>
      <c r="L44" s="770"/>
      <c r="M44" s="769" t="s">
        <v>1464</v>
      </c>
      <c r="N44" s="769" t="s">
        <v>199</v>
      </c>
      <c r="O44" s="769" t="s">
        <v>199</v>
      </c>
      <c r="P44" s="750"/>
      <c r="Q44" s="750"/>
      <c r="R44" s="750"/>
      <c r="S44" s="750"/>
      <c r="T44" s="750"/>
      <c r="U44" s="750"/>
      <c r="V44" s="750"/>
      <c r="W44" s="750"/>
      <c r="X44" s="750"/>
      <c r="Y44" s="750"/>
      <c r="Z44" s="750"/>
      <c r="AA44" s="750"/>
      <c r="AB44" s="750"/>
      <c r="AC44" s="750"/>
      <c r="AD44" s="750"/>
      <c r="AE44" s="750"/>
      <c r="AF44" s="750"/>
      <c r="AG44" s="750"/>
      <c r="AH44" s="750"/>
      <c r="AI44" s="750"/>
      <c r="AJ44" s="750"/>
      <c r="AK44" s="750"/>
      <c r="AL44" s="750"/>
      <c r="AM44" s="750"/>
      <c r="AN44" s="750"/>
      <c r="AO44" s="750"/>
      <c r="AP44" s="750"/>
      <c r="AQ44" s="750"/>
      <c r="AR44" s="750"/>
      <c r="AS44" s="750"/>
      <c r="AT44" s="750"/>
      <c r="AU44" s="750"/>
      <c r="AV44" s="750"/>
      <c r="AW44" s="750"/>
      <c r="AX44" s="750"/>
      <c r="AY44" s="750"/>
      <c r="AZ44" s="750"/>
    </row>
    <row r="45" ht="15" customHeight="1" spans="2:52">
      <c r="B45" s="767" t="s">
        <v>1489</v>
      </c>
      <c r="C45" s="784"/>
      <c r="D45" s="784"/>
      <c r="E45" s="784"/>
      <c r="F45" s="784"/>
      <c r="G45" s="784"/>
      <c r="H45" s="784"/>
      <c r="I45" s="784"/>
      <c r="J45" s="784"/>
      <c r="K45" s="784"/>
      <c r="L45" s="770"/>
      <c r="M45" s="769" t="s">
        <v>1464</v>
      </c>
      <c r="N45" s="769" t="s">
        <v>199</v>
      </c>
      <c r="O45" s="769" t="s">
        <v>199</v>
      </c>
      <c r="P45" s="750"/>
      <c r="Q45" s="750"/>
      <c r="R45" s="750"/>
      <c r="S45" s="750"/>
      <c r="T45" s="750"/>
      <c r="U45" s="750"/>
      <c r="V45" s="750"/>
      <c r="W45" s="750"/>
      <c r="X45" s="750"/>
      <c r="Y45" s="750"/>
      <c r="Z45" s="750"/>
      <c r="AA45" s="750"/>
      <c r="AB45" s="750"/>
      <c r="AC45" s="750"/>
      <c r="AD45" s="750"/>
      <c r="AE45" s="750"/>
      <c r="AF45" s="750"/>
      <c r="AG45" s="750"/>
      <c r="AH45" s="750"/>
      <c r="AI45" s="750"/>
      <c r="AJ45" s="750"/>
      <c r="AK45" s="750"/>
      <c r="AL45" s="750"/>
      <c r="AM45" s="750"/>
      <c r="AN45" s="750"/>
      <c r="AO45" s="750"/>
      <c r="AP45" s="750"/>
      <c r="AQ45" s="750"/>
      <c r="AR45" s="750"/>
      <c r="AS45" s="750"/>
      <c r="AT45" s="750"/>
      <c r="AU45" s="750"/>
      <c r="AV45" s="750"/>
      <c r="AW45" s="750"/>
      <c r="AX45" s="750"/>
      <c r="AY45" s="750"/>
      <c r="AZ45" s="750"/>
    </row>
    <row r="46" ht="15" customHeight="1" spans="2:52">
      <c r="B46" s="767" t="s">
        <v>1490</v>
      </c>
      <c r="C46" s="786"/>
      <c r="D46" s="786"/>
      <c r="E46" s="786"/>
      <c r="F46" s="786"/>
      <c r="G46" s="786"/>
      <c r="H46" s="786"/>
      <c r="I46" s="786"/>
      <c r="J46" s="784"/>
      <c r="K46" s="784"/>
      <c r="L46" s="770"/>
      <c r="M46" s="769" t="s">
        <v>1464</v>
      </c>
      <c r="N46" s="769" t="s">
        <v>199</v>
      </c>
      <c r="O46" s="769" t="s">
        <v>199</v>
      </c>
      <c r="P46" s="750"/>
      <c r="Q46" s="750"/>
      <c r="R46" s="750"/>
      <c r="S46" s="750"/>
      <c r="T46" s="750"/>
      <c r="U46" s="750"/>
      <c r="V46" s="750"/>
      <c r="W46" s="750"/>
      <c r="X46" s="750"/>
      <c r="Y46" s="750"/>
      <c r="Z46" s="750"/>
      <c r="AA46" s="750"/>
      <c r="AB46" s="750"/>
      <c r="AC46" s="750"/>
      <c r="AD46" s="750"/>
      <c r="AE46" s="750"/>
      <c r="AF46" s="750"/>
      <c r="AG46" s="750"/>
      <c r="AH46" s="750"/>
      <c r="AI46" s="750"/>
      <c r="AJ46" s="750"/>
      <c r="AK46" s="750"/>
      <c r="AL46" s="750"/>
      <c r="AM46" s="750"/>
      <c r="AN46" s="750"/>
      <c r="AO46" s="750"/>
      <c r="AP46" s="750"/>
      <c r="AQ46" s="750"/>
      <c r="AR46" s="750"/>
      <c r="AS46" s="750"/>
      <c r="AT46" s="750"/>
      <c r="AU46" s="750"/>
      <c r="AV46" s="750"/>
      <c r="AW46" s="750"/>
      <c r="AX46" s="750"/>
      <c r="AY46" s="750"/>
      <c r="AZ46" s="750"/>
    </row>
    <row r="47" ht="15" customHeight="1" spans="2:52">
      <c r="B47" s="767" t="s">
        <v>1491</v>
      </c>
      <c r="C47" s="786"/>
      <c r="D47" s="786"/>
      <c r="E47" s="786"/>
      <c r="F47" s="786"/>
      <c r="G47" s="786"/>
      <c r="H47" s="786"/>
      <c r="I47" s="786"/>
      <c r="J47" s="784"/>
      <c r="K47" s="784"/>
      <c r="L47" s="770"/>
      <c r="M47" s="769" t="s">
        <v>1464</v>
      </c>
      <c r="N47" s="769" t="s">
        <v>199</v>
      </c>
      <c r="O47" s="769" t="s">
        <v>199</v>
      </c>
      <c r="P47" s="750"/>
      <c r="Q47" s="750"/>
      <c r="R47" s="750"/>
      <c r="S47" s="750"/>
      <c r="T47" s="750"/>
      <c r="U47" s="750"/>
      <c r="V47" s="750"/>
      <c r="W47" s="750"/>
      <c r="X47" s="750"/>
      <c r="Y47" s="750"/>
      <c r="Z47" s="750"/>
      <c r="AA47" s="750"/>
      <c r="AB47" s="750"/>
      <c r="AC47" s="750"/>
      <c r="AD47" s="750"/>
      <c r="AE47" s="750"/>
      <c r="AF47" s="750"/>
      <c r="AG47" s="750"/>
      <c r="AH47" s="750"/>
      <c r="AI47" s="750"/>
      <c r="AJ47" s="750"/>
      <c r="AK47" s="750"/>
      <c r="AL47" s="750"/>
      <c r="AM47" s="750"/>
      <c r="AN47" s="750"/>
      <c r="AO47" s="750"/>
      <c r="AP47" s="750"/>
      <c r="AQ47" s="750"/>
      <c r="AR47" s="750"/>
      <c r="AS47" s="750"/>
      <c r="AT47" s="750"/>
      <c r="AU47" s="750"/>
      <c r="AV47" s="750"/>
      <c r="AW47" s="750"/>
      <c r="AX47" s="750"/>
      <c r="AY47" s="750"/>
      <c r="AZ47" s="750"/>
    </row>
    <row r="48" ht="15" customHeight="1" spans="2:52">
      <c r="B48" s="767" t="s">
        <v>1492</v>
      </c>
      <c r="C48" s="786"/>
      <c r="D48" s="786"/>
      <c r="E48" s="786"/>
      <c r="F48" s="786"/>
      <c r="G48" s="786"/>
      <c r="H48" s="786"/>
      <c r="I48" s="786"/>
      <c r="J48" s="784"/>
      <c r="K48" s="784"/>
      <c r="L48" s="770"/>
      <c r="M48" s="769" t="s">
        <v>1464</v>
      </c>
      <c r="N48" s="769" t="s">
        <v>199</v>
      </c>
      <c r="O48" s="769" t="s">
        <v>199</v>
      </c>
      <c r="P48" s="750"/>
      <c r="Q48" s="750"/>
      <c r="R48" s="750"/>
      <c r="S48" s="750"/>
      <c r="T48" s="750"/>
      <c r="U48" s="750"/>
      <c r="V48" s="750"/>
      <c r="W48" s="750"/>
      <c r="X48" s="750"/>
      <c r="Y48" s="750"/>
      <c r="Z48" s="750"/>
      <c r="AA48" s="750"/>
      <c r="AB48" s="750"/>
      <c r="AC48" s="750"/>
      <c r="AD48" s="750"/>
      <c r="AE48" s="750"/>
      <c r="AF48" s="750"/>
      <c r="AG48" s="750"/>
      <c r="AH48" s="750"/>
      <c r="AI48" s="750"/>
      <c r="AJ48" s="750"/>
      <c r="AK48" s="750"/>
      <c r="AL48" s="750"/>
      <c r="AM48" s="750"/>
      <c r="AN48" s="750"/>
      <c r="AO48" s="750"/>
      <c r="AP48" s="750"/>
      <c r="AQ48" s="750"/>
      <c r="AR48" s="750"/>
      <c r="AS48" s="750"/>
      <c r="AT48" s="750"/>
      <c r="AU48" s="750"/>
      <c r="AV48" s="750"/>
      <c r="AW48" s="750"/>
      <c r="AX48" s="750"/>
      <c r="AY48" s="750"/>
      <c r="AZ48" s="750"/>
    </row>
    <row r="49" ht="15" customHeight="1" spans="2:52">
      <c r="B49" s="767" t="s">
        <v>1493</v>
      </c>
      <c r="C49" s="786"/>
      <c r="D49" s="786"/>
      <c r="E49" s="786"/>
      <c r="F49" s="786"/>
      <c r="G49" s="786"/>
      <c r="H49" s="786"/>
      <c r="I49" s="786"/>
      <c r="J49" s="784"/>
      <c r="K49" s="784"/>
      <c r="L49" s="770"/>
      <c r="M49" s="769" t="s">
        <v>1464</v>
      </c>
      <c r="N49" s="769" t="s">
        <v>199</v>
      </c>
      <c r="O49" s="769" t="s">
        <v>199</v>
      </c>
      <c r="P49" s="750"/>
      <c r="Q49" s="750"/>
      <c r="R49" s="750"/>
      <c r="S49" s="750"/>
      <c r="T49" s="750"/>
      <c r="U49" s="750"/>
      <c r="V49" s="750"/>
      <c r="W49" s="750"/>
      <c r="X49" s="750"/>
      <c r="Y49" s="750"/>
      <c r="Z49" s="750"/>
      <c r="AA49" s="750"/>
      <c r="AB49" s="750"/>
      <c r="AC49" s="750"/>
      <c r="AD49" s="750"/>
      <c r="AE49" s="750"/>
      <c r="AF49" s="750"/>
      <c r="AG49" s="750"/>
      <c r="AH49" s="750"/>
      <c r="AI49" s="750"/>
      <c r="AJ49" s="750"/>
      <c r="AK49" s="750"/>
      <c r="AL49" s="750"/>
      <c r="AM49" s="750"/>
      <c r="AN49" s="750"/>
      <c r="AO49" s="750"/>
      <c r="AP49" s="750"/>
      <c r="AQ49" s="750"/>
      <c r="AR49" s="750"/>
      <c r="AS49" s="750"/>
      <c r="AT49" s="750"/>
      <c r="AU49" s="750"/>
      <c r="AV49" s="750"/>
      <c r="AW49" s="750"/>
      <c r="AX49" s="750"/>
      <c r="AY49" s="750"/>
      <c r="AZ49" s="750"/>
    </row>
    <row r="50" ht="15" customHeight="1" spans="2:52">
      <c r="B50" s="767" t="s">
        <v>1494</v>
      </c>
      <c r="C50" s="784"/>
      <c r="D50" s="784"/>
      <c r="E50" s="784"/>
      <c r="F50" s="784"/>
      <c r="G50" s="784"/>
      <c r="H50" s="784"/>
      <c r="I50" s="784"/>
      <c r="J50" s="784"/>
      <c r="K50" s="784"/>
      <c r="L50" s="770"/>
      <c r="M50" s="769" t="s">
        <v>1464</v>
      </c>
      <c r="N50" s="769" t="s">
        <v>199</v>
      </c>
      <c r="O50" s="769" t="s">
        <v>199</v>
      </c>
      <c r="P50" s="750"/>
      <c r="Q50" s="750"/>
      <c r="R50" s="750"/>
      <c r="S50" s="750"/>
      <c r="T50" s="750"/>
      <c r="U50" s="750"/>
      <c r="V50" s="750"/>
      <c r="W50" s="750"/>
      <c r="X50" s="750"/>
      <c r="Y50" s="750"/>
      <c r="Z50" s="750"/>
      <c r="AA50" s="750"/>
      <c r="AB50" s="750"/>
      <c r="AC50" s="750"/>
      <c r="AD50" s="750"/>
      <c r="AE50" s="750"/>
      <c r="AF50" s="750"/>
      <c r="AG50" s="750"/>
      <c r="AH50" s="750"/>
      <c r="AI50" s="750"/>
      <c r="AJ50" s="750"/>
      <c r="AK50" s="750"/>
      <c r="AL50" s="750"/>
      <c r="AM50" s="750"/>
      <c r="AN50" s="750"/>
      <c r="AO50" s="750"/>
      <c r="AP50" s="750"/>
      <c r="AQ50" s="750"/>
      <c r="AR50" s="750"/>
      <c r="AS50" s="750"/>
      <c r="AT50" s="750"/>
      <c r="AU50" s="750"/>
      <c r="AV50" s="750"/>
      <c r="AW50" s="750"/>
      <c r="AX50" s="750"/>
      <c r="AY50" s="750"/>
      <c r="AZ50" s="750"/>
    </row>
    <row r="51" ht="15" customHeight="1" spans="2:52">
      <c r="B51" s="767" t="s">
        <v>1495</v>
      </c>
      <c r="C51" s="784"/>
      <c r="D51" s="784"/>
      <c r="E51" s="784"/>
      <c r="F51" s="784"/>
      <c r="G51" s="784"/>
      <c r="H51" s="784"/>
      <c r="I51" s="784"/>
      <c r="J51" s="784"/>
      <c r="K51" s="784"/>
      <c r="L51" s="770"/>
      <c r="M51" s="769" t="s">
        <v>1464</v>
      </c>
      <c r="N51" s="769" t="s">
        <v>199</v>
      </c>
      <c r="O51" s="769" t="s">
        <v>199</v>
      </c>
      <c r="P51" s="750"/>
      <c r="Q51" s="750"/>
      <c r="R51" s="750"/>
      <c r="S51" s="750"/>
      <c r="T51" s="750"/>
      <c r="U51" s="750"/>
      <c r="V51" s="750"/>
      <c r="W51" s="750"/>
      <c r="X51" s="750"/>
      <c r="Y51" s="750"/>
      <c r="Z51" s="750"/>
      <c r="AA51" s="750"/>
      <c r="AB51" s="750"/>
      <c r="AC51" s="750"/>
      <c r="AD51" s="750"/>
      <c r="AE51" s="750"/>
      <c r="AF51" s="750"/>
      <c r="AG51" s="750"/>
      <c r="AH51" s="750"/>
      <c r="AI51" s="750"/>
      <c r="AJ51" s="750"/>
      <c r="AK51" s="750"/>
      <c r="AL51" s="750"/>
      <c r="AM51" s="750"/>
      <c r="AN51" s="750"/>
      <c r="AO51" s="750"/>
      <c r="AP51" s="750"/>
      <c r="AQ51" s="750"/>
      <c r="AR51" s="750"/>
      <c r="AS51" s="750"/>
      <c r="AT51" s="750"/>
      <c r="AU51" s="750"/>
      <c r="AV51" s="750"/>
      <c r="AW51" s="750"/>
      <c r="AX51" s="750"/>
      <c r="AY51" s="750"/>
      <c r="AZ51" s="750"/>
    </row>
    <row r="52" ht="15" customHeight="1" spans="2:52">
      <c r="B52" s="767" t="s">
        <v>1496</v>
      </c>
      <c r="C52" s="784"/>
      <c r="D52" s="784"/>
      <c r="E52" s="784"/>
      <c r="F52" s="784"/>
      <c r="G52" s="784"/>
      <c r="H52" s="784"/>
      <c r="I52" s="784"/>
      <c r="J52" s="784"/>
      <c r="K52" s="784"/>
      <c r="L52" s="770"/>
      <c r="M52" s="769" t="s">
        <v>1464</v>
      </c>
      <c r="N52" s="769" t="s">
        <v>199</v>
      </c>
      <c r="O52" s="769" t="s">
        <v>199</v>
      </c>
      <c r="P52" s="750"/>
      <c r="Q52" s="750"/>
      <c r="R52" s="750"/>
      <c r="S52" s="750"/>
      <c r="T52" s="750"/>
      <c r="U52" s="750"/>
      <c r="V52" s="750"/>
      <c r="W52" s="750"/>
      <c r="X52" s="750"/>
      <c r="Y52" s="750"/>
      <c r="Z52" s="750"/>
      <c r="AA52" s="750"/>
      <c r="AB52" s="750"/>
      <c r="AC52" s="750"/>
      <c r="AD52" s="750"/>
      <c r="AE52" s="750"/>
      <c r="AF52" s="750"/>
      <c r="AG52" s="750"/>
      <c r="AH52" s="750"/>
      <c r="AI52" s="750"/>
      <c r="AJ52" s="750"/>
      <c r="AK52" s="750"/>
      <c r="AL52" s="750"/>
      <c r="AM52" s="750"/>
      <c r="AN52" s="750"/>
      <c r="AO52" s="750"/>
      <c r="AP52" s="750"/>
      <c r="AQ52" s="750"/>
      <c r="AR52" s="750"/>
      <c r="AS52" s="750"/>
      <c r="AT52" s="750"/>
      <c r="AU52" s="750"/>
      <c r="AV52" s="750"/>
      <c r="AW52" s="750"/>
      <c r="AX52" s="750"/>
      <c r="AY52" s="750"/>
      <c r="AZ52" s="750"/>
    </row>
    <row r="53" ht="15" customHeight="1" spans="2:52">
      <c r="B53" s="767" t="s">
        <v>1497</v>
      </c>
      <c r="C53" s="784"/>
      <c r="D53" s="784"/>
      <c r="E53" s="784"/>
      <c r="F53" s="784"/>
      <c r="G53" s="784"/>
      <c r="H53" s="784"/>
      <c r="I53" s="784"/>
      <c r="J53" s="784"/>
      <c r="K53" s="784"/>
      <c r="L53" s="770"/>
      <c r="M53" s="769" t="s">
        <v>1464</v>
      </c>
      <c r="N53" s="769" t="s">
        <v>199</v>
      </c>
      <c r="O53" s="769" t="s">
        <v>199</v>
      </c>
      <c r="P53" s="750"/>
      <c r="Q53" s="750"/>
      <c r="R53" s="750"/>
      <c r="S53" s="750"/>
      <c r="T53" s="750"/>
      <c r="U53" s="750"/>
      <c r="V53" s="750"/>
      <c r="W53" s="750"/>
      <c r="X53" s="750"/>
      <c r="Y53" s="750"/>
      <c r="Z53" s="750"/>
      <c r="AA53" s="750"/>
      <c r="AB53" s="750"/>
      <c r="AC53" s="750"/>
      <c r="AD53" s="750"/>
      <c r="AE53" s="750"/>
      <c r="AF53" s="750"/>
      <c r="AG53" s="750"/>
      <c r="AH53" s="750"/>
      <c r="AI53" s="750"/>
      <c r="AJ53" s="750"/>
      <c r="AK53" s="750"/>
      <c r="AL53" s="750"/>
      <c r="AM53" s="750"/>
      <c r="AN53" s="750"/>
      <c r="AO53" s="750"/>
      <c r="AP53" s="750"/>
      <c r="AQ53" s="750"/>
      <c r="AR53" s="750"/>
      <c r="AS53" s="750"/>
      <c r="AT53" s="750"/>
      <c r="AU53" s="750"/>
      <c r="AV53" s="750"/>
      <c r="AW53" s="750"/>
      <c r="AX53" s="750"/>
      <c r="AY53" s="750"/>
      <c r="AZ53" s="750"/>
    </row>
    <row r="54" ht="15" customHeight="1" spans="2:52">
      <c r="B54" s="767" t="s">
        <v>1498</v>
      </c>
      <c r="C54" s="784"/>
      <c r="D54" s="784"/>
      <c r="E54" s="784"/>
      <c r="F54" s="784"/>
      <c r="G54" s="784"/>
      <c r="H54" s="784"/>
      <c r="I54" s="784"/>
      <c r="J54" s="784"/>
      <c r="K54" s="784"/>
      <c r="L54" s="770"/>
      <c r="M54" s="769" t="s">
        <v>1464</v>
      </c>
      <c r="N54" s="769" t="s">
        <v>199</v>
      </c>
      <c r="O54" s="769" t="s">
        <v>199</v>
      </c>
      <c r="P54" s="750"/>
      <c r="Q54" s="750"/>
      <c r="R54" s="750"/>
      <c r="S54" s="750"/>
      <c r="T54" s="750"/>
      <c r="U54" s="750"/>
      <c r="V54" s="750"/>
      <c r="W54" s="750"/>
      <c r="X54" s="788"/>
      <c r="Y54" s="750"/>
      <c r="Z54" s="750"/>
      <c r="AA54" s="750"/>
      <c r="AB54" s="750"/>
      <c r="AC54" s="750"/>
      <c r="AD54" s="750"/>
      <c r="AE54" s="750"/>
      <c r="AF54" s="750"/>
      <c r="AG54" s="750"/>
      <c r="AH54" s="750"/>
      <c r="AI54" s="750"/>
      <c r="AJ54" s="750"/>
      <c r="AK54" s="788"/>
      <c r="AL54" s="750"/>
      <c r="AM54" s="750"/>
      <c r="AN54" s="750"/>
      <c r="AO54" s="750"/>
      <c r="AP54" s="750"/>
      <c r="AQ54" s="750"/>
      <c r="AR54" s="750"/>
      <c r="AS54" s="750"/>
      <c r="AT54" s="750"/>
      <c r="AU54" s="750"/>
      <c r="AV54" s="750"/>
      <c r="AW54" s="788"/>
      <c r="AX54" s="750"/>
      <c r="AY54" s="750"/>
      <c r="AZ54" s="750"/>
    </row>
    <row r="55" ht="15" customHeight="1" spans="2:52">
      <c r="B55" s="767" t="s">
        <v>1499</v>
      </c>
      <c r="C55" s="784"/>
      <c r="D55" s="784"/>
      <c r="E55" s="784"/>
      <c r="F55" s="784"/>
      <c r="G55" s="784"/>
      <c r="H55" s="784"/>
      <c r="I55" s="784"/>
      <c r="J55" s="784"/>
      <c r="K55" s="784"/>
      <c r="L55" s="770"/>
      <c r="M55" s="769" t="s">
        <v>1464</v>
      </c>
      <c r="N55" s="769" t="s">
        <v>199</v>
      </c>
      <c r="O55" s="769" t="s">
        <v>199</v>
      </c>
      <c r="P55" s="750"/>
      <c r="Q55" s="750"/>
      <c r="R55" s="750"/>
      <c r="S55" s="750"/>
      <c r="T55" s="750"/>
      <c r="U55" s="750"/>
      <c r="V55" s="750"/>
      <c r="W55" s="750"/>
      <c r="X55" s="750"/>
      <c r="Y55" s="750"/>
      <c r="Z55" s="750"/>
      <c r="AA55" s="750"/>
      <c r="AB55" s="750"/>
      <c r="AC55" s="750"/>
      <c r="AD55" s="750"/>
      <c r="AE55" s="750"/>
      <c r="AF55" s="750"/>
      <c r="AG55" s="750"/>
      <c r="AH55" s="750"/>
      <c r="AI55" s="750"/>
      <c r="AJ55" s="750"/>
      <c r="AK55" s="750"/>
      <c r="AL55" s="750"/>
      <c r="AM55" s="750"/>
      <c r="AN55" s="750"/>
      <c r="AO55" s="750"/>
      <c r="AP55" s="750"/>
      <c r="AQ55" s="750"/>
      <c r="AR55" s="750"/>
      <c r="AS55" s="750"/>
      <c r="AT55" s="750"/>
      <c r="AU55" s="750"/>
      <c r="AV55" s="750"/>
      <c r="AW55" s="750"/>
      <c r="AX55" s="750"/>
      <c r="AY55" s="750"/>
      <c r="AZ55" s="750"/>
    </row>
    <row r="56" ht="15" customHeight="1" spans="2:52">
      <c r="B56" s="767" t="s">
        <v>1500</v>
      </c>
      <c r="C56" s="784"/>
      <c r="D56" s="784"/>
      <c r="E56" s="784"/>
      <c r="F56" s="784"/>
      <c r="G56" s="784"/>
      <c r="H56" s="784"/>
      <c r="I56" s="784"/>
      <c r="J56" s="784"/>
      <c r="K56" s="784"/>
      <c r="L56" s="770"/>
      <c r="M56" s="769" t="s">
        <v>1464</v>
      </c>
      <c r="N56" s="769" t="s">
        <v>199</v>
      </c>
      <c r="O56" s="769" t="s">
        <v>199</v>
      </c>
      <c r="P56" s="750"/>
      <c r="Q56" s="750"/>
      <c r="R56" s="750"/>
      <c r="S56" s="750"/>
      <c r="T56" s="750"/>
      <c r="U56" s="750"/>
      <c r="V56" s="750"/>
      <c r="W56" s="750"/>
      <c r="X56" s="750"/>
      <c r="Y56" s="750"/>
      <c r="Z56" s="750"/>
      <c r="AA56" s="750"/>
      <c r="AB56" s="750"/>
      <c r="AC56" s="750"/>
      <c r="AD56" s="750"/>
      <c r="AE56" s="750"/>
      <c r="AF56" s="750"/>
      <c r="AG56" s="750"/>
      <c r="AH56" s="750"/>
      <c r="AI56" s="750"/>
      <c r="AJ56" s="750"/>
      <c r="AK56" s="750"/>
      <c r="AL56" s="750"/>
      <c r="AM56" s="750"/>
      <c r="AN56" s="750"/>
      <c r="AO56" s="750"/>
      <c r="AP56" s="750"/>
      <c r="AQ56" s="750"/>
      <c r="AR56" s="750"/>
      <c r="AS56" s="750"/>
      <c r="AT56" s="750"/>
      <c r="AU56" s="750"/>
      <c r="AV56" s="750"/>
      <c r="AW56" s="750"/>
      <c r="AX56" s="750"/>
      <c r="AY56" s="750"/>
      <c r="AZ56" s="750"/>
    </row>
    <row r="57" ht="15" customHeight="1" spans="2:52">
      <c r="B57" s="767" t="s">
        <v>1501</v>
      </c>
      <c r="C57" s="784"/>
      <c r="D57" s="784"/>
      <c r="E57" s="784"/>
      <c r="F57" s="784"/>
      <c r="G57" s="784"/>
      <c r="H57" s="784"/>
      <c r="I57" s="784"/>
      <c r="J57" s="784"/>
      <c r="K57" s="784"/>
      <c r="L57" s="770"/>
      <c r="M57" s="769" t="s">
        <v>1464</v>
      </c>
      <c r="N57" s="769" t="s">
        <v>199</v>
      </c>
      <c r="O57" s="769" t="s">
        <v>199</v>
      </c>
      <c r="P57" s="750"/>
      <c r="Q57" s="750"/>
      <c r="R57" s="750"/>
      <c r="S57" s="750"/>
      <c r="T57" s="750"/>
      <c r="U57" s="750"/>
      <c r="V57" s="750"/>
      <c r="W57" s="750"/>
      <c r="X57" s="750"/>
      <c r="Y57" s="750"/>
      <c r="Z57" s="750"/>
      <c r="AA57" s="750"/>
      <c r="AB57" s="750"/>
      <c r="AC57" s="750"/>
      <c r="AD57" s="750"/>
      <c r="AE57" s="750"/>
      <c r="AF57" s="750"/>
      <c r="AG57" s="750"/>
      <c r="AH57" s="750"/>
      <c r="AI57" s="750"/>
      <c r="AJ57" s="750"/>
      <c r="AK57" s="750"/>
      <c r="AL57" s="750"/>
      <c r="AM57" s="750"/>
      <c r="AN57" s="750"/>
      <c r="AO57" s="750"/>
      <c r="AP57" s="750"/>
      <c r="AQ57" s="750"/>
      <c r="AR57" s="750"/>
      <c r="AS57" s="750"/>
      <c r="AT57" s="750"/>
      <c r="AU57" s="750"/>
      <c r="AV57" s="750"/>
      <c r="AW57" s="750"/>
      <c r="AX57" s="750"/>
      <c r="AY57" s="750"/>
      <c r="AZ57" s="750"/>
    </row>
    <row r="58" ht="15" customHeight="1" spans="2:52">
      <c r="B58" s="767" t="s">
        <v>1502</v>
      </c>
      <c r="C58" s="784"/>
      <c r="D58" s="784"/>
      <c r="E58" s="784"/>
      <c r="F58" s="784"/>
      <c r="G58" s="784"/>
      <c r="H58" s="784"/>
      <c r="I58" s="784"/>
      <c r="J58" s="784"/>
      <c r="K58" s="784"/>
      <c r="L58" s="770"/>
      <c r="M58" s="769" t="s">
        <v>1464</v>
      </c>
      <c r="N58" s="769" t="s">
        <v>199</v>
      </c>
      <c r="O58" s="769" t="s">
        <v>199</v>
      </c>
      <c r="P58" s="750"/>
      <c r="Q58" s="750"/>
      <c r="R58" s="750"/>
      <c r="S58" s="750"/>
      <c r="T58" s="750"/>
      <c r="U58" s="750"/>
      <c r="V58" s="750"/>
      <c r="W58" s="750"/>
      <c r="X58" s="750"/>
      <c r="Y58" s="750"/>
      <c r="Z58" s="750"/>
      <c r="AA58" s="750"/>
      <c r="AB58" s="750"/>
      <c r="AC58" s="750"/>
      <c r="AD58" s="750"/>
      <c r="AE58" s="750"/>
      <c r="AF58" s="750"/>
      <c r="AG58" s="750"/>
      <c r="AH58" s="750"/>
      <c r="AI58" s="750"/>
      <c r="AJ58" s="750"/>
      <c r="AK58" s="750"/>
      <c r="AL58" s="750"/>
      <c r="AM58" s="750"/>
      <c r="AN58" s="750"/>
      <c r="AO58" s="750"/>
      <c r="AP58" s="750"/>
      <c r="AQ58" s="750"/>
      <c r="AR58" s="750"/>
      <c r="AS58" s="750"/>
      <c r="AT58" s="750"/>
      <c r="AU58" s="750"/>
      <c r="AV58" s="750"/>
      <c r="AW58" s="750"/>
      <c r="AX58" s="750"/>
      <c r="AY58" s="750"/>
      <c r="AZ58" s="750"/>
    </row>
    <row r="59" ht="15" customHeight="1" spans="2:52">
      <c r="B59" s="767" t="s">
        <v>1503</v>
      </c>
      <c r="C59" s="784"/>
      <c r="D59" s="784"/>
      <c r="E59" s="784"/>
      <c r="F59" s="784"/>
      <c r="G59" s="784"/>
      <c r="H59" s="784"/>
      <c r="I59" s="784"/>
      <c r="J59" s="784"/>
      <c r="K59" s="784"/>
      <c r="L59" s="770"/>
      <c r="M59" s="769" t="s">
        <v>1464</v>
      </c>
      <c r="N59" s="769" t="s">
        <v>199</v>
      </c>
      <c r="O59" s="769" t="s">
        <v>199</v>
      </c>
      <c r="P59" s="750"/>
      <c r="Q59" s="750"/>
      <c r="R59" s="750"/>
      <c r="S59" s="750"/>
      <c r="T59" s="750"/>
      <c r="U59" s="750"/>
      <c r="V59" s="750"/>
      <c r="W59" s="750"/>
      <c r="X59" s="750"/>
      <c r="Y59" s="750"/>
      <c r="Z59" s="750"/>
      <c r="AA59" s="750"/>
      <c r="AB59" s="750"/>
      <c r="AC59" s="750"/>
      <c r="AD59" s="750"/>
      <c r="AE59" s="750"/>
      <c r="AF59" s="750"/>
      <c r="AG59" s="750"/>
      <c r="AH59" s="750"/>
      <c r="AI59" s="750"/>
      <c r="AJ59" s="750"/>
      <c r="AK59" s="750"/>
      <c r="AL59" s="750"/>
      <c r="AM59" s="750"/>
      <c r="AN59" s="750"/>
      <c r="AO59" s="750"/>
      <c r="AP59" s="750"/>
      <c r="AQ59" s="750"/>
      <c r="AR59" s="750"/>
      <c r="AS59" s="750"/>
      <c r="AT59" s="750"/>
      <c r="AU59" s="750"/>
      <c r="AV59" s="750"/>
      <c r="AW59" s="750"/>
      <c r="AX59" s="750"/>
      <c r="AY59" s="750"/>
      <c r="AZ59" s="750"/>
    </row>
    <row r="60" ht="15" customHeight="1" spans="2:52">
      <c r="B60" s="767" t="s">
        <v>1504</v>
      </c>
      <c r="C60" s="784"/>
      <c r="D60" s="784"/>
      <c r="E60" s="784"/>
      <c r="F60" s="784"/>
      <c r="G60" s="784"/>
      <c r="H60" s="784"/>
      <c r="I60" s="784"/>
      <c r="J60" s="784"/>
      <c r="K60" s="784"/>
      <c r="L60" s="770"/>
      <c r="M60" s="769" t="s">
        <v>1464</v>
      </c>
      <c r="N60" s="769" t="s">
        <v>199</v>
      </c>
      <c r="O60" s="769" t="s">
        <v>199</v>
      </c>
      <c r="P60" s="750"/>
      <c r="Q60" s="750"/>
      <c r="R60" s="750"/>
      <c r="S60" s="750"/>
      <c r="T60" s="750"/>
      <c r="U60" s="750"/>
      <c r="V60" s="750"/>
      <c r="W60" s="750"/>
      <c r="X60" s="750"/>
      <c r="Y60" s="750"/>
      <c r="Z60" s="750"/>
      <c r="AA60" s="750"/>
      <c r="AB60" s="750"/>
      <c r="AC60" s="750"/>
      <c r="AD60" s="750"/>
      <c r="AE60" s="750"/>
      <c r="AF60" s="750"/>
      <c r="AG60" s="750"/>
      <c r="AH60" s="750"/>
      <c r="AI60" s="750"/>
      <c r="AJ60" s="750"/>
      <c r="AK60" s="750"/>
      <c r="AL60" s="750"/>
      <c r="AM60" s="750"/>
      <c r="AN60" s="750"/>
      <c r="AO60" s="750"/>
      <c r="AP60" s="750"/>
      <c r="AQ60" s="750"/>
      <c r="AR60" s="750"/>
      <c r="AS60" s="750"/>
      <c r="AT60" s="750"/>
      <c r="AU60" s="750"/>
      <c r="AV60" s="750"/>
      <c r="AW60" s="750"/>
      <c r="AX60" s="750"/>
      <c r="AY60" s="750"/>
      <c r="AZ60" s="750"/>
    </row>
    <row r="61" ht="15" customHeight="1" spans="2:52">
      <c r="B61" s="767" t="s">
        <v>1505</v>
      </c>
      <c r="C61" s="784"/>
      <c r="D61" s="784"/>
      <c r="E61" s="784"/>
      <c r="F61" s="784"/>
      <c r="G61" s="784"/>
      <c r="H61" s="784"/>
      <c r="I61" s="784"/>
      <c r="J61" s="784"/>
      <c r="K61" s="784"/>
      <c r="L61" s="770"/>
      <c r="M61" s="769" t="s">
        <v>1464</v>
      </c>
      <c r="N61" s="769" t="s">
        <v>199</v>
      </c>
      <c r="O61" s="769" t="s">
        <v>199</v>
      </c>
      <c r="P61" s="750"/>
      <c r="Q61" s="750"/>
      <c r="R61" s="750"/>
      <c r="S61" s="750"/>
      <c r="T61" s="750"/>
      <c r="U61" s="750"/>
      <c r="V61" s="750"/>
      <c r="W61" s="750"/>
      <c r="X61" s="750"/>
      <c r="Y61" s="750"/>
      <c r="Z61" s="750"/>
      <c r="AA61" s="750"/>
      <c r="AB61" s="750"/>
      <c r="AC61" s="750"/>
      <c r="AD61" s="750"/>
      <c r="AE61" s="750"/>
      <c r="AF61" s="750"/>
      <c r="AG61" s="750"/>
      <c r="AH61" s="750"/>
      <c r="AI61" s="750"/>
      <c r="AJ61" s="750"/>
      <c r="AK61" s="750"/>
      <c r="AL61" s="750"/>
      <c r="AM61" s="750"/>
      <c r="AN61" s="750"/>
      <c r="AO61" s="750"/>
      <c r="AP61" s="750"/>
      <c r="AQ61" s="750"/>
      <c r="AR61" s="750"/>
      <c r="AS61" s="750"/>
      <c r="AT61" s="750"/>
      <c r="AU61" s="750"/>
      <c r="AV61" s="750"/>
      <c r="AW61" s="750"/>
      <c r="AX61" s="750"/>
      <c r="AY61" s="750"/>
      <c r="AZ61" s="750"/>
    </row>
    <row r="62" ht="15" customHeight="1" spans="2:52">
      <c r="B62" s="767" t="s">
        <v>1506</v>
      </c>
      <c r="C62" s="784"/>
      <c r="D62" s="784"/>
      <c r="E62" s="784"/>
      <c r="F62" s="784"/>
      <c r="G62" s="784"/>
      <c r="H62" s="784"/>
      <c r="I62" s="784"/>
      <c r="J62" s="784"/>
      <c r="K62" s="784"/>
      <c r="L62" s="770"/>
      <c r="M62" s="769" t="s">
        <v>1464</v>
      </c>
      <c r="N62" s="769" t="s">
        <v>199</v>
      </c>
      <c r="O62" s="769" t="s">
        <v>199</v>
      </c>
      <c r="P62" s="750"/>
      <c r="Q62" s="750"/>
      <c r="R62" s="750"/>
      <c r="S62" s="750"/>
      <c r="T62" s="750"/>
      <c r="U62" s="750"/>
      <c r="V62" s="750"/>
      <c r="W62" s="750"/>
      <c r="X62" s="750"/>
      <c r="Y62" s="750"/>
      <c r="Z62" s="750"/>
      <c r="AA62" s="750"/>
      <c r="AB62" s="750"/>
      <c r="AC62" s="750"/>
      <c r="AD62" s="750"/>
      <c r="AE62" s="750"/>
      <c r="AF62" s="750"/>
      <c r="AG62" s="750"/>
      <c r="AH62" s="750"/>
      <c r="AI62" s="750"/>
      <c r="AJ62" s="750"/>
      <c r="AK62" s="750"/>
      <c r="AL62" s="750"/>
      <c r="AM62" s="750"/>
      <c r="AN62" s="750"/>
      <c r="AO62" s="750"/>
      <c r="AP62" s="750"/>
      <c r="AQ62" s="750"/>
      <c r="AR62" s="750"/>
      <c r="AS62" s="750"/>
      <c r="AT62" s="750"/>
      <c r="AU62" s="750"/>
      <c r="AV62" s="750"/>
      <c r="AW62" s="750"/>
      <c r="AX62" s="750"/>
      <c r="AY62" s="750"/>
      <c r="AZ62" s="750"/>
    </row>
    <row r="63" ht="15" customHeight="1" spans="2:52">
      <c r="B63" s="767" t="s">
        <v>1507</v>
      </c>
      <c r="C63" s="784"/>
      <c r="D63" s="784"/>
      <c r="E63" s="784"/>
      <c r="F63" s="784"/>
      <c r="G63" s="784"/>
      <c r="H63" s="784"/>
      <c r="I63" s="784"/>
      <c r="J63" s="784"/>
      <c r="K63" s="784"/>
      <c r="L63" s="770"/>
      <c r="M63" s="769" t="s">
        <v>1464</v>
      </c>
      <c r="N63" s="769" t="s">
        <v>199</v>
      </c>
      <c r="O63" s="769" t="s">
        <v>199</v>
      </c>
      <c r="P63" s="750"/>
      <c r="Q63" s="750"/>
      <c r="R63" s="750"/>
      <c r="S63" s="750"/>
      <c r="T63" s="750"/>
      <c r="U63" s="750"/>
      <c r="V63" s="750"/>
      <c r="W63" s="750"/>
      <c r="X63" s="750"/>
      <c r="Y63" s="750"/>
      <c r="Z63" s="750"/>
      <c r="AA63" s="750"/>
      <c r="AB63" s="750"/>
      <c r="AC63" s="750"/>
      <c r="AD63" s="750"/>
      <c r="AE63" s="750"/>
      <c r="AF63" s="750"/>
      <c r="AG63" s="750"/>
      <c r="AH63" s="750"/>
      <c r="AI63" s="750"/>
      <c r="AJ63" s="750"/>
      <c r="AK63" s="750"/>
      <c r="AL63" s="750"/>
      <c r="AM63" s="750"/>
      <c r="AN63" s="750"/>
      <c r="AO63" s="750"/>
      <c r="AP63" s="750"/>
      <c r="AQ63" s="750"/>
      <c r="AR63" s="750"/>
      <c r="AS63" s="750"/>
      <c r="AT63" s="750"/>
      <c r="AU63" s="750"/>
      <c r="AV63" s="750"/>
      <c r="AW63" s="750"/>
      <c r="AX63" s="750"/>
      <c r="AY63" s="750"/>
      <c r="AZ63" s="750"/>
    </row>
    <row r="64" ht="15" customHeight="1" spans="2:52">
      <c r="B64" s="767" t="s">
        <v>1508</v>
      </c>
      <c r="C64" s="784"/>
      <c r="D64" s="784"/>
      <c r="E64" s="784"/>
      <c r="F64" s="784"/>
      <c r="G64" s="784"/>
      <c r="H64" s="784"/>
      <c r="I64" s="784"/>
      <c r="J64" s="784"/>
      <c r="K64" s="784"/>
      <c r="L64" s="770"/>
      <c r="M64" s="769" t="s">
        <v>1464</v>
      </c>
      <c r="N64" s="769" t="s">
        <v>199</v>
      </c>
      <c r="O64" s="769" t="s">
        <v>199</v>
      </c>
      <c r="P64" s="750"/>
      <c r="Q64" s="750"/>
      <c r="R64" s="750"/>
      <c r="S64" s="750"/>
      <c r="T64" s="750"/>
      <c r="U64" s="750"/>
      <c r="V64" s="750"/>
      <c r="W64" s="750"/>
      <c r="X64" s="750"/>
      <c r="Y64" s="750"/>
      <c r="Z64" s="750"/>
      <c r="AA64" s="750"/>
      <c r="AB64" s="750"/>
      <c r="AC64" s="750"/>
      <c r="AD64" s="750"/>
      <c r="AE64" s="750"/>
      <c r="AF64" s="750"/>
      <c r="AG64" s="750"/>
      <c r="AH64" s="750"/>
      <c r="AI64" s="750"/>
      <c r="AJ64" s="750"/>
      <c r="AK64" s="750"/>
      <c r="AL64" s="750"/>
      <c r="AM64" s="750"/>
      <c r="AN64" s="750"/>
      <c r="AO64" s="750"/>
      <c r="AP64" s="750"/>
      <c r="AQ64" s="750"/>
      <c r="AR64" s="750"/>
      <c r="AS64" s="750"/>
      <c r="AT64" s="750"/>
      <c r="AU64" s="750"/>
      <c r="AV64" s="750"/>
      <c r="AW64" s="750"/>
      <c r="AX64" s="750"/>
      <c r="AY64" s="750"/>
      <c r="AZ64" s="750"/>
    </row>
    <row r="65" ht="15" customHeight="1" spans="2:52">
      <c r="B65" s="767" t="s">
        <v>1509</v>
      </c>
      <c r="C65" s="784"/>
      <c r="D65" s="784"/>
      <c r="E65" s="784"/>
      <c r="F65" s="784"/>
      <c r="G65" s="784"/>
      <c r="H65" s="784"/>
      <c r="I65" s="784"/>
      <c r="J65" s="784"/>
      <c r="K65" s="784"/>
      <c r="L65" s="770"/>
      <c r="M65" s="769" t="s">
        <v>1464</v>
      </c>
      <c r="N65" s="769" t="s">
        <v>199</v>
      </c>
      <c r="O65" s="769" t="s">
        <v>199</v>
      </c>
      <c r="P65" s="750"/>
      <c r="Q65" s="750"/>
      <c r="R65" s="750"/>
      <c r="S65" s="750"/>
      <c r="T65" s="750"/>
      <c r="U65" s="750"/>
      <c r="V65" s="750"/>
      <c r="W65" s="750"/>
      <c r="X65" s="750"/>
      <c r="Y65" s="750"/>
      <c r="Z65" s="750"/>
      <c r="AA65" s="750"/>
      <c r="AB65" s="750"/>
      <c r="AC65" s="750"/>
      <c r="AD65" s="750"/>
      <c r="AE65" s="750"/>
      <c r="AF65" s="750"/>
      <c r="AG65" s="750"/>
      <c r="AH65" s="750"/>
      <c r="AI65" s="750"/>
      <c r="AJ65" s="750"/>
      <c r="AK65" s="750"/>
      <c r="AL65" s="750"/>
      <c r="AM65" s="750"/>
      <c r="AN65" s="750"/>
      <c r="AO65" s="750"/>
      <c r="AP65" s="750"/>
      <c r="AQ65" s="750"/>
      <c r="AR65" s="750"/>
      <c r="AS65" s="750"/>
      <c r="AT65" s="750"/>
      <c r="AU65" s="750"/>
      <c r="AV65" s="750"/>
      <c r="AW65" s="750"/>
      <c r="AX65" s="750"/>
      <c r="AY65" s="750"/>
      <c r="AZ65" s="750"/>
    </row>
    <row r="66" ht="15" customHeight="1" spans="2:52">
      <c r="B66" s="767" t="s">
        <v>1510</v>
      </c>
      <c r="C66" s="784"/>
      <c r="D66" s="784"/>
      <c r="E66" s="786"/>
      <c r="F66" s="786"/>
      <c r="G66" s="786"/>
      <c r="H66" s="786"/>
      <c r="I66" s="786"/>
      <c r="J66" s="784"/>
      <c r="K66" s="784"/>
      <c r="L66" s="770"/>
      <c r="M66" s="769" t="s">
        <v>1464</v>
      </c>
      <c r="N66" s="769" t="s">
        <v>199</v>
      </c>
      <c r="O66" s="769" t="s">
        <v>199</v>
      </c>
      <c r="P66" s="750"/>
      <c r="Q66" s="750"/>
      <c r="R66" s="750"/>
      <c r="S66" s="750"/>
      <c r="T66" s="750"/>
      <c r="U66" s="750"/>
      <c r="V66" s="750"/>
      <c r="W66" s="750"/>
      <c r="X66" s="750"/>
      <c r="Y66" s="750"/>
      <c r="Z66" s="750"/>
      <c r="AA66" s="750"/>
      <c r="AB66" s="750"/>
      <c r="AC66" s="750"/>
      <c r="AD66" s="750"/>
      <c r="AE66" s="750"/>
      <c r="AF66" s="750"/>
      <c r="AG66" s="750"/>
      <c r="AH66" s="750"/>
      <c r="AI66" s="750"/>
      <c r="AJ66" s="750"/>
      <c r="AK66" s="750"/>
      <c r="AL66" s="750"/>
      <c r="AM66" s="750"/>
      <c r="AN66" s="750"/>
      <c r="AO66" s="750"/>
      <c r="AP66" s="750"/>
      <c r="AQ66" s="750"/>
      <c r="AR66" s="750"/>
      <c r="AS66" s="750"/>
      <c r="AT66" s="750"/>
      <c r="AU66" s="750"/>
      <c r="AV66" s="750"/>
      <c r="AW66" s="750"/>
      <c r="AX66" s="750"/>
      <c r="AY66" s="750"/>
      <c r="AZ66" s="750"/>
    </row>
    <row r="67" ht="15" customHeight="1" spans="2:52">
      <c r="B67" s="767" t="s">
        <v>1511</v>
      </c>
      <c r="C67" s="784"/>
      <c r="D67" s="784"/>
      <c r="E67" s="784"/>
      <c r="F67" s="784"/>
      <c r="G67" s="784"/>
      <c r="H67" s="784"/>
      <c r="I67" s="784"/>
      <c r="J67" s="784"/>
      <c r="K67" s="784"/>
      <c r="L67" s="770"/>
      <c r="M67" s="769" t="s">
        <v>1464</v>
      </c>
      <c r="N67" s="769" t="s">
        <v>199</v>
      </c>
      <c r="O67" s="769" t="s">
        <v>199</v>
      </c>
      <c r="P67" s="750"/>
      <c r="Q67" s="750"/>
      <c r="R67" s="750"/>
      <c r="S67" s="750"/>
      <c r="T67" s="750"/>
      <c r="U67" s="750"/>
      <c r="V67" s="750"/>
      <c r="W67" s="750"/>
      <c r="X67" s="750"/>
      <c r="Y67" s="750"/>
      <c r="Z67" s="750"/>
      <c r="AA67" s="750"/>
      <c r="AB67" s="750"/>
      <c r="AC67" s="750"/>
      <c r="AD67" s="750"/>
      <c r="AE67" s="750"/>
      <c r="AF67" s="750"/>
      <c r="AG67" s="750"/>
      <c r="AH67" s="750"/>
      <c r="AI67" s="750"/>
      <c r="AJ67" s="750"/>
      <c r="AK67" s="750"/>
      <c r="AL67" s="750"/>
      <c r="AM67" s="750"/>
      <c r="AN67" s="750"/>
      <c r="AO67" s="750"/>
      <c r="AP67" s="750"/>
      <c r="AQ67" s="750"/>
      <c r="AR67" s="750"/>
      <c r="AS67" s="750"/>
      <c r="AT67" s="750"/>
      <c r="AU67" s="750"/>
      <c r="AV67" s="750"/>
      <c r="AW67" s="750"/>
      <c r="AX67" s="750"/>
      <c r="AY67" s="750"/>
      <c r="AZ67" s="750"/>
    </row>
    <row r="68" ht="15" customHeight="1" spans="2:52">
      <c r="B68" s="767" t="s">
        <v>1512</v>
      </c>
      <c r="C68" s="784"/>
      <c r="D68" s="784"/>
      <c r="E68" s="784"/>
      <c r="F68" s="784"/>
      <c r="G68" s="784"/>
      <c r="H68" s="784"/>
      <c r="I68" s="784"/>
      <c r="J68" s="784"/>
      <c r="K68" s="784"/>
      <c r="L68" s="770"/>
      <c r="M68" s="769" t="s">
        <v>1464</v>
      </c>
      <c r="N68" s="769" t="s">
        <v>199</v>
      </c>
      <c r="O68" s="769" t="s">
        <v>199</v>
      </c>
      <c r="P68" s="750"/>
      <c r="Q68" s="750"/>
      <c r="R68" s="750"/>
      <c r="S68" s="750"/>
      <c r="T68" s="750"/>
      <c r="U68" s="750"/>
      <c r="V68" s="750"/>
      <c r="W68" s="750"/>
      <c r="X68" s="750"/>
      <c r="Y68" s="750"/>
      <c r="Z68" s="750"/>
      <c r="AA68" s="750"/>
      <c r="AB68" s="750"/>
      <c r="AC68" s="750"/>
      <c r="AD68" s="750"/>
      <c r="AE68" s="750"/>
      <c r="AF68" s="750"/>
      <c r="AG68" s="750"/>
      <c r="AH68" s="750"/>
      <c r="AI68" s="750"/>
      <c r="AJ68" s="750"/>
      <c r="AK68" s="750"/>
      <c r="AL68" s="750"/>
      <c r="AM68" s="750"/>
      <c r="AN68" s="750"/>
      <c r="AO68" s="750"/>
      <c r="AP68" s="750"/>
      <c r="AQ68" s="750"/>
      <c r="AR68" s="750"/>
      <c r="AS68" s="750"/>
      <c r="AT68" s="750"/>
      <c r="AU68" s="750"/>
      <c r="AV68" s="750"/>
      <c r="AW68" s="750"/>
      <c r="AX68" s="750"/>
      <c r="AY68" s="750"/>
      <c r="AZ68" s="750"/>
    </row>
    <row r="69" ht="15" customHeight="1" spans="2:52">
      <c r="B69" s="767" t="s">
        <v>1513</v>
      </c>
      <c r="C69" s="784"/>
      <c r="D69" s="784"/>
      <c r="E69" s="784"/>
      <c r="F69" s="784"/>
      <c r="G69" s="784"/>
      <c r="H69" s="784"/>
      <c r="I69" s="784"/>
      <c r="J69" s="784"/>
      <c r="K69" s="784"/>
      <c r="L69" s="770"/>
      <c r="M69" s="769" t="s">
        <v>1464</v>
      </c>
      <c r="N69" s="769" t="s">
        <v>199</v>
      </c>
      <c r="O69" s="769" t="s">
        <v>199</v>
      </c>
      <c r="P69" s="750"/>
      <c r="Q69" s="750"/>
      <c r="R69" s="750"/>
      <c r="S69" s="750"/>
      <c r="T69" s="750"/>
      <c r="U69" s="750"/>
      <c r="V69" s="750"/>
      <c r="W69" s="750"/>
      <c r="X69" s="750"/>
      <c r="Y69" s="750"/>
      <c r="Z69" s="750"/>
      <c r="AA69" s="750"/>
      <c r="AB69" s="750"/>
      <c r="AC69" s="750"/>
      <c r="AD69" s="750"/>
      <c r="AE69" s="750"/>
      <c r="AF69" s="750"/>
      <c r="AG69" s="750"/>
      <c r="AH69" s="750"/>
      <c r="AI69" s="750"/>
      <c r="AJ69" s="750"/>
      <c r="AK69" s="750"/>
      <c r="AL69" s="750"/>
      <c r="AM69" s="750"/>
      <c r="AN69" s="750"/>
      <c r="AO69" s="750"/>
      <c r="AP69" s="750"/>
      <c r="AQ69" s="750"/>
      <c r="AR69" s="750"/>
      <c r="AS69" s="750"/>
      <c r="AT69" s="750"/>
      <c r="AU69" s="750"/>
      <c r="AV69" s="750"/>
      <c r="AW69" s="750"/>
      <c r="AX69" s="750"/>
      <c r="AY69" s="750"/>
      <c r="AZ69" s="750"/>
    </row>
    <row r="70" ht="15" customHeight="1" spans="2:52">
      <c r="B70" s="767" t="s">
        <v>1514</v>
      </c>
      <c r="C70" s="784"/>
      <c r="D70" s="784"/>
      <c r="E70" s="784"/>
      <c r="F70" s="784"/>
      <c r="G70" s="784"/>
      <c r="H70" s="784"/>
      <c r="I70" s="784"/>
      <c r="J70" s="784"/>
      <c r="K70" s="784"/>
      <c r="L70" s="770"/>
      <c r="M70" s="769" t="s">
        <v>1464</v>
      </c>
      <c r="N70" s="769" t="s">
        <v>199</v>
      </c>
      <c r="O70" s="769" t="s">
        <v>199</v>
      </c>
      <c r="P70" s="750"/>
      <c r="Q70" s="750"/>
      <c r="R70" s="750"/>
      <c r="S70" s="750"/>
      <c r="T70" s="750"/>
      <c r="U70" s="750"/>
      <c r="V70" s="750"/>
      <c r="W70" s="750"/>
      <c r="X70" s="750"/>
      <c r="Y70" s="750"/>
      <c r="Z70" s="750"/>
      <c r="AA70" s="750"/>
      <c r="AB70" s="750"/>
      <c r="AC70" s="750"/>
      <c r="AD70" s="750"/>
      <c r="AE70" s="750"/>
      <c r="AF70" s="750"/>
      <c r="AG70" s="750"/>
      <c r="AH70" s="750"/>
      <c r="AI70" s="750"/>
      <c r="AJ70" s="750"/>
      <c r="AK70" s="750"/>
      <c r="AL70" s="750"/>
      <c r="AM70" s="750"/>
      <c r="AN70" s="750"/>
      <c r="AO70" s="750"/>
      <c r="AP70" s="750"/>
      <c r="AQ70" s="750"/>
      <c r="AR70" s="750"/>
      <c r="AS70" s="750"/>
      <c r="AT70" s="750"/>
      <c r="AU70" s="750"/>
      <c r="AV70" s="750"/>
      <c r="AW70" s="750"/>
      <c r="AX70" s="750"/>
      <c r="AY70" s="750"/>
      <c r="AZ70" s="750"/>
    </row>
    <row r="71" ht="15" customHeight="1" spans="2:52">
      <c r="B71" s="767" t="s">
        <v>1515</v>
      </c>
      <c r="C71" s="785"/>
      <c r="D71" s="785"/>
      <c r="E71" s="785"/>
      <c r="F71" s="785"/>
      <c r="G71" s="785"/>
      <c r="H71" s="785"/>
      <c r="I71" s="785"/>
      <c r="J71" s="789"/>
      <c r="K71" s="789"/>
      <c r="L71" s="770"/>
      <c r="M71" s="769" t="s">
        <v>1464</v>
      </c>
      <c r="N71" s="769" t="s">
        <v>199</v>
      </c>
      <c r="O71" s="769" t="s">
        <v>199</v>
      </c>
      <c r="P71" s="751"/>
      <c r="Q71" s="751"/>
      <c r="R71" s="751"/>
      <c r="S71" s="751"/>
      <c r="T71" s="751"/>
      <c r="U71" s="751"/>
      <c r="V71" s="751"/>
      <c r="W71" s="751"/>
      <c r="X71" s="751"/>
      <c r="Y71" s="751"/>
      <c r="Z71" s="751"/>
      <c r="AA71" s="751"/>
      <c r="AB71" s="751"/>
      <c r="AC71" s="751"/>
      <c r="AD71" s="751"/>
      <c r="AE71" s="751"/>
      <c r="AF71" s="751"/>
      <c r="AG71" s="751"/>
      <c r="AH71" s="751"/>
      <c r="AI71" s="751"/>
      <c r="AJ71" s="751"/>
      <c r="AK71" s="751"/>
      <c r="AL71" s="751"/>
      <c r="AM71" s="751"/>
      <c r="AN71" s="751"/>
      <c r="AO71" s="751"/>
      <c r="AP71" s="751"/>
      <c r="AQ71" s="751"/>
      <c r="AR71" s="751"/>
      <c r="AS71" s="751"/>
      <c r="AT71" s="751"/>
      <c r="AU71" s="751"/>
      <c r="AV71" s="751"/>
      <c r="AW71" s="751"/>
      <c r="AX71" s="751"/>
      <c r="AY71" s="751"/>
      <c r="AZ71" s="751"/>
    </row>
    <row r="72" ht="15" customHeight="1" spans="2:52">
      <c r="B72" s="767" t="s">
        <v>1516</v>
      </c>
      <c r="C72" s="785"/>
      <c r="D72" s="785"/>
      <c r="E72" s="785"/>
      <c r="F72" s="785"/>
      <c r="G72" s="785"/>
      <c r="H72" s="785"/>
      <c r="I72" s="785"/>
      <c r="J72" s="789"/>
      <c r="K72" s="789"/>
      <c r="L72" s="770"/>
      <c r="M72" s="769" t="s">
        <v>1464</v>
      </c>
      <c r="N72" s="769" t="s">
        <v>199</v>
      </c>
      <c r="O72" s="769" t="s">
        <v>199</v>
      </c>
      <c r="P72" s="751"/>
      <c r="Q72" s="751"/>
      <c r="R72" s="751"/>
      <c r="S72" s="751"/>
      <c r="T72" s="751"/>
      <c r="U72" s="751"/>
      <c r="V72" s="751"/>
      <c r="W72" s="751"/>
      <c r="X72" s="751"/>
      <c r="Y72" s="751"/>
      <c r="Z72" s="751"/>
      <c r="AA72" s="751"/>
      <c r="AB72" s="751"/>
      <c r="AC72" s="751"/>
      <c r="AD72" s="751"/>
      <c r="AE72" s="751"/>
      <c r="AF72" s="751"/>
      <c r="AG72" s="751"/>
      <c r="AH72" s="751"/>
      <c r="AI72" s="751"/>
      <c r="AJ72" s="751"/>
      <c r="AK72" s="751"/>
      <c r="AL72" s="751"/>
      <c r="AM72" s="751"/>
      <c r="AN72" s="751"/>
      <c r="AO72" s="751"/>
      <c r="AP72" s="751"/>
      <c r="AQ72" s="751"/>
      <c r="AR72" s="751"/>
      <c r="AS72" s="751"/>
      <c r="AT72" s="751"/>
      <c r="AU72" s="751"/>
      <c r="AV72" s="751"/>
      <c r="AW72" s="751"/>
      <c r="AX72" s="751"/>
      <c r="AY72" s="751"/>
      <c r="AZ72" s="751"/>
    </row>
    <row r="73" ht="15" customHeight="1" spans="2:52">
      <c r="B73" s="767" t="s">
        <v>1517</v>
      </c>
      <c r="C73" s="785"/>
      <c r="D73" s="785"/>
      <c r="E73" s="785"/>
      <c r="F73" s="785"/>
      <c r="G73" s="785"/>
      <c r="H73" s="785"/>
      <c r="I73" s="785"/>
      <c r="J73" s="789"/>
      <c r="K73" s="789"/>
      <c r="L73" s="792"/>
      <c r="M73" s="769" t="s">
        <v>1464</v>
      </c>
      <c r="N73" s="769" t="s">
        <v>199</v>
      </c>
      <c r="O73" s="769" t="s">
        <v>199</v>
      </c>
      <c r="P73" s="751"/>
      <c r="Q73" s="751"/>
      <c r="R73" s="751"/>
      <c r="S73" s="751"/>
      <c r="T73" s="751"/>
      <c r="U73" s="751"/>
      <c r="V73" s="751"/>
      <c r="W73" s="751"/>
      <c r="X73" s="751"/>
      <c r="Y73" s="751"/>
      <c r="Z73" s="751"/>
      <c r="AA73" s="751"/>
      <c r="AB73" s="751"/>
      <c r="AC73" s="751"/>
      <c r="AD73" s="751"/>
      <c r="AE73" s="751"/>
      <c r="AF73" s="751"/>
      <c r="AG73" s="751"/>
      <c r="AH73" s="751"/>
      <c r="AI73" s="751"/>
      <c r="AJ73" s="751"/>
      <c r="AK73" s="751"/>
      <c r="AL73" s="751"/>
      <c r="AM73" s="751"/>
      <c r="AN73" s="751"/>
      <c r="AO73" s="751"/>
      <c r="AP73" s="751"/>
      <c r="AQ73" s="751"/>
      <c r="AR73" s="751"/>
      <c r="AS73" s="751"/>
      <c r="AT73" s="751"/>
      <c r="AU73" s="751"/>
      <c r="AV73" s="751"/>
      <c r="AW73" s="751"/>
      <c r="AX73" s="751"/>
      <c r="AY73" s="751"/>
      <c r="AZ73" s="751"/>
    </row>
    <row r="74" ht="15" customHeight="1" spans="2:52">
      <c r="B74" s="767" t="s">
        <v>1518</v>
      </c>
      <c r="C74" s="785"/>
      <c r="D74" s="785"/>
      <c r="E74" s="785"/>
      <c r="F74" s="785"/>
      <c r="G74" s="785"/>
      <c r="H74" s="785"/>
      <c r="I74" s="785"/>
      <c r="J74" s="793"/>
      <c r="K74" s="793"/>
      <c r="L74" s="793"/>
      <c r="M74" s="769" t="s">
        <v>1464</v>
      </c>
      <c r="N74" s="769" t="s">
        <v>199</v>
      </c>
      <c r="O74" s="769" t="s">
        <v>199</v>
      </c>
      <c r="P74" s="751"/>
      <c r="Q74" s="751"/>
      <c r="R74" s="751"/>
      <c r="S74" s="751"/>
      <c r="T74" s="751"/>
      <c r="U74" s="751"/>
      <c r="V74" s="751"/>
      <c r="W74" s="751"/>
      <c r="X74" s="751"/>
      <c r="Y74" s="751"/>
      <c r="Z74" s="751"/>
      <c r="AA74" s="751"/>
      <c r="AB74" s="751"/>
      <c r="AC74" s="751"/>
      <c r="AD74" s="751"/>
      <c r="AE74" s="751"/>
      <c r="AF74" s="751"/>
      <c r="AG74" s="751"/>
      <c r="AH74" s="751"/>
      <c r="AI74" s="751"/>
      <c r="AJ74" s="751"/>
      <c r="AK74" s="751"/>
      <c r="AL74" s="751"/>
      <c r="AM74" s="751"/>
      <c r="AN74" s="751"/>
      <c r="AO74" s="751"/>
      <c r="AP74" s="751"/>
      <c r="AQ74" s="751"/>
      <c r="AR74" s="751"/>
      <c r="AS74" s="751"/>
      <c r="AT74" s="751"/>
      <c r="AU74" s="751"/>
      <c r="AV74" s="751"/>
      <c r="AW74" s="751"/>
      <c r="AX74" s="751"/>
      <c r="AY74" s="751"/>
      <c r="AZ74" s="751"/>
    </row>
    <row r="75" ht="15" customHeight="1" spans="2:52">
      <c r="B75" s="767" t="s">
        <v>1519</v>
      </c>
      <c r="C75" s="785"/>
      <c r="D75" s="785"/>
      <c r="E75" s="785"/>
      <c r="F75" s="785"/>
      <c r="G75" s="785"/>
      <c r="H75" s="785"/>
      <c r="I75" s="785"/>
      <c r="J75" s="789"/>
      <c r="K75" s="789"/>
      <c r="L75" s="793"/>
      <c r="M75" s="769" t="s">
        <v>1464</v>
      </c>
      <c r="N75" s="769" t="s">
        <v>199</v>
      </c>
      <c r="O75" s="769" t="s">
        <v>199</v>
      </c>
      <c r="P75" s="751"/>
      <c r="Q75" s="751"/>
      <c r="R75" s="751"/>
      <c r="S75" s="751"/>
      <c r="T75" s="751"/>
      <c r="U75" s="751"/>
      <c r="V75" s="751"/>
      <c r="W75" s="751"/>
      <c r="X75" s="751"/>
      <c r="Y75" s="751"/>
      <c r="Z75" s="751"/>
      <c r="AA75" s="751"/>
      <c r="AB75" s="751"/>
      <c r="AC75" s="751"/>
      <c r="AD75" s="751"/>
      <c r="AE75" s="751"/>
      <c r="AF75" s="751"/>
      <c r="AG75" s="751"/>
      <c r="AH75" s="751"/>
      <c r="AI75" s="751"/>
      <c r="AJ75" s="751"/>
      <c r="AK75" s="751"/>
      <c r="AL75" s="751"/>
      <c r="AM75" s="751"/>
      <c r="AN75" s="751"/>
      <c r="AO75" s="751"/>
      <c r="AP75" s="751"/>
      <c r="AQ75" s="751"/>
      <c r="AR75" s="751"/>
      <c r="AS75" s="751"/>
      <c r="AT75" s="751"/>
      <c r="AU75" s="751"/>
      <c r="AV75" s="751"/>
      <c r="AW75" s="751"/>
      <c r="AX75" s="751"/>
      <c r="AY75" s="751"/>
      <c r="AZ75" s="751"/>
    </row>
    <row r="76" ht="15" customHeight="1" spans="2:52">
      <c r="B76" s="767" t="s">
        <v>1520</v>
      </c>
      <c r="C76" s="785"/>
      <c r="D76" s="785"/>
      <c r="E76" s="785"/>
      <c r="F76" s="785"/>
      <c r="G76" s="785"/>
      <c r="H76" s="785"/>
      <c r="I76" s="785"/>
      <c r="J76" s="793"/>
      <c r="K76" s="793"/>
      <c r="L76" s="793"/>
      <c r="M76" s="769" t="s">
        <v>1464</v>
      </c>
      <c r="N76" s="769" t="s">
        <v>199</v>
      </c>
      <c r="O76" s="769" t="s">
        <v>199</v>
      </c>
      <c r="P76" s="751"/>
      <c r="Q76" s="751"/>
      <c r="R76" s="751"/>
      <c r="S76" s="751"/>
      <c r="T76" s="751"/>
      <c r="U76" s="751"/>
      <c r="V76" s="751"/>
      <c r="W76" s="751"/>
      <c r="X76" s="751"/>
      <c r="Y76" s="751"/>
      <c r="Z76" s="751"/>
      <c r="AA76" s="751"/>
      <c r="AB76" s="751"/>
      <c r="AC76" s="751"/>
      <c r="AD76" s="751"/>
      <c r="AE76" s="751"/>
      <c r="AF76" s="751"/>
      <c r="AG76" s="751"/>
      <c r="AH76" s="751"/>
      <c r="AI76" s="751"/>
      <c r="AJ76" s="751"/>
      <c r="AK76" s="751"/>
      <c r="AL76" s="751"/>
      <c r="AM76" s="751"/>
      <c r="AN76" s="751"/>
      <c r="AO76" s="751"/>
      <c r="AP76" s="751"/>
      <c r="AQ76" s="751"/>
      <c r="AR76" s="751"/>
      <c r="AS76" s="751"/>
      <c r="AT76" s="751"/>
      <c r="AU76" s="751"/>
      <c r="AV76" s="751"/>
      <c r="AW76" s="751"/>
      <c r="AX76" s="751"/>
      <c r="AY76" s="751"/>
      <c r="AZ76" s="751"/>
    </row>
    <row r="77" ht="15" customHeight="1" spans="2:52">
      <c r="B77" s="767" t="s">
        <v>1521</v>
      </c>
      <c r="C77" s="785"/>
      <c r="D77" s="785"/>
      <c r="E77" s="785"/>
      <c r="F77" s="785"/>
      <c r="G77" s="785"/>
      <c r="H77" s="785"/>
      <c r="I77" s="785"/>
      <c r="J77" s="789"/>
      <c r="K77" s="789"/>
      <c r="L77" s="793"/>
      <c r="M77" s="769" t="s">
        <v>1464</v>
      </c>
      <c r="N77" s="769" t="s">
        <v>199</v>
      </c>
      <c r="O77" s="769" t="s">
        <v>199</v>
      </c>
      <c r="P77" s="751"/>
      <c r="Q77" s="751"/>
      <c r="R77" s="751"/>
      <c r="S77" s="751"/>
      <c r="T77" s="751"/>
      <c r="U77" s="751"/>
      <c r="V77" s="751"/>
      <c r="W77" s="751"/>
      <c r="X77" s="751"/>
      <c r="Y77" s="751"/>
      <c r="Z77" s="751"/>
      <c r="AA77" s="751"/>
      <c r="AB77" s="751"/>
      <c r="AC77" s="751"/>
      <c r="AD77" s="751"/>
      <c r="AE77" s="751"/>
      <c r="AF77" s="751"/>
      <c r="AG77" s="751"/>
      <c r="AH77" s="751"/>
      <c r="AI77" s="751"/>
      <c r="AJ77" s="751"/>
      <c r="AK77" s="751"/>
      <c r="AL77" s="751"/>
      <c r="AM77" s="751"/>
      <c r="AN77" s="751"/>
      <c r="AO77" s="751"/>
      <c r="AP77" s="751"/>
      <c r="AQ77" s="751"/>
      <c r="AR77" s="751"/>
      <c r="AS77" s="751"/>
      <c r="AT77" s="751"/>
      <c r="AU77" s="751"/>
      <c r="AV77" s="751"/>
      <c r="AW77" s="751"/>
      <c r="AX77" s="751"/>
      <c r="AY77" s="751"/>
      <c r="AZ77" s="751"/>
    </row>
    <row r="78" ht="15" customHeight="1" spans="2:52">
      <c r="B78" s="767" t="s">
        <v>1522</v>
      </c>
      <c r="C78" s="785"/>
      <c r="D78" s="785"/>
      <c r="E78" s="785"/>
      <c r="F78" s="785"/>
      <c r="G78" s="785"/>
      <c r="H78" s="785"/>
      <c r="I78" s="785"/>
      <c r="J78" s="789"/>
      <c r="K78" s="789"/>
      <c r="L78" s="793"/>
      <c r="M78" s="769" t="s">
        <v>1464</v>
      </c>
      <c r="N78" s="769" t="s">
        <v>199</v>
      </c>
      <c r="O78" s="769" t="s">
        <v>199</v>
      </c>
      <c r="P78" s="751"/>
      <c r="Q78" s="751"/>
      <c r="R78" s="751"/>
      <c r="S78" s="751"/>
      <c r="T78" s="751"/>
      <c r="U78" s="751"/>
      <c r="V78" s="751"/>
      <c r="W78" s="751"/>
      <c r="X78" s="751"/>
      <c r="Y78" s="751"/>
      <c r="Z78" s="751"/>
      <c r="AA78" s="751"/>
      <c r="AB78" s="751"/>
      <c r="AC78" s="751"/>
      <c r="AD78" s="751"/>
      <c r="AE78" s="751"/>
      <c r="AF78" s="751"/>
      <c r="AG78" s="751"/>
      <c r="AH78" s="751"/>
      <c r="AI78" s="751"/>
      <c r="AJ78" s="751"/>
      <c r="AK78" s="751"/>
      <c r="AL78" s="751"/>
      <c r="AM78" s="751"/>
      <c r="AN78" s="751"/>
      <c r="AO78" s="751"/>
      <c r="AP78" s="751"/>
      <c r="AQ78" s="751"/>
      <c r="AR78" s="751"/>
      <c r="AS78" s="751"/>
      <c r="AT78" s="751"/>
      <c r="AU78" s="751"/>
      <c r="AV78" s="751"/>
      <c r="AW78" s="751"/>
      <c r="AX78" s="751"/>
      <c r="AY78" s="751"/>
      <c r="AZ78" s="751"/>
    </row>
    <row r="79" ht="15" customHeight="1" spans="2:52">
      <c r="B79" s="767" t="s">
        <v>1523</v>
      </c>
      <c r="C79" s="785"/>
      <c r="D79" s="785"/>
      <c r="E79" s="785"/>
      <c r="F79" s="785"/>
      <c r="G79" s="785"/>
      <c r="H79" s="785"/>
      <c r="I79" s="785"/>
      <c r="J79" s="793"/>
      <c r="K79" s="793"/>
      <c r="L79" s="793"/>
      <c r="M79" s="769" t="s">
        <v>1464</v>
      </c>
      <c r="N79" s="769" t="s">
        <v>199</v>
      </c>
      <c r="O79" s="769" t="s">
        <v>199</v>
      </c>
      <c r="P79" s="751"/>
      <c r="Q79" s="751"/>
      <c r="R79" s="751"/>
      <c r="S79" s="751"/>
      <c r="T79" s="751"/>
      <c r="U79" s="751"/>
      <c r="V79" s="751"/>
      <c r="W79" s="751"/>
      <c r="X79" s="751"/>
      <c r="Y79" s="751"/>
      <c r="Z79" s="751"/>
      <c r="AA79" s="751"/>
      <c r="AB79" s="751"/>
      <c r="AC79" s="751"/>
      <c r="AD79" s="751"/>
      <c r="AE79" s="751"/>
      <c r="AF79" s="751"/>
      <c r="AG79" s="751"/>
      <c r="AH79" s="751"/>
      <c r="AI79" s="751"/>
      <c r="AJ79" s="751"/>
      <c r="AK79" s="751"/>
      <c r="AL79" s="751"/>
      <c r="AM79" s="751"/>
      <c r="AN79" s="751"/>
      <c r="AO79" s="751"/>
      <c r="AP79" s="751"/>
      <c r="AQ79" s="751"/>
      <c r="AR79" s="751"/>
      <c r="AS79" s="751"/>
      <c r="AT79" s="751"/>
      <c r="AU79" s="751"/>
      <c r="AV79" s="751"/>
      <c r="AW79" s="751"/>
      <c r="AX79" s="751"/>
      <c r="AY79" s="751"/>
      <c r="AZ79" s="751"/>
    </row>
    <row r="80" ht="15" customHeight="1" spans="2:52">
      <c r="B80" s="767" t="s">
        <v>1524</v>
      </c>
      <c r="C80" s="785"/>
      <c r="D80" s="785"/>
      <c r="E80" s="785"/>
      <c r="F80" s="785"/>
      <c r="G80" s="785"/>
      <c r="H80" s="785"/>
      <c r="I80" s="785"/>
      <c r="J80" s="793"/>
      <c r="K80" s="793"/>
      <c r="L80" s="793"/>
      <c r="M80" s="769" t="s">
        <v>1464</v>
      </c>
      <c r="N80" s="769" t="s">
        <v>199</v>
      </c>
      <c r="O80" s="769" t="s">
        <v>199</v>
      </c>
      <c r="P80" s="751"/>
      <c r="Q80" s="751"/>
      <c r="R80" s="751"/>
      <c r="S80" s="751"/>
      <c r="T80" s="751"/>
      <c r="U80" s="751"/>
      <c r="V80" s="751"/>
      <c r="W80" s="751"/>
      <c r="X80" s="751"/>
      <c r="Y80" s="751"/>
      <c r="Z80" s="751"/>
      <c r="AA80" s="751"/>
      <c r="AB80" s="751"/>
      <c r="AC80" s="751"/>
      <c r="AD80" s="751"/>
      <c r="AE80" s="751"/>
      <c r="AF80" s="751"/>
      <c r="AG80" s="751"/>
      <c r="AH80" s="751"/>
      <c r="AI80" s="751"/>
      <c r="AJ80" s="751"/>
      <c r="AK80" s="751"/>
      <c r="AL80" s="751"/>
      <c r="AM80" s="751"/>
      <c r="AN80" s="751"/>
      <c r="AO80" s="751"/>
      <c r="AP80" s="751"/>
      <c r="AQ80" s="751"/>
      <c r="AR80" s="751"/>
      <c r="AS80" s="751"/>
      <c r="AT80" s="751"/>
      <c r="AU80" s="751"/>
      <c r="AV80" s="751"/>
      <c r="AW80" s="751"/>
      <c r="AX80" s="751"/>
      <c r="AY80" s="751"/>
      <c r="AZ80" s="751"/>
    </row>
    <row r="81" ht="15" customHeight="1" spans="2:52">
      <c r="B81" s="767" t="s">
        <v>1525</v>
      </c>
      <c r="C81" s="785"/>
      <c r="D81" s="785"/>
      <c r="E81" s="785"/>
      <c r="F81" s="785"/>
      <c r="G81" s="785"/>
      <c r="H81" s="785"/>
      <c r="I81" s="785"/>
      <c r="J81" s="793"/>
      <c r="K81" s="793"/>
      <c r="L81" s="793"/>
      <c r="M81" s="769" t="s">
        <v>1464</v>
      </c>
      <c r="N81" s="769" t="s">
        <v>199</v>
      </c>
      <c r="O81" s="769" t="s">
        <v>199</v>
      </c>
      <c r="P81" s="751"/>
      <c r="Q81" s="751"/>
      <c r="R81" s="751"/>
      <c r="S81" s="751"/>
      <c r="T81" s="751"/>
      <c r="U81" s="751"/>
      <c r="V81" s="751"/>
      <c r="W81" s="751"/>
      <c r="X81" s="751"/>
      <c r="Y81" s="751"/>
      <c r="Z81" s="751"/>
      <c r="AA81" s="751"/>
      <c r="AB81" s="751"/>
      <c r="AC81" s="751"/>
      <c r="AD81" s="751"/>
      <c r="AE81" s="751"/>
      <c r="AF81" s="751"/>
      <c r="AG81" s="751"/>
      <c r="AH81" s="751"/>
      <c r="AI81" s="751"/>
      <c r="AJ81" s="751"/>
      <c r="AK81" s="751"/>
      <c r="AL81" s="751"/>
      <c r="AM81" s="751"/>
      <c r="AN81" s="751"/>
      <c r="AO81" s="751"/>
      <c r="AP81" s="751"/>
      <c r="AQ81" s="751"/>
      <c r="AR81" s="751"/>
      <c r="AS81" s="751"/>
      <c r="AT81" s="751"/>
      <c r="AU81" s="751"/>
      <c r="AV81" s="751"/>
      <c r="AW81" s="751"/>
      <c r="AX81" s="751"/>
      <c r="AY81" s="751"/>
      <c r="AZ81" s="751"/>
    </row>
    <row r="82" ht="15" customHeight="1" spans="2:52">
      <c r="B82" s="767" t="s">
        <v>1526</v>
      </c>
      <c r="C82" s="785"/>
      <c r="D82" s="785"/>
      <c r="E82" s="785"/>
      <c r="F82" s="785"/>
      <c r="G82" s="785"/>
      <c r="H82" s="785"/>
      <c r="I82" s="785"/>
      <c r="J82" s="789"/>
      <c r="K82" s="789"/>
      <c r="L82" s="770"/>
      <c r="M82" s="769" t="s">
        <v>1464</v>
      </c>
      <c r="N82" s="769" t="s">
        <v>199</v>
      </c>
      <c r="O82" s="769" t="s">
        <v>199</v>
      </c>
      <c r="P82" s="751"/>
      <c r="Q82" s="751"/>
      <c r="R82" s="751"/>
      <c r="S82" s="751"/>
      <c r="T82" s="751"/>
      <c r="U82" s="751"/>
      <c r="V82" s="751"/>
      <c r="W82" s="751"/>
      <c r="X82" s="751"/>
      <c r="Y82" s="751"/>
      <c r="Z82" s="751"/>
      <c r="AA82" s="751"/>
      <c r="AB82" s="751"/>
      <c r="AC82" s="751"/>
      <c r="AD82" s="751"/>
      <c r="AE82" s="751"/>
      <c r="AF82" s="751"/>
      <c r="AG82" s="751"/>
      <c r="AH82" s="751"/>
      <c r="AI82" s="751"/>
      <c r="AJ82" s="751"/>
      <c r="AK82" s="751"/>
      <c r="AL82" s="751"/>
      <c r="AM82" s="751"/>
      <c r="AN82" s="751"/>
      <c r="AO82" s="751"/>
      <c r="AP82" s="751"/>
      <c r="AQ82" s="751"/>
      <c r="AR82" s="751"/>
      <c r="AS82" s="751"/>
      <c r="AT82" s="751"/>
      <c r="AU82" s="751"/>
      <c r="AV82" s="751"/>
      <c r="AW82" s="751"/>
      <c r="AX82" s="751"/>
      <c r="AY82" s="751"/>
      <c r="AZ82" s="751"/>
    </row>
    <row r="83" ht="15" customHeight="1" spans="2:52">
      <c r="B83" s="767" t="s">
        <v>1527</v>
      </c>
      <c r="C83" s="785"/>
      <c r="D83" s="785"/>
      <c r="E83" s="785"/>
      <c r="F83" s="785"/>
      <c r="G83" s="785"/>
      <c r="H83" s="785"/>
      <c r="I83" s="785"/>
      <c r="J83" s="789"/>
      <c r="K83" s="789"/>
      <c r="L83" s="770"/>
      <c r="M83" s="769" t="s">
        <v>1464</v>
      </c>
      <c r="N83" s="769" t="s">
        <v>199</v>
      </c>
      <c r="O83" s="769" t="s">
        <v>199</v>
      </c>
      <c r="P83" s="751"/>
      <c r="Q83" s="751"/>
      <c r="R83" s="751"/>
      <c r="S83" s="751"/>
      <c r="T83" s="751"/>
      <c r="U83" s="751"/>
      <c r="V83" s="751"/>
      <c r="W83" s="751"/>
      <c r="X83" s="751"/>
      <c r="Y83" s="751"/>
      <c r="Z83" s="751"/>
      <c r="AA83" s="751"/>
      <c r="AB83" s="751"/>
      <c r="AC83" s="751"/>
      <c r="AD83" s="751"/>
      <c r="AE83" s="751"/>
      <c r="AF83" s="751"/>
      <c r="AG83" s="751"/>
      <c r="AH83" s="751"/>
      <c r="AI83" s="751"/>
      <c r="AJ83" s="751"/>
      <c r="AK83" s="751"/>
      <c r="AL83" s="751"/>
      <c r="AM83" s="751"/>
      <c r="AN83" s="751"/>
      <c r="AO83" s="751"/>
      <c r="AP83" s="751"/>
      <c r="AQ83" s="751"/>
      <c r="AR83" s="751"/>
      <c r="AS83" s="751"/>
      <c r="AT83" s="751"/>
      <c r="AU83" s="751"/>
      <c r="AV83" s="751"/>
      <c r="AW83" s="751"/>
      <c r="AX83" s="751"/>
      <c r="AY83" s="751"/>
      <c r="AZ83" s="751"/>
    </row>
    <row r="84" ht="15" customHeight="1" spans="2:52">
      <c r="B84" s="767" t="s">
        <v>1528</v>
      </c>
      <c r="C84" s="785"/>
      <c r="D84" s="785"/>
      <c r="E84" s="785"/>
      <c r="F84" s="785"/>
      <c r="G84" s="785"/>
      <c r="H84" s="785"/>
      <c r="I84" s="785"/>
      <c r="J84" s="789"/>
      <c r="K84" s="789"/>
      <c r="L84" s="770"/>
      <c r="M84" s="769" t="s">
        <v>1464</v>
      </c>
      <c r="N84" s="769" t="s">
        <v>199</v>
      </c>
      <c r="O84" s="769" t="s">
        <v>199</v>
      </c>
      <c r="P84" s="751"/>
      <c r="Q84" s="751"/>
      <c r="R84" s="751"/>
      <c r="S84" s="751"/>
      <c r="T84" s="751"/>
      <c r="U84" s="751"/>
      <c r="V84" s="751"/>
      <c r="W84" s="751"/>
      <c r="X84" s="751"/>
      <c r="Y84" s="751"/>
      <c r="Z84" s="751"/>
      <c r="AA84" s="751"/>
      <c r="AB84" s="751"/>
      <c r="AC84" s="751"/>
      <c r="AD84" s="751"/>
      <c r="AE84" s="751"/>
      <c r="AF84" s="751"/>
      <c r="AG84" s="751"/>
      <c r="AH84" s="751"/>
      <c r="AI84" s="751"/>
      <c r="AJ84" s="751"/>
      <c r="AK84" s="751"/>
      <c r="AL84" s="751"/>
      <c r="AM84" s="751"/>
      <c r="AN84" s="751"/>
      <c r="AO84" s="751"/>
      <c r="AP84" s="751"/>
      <c r="AQ84" s="751"/>
      <c r="AR84" s="751"/>
      <c r="AS84" s="751"/>
      <c r="AT84" s="751"/>
      <c r="AU84" s="751"/>
      <c r="AV84" s="751"/>
      <c r="AW84" s="751"/>
      <c r="AX84" s="751"/>
      <c r="AY84" s="751"/>
      <c r="AZ84" s="751"/>
    </row>
    <row r="85" ht="15" customHeight="1" spans="2:52">
      <c r="B85" s="767" t="s">
        <v>1529</v>
      </c>
      <c r="C85" s="784"/>
      <c r="D85" s="784"/>
      <c r="E85" s="784"/>
      <c r="F85" s="784"/>
      <c r="G85" s="784"/>
      <c r="H85" s="784"/>
      <c r="I85" s="784"/>
      <c r="J85" s="784"/>
      <c r="K85" s="784"/>
      <c r="L85" s="770"/>
      <c r="M85" s="769" t="s">
        <v>1464</v>
      </c>
      <c r="N85" s="769" t="s">
        <v>199</v>
      </c>
      <c r="O85" s="769" t="s">
        <v>199</v>
      </c>
      <c r="P85" s="750"/>
      <c r="Q85" s="750"/>
      <c r="R85" s="750"/>
      <c r="S85" s="750"/>
      <c r="T85" s="750"/>
      <c r="U85" s="750"/>
      <c r="V85" s="750"/>
      <c r="W85" s="750"/>
      <c r="X85" s="750"/>
      <c r="Y85" s="750"/>
      <c r="Z85" s="750"/>
      <c r="AA85" s="750"/>
      <c r="AB85" s="750"/>
      <c r="AC85" s="750"/>
      <c r="AD85" s="750"/>
      <c r="AE85" s="750"/>
      <c r="AF85" s="750"/>
      <c r="AG85" s="750"/>
      <c r="AH85" s="750"/>
      <c r="AI85" s="750"/>
      <c r="AJ85" s="750"/>
      <c r="AK85" s="750"/>
      <c r="AL85" s="750"/>
      <c r="AM85" s="750"/>
      <c r="AN85" s="750"/>
      <c r="AO85" s="750"/>
      <c r="AP85" s="750"/>
      <c r="AQ85" s="750"/>
      <c r="AR85" s="750"/>
      <c r="AS85" s="750"/>
      <c r="AT85" s="750"/>
      <c r="AU85" s="750"/>
      <c r="AV85" s="750"/>
      <c r="AW85" s="750"/>
      <c r="AX85" s="750"/>
      <c r="AY85" s="750"/>
      <c r="AZ85" s="750"/>
    </row>
    <row r="86" ht="15" customHeight="1" spans="2:52">
      <c r="B86" s="767" t="s">
        <v>1530</v>
      </c>
      <c r="C86" s="784"/>
      <c r="D86" s="784"/>
      <c r="E86" s="784"/>
      <c r="F86" s="784"/>
      <c r="G86" s="784"/>
      <c r="H86" s="784"/>
      <c r="I86" s="784"/>
      <c r="J86" s="784"/>
      <c r="K86" s="784"/>
      <c r="L86" s="770"/>
      <c r="M86" s="769" t="s">
        <v>1464</v>
      </c>
      <c r="N86" s="769" t="s">
        <v>199</v>
      </c>
      <c r="O86" s="769" t="s">
        <v>199</v>
      </c>
      <c r="P86" s="750"/>
      <c r="Q86" s="750"/>
      <c r="R86" s="750"/>
      <c r="S86" s="750"/>
      <c r="T86" s="750"/>
      <c r="U86" s="750"/>
      <c r="V86" s="750"/>
      <c r="W86" s="750"/>
      <c r="X86" s="750"/>
      <c r="Y86" s="750"/>
      <c r="Z86" s="750"/>
      <c r="AA86" s="750"/>
      <c r="AB86" s="750"/>
      <c r="AC86" s="750"/>
      <c r="AD86" s="750"/>
      <c r="AE86" s="750"/>
      <c r="AF86" s="750"/>
      <c r="AG86" s="750"/>
      <c r="AH86" s="750"/>
      <c r="AI86" s="750"/>
      <c r="AJ86" s="750"/>
      <c r="AK86" s="750"/>
      <c r="AL86" s="750"/>
      <c r="AM86" s="750"/>
      <c r="AN86" s="750"/>
      <c r="AO86" s="750"/>
      <c r="AP86" s="750"/>
      <c r="AQ86" s="750"/>
      <c r="AR86" s="750"/>
      <c r="AS86" s="750"/>
      <c r="AT86" s="750"/>
      <c r="AU86" s="750"/>
      <c r="AV86" s="750"/>
      <c r="AW86" s="750"/>
      <c r="AX86" s="750"/>
      <c r="AY86" s="750"/>
      <c r="AZ86" s="750"/>
    </row>
    <row r="87" ht="15" customHeight="1" spans="2:52">
      <c r="B87" s="767" t="s">
        <v>1531</v>
      </c>
      <c r="C87" s="784"/>
      <c r="D87" s="784"/>
      <c r="E87" s="784"/>
      <c r="F87" s="784"/>
      <c r="G87" s="784"/>
      <c r="H87" s="784"/>
      <c r="I87" s="784"/>
      <c r="J87" s="784"/>
      <c r="K87" s="784"/>
      <c r="L87" s="770"/>
      <c r="M87" s="769" t="s">
        <v>1464</v>
      </c>
      <c r="N87" s="769" t="s">
        <v>199</v>
      </c>
      <c r="O87" s="769" t="s">
        <v>199</v>
      </c>
      <c r="P87" s="750"/>
      <c r="Q87" s="750"/>
      <c r="R87" s="750"/>
      <c r="S87" s="750"/>
      <c r="T87" s="750"/>
      <c r="U87" s="750"/>
      <c r="V87" s="750"/>
      <c r="W87" s="750"/>
      <c r="X87" s="750"/>
      <c r="Y87" s="750"/>
      <c r="Z87" s="750"/>
      <c r="AA87" s="750"/>
      <c r="AB87" s="750"/>
      <c r="AC87" s="750"/>
      <c r="AD87" s="750"/>
      <c r="AE87" s="750"/>
      <c r="AF87" s="750"/>
      <c r="AG87" s="750"/>
      <c r="AH87" s="750"/>
      <c r="AI87" s="750"/>
      <c r="AJ87" s="750"/>
      <c r="AK87" s="750"/>
      <c r="AL87" s="750"/>
      <c r="AM87" s="750"/>
      <c r="AN87" s="750"/>
      <c r="AO87" s="750"/>
      <c r="AP87" s="750"/>
      <c r="AQ87" s="750"/>
      <c r="AR87" s="750"/>
      <c r="AS87" s="750"/>
      <c r="AT87" s="750"/>
      <c r="AU87" s="750"/>
      <c r="AV87" s="750"/>
      <c r="AW87" s="750"/>
      <c r="AX87" s="750"/>
      <c r="AY87" s="750"/>
      <c r="AZ87" s="750"/>
    </row>
    <row r="88" ht="15" customHeight="1" spans="2:52">
      <c r="B88" s="767" t="s">
        <v>1532</v>
      </c>
      <c r="C88" s="784"/>
      <c r="D88" s="784"/>
      <c r="E88" s="784"/>
      <c r="F88" s="784"/>
      <c r="G88" s="784"/>
      <c r="H88" s="784"/>
      <c r="I88" s="784"/>
      <c r="J88" s="784"/>
      <c r="K88" s="784"/>
      <c r="L88" s="770"/>
      <c r="M88" s="769" t="s">
        <v>1464</v>
      </c>
      <c r="N88" s="769" t="s">
        <v>199</v>
      </c>
      <c r="O88" s="769" t="s">
        <v>199</v>
      </c>
      <c r="P88" s="750">
        <v>0</v>
      </c>
      <c r="Q88" s="750">
        <v>0</v>
      </c>
      <c r="R88" s="750">
        <v>0</v>
      </c>
      <c r="S88" s="750">
        <v>0</v>
      </c>
      <c r="T88" s="750">
        <v>0</v>
      </c>
      <c r="U88" s="750">
        <v>0</v>
      </c>
      <c r="V88" s="750">
        <v>0</v>
      </c>
      <c r="W88" s="750">
        <v>0</v>
      </c>
      <c r="X88" s="750">
        <v>0</v>
      </c>
      <c r="Y88" s="750">
        <v>0</v>
      </c>
      <c r="Z88" s="750">
        <v>0</v>
      </c>
      <c r="AA88" s="750">
        <v>0</v>
      </c>
      <c r="AB88" s="750"/>
      <c r="AC88" s="750">
        <v>0</v>
      </c>
      <c r="AD88" s="750">
        <v>0</v>
      </c>
      <c r="AE88" s="750">
        <v>0</v>
      </c>
      <c r="AF88" s="750">
        <v>0</v>
      </c>
      <c r="AG88" s="750">
        <v>0</v>
      </c>
      <c r="AH88" s="750">
        <v>0</v>
      </c>
      <c r="AI88" s="750">
        <v>0</v>
      </c>
      <c r="AJ88" s="750">
        <v>0</v>
      </c>
      <c r="AK88" s="750">
        <v>0</v>
      </c>
      <c r="AL88" s="750">
        <v>0</v>
      </c>
      <c r="AM88" s="750">
        <v>0</v>
      </c>
      <c r="AN88" s="750">
        <v>0</v>
      </c>
      <c r="AO88" s="750">
        <v>0</v>
      </c>
      <c r="AP88" s="750">
        <v>0</v>
      </c>
      <c r="AQ88" s="750">
        <v>0</v>
      </c>
      <c r="AR88" s="750">
        <v>0</v>
      </c>
      <c r="AS88" s="750">
        <v>0</v>
      </c>
      <c r="AT88" s="750">
        <v>0</v>
      </c>
      <c r="AU88" s="750">
        <v>0</v>
      </c>
      <c r="AV88" s="750">
        <v>0</v>
      </c>
      <c r="AW88" s="750">
        <v>0</v>
      </c>
      <c r="AX88" s="750">
        <v>0</v>
      </c>
      <c r="AY88" s="750">
        <v>0</v>
      </c>
      <c r="AZ88" s="750">
        <v>0</v>
      </c>
    </row>
    <row r="89" ht="15" customHeight="1" spans="2:52">
      <c r="B89" s="767" t="s">
        <v>1533</v>
      </c>
      <c r="C89" s="784"/>
      <c r="D89" s="784"/>
      <c r="E89" s="784"/>
      <c r="F89" s="784"/>
      <c r="G89" s="784"/>
      <c r="H89" s="784"/>
      <c r="I89" s="784"/>
      <c r="J89" s="784" t="s">
        <v>1534</v>
      </c>
      <c r="K89" s="784"/>
      <c r="L89" s="770"/>
      <c r="M89" s="769" t="s">
        <v>1464</v>
      </c>
      <c r="N89" s="769" t="s">
        <v>199</v>
      </c>
      <c r="O89" s="769" t="s">
        <v>199</v>
      </c>
      <c r="P89" s="750">
        <v>0</v>
      </c>
      <c r="Q89" s="750">
        <v>0</v>
      </c>
      <c r="R89" s="750">
        <v>0</v>
      </c>
      <c r="S89" s="750">
        <v>0</v>
      </c>
      <c r="T89" s="750">
        <v>0</v>
      </c>
      <c r="U89" s="750">
        <v>0</v>
      </c>
      <c r="V89" s="750">
        <v>0</v>
      </c>
      <c r="W89" s="750">
        <v>0</v>
      </c>
      <c r="X89" s="750">
        <v>0</v>
      </c>
      <c r="Y89" s="750">
        <v>0</v>
      </c>
      <c r="Z89" s="750">
        <v>0</v>
      </c>
      <c r="AA89" s="750">
        <v>0</v>
      </c>
      <c r="AB89" s="750"/>
      <c r="AC89" s="750">
        <v>0</v>
      </c>
      <c r="AD89" s="750">
        <v>0</v>
      </c>
      <c r="AE89" s="750">
        <v>0</v>
      </c>
      <c r="AF89" s="750">
        <v>0</v>
      </c>
      <c r="AG89" s="750">
        <v>0</v>
      </c>
      <c r="AH89" s="750">
        <v>0</v>
      </c>
      <c r="AI89" s="750">
        <v>0</v>
      </c>
      <c r="AJ89" s="750">
        <v>0</v>
      </c>
      <c r="AK89" s="750">
        <v>0</v>
      </c>
      <c r="AL89" s="750">
        <v>0</v>
      </c>
      <c r="AM89" s="750">
        <v>0</v>
      </c>
      <c r="AN89" s="750">
        <v>0</v>
      </c>
      <c r="AO89" s="750">
        <v>0</v>
      </c>
      <c r="AP89" s="750">
        <v>0</v>
      </c>
      <c r="AQ89" s="750">
        <v>0</v>
      </c>
      <c r="AR89" s="750">
        <v>0</v>
      </c>
      <c r="AS89" s="750">
        <v>0</v>
      </c>
      <c r="AT89" s="750">
        <v>0</v>
      </c>
      <c r="AU89" s="750">
        <v>0</v>
      </c>
      <c r="AV89" s="750">
        <v>0</v>
      </c>
      <c r="AW89" s="750">
        <v>0</v>
      </c>
      <c r="AX89" s="750">
        <v>0</v>
      </c>
      <c r="AY89" s="750">
        <v>0</v>
      </c>
      <c r="AZ89" s="750">
        <v>0</v>
      </c>
    </row>
    <row r="90" ht="15" customHeight="1" spans="2:52">
      <c r="B90" s="767" t="s">
        <v>1535</v>
      </c>
      <c r="C90" s="784" t="s">
        <v>1534</v>
      </c>
      <c r="D90" s="784"/>
      <c r="E90" s="784" t="s">
        <v>1534</v>
      </c>
      <c r="F90" s="784"/>
      <c r="G90" s="784"/>
      <c r="H90" s="784"/>
      <c r="I90" s="784"/>
      <c r="J90" s="784" t="s">
        <v>1534</v>
      </c>
      <c r="K90" s="784"/>
      <c r="L90" s="770"/>
      <c r="M90" s="769" t="s">
        <v>1464</v>
      </c>
      <c r="N90" s="769" t="s">
        <v>199</v>
      </c>
      <c r="O90" s="769" t="s">
        <v>199</v>
      </c>
      <c r="P90" s="750">
        <v>0</v>
      </c>
      <c r="Q90" s="750">
        <v>0</v>
      </c>
      <c r="R90" s="750">
        <v>0</v>
      </c>
      <c r="S90" s="750">
        <v>0</v>
      </c>
      <c r="T90" s="750">
        <v>0</v>
      </c>
      <c r="U90" s="750">
        <v>0</v>
      </c>
      <c r="V90" s="750">
        <v>0</v>
      </c>
      <c r="W90" s="750">
        <v>0</v>
      </c>
      <c r="X90" s="750">
        <v>0</v>
      </c>
      <c r="Y90" s="750">
        <v>0</v>
      </c>
      <c r="Z90" s="750">
        <v>0</v>
      </c>
      <c r="AA90" s="750">
        <v>0</v>
      </c>
      <c r="AB90" s="750"/>
      <c r="AC90" s="750">
        <v>0</v>
      </c>
      <c r="AD90" s="750">
        <v>0</v>
      </c>
      <c r="AE90" s="750">
        <v>0</v>
      </c>
      <c r="AF90" s="750">
        <v>0</v>
      </c>
      <c r="AG90" s="750">
        <v>0</v>
      </c>
      <c r="AH90" s="750">
        <v>0</v>
      </c>
      <c r="AI90" s="750">
        <v>0</v>
      </c>
      <c r="AJ90" s="750">
        <v>0</v>
      </c>
      <c r="AK90" s="750">
        <v>0</v>
      </c>
      <c r="AL90" s="750">
        <v>0</v>
      </c>
      <c r="AM90" s="750">
        <v>0</v>
      </c>
      <c r="AN90" s="750">
        <v>0</v>
      </c>
      <c r="AO90" s="750">
        <v>0</v>
      </c>
      <c r="AP90" s="750">
        <v>0</v>
      </c>
      <c r="AQ90" s="750">
        <v>0</v>
      </c>
      <c r="AR90" s="750">
        <v>0</v>
      </c>
      <c r="AS90" s="750">
        <v>0</v>
      </c>
      <c r="AT90" s="750">
        <v>0</v>
      </c>
      <c r="AU90" s="750">
        <v>0</v>
      </c>
      <c r="AV90" s="750">
        <v>0</v>
      </c>
      <c r="AW90" s="750">
        <v>0</v>
      </c>
      <c r="AX90" s="750">
        <v>0</v>
      </c>
      <c r="AY90" s="750">
        <v>0</v>
      </c>
      <c r="AZ90" s="750">
        <v>0</v>
      </c>
    </row>
    <row r="91" ht="15" customHeight="1" spans="2:52">
      <c r="B91" s="767" t="s">
        <v>1536</v>
      </c>
      <c r="C91" s="784" t="s">
        <v>1534</v>
      </c>
      <c r="D91" s="784"/>
      <c r="E91" s="784" t="s">
        <v>1534</v>
      </c>
      <c r="F91" s="784"/>
      <c r="G91" s="784"/>
      <c r="H91" s="784"/>
      <c r="I91" s="784"/>
      <c r="J91" s="784" t="s">
        <v>1534</v>
      </c>
      <c r="K91" s="784"/>
      <c r="L91" s="770"/>
      <c r="M91" s="769" t="s">
        <v>1464</v>
      </c>
      <c r="N91" s="769" t="s">
        <v>199</v>
      </c>
      <c r="O91" s="769" t="s">
        <v>199</v>
      </c>
      <c r="P91" s="750">
        <v>0</v>
      </c>
      <c r="Q91" s="750">
        <v>0</v>
      </c>
      <c r="R91" s="750">
        <v>0</v>
      </c>
      <c r="S91" s="750">
        <v>0</v>
      </c>
      <c r="T91" s="750">
        <v>0</v>
      </c>
      <c r="U91" s="750">
        <v>0</v>
      </c>
      <c r="V91" s="750">
        <v>0</v>
      </c>
      <c r="W91" s="750">
        <v>0</v>
      </c>
      <c r="X91" s="750">
        <v>0</v>
      </c>
      <c r="Y91" s="750">
        <v>0</v>
      </c>
      <c r="Z91" s="750">
        <v>0</v>
      </c>
      <c r="AA91" s="750">
        <v>0</v>
      </c>
      <c r="AB91" s="750"/>
      <c r="AC91" s="750">
        <v>0</v>
      </c>
      <c r="AD91" s="750">
        <v>0</v>
      </c>
      <c r="AE91" s="750">
        <v>0</v>
      </c>
      <c r="AF91" s="750">
        <v>0</v>
      </c>
      <c r="AG91" s="750">
        <v>0</v>
      </c>
      <c r="AH91" s="750">
        <v>0</v>
      </c>
      <c r="AI91" s="750">
        <v>0</v>
      </c>
      <c r="AJ91" s="750">
        <v>0</v>
      </c>
      <c r="AK91" s="750">
        <v>0</v>
      </c>
      <c r="AL91" s="750">
        <v>0</v>
      </c>
      <c r="AM91" s="750">
        <v>0</v>
      </c>
      <c r="AN91" s="750">
        <v>0</v>
      </c>
      <c r="AO91" s="750">
        <v>0</v>
      </c>
      <c r="AP91" s="750">
        <v>0</v>
      </c>
      <c r="AQ91" s="750">
        <v>0</v>
      </c>
      <c r="AR91" s="750">
        <v>0</v>
      </c>
      <c r="AS91" s="750">
        <v>0</v>
      </c>
      <c r="AT91" s="750">
        <v>0</v>
      </c>
      <c r="AU91" s="750">
        <v>0</v>
      </c>
      <c r="AV91" s="750">
        <v>0</v>
      </c>
      <c r="AW91" s="750">
        <v>0</v>
      </c>
      <c r="AX91" s="750">
        <v>0</v>
      </c>
      <c r="AY91" s="750">
        <v>0</v>
      </c>
      <c r="AZ91" s="750">
        <v>0</v>
      </c>
    </row>
    <row r="92" ht="15" customHeight="1" spans="2:52">
      <c r="B92" s="767" t="s">
        <v>1537</v>
      </c>
      <c r="C92" s="784" t="s">
        <v>1534</v>
      </c>
      <c r="D92" s="784"/>
      <c r="E92" s="784" t="s">
        <v>1534</v>
      </c>
      <c r="F92" s="784"/>
      <c r="G92" s="784"/>
      <c r="H92" s="784"/>
      <c r="I92" s="784"/>
      <c r="J92" s="784" t="s">
        <v>1534</v>
      </c>
      <c r="K92" s="784"/>
      <c r="L92" s="770"/>
      <c r="M92" s="769" t="s">
        <v>1464</v>
      </c>
      <c r="N92" s="769" t="s">
        <v>199</v>
      </c>
      <c r="O92" s="769" t="s">
        <v>199</v>
      </c>
      <c r="P92" s="750">
        <v>0</v>
      </c>
      <c r="Q92" s="750">
        <v>0</v>
      </c>
      <c r="R92" s="750">
        <v>0</v>
      </c>
      <c r="S92" s="750">
        <v>0</v>
      </c>
      <c r="T92" s="750">
        <v>0</v>
      </c>
      <c r="U92" s="750">
        <v>0</v>
      </c>
      <c r="V92" s="750">
        <v>0</v>
      </c>
      <c r="W92" s="750">
        <v>0</v>
      </c>
      <c r="X92" s="750">
        <v>0</v>
      </c>
      <c r="Y92" s="750">
        <v>0</v>
      </c>
      <c r="Z92" s="750">
        <v>0</v>
      </c>
      <c r="AA92" s="750">
        <v>0</v>
      </c>
      <c r="AB92" s="750"/>
      <c r="AC92" s="750">
        <v>0</v>
      </c>
      <c r="AD92" s="750">
        <v>0</v>
      </c>
      <c r="AE92" s="750">
        <v>0</v>
      </c>
      <c r="AF92" s="750">
        <v>0</v>
      </c>
      <c r="AG92" s="750">
        <v>0</v>
      </c>
      <c r="AH92" s="750">
        <v>0</v>
      </c>
      <c r="AI92" s="750">
        <v>0</v>
      </c>
      <c r="AJ92" s="750">
        <v>0</v>
      </c>
      <c r="AK92" s="750">
        <v>0</v>
      </c>
      <c r="AL92" s="750">
        <v>0</v>
      </c>
      <c r="AM92" s="750">
        <v>0</v>
      </c>
      <c r="AN92" s="750">
        <v>0</v>
      </c>
      <c r="AO92" s="750">
        <v>0</v>
      </c>
      <c r="AP92" s="750">
        <v>0</v>
      </c>
      <c r="AQ92" s="750">
        <v>0</v>
      </c>
      <c r="AR92" s="750">
        <v>0</v>
      </c>
      <c r="AS92" s="750">
        <v>0</v>
      </c>
      <c r="AT92" s="750">
        <v>0</v>
      </c>
      <c r="AU92" s="750">
        <v>0</v>
      </c>
      <c r="AV92" s="750">
        <v>0</v>
      </c>
      <c r="AW92" s="750">
        <v>0</v>
      </c>
      <c r="AX92" s="750">
        <v>0</v>
      </c>
      <c r="AY92" s="750">
        <v>0</v>
      </c>
      <c r="AZ92" s="750">
        <v>0</v>
      </c>
    </row>
    <row r="93" ht="15" customHeight="1" spans="2:52">
      <c r="B93" s="767" t="s">
        <v>1538</v>
      </c>
      <c r="C93" s="784" t="s">
        <v>1534</v>
      </c>
      <c r="D93" s="784"/>
      <c r="E93" s="784" t="s">
        <v>1534</v>
      </c>
      <c r="F93" s="784"/>
      <c r="G93" s="784"/>
      <c r="H93" s="784"/>
      <c r="I93" s="784"/>
      <c r="J93" s="784" t="s">
        <v>1534</v>
      </c>
      <c r="K93" s="784"/>
      <c r="L93" s="770"/>
      <c r="M93" s="769" t="s">
        <v>1464</v>
      </c>
      <c r="N93" s="769" t="s">
        <v>199</v>
      </c>
      <c r="O93" s="769" t="s">
        <v>199</v>
      </c>
      <c r="P93" s="750">
        <v>0</v>
      </c>
      <c r="Q93" s="750">
        <v>0</v>
      </c>
      <c r="R93" s="750">
        <v>0</v>
      </c>
      <c r="S93" s="750">
        <v>0</v>
      </c>
      <c r="T93" s="750">
        <v>0</v>
      </c>
      <c r="U93" s="750">
        <v>0</v>
      </c>
      <c r="V93" s="750">
        <v>0</v>
      </c>
      <c r="W93" s="750">
        <v>0</v>
      </c>
      <c r="X93" s="750">
        <v>0</v>
      </c>
      <c r="Y93" s="750">
        <v>0</v>
      </c>
      <c r="Z93" s="750">
        <v>0</v>
      </c>
      <c r="AA93" s="750">
        <v>0</v>
      </c>
      <c r="AB93" s="750"/>
      <c r="AC93" s="750">
        <v>0</v>
      </c>
      <c r="AD93" s="750">
        <v>0</v>
      </c>
      <c r="AE93" s="750">
        <v>0</v>
      </c>
      <c r="AF93" s="750">
        <v>0</v>
      </c>
      <c r="AG93" s="750">
        <v>0</v>
      </c>
      <c r="AH93" s="750">
        <v>0</v>
      </c>
      <c r="AI93" s="750">
        <v>0</v>
      </c>
      <c r="AJ93" s="750">
        <v>0</v>
      </c>
      <c r="AK93" s="750">
        <v>0</v>
      </c>
      <c r="AL93" s="750">
        <v>0</v>
      </c>
      <c r="AM93" s="750">
        <v>0</v>
      </c>
      <c r="AN93" s="750">
        <v>0</v>
      </c>
      <c r="AO93" s="750">
        <v>0</v>
      </c>
      <c r="AP93" s="750">
        <v>0</v>
      </c>
      <c r="AQ93" s="750">
        <v>0</v>
      </c>
      <c r="AR93" s="750">
        <v>0</v>
      </c>
      <c r="AS93" s="750">
        <v>0</v>
      </c>
      <c r="AT93" s="750">
        <v>0</v>
      </c>
      <c r="AU93" s="750">
        <v>0</v>
      </c>
      <c r="AV93" s="750">
        <v>0</v>
      </c>
      <c r="AW93" s="750">
        <v>0</v>
      </c>
      <c r="AX93" s="750">
        <v>0</v>
      </c>
      <c r="AY93" s="750">
        <v>0</v>
      </c>
      <c r="AZ93" s="750">
        <v>0</v>
      </c>
    </row>
    <row r="94" ht="15" customHeight="1" spans="2:52">
      <c r="B94" s="767" t="s">
        <v>1539</v>
      </c>
      <c r="C94" s="784" t="s">
        <v>1534</v>
      </c>
      <c r="D94" s="784"/>
      <c r="E94" s="784" t="s">
        <v>1534</v>
      </c>
      <c r="F94" s="784"/>
      <c r="G94" s="784"/>
      <c r="H94" s="784"/>
      <c r="I94" s="784"/>
      <c r="J94" s="784" t="s">
        <v>1534</v>
      </c>
      <c r="K94" s="784"/>
      <c r="L94" s="770"/>
      <c r="M94" s="769" t="s">
        <v>1464</v>
      </c>
      <c r="N94" s="769" t="s">
        <v>199</v>
      </c>
      <c r="O94" s="769" t="s">
        <v>199</v>
      </c>
      <c r="P94" s="750">
        <v>0</v>
      </c>
      <c r="Q94" s="750">
        <v>0</v>
      </c>
      <c r="R94" s="750">
        <v>0</v>
      </c>
      <c r="S94" s="750">
        <v>0</v>
      </c>
      <c r="T94" s="750">
        <v>0</v>
      </c>
      <c r="U94" s="750">
        <v>0</v>
      </c>
      <c r="V94" s="750">
        <v>0</v>
      </c>
      <c r="W94" s="750">
        <v>0</v>
      </c>
      <c r="X94" s="750">
        <v>0</v>
      </c>
      <c r="Y94" s="750">
        <v>0</v>
      </c>
      <c r="Z94" s="750">
        <v>0</v>
      </c>
      <c r="AA94" s="750">
        <v>0</v>
      </c>
      <c r="AB94" s="750"/>
      <c r="AC94" s="750">
        <v>0</v>
      </c>
      <c r="AD94" s="750">
        <v>0</v>
      </c>
      <c r="AE94" s="750">
        <v>0</v>
      </c>
      <c r="AF94" s="750">
        <v>0</v>
      </c>
      <c r="AG94" s="750">
        <v>0</v>
      </c>
      <c r="AH94" s="750">
        <v>0</v>
      </c>
      <c r="AI94" s="750">
        <v>0</v>
      </c>
      <c r="AJ94" s="750">
        <v>0</v>
      </c>
      <c r="AK94" s="750">
        <v>0</v>
      </c>
      <c r="AL94" s="750">
        <v>0</v>
      </c>
      <c r="AM94" s="750">
        <v>0</v>
      </c>
      <c r="AN94" s="750">
        <v>0</v>
      </c>
      <c r="AO94" s="750">
        <v>0</v>
      </c>
      <c r="AP94" s="750">
        <v>0</v>
      </c>
      <c r="AQ94" s="750">
        <v>0</v>
      </c>
      <c r="AR94" s="750">
        <v>0</v>
      </c>
      <c r="AS94" s="750">
        <v>0</v>
      </c>
      <c r="AT94" s="750">
        <v>0</v>
      </c>
      <c r="AU94" s="750">
        <v>0</v>
      </c>
      <c r="AV94" s="750">
        <v>0</v>
      </c>
      <c r="AW94" s="750">
        <v>0</v>
      </c>
      <c r="AX94" s="750">
        <v>0</v>
      </c>
      <c r="AY94" s="750">
        <v>0</v>
      </c>
      <c r="AZ94" s="750">
        <v>0</v>
      </c>
    </row>
    <row r="95" ht="15" customHeight="1" spans="2:52">
      <c r="B95" s="767" t="s">
        <v>1540</v>
      </c>
      <c r="C95" s="784" t="s">
        <v>1534</v>
      </c>
      <c r="D95" s="784"/>
      <c r="E95" s="784" t="s">
        <v>1534</v>
      </c>
      <c r="F95" s="784"/>
      <c r="G95" s="784"/>
      <c r="H95" s="784"/>
      <c r="I95" s="784"/>
      <c r="J95" s="784" t="s">
        <v>1534</v>
      </c>
      <c r="K95" s="784"/>
      <c r="L95" s="770"/>
      <c r="M95" s="769" t="s">
        <v>1464</v>
      </c>
      <c r="N95" s="769" t="s">
        <v>199</v>
      </c>
      <c r="O95" s="769" t="s">
        <v>199</v>
      </c>
      <c r="P95" s="750">
        <v>0</v>
      </c>
      <c r="Q95" s="750">
        <v>0</v>
      </c>
      <c r="R95" s="750">
        <v>0</v>
      </c>
      <c r="S95" s="750">
        <v>0</v>
      </c>
      <c r="T95" s="750">
        <v>0</v>
      </c>
      <c r="U95" s="750">
        <v>0</v>
      </c>
      <c r="V95" s="750">
        <v>0</v>
      </c>
      <c r="W95" s="750">
        <v>0</v>
      </c>
      <c r="X95" s="750">
        <v>0</v>
      </c>
      <c r="Y95" s="750">
        <v>0</v>
      </c>
      <c r="Z95" s="750">
        <v>0</v>
      </c>
      <c r="AA95" s="750">
        <v>0</v>
      </c>
      <c r="AB95" s="750"/>
      <c r="AC95" s="750">
        <v>0</v>
      </c>
      <c r="AD95" s="750">
        <v>0</v>
      </c>
      <c r="AE95" s="750">
        <v>0</v>
      </c>
      <c r="AF95" s="750">
        <v>0</v>
      </c>
      <c r="AG95" s="750">
        <v>0</v>
      </c>
      <c r="AH95" s="750">
        <v>0</v>
      </c>
      <c r="AI95" s="750">
        <v>0</v>
      </c>
      <c r="AJ95" s="750">
        <v>0</v>
      </c>
      <c r="AK95" s="750">
        <v>0</v>
      </c>
      <c r="AL95" s="750">
        <v>0</v>
      </c>
      <c r="AM95" s="750">
        <v>0</v>
      </c>
      <c r="AN95" s="750">
        <v>0</v>
      </c>
      <c r="AO95" s="750">
        <v>0</v>
      </c>
      <c r="AP95" s="750">
        <v>0</v>
      </c>
      <c r="AQ95" s="750">
        <v>0</v>
      </c>
      <c r="AR95" s="750">
        <v>0</v>
      </c>
      <c r="AS95" s="750">
        <v>0</v>
      </c>
      <c r="AT95" s="750">
        <v>0</v>
      </c>
      <c r="AU95" s="750">
        <v>0</v>
      </c>
      <c r="AV95" s="750">
        <v>0</v>
      </c>
      <c r="AW95" s="750">
        <v>0</v>
      </c>
      <c r="AX95" s="750">
        <v>0</v>
      </c>
      <c r="AY95" s="750">
        <v>0</v>
      </c>
      <c r="AZ95" s="750">
        <v>0</v>
      </c>
    </row>
    <row r="96" ht="15" customHeight="1" spans="2:52">
      <c r="B96" s="767" t="s">
        <v>1541</v>
      </c>
      <c r="C96" s="784" t="s">
        <v>1534</v>
      </c>
      <c r="D96" s="784"/>
      <c r="E96" s="784" t="s">
        <v>1534</v>
      </c>
      <c r="F96" s="784"/>
      <c r="G96" s="784"/>
      <c r="H96" s="784"/>
      <c r="I96" s="784"/>
      <c r="J96" s="784" t="s">
        <v>1534</v>
      </c>
      <c r="K96" s="784"/>
      <c r="L96" s="770"/>
      <c r="M96" s="769" t="s">
        <v>1464</v>
      </c>
      <c r="N96" s="769" t="s">
        <v>199</v>
      </c>
      <c r="O96" s="769" t="s">
        <v>199</v>
      </c>
      <c r="P96" s="750">
        <v>0</v>
      </c>
      <c r="Q96" s="750">
        <v>0</v>
      </c>
      <c r="R96" s="750">
        <v>0</v>
      </c>
      <c r="S96" s="750">
        <v>0</v>
      </c>
      <c r="T96" s="750">
        <v>0</v>
      </c>
      <c r="U96" s="750">
        <v>0</v>
      </c>
      <c r="V96" s="750">
        <v>0</v>
      </c>
      <c r="W96" s="750">
        <v>0</v>
      </c>
      <c r="X96" s="750">
        <v>0</v>
      </c>
      <c r="Y96" s="750">
        <v>0</v>
      </c>
      <c r="Z96" s="750">
        <v>0</v>
      </c>
      <c r="AA96" s="750">
        <v>0</v>
      </c>
      <c r="AB96" s="750"/>
      <c r="AC96" s="750">
        <v>0</v>
      </c>
      <c r="AD96" s="750">
        <v>0</v>
      </c>
      <c r="AE96" s="750">
        <v>0</v>
      </c>
      <c r="AF96" s="750">
        <v>0</v>
      </c>
      <c r="AG96" s="750">
        <v>0</v>
      </c>
      <c r="AH96" s="750">
        <v>0</v>
      </c>
      <c r="AI96" s="750">
        <v>0</v>
      </c>
      <c r="AJ96" s="750">
        <v>0</v>
      </c>
      <c r="AK96" s="750">
        <v>0</v>
      </c>
      <c r="AL96" s="750">
        <v>0</v>
      </c>
      <c r="AM96" s="750">
        <v>0</v>
      </c>
      <c r="AN96" s="750">
        <v>0</v>
      </c>
      <c r="AO96" s="750">
        <v>0</v>
      </c>
      <c r="AP96" s="750">
        <v>0</v>
      </c>
      <c r="AQ96" s="750">
        <v>0</v>
      </c>
      <c r="AR96" s="750">
        <v>0</v>
      </c>
      <c r="AS96" s="750">
        <v>0</v>
      </c>
      <c r="AT96" s="750">
        <v>0</v>
      </c>
      <c r="AU96" s="750">
        <v>0</v>
      </c>
      <c r="AV96" s="750">
        <v>0</v>
      </c>
      <c r="AW96" s="750">
        <v>0</v>
      </c>
      <c r="AX96" s="750">
        <v>0</v>
      </c>
      <c r="AY96" s="750">
        <v>0</v>
      </c>
      <c r="AZ96" s="750">
        <v>0</v>
      </c>
    </row>
    <row r="97" ht="15" customHeight="1" spans="2:52">
      <c r="B97" s="767" t="s">
        <v>1542</v>
      </c>
      <c r="C97" s="784" t="s">
        <v>1534</v>
      </c>
      <c r="D97" s="784"/>
      <c r="E97" s="784" t="s">
        <v>1534</v>
      </c>
      <c r="F97" s="784"/>
      <c r="G97" s="784"/>
      <c r="H97" s="784"/>
      <c r="I97" s="784"/>
      <c r="J97" s="784" t="s">
        <v>1534</v>
      </c>
      <c r="K97" s="784"/>
      <c r="L97" s="770"/>
      <c r="M97" s="769" t="s">
        <v>1464</v>
      </c>
      <c r="N97" s="769" t="s">
        <v>199</v>
      </c>
      <c r="O97" s="769" t="s">
        <v>199</v>
      </c>
      <c r="P97" s="750">
        <v>0</v>
      </c>
      <c r="Q97" s="750">
        <v>0</v>
      </c>
      <c r="R97" s="750">
        <v>0</v>
      </c>
      <c r="S97" s="750">
        <v>0</v>
      </c>
      <c r="T97" s="750">
        <v>0</v>
      </c>
      <c r="U97" s="750">
        <v>0</v>
      </c>
      <c r="V97" s="750">
        <v>0</v>
      </c>
      <c r="W97" s="750">
        <v>0</v>
      </c>
      <c r="X97" s="750">
        <v>0</v>
      </c>
      <c r="Y97" s="750">
        <v>0</v>
      </c>
      <c r="Z97" s="750">
        <v>0</v>
      </c>
      <c r="AA97" s="750">
        <v>0</v>
      </c>
      <c r="AB97" s="750"/>
      <c r="AC97" s="750">
        <v>0</v>
      </c>
      <c r="AD97" s="750">
        <v>0</v>
      </c>
      <c r="AE97" s="750">
        <v>0</v>
      </c>
      <c r="AF97" s="750">
        <v>0</v>
      </c>
      <c r="AG97" s="750">
        <v>0</v>
      </c>
      <c r="AH97" s="750">
        <v>0</v>
      </c>
      <c r="AI97" s="750">
        <v>0</v>
      </c>
      <c r="AJ97" s="750">
        <v>0</v>
      </c>
      <c r="AK97" s="750">
        <v>0</v>
      </c>
      <c r="AL97" s="750">
        <v>0</v>
      </c>
      <c r="AM97" s="750">
        <v>0</v>
      </c>
      <c r="AN97" s="750">
        <v>0</v>
      </c>
      <c r="AO97" s="750">
        <v>0</v>
      </c>
      <c r="AP97" s="750">
        <v>0</v>
      </c>
      <c r="AQ97" s="750">
        <v>0</v>
      </c>
      <c r="AR97" s="750">
        <v>0</v>
      </c>
      <c r="AS97" s="750">
        <v>0</v>
      </c>
      <c r="AT97" s="750">
        <v>0</v>
      </c>
      <c r="AU97" s="750">
        <v>0</v>
      </c>
      <c r="AV97" s="750">
        <v>0</v>
      </c>
      <c r="AW97" s="750">
        <v>0</v>
      </c>
      <c r="AX97" s="750">
        <v>0</v>
      </c>
      <c r="AY97" s="750">
        <v>0</v>
      </c>
      <c r="AZ97" s="750">
        <v>0</v>
      </c>
    </row>
    <row r="98" ht="15" customHeight="1" spans="2:52">
      <c r="B98" s="767" t="s">
        <v>1543</v>
      </c>
      <c r="C98" s="784" t="s">
        <v>1534</v>
      </c>
      <c r="D98" s="784"/>
      <c r="E98" s="784" t="s">
        <v>1534</v>
      </c>
      <c r="F98" s="784"/>
      <c r="G98" s="784"/>
      <c r="H98" s="784"/>
      <c r="I98" s="784"/>
      <c r="J98" s="784" t="s">
        <v>1534</v>
      </c>
      <c r="K98" s="784"/>
      <c r="L98" s="770"/>
      <c r="M98" s="769" t="s">
        <v>1464</v>
      </c>
      <c r="N98" s="769" t="s">
        <v>199</v>
      </c>
      <c r="O98" s="769" t="s">
        <v>199</v>
      </c>
      <c r="P98" s="750">
        <v>0</v>
      </c>
      <c r="Q98" s="750">
        <v>0</v>
      </c>
      <c r="R98" s="750">
        <v>0</v>
      </c>
      <c r="S98" s="750">
        <v>0</v>
      </c>
      <c r="T98" s="750">
        <v>0</v>
      </c>
      <c r="U98" s="750">
        <v>0</v>
      </c>
      <c r="V98" s="750">
        <v>0</v>
      </c>
      <c r="W98" s="750">
        <v>0</v>
      </c>
      <c r="X98" s="750">
        <v>0</v>
      </c>
      <c r="Y98" s="750">
        <v>0</v>
      </c>
      <c r="Z98" s="750">
        <v>0</v>
      </c>
      <c r="AA98" s="750">
        <v>0</v>
      </c>
      <c r="AB98" s="750"/>
      <c r="AC98" s="750">
        <v>0</v>
      </c>
      <c r="AD98" s="750">
        <v>0</v>
      </c>
      <c r="AE98" s="750">
        <v>0</v>
      </c>
      <c r="AF98" s="750">
        <v>0</v>
      </c>
      <c r="AG98" s="750">
        <v>0</v>
      </c>
      <c r="AH98" s="750">
        <v>0</v>
      </c>
      <c r="AI98" s="750">
        <v>0</v>
      </c>
      <c r="AJ98" s="750">
        <v>0</v>
      </c>
      <c r="AK98" s="750">
        <v>0</v>
      </c>
      <c r="AL98" s="750">
        <v>0</v>
      </c>
      <c r="AM98" s="750">
        <v>0</v>
      </c>
      <c r="AN98" s="750">
        <v>0</v>
      </c>
      <c r="AO98" s="750">
        <v>0</v>
      </c>
      <c r="AP98" s="750">
        <v>0</v>
      </c>
      <c r="AQ98" s="750">
        <v>0</v>
      </c>
      <c r="AR98" s="750">
        <v>0</v>
      </c>
      <c r="AS98" s="750">
        <v>0</v>
      </c>
      <c r="AT98" s="750">
        <v>0</v>
      </c>
      <c r="AU98" s="750">
        <v>0</v>
      </c>
      <c r="AV98" s="750">
        <v>0</v>
      </c>
      <c r="AW98" s="750">
        <v>0</v>
      </c>
      <c r="AX98" s="750">
        <v>0</v>
      </c>
      <c r="AY98" s="750">
        <v>0</v>
      </c>
      <c r="AZ98" s="750">
        <v>0</v>
      </c>
    </row>
    <row r="99" ht="15" customHeight="1" spans="2:52">
      <c r="B99" s="767" t="s">
        <v>1544</v>
      </c>
      <c r="C99" s="784" t="s">
        <v>1534</v>
      </c>
      <c r="D99" s="784"/>
      <c r="E99" s="784" t="s">
        <v>1534</v>
      </c>
      <c r="F99" s="784"/>
      <c r="G99" s="784"/>
      <c r="H99" s="784"/>
      <c r="I99" s="784"/>
      <c r="J99" s="784" t="s">
        <v>1534</v>
      </c>
      <c r="K99" s="784"/>
      <c r="L99" s="770"/>
      <c r="M99" s="769" t="s">
        <v>1464</v>
      </c>
      <c r="N99" s="769" t="s">
        <v>199</v>
      </c>
      <c r="O99" s="769" t="s">
        <v>199</v>
      </c>
      <c r="P99" s="750">
        <v>0</v>
      </c>
      <c r="Q99" s="750">
        <v>0</v>
      </c>
      <c r="R99" s="750">
        <v>0</v>
      </c>
      <c r="S99" s="750">
        <v>0</v>
      </c>
      <c r="T99" s="750">
        <v>0</v>
      </c>
      <c r="U99" s="750">
        <v>0</v>
      </c>
      <c r="V99" s="750">
        <v>0</v>
      </c>
      <c r="W99" s="750">
        <v>0</v>
      </c>
      <c r="X99" s="750">
        <v>0</v>
      </c>
      <c r="Y99" s="750">
        <v>0</v>
      </c>
      <c r="Z99" s="750">
        <v>0</v>
      </c>
      <c r="AA99" s="750">
        <v>0</v>
      </c>
      <c r="AB99" s="750"/>
      <c r="AC99" s="750">
        <v>0</v>
      </c>
      <c r="AD99" s="750">
        <v>0</v>
      </c>
      <c r="AE99" s="750">
        <v>0</v>
      </c>
      <c r="AF99" s="750">
        <v>0</v>
      </c>
      <c r="AG99" s="750">
        <v>0</v>
      </c>
      <c r="AH99" s="750">
        <v>0</v>
      </c>
      <c r="AI99" s="750">
        <v>0</v>
      </c>
      <c r="AJ99" s="750">
        <v>0</v>
      </c>
      <c r="AK99" s="750">
        <v>0</v>
      </c>
      <c r="AL99" s="750">
        <v>0</v>
      </c>
      <c r="AM99" s="750">
        <v>0</v>
      </c>
      <c r="AN99" s="750">
        <v>0</v>
      </c>
      <c r="AO99" s="750">
        <v>0</v>
      </c>
      <c r="AP99" s="750">
        <v>0</v>
      </c>
      <c r="AQ99" s="750">
        <v>0</v>
      </c>
      <c r="AR99" s="750">
        <v>0</v>
      </c>
      <c r="AS99" s="750">
        <v>0</v>
      </c>
      <c r="AT99" s="750">
        <v>0</v>
      </c>
      <c r="AU99" s="750">
        <v>0</v>
      </c>
      <c r="AV99" s="750">
        <v>0</v>
      </c>
      <c r="AW99" s="750">
        <v>0</v>
      </c>
      <c r="AX99" s="750">
        <v>0</v>
      </c>
      <c r="AY99" s="750">
        <v>0</v>
      </c>
      <c r="AZ99" s="750">
        <v>0</v>
      </c>
    </row>
    <row r="100" ht="15" customHeight="1" spans="2:52">
      <c r="B100" s="767" t="s">
        <v>1545</v>
      </c>
      <c r="C100" s="784" t="s">
        <v>1534</v>
      </c>
      <c r="D100" s="784"/>
      <c r="E100" s="784" t="s">
        <v>1534</v>
      </c>
      <c r="F100" s="784"/>
      <c r="G100" s="784"/>
      <c r="H100" s="784"/>
      <c r="I100" s="784"/>
      <c r="J100" s="784" t="s">
        <v>1534</v>
      </c>
      <c r="K100" s="784"/>
      <c r="L100" s="770"/>
      <c r="M100" s="769" t="s">
        <v>1464</v>
      </c>
      <c r="N100" s="769" t="s">
        <v>199</v>
      </c>
      <c r="O100" s="769" t="s">
        <v>199</v>
      </c>
      <c r="P100" s="750">
        <v>0</v>
      </c>
      <c r="Q100" s="750">
        <v>0</v>
      </c>
      <c r="R100" s="750">
        <v>0</v>
      </c>
      <c r="S100" s="750">
        <v>0</v>
      </c>
      <c r="T100" s="750">
        <v>0</v>
      </c>
      <c r="U100" s="750">
        <v>0</v>
      </c>
      <c r="V100" s="750">
        <v>0</v>
      </c>
      <c r="W100" s="750">
        <v>0</v>
      </c>
      <c r="X100" s="750">
        <v>0</v>
      </c>
      <c r="Y100" s="750">
        <v>0</v>
      </c>
      <c r="Z100" s="750">
        <v>0</v>
      </c>
      <c r="AA100" s="750">
        <v>0</v>
      </c>
      <c r="AB100" s="750"/>
      <c r="AC100" s="750">
        <v>0</v>
      </c>
      <c r="AD100" s="750">
        <v>0</v>
      </c>
      <c r="AE100" s="750">
        <v>0</v>
      </c>
      <c r="AF100" s="750">
        <v>0</v>
      </c>
      <c r="AG100" s="750">
        <v>0</v>
      </c>
      <c r="AH100" s="750">
        <v>0</v>
      </c>
      <c r="AI100" s="750">
        <v>0</v>
      </c>
      <c r="AJ100" s="750">
        <v>0</v>
      </c>
      <c r="AK100" s="750">
        <v>0</v>
      </c>
      <c r="AL100" s="750">
        <v>0</v>
      </c>
      <c r="AM100" s="750">
        <v>0</v>
      </c>
      <c r="AN100" s="750">
        <v>0</v>
      </c>
      <c r="AO100" s="750">
        <v>0</v>
      </c>
      <c r="AP100" s="750">
        <v>0</v>
      </c>
      <c r="AQ100" s="750">
        <v>0</v>
      </c>
      <c r="AR100" s="750">
        <v>0</v>
      </c>
      <c r="AS100" s="750">
        <v>0</v>
      </c>
      <c r="AT100" s="750">
        <v>0</v>
      </c>
      <c r="AU100" s="750">
        <v>0</v>
      </c>
      <c r="AV100" s="750">
        <v>0</v>
      </c>
      <c r="AW100" s="750">
        <v>0</v>
      </c>
      <c r="AX100" s="750">
        <v>0</v>
      </c>
      <c r="AY100" s="750">
        <v>0</v>
      </c>
      <c r="AZ100" s="750">
        <v>0</v>
      </c>
    </row>
    <row r="101" ht="15" customHeight="1" spans="2:52">
      <c r="B101" s="767" t="s">
        <v>1546</v>
      </c>
      <c r="C101" s="784" t="s">
        <v>1534</v>
      </c>
      <c r="D101" s="784"/>
      <c r="E101" s="784" t="s">
        <v>1534</v>
      </c>
      <c r="F101" s="784"/>
      <c r="G101" s="784"/>
      <c r="H101" s="784"/>
      <c r="I101" s="784"/>
      <c r="J101" s="784" t="s">
        <v>1534</v>
      </c>
      <c r="K101" s="784"/>
      <c r="L101" s="770"/>
      <c r="M101" s="769" t="s">
        <v>1464</v>
      </c>
      <c r="N101" s="769" t="s">
        <v>199</v>
      </c>
      <c r="O101" s="769" t="s">
        <v>199</v>
      </c>
      <c r="P101" s="750">
        <v>0</v>
      </c>
      <c r="Q101" s="750">
        <v>0</v>
      </c>
      <c r="R101" s="750">
        <v>0</v>
      </c>
      <c r="S101" s="750">
        <v>0</v>
      </c>
      <c r="T101" s="750">
        <v>0</v>
      </c>
      <c r="U101" s="750">
        <v>0</v>
      </c>
      <c r="V101" s="750">
        <v>0</v>
      </c>
      <c r="W101" s="750">
        <v>0</v>
      </c>
      <c r="X101" s="750">
        <v>0</v>
      </c>
      <c r="Y101" s="750">
        <v>0</v>
      </c>
      <c r="Z101" s="750">
        <v>0</v>
      </c>
      <c r="AA101" s="750">
        <v>0</v>
      </c>
      <c r="AB101" s="750"/>
      <c r="AC101" s="750">
        <v>0</v>
      </c>
      <c r="AD101" s="750">
        <v>0</v>
      </c>
      <c r="AE101" s="750">
        <v>0</v>
      </c>
      <c r="AF101" s="750">
        <v>0</v>
      </c>
      <c r="AG101" s="750">
        <v>0</v>
      </c>
      <c r="AH101" s="750">
        <v>0</v>
      </c>
      <c r="AI101" s="750">
        <v>0</v>
      </c>
      <c r="AJ101" s="750">
        <v>0</v>
      </c>
      <c r="AK101" s="750">
        <v>0</v>
      </c>
      <c r="AL101" s="750">
        <v>0</v>
      </c>
      <c r="AM101" s="750">
        <v>0</v>
      </c>
      <c r="AN101" s="750">
        <v>0</v>
      </c>
      <c r="AO101" s="750">
        <v>0</v>
      </c>
      <c r="AP101" s="750">
        <v>0</v>
      </c>
      <c r="AQ101" s="750">
        <v>0</v>
      </c>
      <c r="AR101" s="750">
        <v>0</v>
      </c>
      <c r="AS101" s="750">
        <v>0</v>
      </c>
      <c r="AT101" s="750">
        <v>0</v>
      </c>
      <c r="AU101" s="750">
        <v>0</v>
      </c>
      <c r="AV101" s="750">
        <v>0</v>
      </c>
      <c r="AW101" s="750">
        <v>0</v>
      </c>
      <c r="AX101" s="750">
        <v>0</v>
      </c>
      <c r="AY101" s="750">
        <v>0</v>
      </c>
      <c r="AZ101" s="750">
        <v>0</v>
      </c>
    </row>
    <row r="102" ht="15" customHeight="1" spans="2:52">
      <c r="B102" s="767" t="s">
        <v>1547</v>
      </c>
      <c r="C102" s="784" t="s">
        <v>1534</v>
      </c>
      <c r="D102" s="784"/>
      <c r="E102" s="784" t="s">
        <v>1534</v>
      </c>
      <c r="F102" s="784"/>
      <c r="G102" s="784"/>
      <c r="H102" s="784"/>
      <c r="I102" s="784"/>
      <c r="J102" s="784" t="s">
        <v>1534</v>
      </c>
      <c r="K102" s="784"/>
      <c r="L102" s="770"/>
      <c r="M102" s="769" t="s">
        <v>1464</v>
      </c>
      <c r="N102" s="769" t="s">
        <v>199</v>
      </c>
      <c r="O102" s="769" t="s">
        <v>199</v>
      </c>
      <c r="P102" s="750">
        <v>0</v>
      </c>
      <c r="Q102" s="750">
        <v>0</v>
      </c>
      <c r="R102" s="750">
        <v>0</v>
      </c>
      <c r="S102" s="750">
        <v>0</v>
      </c>
      <c r="T102" s="750">
        <v>0</v>
      </c>
      <c r="U102" s="750">
        <v>0</v>
      </c>
      <c r="V102" s="750">
        <v>0</v>
      </c>
      <c r="W102" s="750">
        <v>0</v>
      </c>
      <c r="X102" s="750">
        <v>0</v>
      </c>
      <c r="Y102" s="750">
        <v>0</v>
      </c>
      <c r="Z102" s="750">
        <v>0</v>
      </c>
      <c r="AA102" s="750">
        <v>0</v>
      </c>
      <c r="AB102" s="750"/>
      <c r="AC102" s="750">
        <v>0</v>
      </c>
      <c r="AD102" s="750">
        <v>0</v>
      </c>
      <c r="AE102" s="750">
        <v>0</v>
      </c>
      <c r="AF102" s="750">
        <v>0</v>
      </c>
      <c r="AG102" s="750">
        <v>0</v>
      </c>
      <c r="AH102" s="750">
        <v>0</v>
      </c>
      <c r="AI102" s="750">
        <v>0</v>
      </c>
      <c r="AJ102" s="750">
        <v>0</v>
      </c>
      <c r="AK102" s="750">
        <v>0</v>
      </c>
      <c r="AL102" s="750">
        <v>0</v>
      </c>
      <c r="AM102" s="750">
        <v>0</v>
      </c>
      <c r="AN102" s="750">
        <v>0</v>
      </c>
      <c r="AO102" s="750">
        <v>0</v>
      </c>
      <c r="AP102" s="750">
        <v>0</v>
      </c>
      <c r="AQ102" s="750">
        <v>0</v>
      </c>
      <c r="AR102" s="750">
        <v>0</v>
      </c>
      <c r="AS102" s="750">
        <v>0</v>
      </c>
      <c r="AT102" s="750">
        <v>0</v>
      </c>
      <c r="AU102" s="750">
        <v>0</v>
      </c>
      <c r="AV102" s="750">
        <v>0</v>
      </c>
      <c r="AW102" s="750">
        <v>0</v>
      </c>
      <c r="AX102" s="750">
        <v>0</v>
      </c>
      <c r="AY102" s="750">
        <v>0</v>
      </c>
      <c r="AZ102" s="750">
        <v>0</v>
      </c>
    </row>
    <row r="103" ht="15" customHeight="1" spans="2:52">
      <c r="B103" s="767" t="s">
        <v>1548</v>
      </c>
      <c r="C103" s="784" t="s">
        <v>1534</v>
      </c>
      <c r="D103" s="784"/>
      <c r="E103" s="784" t="s">
        <v>1534</v>
      </c>
      <c r="F103" s="784"/>
      <c r="G103" s="784"/>
      <c r="H103" s="784"/>
      <c r="I103" s="784"/>
      <c r="J103" s="784" t="s">
        <v>1534</v>
      </c>
      <c r="K103" s="784"/>
      <c r="L103" s="770"/>
      <c r="M103" s="769" t="s">
        <v>1464</v>
      </c>
      <c r="N103" s="769" t="s">
        <v>199</v>
      </c>
      <c r="O103" s="769" t="s">
        <v>199</v>
      </c>
      <c r="P103" s="750">
        <v>0</v>
      </c>
      <c r="Q103" s="750">
        <v>0</v>
      </c>
      <c r="R103" s="750">
        <v>0</v>
      </c>
      <c r="S103" s="750">
        <v>0</v>
      </c>
      <c r="T103" s="750">
        <v>0</v>
      </c>
      <c r="U103" s="750">
        <v>0</v>
      </c>
      <c r="V103" s="750">
        <v>0</v>
      </c>
      <c r="W103" s="750">
        <v>0</v>
      </c>
      <c r="X103" s="750">
        <v>0</v>
      </c>
      <c r="Y103" s="750">
        <v>0</v>
      </c>
      <c r="Z103" s="750">
        <v>0</v>
      </c>
      <c r="AA103" s="750">
        <v>0</v>
      </c>
      <c r="AB103" s="750"/>
      <c r="AC103" s="750">
        <v>0</v>
      </c>
      <c r="AD103" s="750">
        <v>0</v>
      </c>
      <c r="AE103" s="750">
        <v>0</v>
      </c>
      <c r="AF103" s="750">
        <v>0</v>
      </c>
      <c r="AG103" s="750">
        <v>0</v>
      </c>
      <c r="AH103" s="750">
        <v>0</v>
      </c>
      <c r="AI103" s="750">
        <v>0</v>
      </c>
      <c r="AJ103" s="750">
        <v>0</v>
      </c>
      <c r="AK103" s="750">
        <v>0</v>
      </c>
      <c r="AL103" s="750">
        <v>0</v>
      </c>
      <c r="AM103" s="750">
        <v>0</v>
      </c>
      <c r="AN103" s="750">
        <v>0</v>
      </c>
      <c r="AO103" s="750">
        <v>0</v>
      </c>
      <c r="AP103" s="750">
        <v>0</v>
      </c>
      <c r="AQ103" s="750">
        <v>0</v>
      </c>
      <c r="AR103" s="750">
        <v>0</v>
      </c>
      <c r="AS103" s="750">
        <v>0</v>
      </c>
      <c r="AT103" s="750">
        <v>0</v>
      </c>
      <c r="AU103" s="750">
        <v>0</v>
      </c>
      <c r="AV103" s="750">
        <v>0</v>
      </c>
      <c r="AW103" s="750">
        <v>0</v>
      </c>
      <c r="AX103" s="750">
        <v>0</v>
      </c>
      <c r="AY103" s="750">
        <v>0</v>
      </c>
      <c r="AZ103" s="750">
        <v>0</v>
      </c>
    </row>
    <row r="104" ht="15" customHeight="1" spans="2:52">
      <c r="B104" s="767" t="s">
        <v>1549</v>
      </c>
      <c r="C104" s="784" t="s">
        <v>1534</v>
      </c>
      <c r="D104" s="784"/>
      <c r="E104" s="784" t="s">
        <v>1534</v>
      </c>
      <c r="F104" s="784"/>
      <c r="G104" s="784"/>
      <c r="H104" s="784"/>
      <c r="I104" s="784"/>
      <c r="J104" s="784" t="s">
        <v>1534</v>
      </c>
      <c r="K104" s="784"/>
      <c r="L104" s="770"/>
      <c r="M104" s="769" t="s">
        <v>1464</v>
      </c>
      <c r="N104" s="769" t="s">
        <v>199</v>
      </c>
      <c r="O104" s="769" t="s">
        <v>199</v>
      </c>
      <c r="P104" s="750">
        <v>0</v>
      </c>
      <c r="Q104" s="750">
        <v>0</v>
      </c>
      <c r="R104" s="750">
        <v>0</v>
      </c>
      <c r="S104" s="750">
        <v>0</v>
      </c>
      <c r="T104" s="750">
        <v>0</v>
      </c>
      <c r="U104" s="750">
        <v>0</v>
      </c>
      <c r="V104" s="750">
        <v>0</v>
      </c>
      <c r="W104" s="750">
        <v>0</v>
      </c>
      <c r="X104" s="750">
        <v>0</v>
      </c>
      <c r="Y104" s="750">
        <v>0</v>
      </c>
      <c r="Z104" s="750">
        <v>0</v>
      </c>
      <c r="AA104" s="750">
        <v>0</v>
      </c>
      <c r="AB104" s="750"/>
      <c r="AC104" s="750">
        <v>0</v>
      </c>
      <c r="AD104" s="750">
        <v>0</v>
      </c>
      <c r="AE104" s="750">
        <v>0</v>
      </c>
      <c r="AF104" s="750">
        <v>0</v>
      </c>
      <c r="AG104" s="750">
        <v>0</v>
      </c>
      <c r="AH104" s="750">
        <v>0</v>
      </c>
      <c r="AI104" s="750">
        <v>0</v>
      </c>
      <c r="AJ104" s="750">
        <v>0</v>
      </c>
      <c r="AK104" s="750">
        <v>0</v>
      </c>
      <c r="AL104" s="750">
        <v>0</v>
      </c>
      <c r="AM104" s="750">
        <v>0</v>
      </c>
      <c r="AN104" s="750">
        <v>0</v>
      </c>
      <c r="AO104" s="750">
        <v>0</v>
      </c>
      <c r="AP104" s="750">
        <v>0</v>
      </c>
      <c r="AQ104" s="750">
        <v>0</v>
      </c>
      <c r="AR104" s="750">
        <v>0</v>
      </c>
      <c r="AS104" s="750">
        <v>0</v>
      </c>
      <c r="AT104" s="750">
        <v>0</v>
      </c>
      <c r="AU104" s="750">
        <v>0</v>
      </c>
      <c r="AV104" s="750">
        <v>0</v>
      </c>
      <c r="AW104" s="750">
        <v>0</v>
      </c>
      <c r="AX104" s="750">
        <v>0</v>
      </c>
      <c r="AY104" s="750">
        <v>0</v>
      </c>
      <c r="AZ104" s="750">
        <v>0</v>
      </c>
    </row>
    <row r="105" ht="15" customHeight="1" spans="2:52">
      <c r="B105" s="767" t="s">
        <v>1550</v>
      </c>
      <c r="C105" s="784" t="s">
        <v>1534</v>
      </c>
      <c r="D105" s="784"/>
      <c r="E105" s="784" t="s">
        <v>1534</v>
      </c>
      <c r="F105" s="784"/>
      <c r="G105" s="784"/>
      <c r="H105" s="784"/>
      <c r="I105" s="784"/>
      <c r="J105" s="784" t="s">
        <v>1534</v>
      </c>
      <c r="K105" s="784"/>
      <c r="L105" s="770"/>
      <c r="M105" s="769" t="s">
        <v>1464</v>
      </c>
      <c r="N105" s="769" t="s">
        <v>199</v>
      </c>
      <c r="O105" s="769" t="s">
        <v>199</v>
      </c>
      <c r="P105" s="750">
        <v>0</v>
      </c>
      <c r="Q105" s="750">
        <v>0</v>
      </c>
      <c r="R105" s="750">
        <v>0</v>
      </c>
      <c r="S105" s="750">
        <v>0</v>
      </c>
      <c r="T105" s="750">
        <v>0</v>
      </c>
      <c r="U105" s="750">
        <v>0</v>
      </c>
      <c r="V105" s="750">
        <v>0</v>
      </c>
      <c r="W105" s="750">
        <v>0</v>
      </c>
      <c r="X105" s="750">
        <v>0</v>
      </c>
      <c r="Y105" s="750">
        <v>0</v>
      </c>
      <c r="Z105" s="750">
        <v>0</v>
      </c>
      <c r="AA105" s="750">
        <v>0</v>
      </c>
      <c r="AB105" s="750"/>
      <c r="AC105" s="750">
        <v>0</v>
      </c>
      <c r="AD105" s="750">
        <v>0</v>
      </c>
      <c r="AE105" s="750">
        <v>0</v>
      </c>
      <c r="AF105" s="750">
        <v>0</v>
      </c>
      <c r="AG105" s="750">
        <v>0</v>
      </c>
      <c r="AH105" s="750">
        <v>0</v>
      </c>
      <c r="AI105" s="750">
        <v>0</v>
      </c>
      <c r="AJ105" s="750">
        <v>0</v>
      </c>
      <c r="AK105" s="750">
        <v>0</v>
      </c>
      <c r="AL105" s="750">
        <v>0</v>
      </c>
      <c r="AM105" s="750">
        <v>0</v>
      </c>
      <c r="AN105" s="750">
        <v>0</v>
      </c>
      <c r="AO105" s="750">
        <v>0</v>
      </c>
      <c r="AP105" s="750">
        <v>0</v>
      </c>
      <c r="AQ105" s="750">
        <v>0</v>
      </c>
      <c r="AR105" s="750">
        <v>0</v>
      </c>
      <c r="AS105" s="750">
        <v>0</v>
      </c>
      <c r="AT105" s="750">
        <v>0</v>
      </c>
      <c r="AU105" s="750">
        <v>0</v>
      </c>
      <c r="AV105" s="750">
        <v>0</v>
      </c>
      <c r="AW105" s="750">
        <v>0</v>
      </c>
      <c r="AX105" s="750">
        <v>0</v>
      </c>
      <c r="AY105" s="750">
        <v>0</v>
      </c>
      <c r="AZ105" s="750">
        <v>0</v>
      </c>
    </row>
    <row r="106" ht="15" customHeight="1" spans="2:52">
      <c r="B106" s="767" t="s">
        <v>1551</v>
      </c>
      <c r="C106" s="784" t="s">
        <v>1534</v>
      </c>
      <c r="D106" s="784"/>
      <c r="E106" s="784" t="s">
        <v>1534</v>
      </c>
      <c r="F106" s="784"/>
      <c r="G106" s="784"/>
      <c r="H106" s="784"/>
      <c r="I106" s="784"/>
      <c r="J106" s="784" t="s">
        <v>1534</v>
      </c>
      <c r="K106" s="784"/>
      <c r="L106" s="770"/>
      <c r="M106" s="769" t="s">
        <v>1464</v>
      </c>
      <c r="N106" s="769" t="s">
        <v>199</v>
      </c>
      <c r="O106" s="769" t="s">
        <v>199</v>
      </c>
      <c r="P106" s="750">
        <v>0</v>
      </c>
      <c r="Q106" s="750">
        <v>0</v>
      </c>
      <c r="R106" s="750">
        <v>0</v>
      </c>
      <c r="S106" s="750">
        <v>0</v>
      </c>
      <c r="T106" s="750">
        <v>0</v>
      </c>
      <c r="U106" s="750">
        <v>0</v>
      </c>
      <c r="V106" s="750">
        <v>0</v>
      </c>
      <c r="W106" s="750">
        <v>0</v>
      </c>
      <c r="X106" s="750">
        <v>0</v>
      </c>
      <c r="Y106" s="750">
        <v>0</v>
      </c>
      <c r="Z106" s="750">
        <v>0</v>
      </c>
      <c r="AA106" s="750">
        <v>0</v>
      </c>
      <c r="AB106" s="750"/>
      <c r="AC106" s="750">
        <v>0</v>
      </c>
      <c r="AD106" s="750">
        <v>0</v>
      </c>
      <c r="AE106" s="750">
        <v>0</v>
      </c>
      <c r="AF106" s="750">
        <v>0</v>
      </c>
      <c r="AG106" s="750">
        <v>0</v>
      </c>
      <c r="AH106" s="750">
        <v>0</v>
      </c>
      <c r="AI106" s="750">
        <v>0</v>
      </c>
      <c r="AJ106" s="750">
        <v>0</v>
      </c>
      <c r="AK106" s="750">
        <v>0</v>
      </c>
      <c r="AL106" s="750">
        <v>0</v>
      </c>
      <c r="AM106" s="750">
        <v>0</v>
      </c>
      <c r="AN106" s="750">
        <v>0</v>
      </c>
      <c r="AO106" s="750">
        <v>0</v>
      </c>
      <c r="AP106" s="750">
        <v>0</v>
      </c>
      <c r="AQ106" s="750">
        <v>0</v>
      </c>
      <c r="AR106" s="750">
        <v>0</v>
      </c>
      <c r="AS106" s="750">
        <v>0</v>
      </c>
      <c r="AT106" s="750">
        <v>0</v>
      </c>
      <c r="AU106" s="750">
        <v>0</v>
      </c>
      <c r="AV106" s="750">
        <v>0</v>
      </c>
      <c r="AW106" s="750">
        <v>0</v>
      </c>
      <c r="AX106" s="750">
        <v>0</v>
      </c>
      <c r="AY106" s="750">
        <v>0</v>
      </c>
      <c r="AZ106" s="750">
        <v>0</v>
      </c>
    </row>
    <row r="107" ht="15" customHeight="1" spans="2:52">
      <c r="B107" s="767" t="s">
        <v>1552</v>
      </c>
      <c r="C107" s="784" t="s">
        <v>1534</v>
      </c>
      <c r="D107" s="784"/>
      <c r="E107" s="784" t="s">
        <v>1534</v>
      </c>
      <c r="F107" s="784"/>
      <c r="G107" s="784"/>
      <c r="H107" s="784"/>
      <c r="I107" s="784"/>
      <c r="J107" s="784" t="s">
        <v>1534</v>
      </c>
      <c r="K107" s="784"/>
      <c r="L107" s="770"/>
      <c r="M107" s="769" t="s">
        <v>1464</v>
      </c>
      <c r="N107" s="769" t="s">
        <v>199</v>
      </c>
      <c r="O107" s="769" t="s">
        <v>199</v>
      </c>
      <c r="P107" s="750">
        <v>0</v>
      </c>
      <c r="Q107" s="750">
        <v>0</v>
      </c>
      <c r="R107" s="750">
        <v>0</v>
      </c>
      <c r="S107" s="750">
        <v>0</v>
      </c>
      <c r="T107" s="750">
        <v>0</v>
      </c>
      <c r="U107" s="750">
        <v>0</v>
      </c>
      <c r="V107" s="750">
        <v>0</v>
      </c>
      <c r="W107" s="750">
        <v>0</v>
      </c>
      <c r="X107" s="750">
        <v>0</v>
      </c>
      <c r="Y107" s="750">
        <v>0</v>
      </c>
      <c r="Z107" s="750">
        <v>0</v>
      </c>
      <c r="AA107" s="750">
        <v>0</v>
      </c>
      <c r="AB107" s="750"/>
      <c r="AC107" s="750">
        <v>0</v>
      </c>
      <c r="AD107" s="750">
        <v>0</v>
      </c>
      <c r="AE107" s="750">
        <v>0</v>
      </c>
      <c r="AF107" s="750">
        <v>0</v>
      </c>
      <c r="AG107" s="750">
        <v>0</v>
      </c>
      <c r="AH107" s="750">
        <v>0</v>
      </c>
      <c r="AI107" s="750">
        <v>0</v>
      </c>
      <c r="AJ107" s="750">
        <v>0</v>
      </c>
      <c r="AK107" s="750">
        <v>0</v>
      </c>
      <c r="AL107" s="750">
        <v>0</v>
      </c>
      <c r="AM107" s="750">
        <v>0</v>
      </c>
      <c r="AN107" s="750">
        <v>0</v>
      </c>
      <c r="AO107" s="750">
        <v>0</v>
      </c>
      <c r="AP107" s="750">
        <v>0</v>
      </c>
      <c r="AQ107" s="750">
        <v>0</v>
      </c>
      <c r="AR107" s="750">
        <v>0</v>
      </c>
      <c r="AS107" s="750">
        <v>0</v>
      </c>
      <c r="AT107" s="750">
        <v>0</v>
      </c>
      <c r="AU107" s="750">
        <v>0</v>
      </c>
      <c r="AV107" s="750">
        <v>0</v>
      </c>
      <c r="AW107" s="750">
        <v>0</v>
      </c>
      <c r="AX107" s="750">
        <v>0</v>
      </c>
      <c r="AY107" s="750">
        <v>0</v>
      </c>
      <c r="AZ107" s="750">
        <v>0</v>
      </c>
    </row>
    <row r="108" ht="15" customHeight="1" spans="2:52">
      <c r="B108" s="767" t="s">
        <v>1553</v>
      </c>
      <c r="C108" s="784" t="s">
        <v>1534</v>
      </c>
      <c r="D108" s="784"/>
      <c r="E108" s="784" t="s">
        <v>1534</v>
      </c>
      <c r="F108" s="784"/>
      <c r="G108" s="784"/>
      <c r="H108" s="784"/>
      <c r="I108" s="784"/>
      <c r="J108" s="784" t="s">
        <v>1534</v>
      </c>
      <c r="K108" s="784"/>
      <c r="L108" s="770"/>
      <c r="M108" s="769" t="s">
        <v>1464</v>
      </c>
      <c r="N108" s="769" t="s">
        <v>199</v>
      </c>
      <c r="O108" s="769" t="s">
        <v>199</v>
      </c>
      <c r="P108" s="750">
        <v>0</v>
      </c>
      <c r="Q108" s="750">
        <v>0</v>
      </c>
      <c r="R108" s="750">
        <v>0</v>
      </c>
      <c r="S108" s="750">
        <v>0</v>
      </c>
      <c r="T108" s="750">
        <v>0</v>
      </c>
      <c r="U108" s="750">
        <v>0</v>
      </c>
      <c r="V108" s="750">
        <v>0</v>
      </c>
      <c r="W108" s="750">
        <v>0</v>
      </c>
      <c r="X108" s="750">
        <v>0</v>
      </c>
      <c r="Y108" s="750">
        <v>0</v>
      </c>
      <c r="Z108" s="750">
        <v>0</v>
      </c>
      <c r="AA108" s="750">
        <v>0</v>
      </c>
      <c r="AB108" s="750"/>
      <c r="AC108" s="750">
        <v>0</v>
      </c>
      <c r="AD108" s="750">
        <v>0</v>
      </c>
      <c r="AE108" s="750">
        <v>0</v>
      </c>
      <c r="AF108" s="750">
        <v>0</v>
      </c>
      <c r="AG108" s="750">
        <v>0</v>
      </c>
      <c r="AH108" s="750">
        <v>0</v>
      </c>
      <c r="AI108" s="750">
        <v>0</v>
      </c>
      <c r="AJ108" s="750">
        <v>0</v>
      </c>
      <c r="AK108" s="750">
        <v>0</v>
      </c>
      <c r="AL108" s="750">
        <v>0</v>
      </c>
      <c r="AM108" s="750">
        <v>0</v>
      </c>
      <c r="AN108" s="750">
        <v>0</v>
      </c>
      <c r="AO108" s="750">
        <v>0</v>
      </c>
      <c r="AP108" s="750">
        <v>0</v>
      </c>
      <c r="AQ108" s="750">
        <v>0</v>
      </c>
      <c r="AR108" s="750">
        <v>0</v>
      </c>
      <c r="AS108" s="750">
        <v>0</v>
      </c>
      <c r="AT108" s="750">
        <v>0</v>
      </c>
      <c r="AU108" s="750">
        <v>0</v>
      </c>
      <c r="AV108" s="750">
        <v>0</v>
      </c>
      <c r="AW108" s="750">
        <v>0</v>
      </c>
      <c r="AX108" s="750">
        <v>0</v>
      </c>
      <c r="AY108" s="750">
        <v>0</v>
      </c>
      <c r="AZ108" s="750">
        <v>0</v>
      </c>
    </row>
    <row r="109" ht="15" customHeight="1" spans="2:52">
      <c r="B109" s="767" t="s">
        <v>1554</v>
      </c>
      <c r="C109" s="784" t="s">
        <v>1534</v>
      </c>
      <c r="D109" s="784"/>
      <c r="E109" s="784" t="s">
        <v>1534</v>
      </c>
      <c r="F109" s="784"/>
      <c r="G109" s="784"/>
      <c r="H109" s="784"/>
      <c r="I109" s="784"/>
      <c r="J109" s="784" t="s">
        <v>1534</v>
      </c>
      <c r="K109" s="784"/>
      <c r="L109" s="770"/>
      <c r="M109" s="769" t="s">
        <v>1464</v>
      </c>
      <c r="N109" s="769" t="s">
        <v>199</v>
      </c>
      <c r="O109" s="769" t="s">
        <v>199</v>
      </c>
      <c r="P109" s="750">
        <v>0</v>
      </c>
      <c r="Q109" s="750">
        <v>0</v>
      </c>
      <c r="R109" s="750">
        <v>0</v>
      </c>
      <c r="S109" s="750">
        <v>0</v>
      </c>
      <c r="T109" s="750">
        <v>0</v>
      </c>
      <c r="U109" s="750">
        <v>0</v>
      </c>
      <c r="V109" s="750">
        <v>0</v>
      </c>
      <c r="W109" s="750">
        <v>0</v>
      </c>
      <c r="X109" s="750">
        <v>0</v>
      </c>
      <c r="Y109" s="750">
        <v>0</v>
      </c>
      <c r="Z109" s="750">
        <v>0</v>
      </c>
      <c r="AA109" s="750">
        <v>0</v>
      </c>
      <c r="AB109" s="750"/>
      <c r="AC109" s="750">
        <v>0</v>
      </c>
      <c r="AD109" s="750">
        <v>0</v>
      </c>
      <c r="AE109" s="750">
        <v>0</v>
      </c>
      <c r="AF109" s="750">
        <v>0</v>
      </c>
      <c r="AG109" s="750">
        <v>0</v>
      </c>
      <c r="AH109" s="750">
        <v>0</v>
      </c>
      <c r="AI109" s="750">
        <v>0</v>
      </c>
      <c r="AJ109" s="750">
        <v>0</v>
      </c>
      <c r="AK109" s="750">
        <v>0</v>
      </c>
      <c r="AL109" s="750">
        <v>0</v>
      </c>
      <c r="AM109" s="750">
        <v>0</v>
      </c>
      <c r="AN109" s="750">
        <v>0</v>
      </c>
      <c r="AO109" s="750">
        <v>0</v>
      </c>
      <c r="AP109" s="750">
        <v>0</v>
      </c>
      <c r="AQ109" s="750">
        <v>0</v>
      </c>
      <c r="AR109" s="750">
        <v>0</v>
      </c>
      <c r="AS109" s="750">
        <v>0</v>
      </c>
      <c r="AT109" s="750">
        <v>0</v>
      </c>
      <c r="AU109" s="750">
        <v>0</v>
      </c>
      <c r="AV109" s="750">
        <v>0</v>
      </c>
      <c r="AW109" s="750">
        <v>0</v>
      </c>
      <c r="AX109" s="750">
        <v>0</v>
      </c>
      <c r="AY109" s="750">
        <v>0</v>
      </c>
      <c r="AZ109" s="750">
        <v>0</v>
      </c>
    </row>
    <row r="110" ht="15" customHeight="1" spans="2:52">
      <c r="B110" s="767" t="s">
        <v>1555</v>
      </c>
      <c r="C110" s="784" t="s">
        <v>1534</v>
      </c>
      <c r="D110" s="784"/>
      <c r="E110" s="784" t="s">
        <v>1534</v>
      </c>
      <c r="F110" s="784"/>
      <c r="G110" s="784"/>
      <c r="H110" s="784"/>
      <c r="I110" s="784"/>
      <c r="J110" s="784" t="s">
        <v>1534</v>
      </c>
      <c r="K110" s="784"/>
      <c r="L110" s="770"/>
      <c r="M110" s="769" t="s">
        <v>1464</v>
      </c>
      <c r="N110" s="769" t="s">
        <v>199</v>
      </c>
      <c r="O110" s="769" t="s">
        <v>199</v>
      </c>
      <c r="P110" s="750">
        <v>0</v>
      </c>
      <c r="Q110" s="750">
        <v>0</v>
      </c>
      <c r="R110" s="750">
        <v>0</v>
      </c>
      <c r="S110" s="750">
        <v>0</v>
      </c>
      <c r="T110" s="750">
        <v>0</v>
      </c>
      <c r="U110" s="750">
        <v>0</v>
      </c>
      <c r="V110" s="750">
        <v>0</v>
      </c>
      <c r="W110" s="750">
        <v>0</v>
      </c>
      <c r="X110" s="750">
        <v>0</v>
      </c>
      <c r="Y110" s="750">
        <v>0</v>
      </c>
      <c r="Z110" s="750">
        <v>0</v>
      </c>
      <c r="AA110" s="750">
        <v>0</v>
      </c>
      <c r="AB110" s="750"/>
      <c r="AC110" s="750">
        <v>0</v>
      </c>
      <c r="AD110" s="750">
        <v>0</v>
      </c>
      <c r="AE110" s="750">
        <v>0</v>
      </c>
      <c r="AF110" s="750">
        <v>0</v>
      </c>
      <c r="AG110" s="750">
        <v>0</v>
      </c>
      <c r="AH110" s="750">
        <v>0</v>
      </c>
      <c r="AI110" s="750">
        <v>0</v>
      </c>
      <c r="AJ110" s="750">
        <v>0</v>
      </c>
      <c r="AK110" s="750">
        <v>0</v>
      </c>
      <c r="AL110" s="750">
        <v>0</v>
      </c>
      <c r="AM110" s="750">
        <v>0</v>
      </c>
      <c r="AN110" s="750">
        <v>0</v>
      </c>
      <c r="AO110" s="750">
        <v>0</v>
      </c>
      <c r="AP110" s="750">
        <v>0</v>
      </c>
      <c r="AQ110" s="750">
        <v>0</v>
      </c>
      <c r="AR110" s="750">
        <v>0</v>
      </c>
      <c r="AS110" s="750">
        <v>0</v>
      </c>
      <c r="AT110" s="750">
        <v>0</v>
      </c>
      <c r="AU110" s="750">
        <v>0</v>
      </c>
      <c r="AV110" s="750">
        <v>0</v>
      </c>
      <c r="AW110" s="750">
        <v>0</v>
      </c>
      <c r="AX110" s="750">
        <v>0</v>
      </c>
      <c r="AY110" s="750">
        <v>0</v>
      </c>
      <c r="AZ110" s="750">
        <v>0</v>
      </c>
    </row>
    <row r="111" ht="15" customHeight="1" spans="2:52">
      <c r="B111" s="767" t="s">
        <v>1556</v>
      </c>
      <c r="C111" s="784" t="s">
        <v>1534</v>
      </c>
      <c r="D111" s="784"/>
      <c r="E111" s="784" t="s">
        <v>1534</v>
      </c>
      <c r="F111" s="784"/>
      <c r="G111" s="784"/>
      <c r="H111" s="784"/>
      <c r="I111" s="784"/>
      <c r="J111" s="784" t="s">
        <v>1534</v>
      </c>
      <c r="K111" s="784"/>
      <c r="L111" s="770"/>
      <c r="M111" s="769" t="s">
        <v>1464</v>
      </c>
      <c r="N111" s="769" t="s">
        <v>199</v>
      </c>
      <c r="O111" s="769" t="s">
        <v>199</v>
      </c>
      <c r="P111" s="750">
        <v>0</v>
      </c>
      <c r="Q111" s="750">
        <v>0</v>
      </c>
      <c r="R111" s="750">
        <v>0</v>
      </c>
      <c r="S111" s="750">
        <v>0</v>
      </c>
      <c r="T111" s="750">
        <v>0</v>
      </c>
      <c r="U111" s="750">
        <v>0</v>
      </c>
      <c r="V111" s="750">
        <v>0</v>
      </c>
      <c r="W111" s="750">
        <v>0</v>
      </c>
      <c r="X111" s="750">
        <v>0</v>
      </c>
      <c r="Y111" s="750">
        <v>0</v>
      </c>
      <c r="Z111" s="750">
        <v>0</v>
      </c>
      <c r="AA111" s="750">
        <v>0</v>
      </c>
      <c r="AB111" s="750"/>
      <c r="AC111" s="750">
        <v>0</v>
      </c>
      <c r="AD111" s="750">
        <v>0</v>
      </c>
      <c r="AE111" s="750">
        <v>0</v>
      </c>
      <c r="AF111" s="750">
        <v>0</v>
      </c>
      <c r="AG111" s="750">
        <v>0</v>
      </c>
      <c r="AH111" s="750">
        <v>0</v>
      </c>
      <c r="AI111" s="750">
        <v>0</v>
      </c>
      <c r="AJ111" s="750">
        <v>0</v>
      </c>
      <c r="AK111" s="750">
        <v>0</v>
      </c>
      <c r="AL111" s="750">
        <v>0</v>
      </c>
      <c r="AM111" s="750">
        <v>0</v>
      </c>
      <c r="AN111" s="750">
        <v>0</v>
      </c>
      <c r="AO111" s="750">
        <v>0</v>
      </c>
      <c r="AP111" s="750">
        <v>0</v>
      </c>
      <c r="AQ111" s="750">
        <v>0</v>
      </c>
      <c r="AR111" s="750">
        <v>0</v>
      </c>
      <c r="AS111" s="750">
        <v>0</v>
      </c>
      <c r="AT111" s="750">
        <v>0</v>
      </c>
      <c r="AU111" s="750">
        <v>0</v>
      </c>
      <c r="AV111" s="750">
        <v>0</v>
      </c>
      <c r="AW111" s="750">
        <v>0</v>
      </c>
      <c r="AX111" s="750">
        <v>0</v>
      </c>
      <c r="AY111" s="750">
        <v>0</v>
      </c>
      <c r="AZ111" s="750">
        <v>0</v>
      </c>
    </row>
    <row r="112" ht="15" customHeight="1" spans="2:52">
      <c r="B112" s="767" t="s">
        <v>1557</v>
      </c>
      <c r="C112" s="784" t="s">
        <v>1534</v>
      </c>
      <c r="D112" s="784"/>
      <c r="E112" s="784" t="s">
        <v>1534</v>
      </c>
      <c r="F112" s="784"/>
      <c r="G112" s="784"/>
      <c r="H112" s="784"/>
      <c r="I112" s="784"/>
      <c r="J112" s="784" t="s">
        <v>1534</v>
      </c>
      <c r="K112" s="784"/>
      <c r="L112" s="770"/>
      <c r="M112" s="769" t="s">
        <v>1464</v>
      </c>
      <c r="N112" s="769" t="s">
        <v>199</v>
      </c>
      <c r="O112" s="769" t="s">
        <v>199</v>
      </c>
      <c r="P112" s="750">
        <v>0</v>
      </c>
      <c r="Q112" s="750">
        <v>0</v>
      </c>
      <c r="R112" s="750">
        <v>0</v>
      </c>
      <c r="S112" s="750">
        <v>0</v>
      </c>
      <c r="T112" s="750">
        <v>0</v>
      </c>
      <c r="U112" s="750">
        <v>0</v>
      </c>
      <c r="V112" s="750">
        <v>0</v>
      </c>
      <c r="W112" s="750">
        <v>0</v>
      </c>
      <c r="X112" s="750">
        <v>0</v>
      </c>
      <c r="Y112" s="750">
        <v>0</v>
      </c>
      <c r="Z112" s="750">
        <v>0</v>
      </c>
      <c r="AA112" s="750">
        <v>0</v>
      </c>
      <c r="AB112" s="750"/>
      <c r="AC112" s="750">
        <v>0</v>
      </c>
      <c r="AD112" s="750">
        <v>0</v>
      </c>
      <c r="AE112" s="750">
        <v>0</v>
      </c>
      <c r="AF112" s="750">
        <v>0</v>
      </c>
      <c r="AG112" s="750">
        <v>0</v>
      </c>
      <c r="AH112" s="750">
        <v>0</v>
      </c>
      <c r="AI112" s="750">
        <v>0</v>
      </c>
      <c r="AJ112" s="750">
        <v>0</v>
      </c>
      <c r="AK112" s="750">
        <v>0</v>
      </c>
      <c r="AL112" s="750">
        <v>0</v>
      </c>
      <c r="AM112" s="750">
        <v>0</v>
      </c>
      <c r="AN112" s="750">
        <v>0</v>
      </c>
      <c r="AO112" s="750">
        <v>0</v>
      </c>
      <c r="AP112" s="750">
        <v>0</v>
      </c>
      <c r="AQ112" s="750">
        <v>0</v>
      </c>
      <c r="AR112" s="750">
        <v>0</v>
      </c>
      <c r="AS112" s="750">
        <v>0</v>
      </c>
      <c r="AT112" s="750">
        <v>0</v>
      </c>
      <c r="AU112" s="750">
        <v>0</v>
      </c>
      <c r="AV112" s="750">
        <v>0</v>
      </c>
      <c r="AW112" s="750">
        <v>0</v>
      </c>
      <c r="AX112" s="750">
        <v>0</v>
      </c>
      <c r="AY112" s="750">
        <v>0</v>
      </c>
      <c r="AZ112" s="750">
        <v>0</v>
      </c>
    </row>
    <row r="113" ht="15" customHeight="1" spans="2:52">
      <c r="B113" s="767" t="s">
        <v>1558</v>
      </c>
      <c r="C113" s="784" t="s">
        <v>1534</v>
      </c>
      <c r="D113" s="784"/>
      <c r="E113" s="784" t="s">
        <v>1534</v>
      </c>
      <c r="F113" s="784"/>
      <c r="G113" s="784"/>
      <c r="H113" s="784"/>
      <c r="I113" s="784"/>
      <c r="J113" s="784" t="s">
        <v>1534</v>
      </c>
      <c r="K113" s="784"/>
      <c r="L113" s="770"/>
      <c r="M113" s="769" t="s">
        <v>1464</v>
      </c>
      <c r="N113" s="769" t="s">
        <v>199</v>
      </c>
      <c r="O113" s="769" t="s">
        <v>199</v>
      </c>
      <c r="P113" s="750">
        <v>0</v>
      </c>
      <c r="Q113" s="750">
        <v>0</v>
      </c>
      <c r="R113" s="750">
        <v>0</v>
      </c>
      <c r="S113" s="750">
        <v>0</v>
      </c>
      <c r="T113" s="750">
        <v>0</v>
      </c>
      <c r="U113" s="750">
        <v>0</v>
      </c>
      <c r="V113" s="750">
        <v>0</v>
      </c>
      <c r="W113" s="750">
        <v>0</v>
      </c>
      <c r="X113" s="750">
        <v>0</v>
      </c>
      <c r="Y113" s="750">
        <v>0</v>
      </c>
      <c r="Z113" s="750">
        <v>0</v>
      </c>
      <c r="AA113" s="750">
        <v>0</v>
      </c>
      <c r="AB113" s="750"/>
      <c r="AC113" s="750">
        <v>0</v>
      </c>
      <c r="AD113" s="750">
        <v>0</v>
      </c>
      <c r="AE113" s="750">
        <v>0</v>
      </c>
      <c r="AF113" s="750">
        <v>0</v>
      </c>
      <c r="AG113" s="750">
        <v>0</v>
      </c>
      <c r="AH113" s="750">
        <v>0</v>
      </c>
      <c r="AI113" s="750">
        <v>0</v>
      </c>
      <c r="AJ113" s="750">
        <v>0</v>
      </c>
      <c r="AK113" s="750">
        <v>0</v>
      </c>
      <c r="AL113" s="750">
        <v>0</v>
      </c>
      <c r="AM113" s="750">
        <v>0</v>
      </c>
      <c r="AN113" s="750">
        <v>0</v>
      </c>
      <c r="AO113" s="750">
        <v>0</v>
      </c>
      <c r="AP113" s="750">
        <v>0</v>
      </c>
      <c r="AQ113" s="750">
        <v>0</v>
      </c>
      <c r="AR113" s="750">
        <v>0</v>
      </c>
      <c r="AS113" s="750">
        <v>0</v>
      </c>
      <c r="AT113" s="750">
        <v>0</v>
      </c>
      <c r="AU113" s="750">
        <v>0</v>
      </c>
      <c r="AV113" s="750">
        <v>0</v>
      </c>
      <c r="AW113" s="750">
        <v>0</v>
      </c>
      <c r="AX113" s="750">
        <v>0</v>
      </c>
      <c r="AY113" s="750">
        <v>0</v>
      </c>
      <c r="AZ113" s="750">
        <v>0</v>
      </c>
    </row>
    <row r="114" ht="15" customHeight="1" spans="2:52">
      <c r="B114" s="767" t="s">
        <v>1559</v>
      </c>
      <c r="C114" s="784" t="s">
        <v>1534</v>
      </c>
      <c r="D114" s="784"/>
      <c r="E114" s="784" t="s">
        <v>1534</v>
      </c>
      <c r="F114" s="784"/>
      <c r="G114" s="784"/>
      <c r="H114" s="784"/>
      <c r="I114" s="784"/>
      <c r="J114" s="784" t="s">
        <v>1534</v>
      </c>
      <c r="K114" s="784"/>
      <c r="L114" s="770"/>
      <c r="M114" s="769" t="s">
        <v>1464</v>
      </c>
      <c r="N114" s="769" t="s">
        <v>199</v>
      </c>
      <c r="O114" s="769" t="s">
        <v>199</v>
      </c>
      <c r="P114" s="750">
        <v>0</v>
      </c>
      <c r="Q114" s="750">
        <v>0</v>
      </c>
      <c r="R114" s="750">
        <v>0</v>
      </c>
      <c r="S114" s="750">
        <v>0</v>
      </c>
      <c r="T114" s="750">
        <v>0</v>
      </c>
      <c r="U114" s="750">
        <v>0</v>
      </c>
      <c r="V114" s="750">
        <v>0</v>
      </c>
      <c r="W114" s="750">
        <v>0</v>
      </c>
      <c r="X114" s="750">
        <v>0</v>
      </c>
      <c r="Y114" s="750">
        <v>0</v>
      </c>
      <c r="Z114" s="750">
        <v>0</v>
      </c>
      <c r="AA114" s="750">
        <v>0</v>
      </c>
      <c r="AB114" s="750"/>
      <c r="AC114" s="750">
        <v>0</v>
      </c>
      <c r="AD114" s="750">
        <v>0</v>
      </c>
      <c r="AE114" s="750">
        <v>0</v>
      </c>
      <c r="AF114" s="750">
        <v>0</v>
      </c>
      <c r="AG114" s="750">
        <v>0</v>
      </c>
      <c r="AH114" s="750">
        <v>0</v>
      </c>
      <c r="AI114" s="750">
        <v>0</v>
      </c>
      <c r="AJ114" s="750">
        <v>0</v>
      </c>
      <c r="AK114" s="750">
        <v>0</v>
      </c>
      <c r="AL114" s="750">
        <v>0</v>
      </c>
      <c r="AM114" s="750">
        <v>0</v>
      </c>
      <c r="AN114" s="750">
        <v>0</v>
      </c>
      <c r="AO114" s="750">
        <v>0</v>
      </c>
      <c r="AP114" s="750">
        <v>0</v>
      </c>
      <c r="AQ114" s="750">
        <v>0</v>
      </c>
      <c r="AR114" s="750">
        <v>0</v>
      </c>
      <c r="AS114" s="750">
        <v>0</v>
      </c>
      <c r="AT114" s="750">
        <v>0</v>
      </c>
      <c r="AU114" s="750">
        <v>0</v>
      </c>
      <c r="AV114" s="750">
        <v>0</v>
      </c>
      <c r="AW114" s="750">
        <v>0</v>
      </c>
      <c r="AX114" s="750">
        <v>0</v>
      </c>
      <c r="AY114" s="750">
        <v>0</v>
      </c>
      <c r="AZ114" s="750">
        <v>0</v>
      </c>
    </row>
    <row r="115" ht="15" customHeight="1" spans="2:52">
      <c r="B115" s="767" t="s">
        <v>1560</v>
      </c>
      <c r="C115" s="784" t="s">
        <v>1534</v>
      </c>
      <c r="D115" s="784"/>
      <c r="E115" s="784" t="s">
        <v>1534</v>
      </c>
      <c r="F115" s="784"/>
      <c r="G115" s="784"/>
      <c r="H115" s="784"/>
      <c r="I115" s="784"/>
      <c r="J115" s="784" t="s">
        <v>1534</v>
      </c>
      <c r="K115" s="784"/>
      <c r="L115" s="770"/>
      <c r="M115" s="769" t="s">
        <v>1464</v>
      </c>
      <c r="N115" s="769" t="s">
        <v>199</v>
      </c>
      <c r="O115" s="769" t="s">
        <v>199</v>
      </c>
      <c r="P115" s="750">
        <v>0</v>
      </c>
      <c r="Q115" s="750">
        <v>0</v>
      </c>
      <c r="R115" s="750">
        <v>0</v>
      </c>
      <c r="S115" s="750">
        <v>0</v>
      </c>
      <c r="T115" s="750">
        <v>0</v>
      </c>
      <c r="U115" s="750">
        <v>0</v>
      </c>
      <c r="V115" s="750">
        <v>0</v>
      </c>
      <c r="W115" s="750">
        <v>0</v>
      </c>
      <c r="X115" s="750">
        <v>0</v>
      </c>
      <c r="Y115" s="750">
        <v>0</v>
      </c>
      <c r="Z115" s="750">
        <v>0</v>
      </c>
      <c r="AA115" s="750">
        <v>0</v>
      </c>
      <c r="AB115" s="750"/>
      <c r="AC115" s="750">
        <v>0</v>
      </c>
      <c r="AD115" s="750">
        <v>0</v>
      </c>
      <c r="AE115" s="750">
        <v>0</v>
      </c>
      <c r="AF115" s="750">
        <v>0</v>
      </c>
      <c r="AG115" s="750">
        <v>0</v>
      </c>
      <c r="AH115" s="750">
        <v>0</v>
      </c>
      <c r="AI115" s="750">
        <v>0</v>
      </c>
      <c r="AJ115" s="750">
        <v>0</v>
      </c>
      <c r="AK115" s="750">
        <v>0</v>
      </c>
      <c r="AL115" s="750">
        <v>0</v>
      </c>
      <c r="AM115" s="750">
        <v>0</v>
      </c>
      <c r="AN115" s="750">
        <v>0</v>
      </c>
      <c r="AO115" s="750">
        <v>0</v>
      </c>
      <c r="AP115" s="750">
        <v>0</v>
      </c>
      <c r="AQ115" s="750">
        <v>0</v>
      </c>
      <c r="AR115" s="750">
        <v>0</v>
      </c>
      <c r="AS115" s="750">
        <v>0</v>
      </c>
      <c r="AT115" s="750">
        <v>0</v>
      </c>
      <c r="AU115" s="750">
        <v>0</v>
      </c>
      <c r="AV115" s="750">
        <v>0</v>
      </c>
      <c r="AW115" s="750">
        <v>0</v>
      </c>
      <c r="AX115" s="750">
        <v>0</v>
      </c>
      <c r="AY115" s="750">
        <v>0</v>
      </c>
      <c r="AZ115" s="750">
        <v>0</v>
      </c>
    </row>
    <row r="116" ht="15" customHeight="1" spans="2:52">
      <c r="B116" s="767" t="s">
        <v>1561</v>
      </c>
      <c r="C116" s="784" t="s">
        <v>1534</v>
      </c>
      <c r="D116" s="784"/>
      <c r="E116" s="784" t="s">
        <v>1534</v>
      </c>
      <c r="F116" s="784"/>
      <c r="G116" s="784"/>
      <c r="H116" s="784"/>
      <c r="I116" s="784"/>
      <c r="J116" s="784" t="s">
        <v>1534</v>
      </c>
      <c r="K116" s="784"/>
      <c r="L116" s="770"/>
      <c r="M116" s="769" t="s">
        <v>1464</v>
      </c>
      <c r="N116" s="769" t="s">
        <v>199</v>
      </c>
      <c r="O116" s="769" t="s">
        <v>199</v>
      </c>
      <c r="P116" s="750">
        <v>0</v>
      </c>
      <c r="Q116" s="750">
        <v>0</v>
      </c>
      <c r="R116" s="750">
        <v>0</v>
      </c>
      <c r="S116" s="750">
        <v>0</v>
      </c>
      <c r="T116" s="750">
        <v>0</v>
      </c>
      <c r="U116" s="750">
        <v>0</v>
      </c>
      <c r="V116" s="750">
        <v>0</v>
      </c>
      <c r="W116" s="750">
        <v>0</v>
      </c>
      <c r="X116" s="750">
        <v>0</v>
      </c>
      <c r="Y116" s="750">
        <v>0</v>
      </c>
      <c r="Z116" s="750">
        <v>0</v>
      </c>
      <c r="AA116" s="750">
        <v>0</v>
      </c>
      <c r="AB116" s="750"/>
      <c r="AC116" s="750">
        <v>0</v>
      </c>
      <c r="AD116" s="750">
        <v>0</v>
      </c>
      <c r="AE116" s="750">
        <v>0</v>
      </c>
      <c r="AF116" s="750">
        <v>0</v>
      </c>
      <c r="AG116" s="750">
        <v>0</v>
      </c>
      <c r="AH116" s="750">
        <v>0</v>
      </c>
      <c r="AI116" s="750">
        <v>0</v>
      </c>
      <c r="AJ116" s="750">
        <v>0</v>
      </c>
      <c r="AK116" s="750">
        <v>0</v>
      </c>
      <c r="AL116" s="750">
        <v>0</v>
      </c>
      <c r="AM116" s="750">
        <v>0</v>
      </c>
      <c r="AN116" s="750">
        <v>0</v>
      </c>
      <c r="AO116" s="750">
        <v>0</v>
      </c>
      <c r="AP116" s="750">
        <v>0</v>
      </c>
      <c r="AQ116" s="750">
        <v>0</v>
      </c>
      <c r="AR116" s="750">
        <v>0</v>
      </c>
      <c r="AS116" s="750">
        <v>0</v>
      </c>
      <c r="AT116" s="750">
        <v>0</v>
      </c>
      <c r="AU116" s="750">
        <v>0</v>
      </c>
      <c r="AV116" s="750">
        <v>0</v>
      </c>
      <c r="AW116" s="750">
        <v>0</v>
      </c>
      <c r="AX116" s="750">
        <v>0</v>
      </c>
      <c r="AY116" s="750">
        <v>0</v>
      </c>
      <c r="AZ116" s="750">
        <v>0</v>
      </c>
    </row>
    <row r="117" ht="15" customHeight="1" spans="2:52">
      <c r="B117" s="767" t="s">
        <v>1562</v>
      </c>
      <c r="C117" s="784" t="s">
        <v>1534</v>
      </c>
      <c r="D117" s="784"/>
      <c r="E117" s="784" t="s">
        <v>1534</v>
      </c>
      <c r="F117" s="784"/>
      <c r="G117" s="784"/>
      <c r="H117" s="784"/>
      <c r="I117" s="784"/>
      <c r="J117" s="784" t="s">
        <v>1534</v>
      </c>
      <c r="K117" s="784"/>
      <c r="L117" s="770"/>
      <c r="M117" s="769" t="s">
        <v>1464</v>
      </c>
      <c r="N117" s="769" t="s">
        <v>199</v>
      </c>
      <c r="O117" s="769" t="s">
        <v>199</v>
      </c>
      <c r="P117" s="750">
        <v>0</v>
      </c>
      <c r="Q117" s="750">
        <v>0</v>
      </c>
      <c r="R117" s="750">
        <v>0</v>
      </c>
      <c r="S117" s="750">
        <v>0</v>
      </c>
      <c r="T117" s="750">
        <v>0</v>
      </c>
      <c r="U117" s="750">
        <v>0</v>
      </c>
      <c r="V117" s="750">
        <v>0</v>
      </c>
      <c r="W117" s="750">
        <v>0</v>
      </c>
      <c r="X117" s="750">
        <v>0</v>
      </c>
      <c r="Y117" s="750">
        <v>0</v>
      </c>
      <c r="Z117" s="750">
        <v>0</v>
      </c>
      <c r="AA117" s="750">
        <v>0</v>
      </c>
      <c r="AB117" s="750"/>
      <c r="AC117" s="750">
        <v>0</v>
      </c>
      <c r="AD117" s="750">
        <v>0</v>
      </c>
      <c r="AE117" s="750">
        <v>0</v>
      </c>
      <c r="AF117" s="750">
        <v>0</v>
      </c>
      <c r="AG117" s="750">
        <v>0</v>
      </c>
      <c r="AH117" s="750">
        <v>0</v>
      </c>
      <c r="AI117" s="750">
        <v>0</v>
      </c>
      <c r="AJ117" s="750">
        <v>0</v>
      </c>
      <c r="AK117" s="750">
        <v>0</v>
      </c>
      <c r="AL117" s="750">
        <v>0</v>
      </c>
      <c r="AM117" s="750">
        <v>0</v>
      </c>
      <c r="AN117" s="750">
        <v>0</v>
      </c>
      <c r="AO117" s="750">
        <v>0</v>
      </c>
      <c r="AP117" s="750">
        <v>0</v>
      </c>
      <c r="AQ117" s="750">
        <v>0</v>
      </c>
      <c r="AR117" s="750">
        <v>0</v>
      </c>
      <c r="AS117" s="750">
        <v>0</v>
      </c>
      <c r="AT117" s="750">
        <v>0</v>
      </c>
      <c r="AU117" s="750">
        <v>0</v>
      </c>
      <c r="AV117" s="750">
        <v>0</v>
      </c>
      <c r="AW117" s="750">
        <v>0</v>
      </c>
      <c r="AX117" s="750">
        <v>0</v>
      </c>
      <c r="AY117" s="750">
        <v>0</v>
      </c>
      <c r="AZ117" s="750">
        <v>0</v>
      </c>
    </row>
    <row r="118" ht="15" customHeight="1" spans="2:52">
      <c r="B118" s="767" t="s">
        <v>1563</v>
      </c>
      <c r="C118" s="784" t="s">
        <v>1534</v>
      </c>
      <c r="D118" s="784"/>
      <c r="E118" s="784" t="s">
        <v>1534</v>
      </c>
      <c r="F118" s="784"/>
      <c r="G118" s="784"/>
      <c r="H118" s="784"/>
      <c r="I118" s="784"/>
      <c r="J118" s="784" t="s">
        <v>1534</v>
      </c>
      <c r="K118" s="784"/>
      <c r="L118" s="770"/>
      <c r="M118" s="769" t="s">
        <v>1464</v>
      </c>
      <c r="N118" s="769" t="s">
        <v>199</v>
      </c>
      <c r="O118" s="769" t="s">
        <v>199</v>
      </c>
      <c r="P118" s="750">
        <v>0</v>
      </c>
      <c r="Q118" s="750">
        <v>0</v>
      </c>
      <c r="R118" s="750">
        <v>0</v>
      </c>
      <c r="S118" s="750">
        <v>0</v>
      </c>
      <c r="T118" s="750">
        <v>0</v>
      </c>
      <c r="U118" s="750">
        <v>0</v>
      </c>
      <c r="V118" s="750">
        <v>0</v>
      </c>
      <c r="W118" s="750">
        <v>0</v>
      </c>
      <c r="X118" s="750">
        <v>0</v>
      </c>
      <c r="Y118" s="750">
        <v>0</v>
      </c>
      <c r="Z118" s="750">
        <v>0</v>
      </c>
      <c r="AA118" s="750">
        <v>0</v>
      </c>
      <c r="AB118" s="750"/>
      <c r="AC118" s="750">
        <v>0</v>
      </c>
      <c r="AD118" s="750">
        <v>0</v>
      </c>
      <c r="AE118" s="750">
        <v>0</v>
      </c>
      <c r="AF118" s="750">
        <v>0</v>
      </c>
      <c r="AG118" s="750">
        <v>0</v>
      </c>
      <c r="AH118" s="750">
        <v>0</v>
      </c>
      <c r="AI118" s="750">
        <v>0</v>
      </c>
      <c r="AJ118" s="750">
        <v>0</v>
      </c>
      <c r="AK118" s="750">
        <v>0</v>
      </c>
      <c r="AL118" s="750">
        <v>0</v>
      </c>
      <c r="AM118" s="750">
        <v>0</v>
      </c>
      <c r="AN118" s="750">
        <v>0</v>
      </c>
      <c r="AO118" s="750">
        <v>0</v>
      </c>
      <c r="AP118" s="750">
        <v>0</v>
      </c>
      <c r="AQ118" s="750">
        <v>0</v>
      </c>
      <c r="AR118" s="750">
        <v>0</v>
      </c>
      <c r="AS118" s="750">
        <v>0</v>
      </c>
      <c r="AT118" s="750">
        <v>0</v>
      </c>
      <c r="AU118" s="750">
        <v>0</v>
      </c>
      <c r="AV118" s="750">
        <v>0</v>
      </c>
      <c r="AW118" s="750">
        <v>0</v>
      </c>
      <c r="AX118" s="750">
        <v>0</v>
      </c>
      <c r="AY118" s="750">
        <v>0</v>
      </c>
      <c r="AZ118" s="750">
        <v>0</v>
      </c>
    </row>
    <row r="119" ht="15" customHeight="1" spans="2:52">
      <c r="B119" s="767" t="s">
        <v>1564</v>
      </c>
      <c r="C119" s="784" t="s">
        <v>1534</v>
      </c>
      <c r="D119" s="784"/>
      <c r="E119" s="784" t="s">
        <v>1534</v>
      </c>
      <c r="F119" s="784"/>
      <c r="G119" s="784"/>
      <c r="H119" s="784"/>
      <c r="I119" s="784"/>
      <c r="J119" s="784" t="s">
        <v>1534</v>
      </c>
      <c r="K119" s="784"/>
      <c r="L119" s="770"/>
      <c r="M119" s="769" t="s">
        <v>1464</v>
      </c>
      <c r="N119" s="769" t="s">
        <v>199</v>
      </c>
      <c r="O119" s="769" t="s">
        <v>199</v>
      </c>
      <c r="P119" s="750">
        <v>0</v>
      </c>
      <c r="Q119" s="750">
        <v>0</v>
      </c>
      <c r="R119" s="750">
        <v>0</v>
      </c>
      <c r="S119" s="750">
        <v>0</v>
      </c>
      <c r="T119" s="750">
        <v>0</v>
      </c>
      <c r="U119" s="750">
        <v>0</v>
      </c>
      <c r="V119" s="750">
        <v>0</v>
      </c>
      <c r="W119" s="750">
        <v>0</v>
      </c>
      <c r="X119" s="750">
        <v>0</v>
      </c>
      <c r="Y119" s="750">
        <v>0</v>
      </c>
      <c r="Z119" s="750">
        <v>0</v>
      </c>
      <c r="AA119" s="750">
        <v>0</v>
      </c>
      <c r="AB119" s="750"/>
      <c r="AC119" s="750">
        <v>0</v>
      </c>
      <c r="AD119" s="750">
        <v>0</v>
      </c>
      <c r="AE119" s="750">
        <v>0</v>
      </c>
      <c r="AF119" s="750">
        <v>0</v>
      </c>
      <c r="AG119" s="750">
        <v>0</v>
      </c>
      <c r="AH119" s="750">
        <v>0</v>
      </c>
      <c r="AI119" s="750">
        <v>0</v>
      </c>
      <c r="AJ119" s="750">
        <v>0</v>
      </c>
      <c r="AK119" s="750">
        <v>0</v>
      </c>
      <c r="AL119" s="750">
        <v>0</v>
      </c>
      <c r="AM119" s="750">
        <v>0</v>
      </c>
      <c r="AN119" s="750">
        <v>0</v>
      </c>
      <c r="AO119" s="750">
        <v>0</v>
      </c>
      <c r="AP119" s="750">
        <v>0</v>
      </c>
      <c r="AQ119" s="750">
        <v>0</v>
      </c>
      <c r="AR119" s="750">
        <v>0</v>
      </c>
      <c r="AS119" s="750">
        <v>0</v>
      </c>
      <c r="AT119" s="750">
        <v>0</v>
      </c>
      <c r="AU119" s="750">
        <v>0</v>
      </c>
      <c r="AV119" s="750">
        <v>0</v>
      </c>
      <c r="AW119" s="750">
        <v>0</v>
      </c>
      <c r="AX119" s="750">
        <v>0</v>
      </c>
      <c r="AY119" s="750">
        <v>0</v>
      </c>
      <c r="AZ119" s="750">
        <v>0</v>
      </c>
    </row>
  </sheetData>
  <mergeCells count="21">
    <mergeCell ref="P21:AB21"/>
    <mergeCell ref="AC21:AN21"/>
    <mergeCell ref="AO21:AZ21"/>
    <mergeCell ref="B21:B22"/>
    <mergeCell ref="C21:C22"/>
    <mergeCell ref="D21:D22"/>
    <mergeCell ref="E21:E22"/>
    <mergeCell ref="F17:F18"/>
    <mergeCell ref="F21:F22"/>
    <mergeCell ref="G17:G18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B11:E14"/>
    <mergeCell ref="B15:E16"/>
  </mergeCells>
  <hyperlinks>
    <hyperlink ref="A1" location="目录!A1" display="← 返回目录"/>
  </hyperlinks>
  <pageMargins left="0.7" right="0.7" top="0.75" bottom="0.75" header="0.3" footer="0.3"/>
  <pageSetup paperSize="1"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>
    <tabColor theme="8" tint="0.799981688894314"/>
  </sheetPr>
  <dimension ref="A1:AX119"/>
  <sheetViews>
    <sheetView showGridLines="0" showZeros="0" zoomScale="85" zoomScaleNormal="85" topLeftCell="A10" workbookViewId="0">
      <pane xSplit="1" ySplit="15" topLeftCell="B25" activePane="bottomRight" state="frozen"/>
      <selection/>
      <selection pane="topRight"/>
      <selection pane="bottomLeft"/>
      <selection pane="bottomRight" activeCell="A1" sqref="A1"/>
    </sheetView>
  </sheetViews>
  <sheetFormatPr defaultColWidth="8.725" defaultRowHeight="11.25"/>
  <cols>
    <col min="1" max="1" width="1.63333333333333" style="1" customWidth="1"/>
    <col min="2" max="2" width="6.63333333333333" style="1" customWidth="1"/>
    <col min="3" max="3" width="12.6333333333333" style="1" customWidth="1"/>
    <col min="4" max="4" width="12.725" style="1" customWidth="1"/>
    <col min="5" max="5" width="15.6333333333333" style="1" customWidth="1"/>
    <col min="6" max="6" width="11.6333333333333" style="1" customWidth="1"/>
    <col min="7" max="7" width="10.0916666666667" style="1" customWidth="1"/>
    <col min="8" max="8" width="11" style="1" customWidth="1"/>
    <col min="9" max="9" width="13.5416666666667" style="1" customWidth="1"/>
    <col min="10" max="12" width="12.6333333333333" style="1" customWidth="1"/>
    <col min="13" max="13" width="15.3666666666667" style="1" customWidth="1"/>
    <col min="14" max="25" width="9.725" style="1" customWidth="1"/>
    <col min="26" max="26" width="23.9083333333333" style="1" customWidth="1"/>
    <col min="27" max="38" width="11.1833333333333" style="1" customWidth="1"/>
    <col min="39" max="69" width="8.725" style="1" customWidth="1"/>
    <col min="70" max="16384" width="8.725" style="1"/>
  </cols>
  <sheetData>
    <row r="1" ht="16.5" hidden="1" customHeight="1" spans="1:30">
      <c r="A1" s="162" t="s">
        <v>185</v>
      </c>
      <c r="B1" s="1" t="s">
        <v>1435</v>
      </c>
      <c r="C1" s="1" t="s">
        <v>1436</v>
      </c>
    </row>
    <row r="2" ht="16.5" hidden="1" customHeight="1" spans="1:30">
      <c r="B2" s="754" t="s">
        <v>1437</v>
      </c>
      <c r="C2" s="1" t="s">
        <v>1438</v>
      </c>
    </row>
    <row r="3" ht="16.5" hidden="1" customHeight="1" spans="1:30">
      <c r="B3" s="754" t="s">
        <v>1439</v>
      </c>
      <c r="C3" s="1" t="s">
        <v>340</v>
      </c>
    </row>
    <row r="4" ht="16.5" hidden="1" customHeight="1" spans="1:30">
      <c r="B4" s="754" t="s">
        <v>1440</v>
      </c>
      <c r="C4" s="1" t="s">
        <v>1441</v>
      </c>
    </row>
    <row r="5" ht="16.5" hidden="1" customHeight="1" spans="1:30">
      <c r="B5" s="754" t="s">
        <v>1442</v>
      </c>
      <c r="C5" s="1" t="s">
        <v>1443</v>
      </c>
    </row>
    <row r="6" ht="16.5" hidden="1" customHeight="1" spans="1:30">
      <c r="B6" s="754" t="s">
        <v>333</v>
      </c>
      <c r="C6" s="1" t="s">
        <v>1444</v>
      </c>
    </row>
    <row r="7" ht="16.5" hidden="1" customHeight="1" spans="1:30">
      <c r="B7" s="754" t="s">
        <v>1445</v>
      </c>
      <c r="C7" s="1" t="s">
        <v>1446</v>
      </c>
    </row>
    <row r="8" ht="9" hidden="1" customHeight="1" spans="1:30">
      <c r="B8" s="754"/>
    </row>
    <row r="9" ht="9" hidden="1" customHeight="1"/>
    <row r="10" ht="3.5" customHeight="1" spans="1:30">
      <c r="B10" s="755"/>
      <c r="E10" s="756"/>
      <c r="F10" s="756"/>
    </row>
    <row r="11" ht="13" customHeight="1" spans="1:30">
      <c r="B11" s="492" t="s">
        <v>1565</v>
      </c>
      <c r="C11" s="492"/>
      <c r="D11" s="492"/>
      <c r="E11" s="492"/>
      <c r="F11" s="7" t="s">
        <v>1404</v>
      </c>
      <c r="G11" s="8" t="s">
        <v>1448</v>
      </c>
      <c r="H11" s="8"/>
      <c r="I11" s="8"/>
      <c r="J11" s="8"/>
      <c r="K11" s="8"/>
      <c r="L11" s="8"/>
      <c r="M11" s="70"/>
      <c r="AA11" s="8"/>
      <c r="AB11" s="8"/>
      <c r="AC11" s="8"/>
      <c r="AD11" s="70"/>
    </row>
    <row r="12" ht="13" customHeight="1" spans="1:30">
      <c r="B12" s="492"/>
      <c r="C12" s="492"/>
      <c r="D12" s="492"/>
      <c r="E12" s="492"/>
      <c r="F12" s="12"/>
      <c r="G12" s="13" t="s">
        <v>1449</v>
      </c>
      <c r="H12" s="13"/>
      <c r="I12" s="13"/>
      <c r="J12" s="13"/>
      <c r="K12" s="13"/>
      <c r="L12" s="13"/>
      <c r="M12" s="803"/>
      <c r="AA12" s="14"/>
      <c r="AB12" s="14"/>
      <c r="AC12" s="14"/>
      <c r="AD12" s="71"/>
    </row>
    <row r="13" customHeight="1" spans="1:30">
      <c r="B13" s="492"/>
      <c r="C13" s="492"/>
      <c r="D13" s="492"/>
      <c r="E13" s="492"/>
      <c r="F13" s="12"/>
      <c r="G13" s="13" t="s">
        <v>1566</v>
      </c>
      <c r="H13" s="13"/>
      <c r="I13" s="13"/>
      <c r="J13" s="13"/>
      <c r="K13" s="13"/>
      <c r="L13" s="13"/>
      <c r="M13" s="804"/>
      <c r="AA13" s="15"/>
      <c r="AB13" s="15"/>
      <c r="AC13" s="14"/>
      <c r="AD13" s="71"/>
    </row>
    <row r="14" customHeight="1" spans="1:30">
      <c r="B14" s="492"/>
      <c r="C14" s="492"/>
      <c r="D14" s="492"/>
      <c r="E14" s="492"/>
      <c r="F14" s="12"/>
      <c r="G14" s="13" t="s">
        <v>1408</v>
      </c>
      <c r="H14" s="13"/>
      <c r="I14" s="13"/>
      <c r="J14" s="13"/>
      <c r="K14" s="13"/>
      <c r="L14" s="13"/>
      <c r="M14" s="804"/>
      <c r="AA14" s="15"/>
      <c r="AB14" s="15"/>
      <c r="AC14" s="14"/>
      <c r="AD14" s="71"/>
    </row>
    <row r="15" customHeight="1" spans="1:30">
      <c r="B15" s="292" t="s">
        <v>1451</v>
      </c>
      <c r="C15" s="292"/>
      <c r="D15" s="292"/>
      <c r="E15" s="292"/>
      <c r="F15" s="12"/>
      <c r="G15" s="22"/>
      <c r="H15" s="22"/>
      <c r="I15" s="13"/>
      <c r="J15" s="13"/>
      <c r="K15" s="13"/>
      <c r="L15" s="13"/>
      <c r="M15" s="804"/>
      <c r="AA15" s="15"/>
      <c r="AB15" s="15"/>
      <c r="AC15" s="14"/>
      <c r="AD15" s="71"/>
    </row>
    <row r="16" customHeight="1" spans="1:30">
      <c r="B16" s="292"/>
      <c r="C16" s="292"/>
      <c r="D16" s="292"/>
      <c r="E16" s="292"/>
      <c r="F16" s="26" t="s">
        <v>1567</v>
      </c>
      <c r="G16" s="27"/>
      <c r="H16" s="27"/>
      <c r="I16" s="28"/>
      <c r="J16" s="28"/>
      <c r="K16" s="28"/>
      <c r="L16" s="28"/>
      <c r="M16" s="805"/>
      <c r="AA16" s="29"/>
      <c r="AB16" s="29"/>
      <c r="AC16" s="30"/>
      <c r="AD16" s="72"/>
    </row>
    <row r="17" ht="4.5" customHeight="1" spans="2:50">
      <c r="F17" s="31"/>
      <c r="G17" s="32">
        <v>0</v>
      </c>
      <c r="H17" s="32"/>
      <c r="L17" s="33"/>
      <c r="M17" s="34"/>
      <c r="AA17" s="34"/>
      <c r="AB17" s="34"/>
    </row>
    <row r="18" ht="10.5" customHeight="1" spans="2:50">
      <c r="F18" s="35"/>
      <c r="G18" s="32"/>
      <c r="H18" s="32"/>
      <c r="AN18" s="1" t="s">
        <v>1453</v>
      </c>
    </row>
    <row r="19" ht="15" customHeight="1" spans="2:50">
      <c r="B19" s="36" t="s">
        <v>1411</v>
      </c>
      <c r="C19" s="37" t="s">
        <v>1412</v>
      </c>
      <c r="D19" s="36" t="s">
        <v>188</v>
      </c>
      <c r="E19" s="37" t="s">
        <v>1413</v>
      </c>
      <c r="F19" s="36" t="s">
        <v>5</v>
      </c>
      <c r="G19" s="37" t="s">
        <v>1454</v>
      </c>
      <c r="H19" s="36" t="s">
        <v>1364</v>
      </c>
      <c r="I19" s="37" t="s">
        <v>1396</v>
      </c>
      <c r="J19" s="36" t="s">
        <v>1414</v>
      </c>
      <c r="K19" s="38" t="s">
        <v>1359</v>
      </c>
    </row>
    <row r="20" ht="15.5" customHeight="1"/>
    <row r="21" s="753" customFormat="1" ht="22.5" customHeight="1" spans="2:50">
      <c r="B21" s="759" t="s">
        <v>1455</v>
      </c>
      <c r="C21" s="759" t="s">
        <v>1456</v>
      </c>
      <c r="D21" s="759" t="s">
        <v>1366</v>
      </c>
      <c r="E21" s="794" t="s">
        <v>1367</v>
      </c>
      <c r="F21" s="794" t="s">
        <v>1368</v>
      </c>
      <c r="G21" s="759" t="s">
        <v>489</v>
      </c>
      <c r="H21" s="759" t="s">
        <v>1369</v>
      </c>
      <c r="I21" s="794" t="s">
        <v>493</v>
      </c>
      <c r="J21" s="759" t="s">
        <v>1458</v>
      </c>
      <c r="K21" s="759" t="s">
        <v>1459</v>
      </c>
      <c r="L21" s="759" t="s">
        <v>1460</v>
      </c>
      <c r="M21" s="759" t="s">
        <v>1461</v>
      </c>
      <c r="N21" s="795" t="s">
        <v>1427</v>
      </c>
      <c r="O21" s="796"/>
      <c r="P21" s="796"/>
      <c r="Q21" s="796"/>
      <c r="R21" s="796"/>
      <c r="S21" s="796"/>
      <c r="T21" s="796"/>
      <c r="U21" s="796"/>
      <c r="V21" s="796"/>
      <c r="W21" s="796"/>
      <c r="X21" s="796"/>
      <c r="Y21" s="796"/>
      <c r="Z21" s="797"/>
      <c r="AA21" s="761" t="s">
        <v>280</v>
      </c>
      <c r="AB21" s="762"/>
      <c r="AC21" s="762"/>
      <c r="AD21" s="762"/>
      <c r="AE21" s="762"/>
      <c r="AF21" s="762"/>
      <c r="AG21" s="762"/>
      <c r="AH21" s="762"/>
      <c r="AI21" s="762"/>
      <c r="AJ21" s="762"/>
      <c r="AK21" s="762"/>
      <c r="AL21" s="802"/>
      <c r="AM21" s="761" t="s">
        <v>287</v>
      </c>
      <c r="AN21" s="762"/>
      <c r="AO21" s="762"/>
      <c r="AP21" s="762"/>
      <c r="AQ21" s="762"/>
      <c r="AR21" s="762"/>
      <c r="AS21" s="762"/>
      <c r="AT21" s="762"/>
      <c r="AU21" s="762"/>
      <c r="AV21" s="762"/>
      <c r="AW21" s="762"/>
      <c r="AX21" s="802"/>
    </row>
    <row r="22" s="753" customFormat="1" ht="22.5" customHeight="1" spans="2:50">
      <c r="B22" s="764"/>
      <c r="C22" s="764"/>
      <c r="D22" s="764"/>
      <c r="E22" s="798"/>
      <c r="F22" s="798"/>
      <c r="G22" s="764"/>
      <c r="H22" s="764"/>
      <c r="I22" s="798"/>
      <c r="J22" s="764"/>
      <c r="K22" s="764"/>
      <c r="L22" s="764"/>
      <c r="M22" s="764"/>
      <c r="N22" s="732" t="s">
        <v>304</v>
      </c>
      <c r="O22" s="732" t="s">
        <v>305</v>
      </c>
      <c r="P22" s="732" t="s">
        <v>306</v>
      </c>
      <c r="Q22" s="732" t="s">
        <v>307</v>
      </c>
      <c r="R22" s="732" t="s">
        <v>308</v>
      </c>
      <c r="S22" s="732" t="s">
        <v>309</v>
      </c>
      <c r="T22" s="732" t="s">
        <v>310</v>
      </c>
      <c r="U22" s="732" t="s">
        <v>311</v>
      </c>
      <c r="V22" s="732" t="s">
        <v>312</v>
      </c>
      <c r="W22" s="732" t="s">
        <v>313</v>
      </c>
      <c r="X22" s="732" t="s">
        <v>314</v>
      </c>
      <c r="Y22" s="732" t="s">
        <v>315</v>
      </c>
      <c r="Z22" s="732" t="s">
        <v>1462</v>
      </c>
      <c r="AA22" s="766" t="s">
        <v>304</v>
      </c>
      <c r="AB22" s="766" t="s">
        <v>305</v>
      </c>
      <c r="AC22" s="766" t="s">
        <v>306</v>
      </c>
      <c r="AD22" s="766" t="s">
        <v>307</v>
      </c>
      <c r="AE22" s="766" t="s">
        <v>308</v>
      </c>
      <c r="AF22" s="766" t="s">
        <v>309</v>
      </c>
      <c r="AG22" s="766" t="s">
        <v>310</v>
      </c>
      <c r="AH22" s="766" t="s">
        <v>311</v>
      </c>
      <c r="AI22" s="766" t="s">
        <v>312</v>
      </c>
      <c r="AJ22" s="766" t="s">
        <v>313</v>
      </c>
      <c r="AK22" s="766" t="s">
        <v>314</v>
      </c>
      <c r="AL22" s="766" t="s">
        <v>315</v>
      </c>
      <c r="AM22" s="766" t="s">
        <v>304</v>
      </c>
      <c r="AN22" s="766" t="s">
        <v>305</v>
      </c>
      <c r="AO22" s="766" t="s">
        <v>306</v>
      </c>
      <c r="AP22" s="766" t="s">
        <v>307</v>
      </c>
      <c r="AQ22" s="766" t="s">
        <v>308</v>
      </c>
      <c r="AR22" s="766" t="s">
        <v>309</v>
      </c>
      <c r="AS22" s="766" t="s">
        <v>310</v>
      </c>
      <c r="AT22" s="766" t="s">
        <v>311</v>
      </c>
      <c r="AU22" s="766" t="s">
        <v>312</v>
      </c>
      <c r="AV22" s="766" t="s">
        <v>313</v>
      </c>
      <c r="AW22" s="766" t="s">
        <v>314</v>
      </c>
      <c r="AX22" s="766" t="s">
        <v>315</v>
      </c>
    </row>
    <row r="23" s="753" customFormat="1" ht="22.5" customHeight="1" spans="2:50">
      <c r="B23" s="763"/>
      <c r="C23" s="763" t="s">
        <v>1421</v>
      </c>
      <c r="D23" s="763" t="s">
        <v>1421</v>
      </c>
      <c r="E23" s="744" t="s">
        <v>1463</v>
      </c>
      <c r="F23" s="744" t="s">
        <v>1463</v>
      </c>
      <c r="G23" s="763" t="s">
        <v>1421</v>
      </c>
      <c r="H23" s="763" t="s">
        <v>1421</v>
      </c>
      <c r="I23" s="744" t="s">
        <v>1463</v>
      </c>
      <c r="J23" s="763" t="s">
        <v>1421</v>
      </c>
      <c r="K23" s="763" t="s">
        <v>1464</v>
      </c>
      <c r="L23" s="763" t="s">
        <v>199</v>
      </c>
      <c r="M23" s="763" t="s">
        <v>199</v>
      </c>
      <c r="N23" s="746" t="s">
        <v>1465</v>
      </c>
      <c r="O23" s="746" t="s">
        <v>1465</v>
      </c>
      <c r="P23" s="746" t="s">
        <v>1465</v>
      </c>
      <c r="Q23" s="746" t="s">
        <v>1465</v>
      </c>
      <c r="R23" s="746" t="s">
        <v>1465</v>
      </c>
      <c r="S23" s="746" t="s">
        <v>1465</v>
      </c>
      <c r="T23" s="746" t="s">
        <v>1465</v>
      </c>
      <c r="U23" s="746" t="s">
        <v>1465</v>
      </c>
      <c r="V23" s="746" t="s">
        <v>1465</v>
      </c>
      <c r="W23" s="746" t="s">
        <v>1465</v>
      </c>
      <c r="X23" s="746" t="s">
        <v>1465</v>
      </c>
      <c r="Y23" s="746" t="s">
        <v>1465</v>
      </c>
      <c r="Z23" s="746" t="s">
        <v>1465</v>
      </c>
      <c r="AA23" s="766" t="s">
        <v>1421</v>
      </c>
      <c r="AB23" s="766" t="s">
        <v>1421</v>
      </c>
      <c r="AC23" s="766" t="s">
        <v>1421</v>
      </c>
      <c r="AD23" s="766" t="s">
        <v>1421</v>
      </c>
      <c r="AE23" s="766" t="s">
        <v>1421</v>
      </c>
      <c r="AF23" s="766" t="s">
        <v>1421</v>
      </c>
      <c r="AG23" s="766" t="s">
        <v>1421</v>
      </c>
      <c r="AH23" s="766" t="s">
        <v>1421</v>
      </c>
      <c r="AI23" s="766" t="s">
        <v>1421</v>
      </c>
      <c r="AJ23" s="766" t="s">
        <v>1421</v>
      </c>
      <c r="AK23" s="766" t="s">
        <v>1421</v>
      </c>
      <c r="AL23" s="766" t="s">
        <v>1421</v>
      </c>
      <c r="AM23" s="766" t="s">
        <v>199</v>
      </c>
      <c r="AN23" s="766" t="s">
        <v>199</v>
      </c>
      <c r="AO23" s="766" t="s">
        <v>199</v>
      </c>
      <c r="AP23" s="766" t="s">
        <v>199</v>
      </c>
      <c r="AQ23" s="766" t="s">
        <v>199</v>
      </c>
      <c r="AR23" s="766" t="s">
        <v>199</v>
      </c>
      <c r="AS23" s="766" t="s">
        <v>199</v>
      </c>
      <c r="AT23" s="766" t="s">
        <v>199</v>
      </c>
      <c r="AU23" s="766" t="s">
        <v>199</v>
      </c>
      <c r="AV23" s="766" t="s">
        <v>199</v>
      </c>
      <c r="AW23" s="766" t="s">
        <v>199</v>
      </c>
      <c r="AX23" s="766" t="s">
        <v>199</v>
      </c>
    </row>
    <row r="24" ht="20.5" customHeight="1" spans="2:50">
      <c r="B24" s="767" t="s">
        <v>281</v>
      </c>
      <c r="C24" s="768" t="s">
        <v>1466</v>
      </c>
      <c r="D24" s="768" t="s">
        <v>1466</v>
      </c>
      <c r="E24" s="768" t="s">
        <v>1466</v>
      </c>
      <c r="F24" s="768" t="s">
        <v>1466</v>
      </c>
      <c r="G24" s="768" t="s">
        <v>1466</v>
      </c>
      <c r="H24" s="768" t="s">
        <v>1466</v>
      </c>
      <c r="I24" s="768" t="s">
        <v>1466</v>
      </c>
      <c r="J24" s="768"/>
      <c r="K24" s="769" t="s">
        <v>1464</v>
      </c>
      <c r="L24" s="769" t="s">
        <v>199</v>
      </c>
      <c r="M24" s="769" t="s">
        <v>199</v>
      </c>
      <c r="N24" s="769" t="s">
        <v>1464</v>
      </c>
      <c r="O24" s="769" t="s">
        <v>1464</v>
      </c>
      <c r="P24" s="769" t="s">
        <v>1464</v>
      </c>
      <c r="Q24" s="769" t="s">
        <v>1464</v>
      </c>
      <c r="R24" s="769" t="s">
        <v>1464</v>
      </c>
      <c r="S24" s="769" t="s">
        <v>1464</v>
      </c>
      <c r="T24" s="769" t="s">
        <v>1464</v>
      </c>
      <c r="U24" s="769" t="s">
        <v>1464</v>
      </c>
      <c r="V24" s="769" t="s">
        <v>1464</v>
      </c>
      <c r="W24" s="769" t="s">
        <v>1464</v>
      </c>
      <c r="X24" s="769" t="s">
        <v>1464</v>
      </c>
      <c r="Y24" s="769" t="s">
        <v>1464</v>
      </c>
      <c r="Z24" s="769"/>
      <c r="AA24" s="769" t="s">
        <v>1464</v>
      </c>
      <c r="AB24" s="769" t="s">
        <v>1464</v>
      </c>
      <c r="AC24" s="769" t="s">
        <v>1464</v>
      </c>
      <c r="AD24" s="769" t="s">
        <v>1464</v>
      </c>
      <c r="AE24" s="769" t="s">
        <v>1464</v>
      </c>
      <c r="AF24" s="769" t="s">
        <v>1464</v>
      </c>
      <c r="AG24" s="769" t="s">
        <v>1464</v>
      </c>
      <c r="AH24" s="769" t="s">
        <v>1464</v>
      </c>
      <c r="AI24" s="769" t="s">
        <v>1464</v>
      </c>
      <c r="AJ24" s="769" t="s">
        <v>1464</v>
      </c>
      <c r="AK24" s="769" t="s">
        <v>1464</v>
      </c>
      <c r="AL24" s="769" t="s">
        <v>1464</v>
      </c>
      <c r="AM24" s="769" t="s">
        <v>1464</v>
      </c>
      <c r="AN24" s="769" t="s">
        <v>1464</v>
      </c>
      <c r="AO24" s="769" t="s">
        <v>1464</v>
      </c>
      <c r="AP24" s="769" t="s">
        <v>1464</v>
      </c>
      <c r="AQ24" s="769" t="s">
        <v>1464</v>
      </c>
      <c r="AR24" s="769" t="s">
        <v>1464</v>
      </c>
      <c r="AS24" s="769" t="s">
        <v>1464</v>
      </c>
      <c r="AT24" s="769" t="s">
        <v>1464</v>
      </c>
      <c r="AU24" s="769" t="s">
        <v>1464</v>
      </c>
      <c r="AV24" s="769" t="s">
        <v>1464</v>
      </c>
      <c r="AW24" s="769" t="s">
        <v>1464</v>
      </c>
      <c r="AX24" s="769" t="s">
        <v>1464</v>
      </c>
    </row>
    <row r="25" ht="15" customHeight="1" spans="2:50">
      <c r="B25" s="767" t="s">
        <v>1467</v>
      </c>
      <c r="C25" s="770"/>
      <c r="D25" s="770"/>
      <c r="E25" s="770"/>
      <c r="F25" s="770" t="s">
        <v>1468</v>
      </c>
      <c r="G25" s="770" t="s">
        <v>1424</v>
      </c>
      <c r="H25" s="770"/>
      <c r="I25" s="770" t="s">
        <v>1425</v>
      </c>
      <c r="J25" s="770"/>
      <c r="K25" s="769" t="s">
        <v>1464</v>
      </c>
      <c r="L25" s="769" t="s">
        <v>199</v>
      </c>
      <c r="M25" s="769" t="s">
        <v>199</v>
      </c>
      <c r="N25" s="748"/>
      <c r="O25" s="800"/>
      <c r="P25" s="800"/>
      <c r="Q25" s="800"/>
      <c r="R25" s="800"/>
      <c r="S25" s="800"/>
      <c r="T25" s="800"/>
      <c r="U25" s="800"/>
      <c r="V25" s="800"/>
      <c r="W25" s="800"/>
      <c r="X25" s="748"/>
      <c r="Y25" s="748"/>
      <c r="Z25" s="748"/>
      <c r="AA25" s="748"/>
      <c r="AB25" s="800"/>
      <c r="AC25" s="800"/>
      <c r="AD25" s="800"/>
      <c r="AE25" s="800"/>
      <c r="AF25" s="800"/>
      <c r="AG25" s="800"/>
      <c r="AH25" s="800"/>
      <c r="AI25" s="800"/>
      <c r="AJ25" s="800"/>
      <c r="AK25" s="748"/>
      <c r="AL25" s="748"/>
      <c r="AM25" s="748"/>
      <c r="AN25" s="800"/>
      <c r="AO25" s="800"/>
      <c r="AP25" s="800"/>
      <c r="AQ25" s="800"/>
      <c r="AR25" s="800"/>
      <c r="AS25" s="800"/>
      <c r="AT25" s="800"/>
      <c r="AU25" s="800"/>
      <c r="AV25" s="800"/>
      <c r="AW25" s="748"/>
      <c r="AX25" s="748"/>
    </row>
    <row r="26" ht="15" customHeight="1" spans="2:50">
      <c r="B26" s="767" t="s">
        <v>1469</v>
      </c>
      <c r="C26" s="770"/>
      <c r="D26" s="770"/>
      <c r="E26" s="770"/>
      <c r="F26" s="770" t="s">
        <v>1470</v>
      </c>
      <c r="G26" s="770"/>
      <c r="H26" s="770"/>
      <c r="I26" s="770" t="s">
        <v>1426</v>
      </c>
      <c r="J26" s="770"/>
      <c r="K26" s="769" t="s">
        <v>1464</v>
      </c>
      <c r="L26" s="769" t="s">
        <v>199</v>
      </c>
      <c r="M26" s="769" t="s">
        <v>199</v>
      </c>
      <c r="N26" s="748"/>
      <c r="O26" s="748"/>
      <c r="P26" s="748"/>
      <c r="Q26" s="748"/>
      <c r="R26" s="800"/>
      <c r="S26" s="800"/>
      <c r="T26" s="800"/>
      <c r="U26" s="800"/>
      <c r="V26" s="800"/>
      <c r="W26" s="800"/>
      <c r="X26" s="748"/>
      <c r="Y26" s="748"/>
      <c r="Z26" s="748"/>
      <c r="AA26" s="748"/>
      <c r="AB26" s="748"/>
      <c r="AC26" s="748"/>
      <c r="AD26" s="748"/>
      <c r="AE26" s="800"/>
      <c r="AF26" s="800"/>
      <c r="AG26" s="800"/>
      <c r="AH26" s="800"/>
      <c r="AI26" s="800"/>
      <c r="AJ26" s="800"/>
      <c r="AK26" s="748"/>
      <c r="AL26" s="748"/>
      <c r="AM26" s="748"/>
      <c r="AN26" s="748"/>
      <c r="AO26" s="748"/>
      <c r="AP26" s="748"/>
      <c r="AQ26" s="800"/>
      <c r="AR26" s="800"/>
      <c r="AS26" s="800"/>
      <c r="AT26" s="800"/>
      <c r="AU26" s="800"/>
      <c r="AV26" s="800"/>
      <c r="AW26" s="748"/>
      <c r="AX26" s="748"/>
    </row>
    <row r="27" ht="15" customHeight="1" spans="2:50">
      <c r="B27" s="767" t="s">
        <v>1471</v>
      </c>
      <c r="C27" s="770"/>
      <c r="D27" s="770"/>
      <c r="E27" s="770"/>
      <c r="F27" s="770"/>
      <c r="G27" s="770" t="s">
        <v>1568</v>
      </c>
      <c r="H27" s="770"/>
      <c r="I27" s="770"/>
      <c r="J27" s="770"/>
      <c r="K27" s="769" t="s">
        <v>1464</v>
      </c>
      <c r="L27" s="769" t="s">
        <v>199</v>
      </c>
      <c r="M27" s="769" t="s">
        <v>199</v>
      </c>
      <c r="N27" s="800"/>
      <c r="O27" s="800"/>
      <c r="P27" s="800"/>
      <c r="Q27" s="800"/>
      <c r="R27" s="800"/>
      <c r="S27" s="800"/>
      <c r="T27" s="800"/>
      <c r="U27" s="800"/>
      <c r="V27" s="800"/>
      <c r="W27" s="800"/>
      <c r="X27" s="748"/>
      <c r="Y27" s="748"/>
      <c r="Z27" s="748"/>
      <c r="AA27" s="800"/>
      <c r="AB27" s="800"/>
      <c r="AC27" s="800"/>
      <c r="AD27" s="800"/>
      <c r="AE27" s="800"/>
      <c r="AF27" s="800"/>
      <c r="AG27" s="800"/>
      <c r="AH27" s="800"/>
      <c r="AI27" s="800"/>
      <c r="AJ27" s="800"/>
      <c r="AK27" s="748"/>
      <c r="AL27" s="748"/>
      <c r="AM27" s="800"/>
      <c r="AN27" s="800"/>
      <c r="AO27" s="800"/>
      <c r="AP27" s="800"/>
      <c r="AQ27" s="800"/>
      <c r="AR27" s="800"/>
      <c r="AS27" s="800"/>
      <c r="AT27" s="800"/>
      <c r="AU27" s="800"/>
      <c r="AV27" s="800"/>
      <c r="AW27" s="748"/>
      <c r="AX27" s="748"/>
    </row>
    <row r="28" ht="15" customHeight="1" spans="2:50">
      <c r="B28" s="767" t="s">
        <v>1472</v>
      </c>
      <c r="C28" s="770"/>
      <c r="D28" s="770"/>
      <c r="E28" s="770"/>
      <c r="F28" s="770"/>
      <c r="G28" s="770"/>
      <c r="H28" s="770"/>
      <c r="I28" s="770"/>
      <c r="J28" s="770"/>
      <c r="K28" s="769" t="s">
        <v>1464</v>
      </c>
      <c r="L28" s="769" t="s">
        <v>199</v>
      </c>
      <c r="M28" s="769" t="s">
        <v>199</v>
      </c>
      <c r="N28" s="800"/>
      <c r="O28" s="800"/>
      <c r="P28" s="800"/>
      <c r="Q28" s="800"/>
      <c r="R28" s="800"/>
      <c r="S28" s="800"/>
      <c r="T28" s="800"/>
      <c r="U28" s="748"/>
      <c r="V28" s="800"/>
      <c r="W28" s="748"/>
      <c r="X28" s="748"/>
      <c r="Y28" s="748"/>
      <c r="Z28" s="748"/>
      <c r="AA28" s="800"/>
      <c r="AB28" s="800"/>
      <c r="AC28" s="800"/>
      <c r="AD28" s="800"/>
      <c r="AE28" s="800"/>
      <c r="AF28" s="800"/>
      <c r="AG28" s="800"/>
      <c r="AH28" s="748"/>
      <c r="AI28" s="800"/>
      <c r="AJ28" s="748"/>
      <c r="AK28" s="748"/>
      <c r="AL28" s="748"/>
      <c r="AM28" s="800"/>
      <c r="AN28" s="800"/>
      <c r="AO28" s="800"/>
      <c r="AP28" s="800"/>
      <c r="AQ28" s="800"/>
      <c r="AR28" s="800"/>
      <c r="AS28" s="800"/>
      <c r="AT28" s="748"/>
      <c r="AU28" s="800"/>
      <c r="AV28" s="748"/>
      <c r="AW28" s="748"/>
      <c r="AX28" s="748"/>
    </row>
    <row r="29" ht="15" customHeight="1" spans="2:50">
      <c r="B29" s="767" t="s">
        <v>1473</v>
      </c>
      <c r="C29" s="770"/>
      <c r="D29" s="770"/>
      <c r="E29" s="770"/>
      <c r="F29" s="770"/>
      <c r="G29" s="770"/>
      <c r="H29" s="770"/>
      <c r="I29" s="770"/>
      <c r="J29" s="770"/>
      <c r="K29" s="769" t="s">
        <v>1464</v>
      </c>
      <c r="L29" s="769" t="s">
        <v>199</v>
      </c>
      <c r="M29" s="769" t="s">
        <v>199</v>
      </c>
      <c r="N29" s="748"/>
      <c r="O29" s="748"/>
      <c r="P29" s="748"/>
      <c r="Q29" s="748"/>
      <c r="R29" s="748"/>
      <c r="S29" s="748"/>
      <c r="T29" s="748"/>
      <c r="U29" s="748"/>
      <c r="V29" s="800"/>
      <c r="W29" s="800"/>
      <c r="X29" s="749"/>
      <c r="Y29" s="749"/>
      <c r="Z29" s="749"/>
      <c r="AA29" s="748"/>
      <c r="AB29" s="748"/>
      <c r="AC29" s="748"/>
      <c r="AD29" s="748"/>
      <c r="AE29" s="748"/>
      <c r="AF29" s="748"/>
      <c r="AG29" s="748"/>
      <c r="AH29" s="748"/>
      <c r="AI29" s="800"/>
      <c r="AJ29" s="800"/>
      <c r="AK29" s="749"/>
      <c r="AL29" s="749"/>
      <c r="AM29" s="748"/>
      <c r="AN29" s="748"/>
      <c r="AO29" s="748"/>
      <c r="AP29" s="748"/>
      <c r="AQ29" s="748"/>
      <c r="AR29" s="748"/>
      <c r="AS29" s="748"/>
      <c r="AT29" s="748"/>
      <c r="AU29" s="800"/>
      <c r="AV29" s="800"/>
      <c r="AW29" s="749"/>
      <c r="AX29" s="749"/>
    </row>
    <row r="30" ht="15" customHeight="1" spans="2:50">
      <c r="B30" s="767" t="s">
        <v>1474</v>
      </c>
      <c r="C30" s="770"/>
      <c r="D30" s="770"/>
      <c r="E30" s="770"/>
      <c r="F30" s="770"/>
      <c r="G30" s="770"/>
      <c r="H30" s="770"/>
      <c r="I30" s="770"/>
      <c r="J30" s="770"/>
      <c r="K30" s="769" t="s">
        <v>1464</v>
      </c>
      <c r="L30" s="769" t="s">
        <v>199</v>
      </c>
      <c r="M30" s="769" t="s">
        <v>199</v>
      </c>
      <c r="N30" s="800"/>
      <c r="O30" s="800"/>
      <c r="P30" s="800"/>
      <c r="Q30" s="800"/>
      <c r="R30" s="800"/>
      <c r="S30" s="800"/>
      <c r="T30" s="800"/>
      <c r="U30" s="800"/>
      <c r="V30" s="800"/>
      <c r="W30" s="800"/>
      <c r="X30" s="749"/>
      <c r="Y30" s="749"/>
      <c r="Z30" s="749"/>
      <c r="AA30" s="800"/>
      <c r="AB30" s="800"/>
      <c r="AC30" s="800"/>
      <c r="AD30" s="800"/>
      <c r="AE30" s="800"/>
      <c r="AF30" s="800"/>
      <c r="AG30" s="800"/>
      <c r="AH30" s="800"/>
      <c r="AI30" s="800"/>
      <c r="AJ30" s="800"/>
      <c r="AK30" s="749"/>
      <c r="AL30" s="749"/>
      <c r="AM30" s="800"/>
      <c r="AN30" s="800"/>
      <c r="AO30" s="800"/>
      <c r="AP30" s="800"/>
      <c r="AQ30" s="800"/>
      <c r="AR30" s="800"/>
      <c r="AS30" s="800"/>
      <c r="AT30" s="800"/>
      <c r="AU30" s="800"/>
      <c r="AV30" s="800"/>
      <c r="AW30" s="749"/>
      <c r="AX30" s="749"/>
    </row>
    <row r="31" ht="15" customHeight="1" spans="2:50">
      <c r="B31" s="767" t="s">
        <v>1475</v>
      </c>
      <c r="C31" s="770"/>
      <c r="D31" s="770"/>
      <c r="E31" s="770"/>
      <c r="F31" s="770"/>
      <c r="G31" s="770"/>
      <c r="H31" s="770"/>
      <c r="I31" s="770"/>
      <c r="J31" s="770"/>
      <c r="K31" s="769" t="s">
        <v>1464</v>
      </c>
      <c r="L31" s="769" t="s">
        <v>199</v>
      </c>
      <c r="M31" s="769" t="s">
        <v>199</v>
      </c>
      <c r="N31" s="750"/>
      <c r="O31" s="750"/>
      <c r="P31" s="750"/>
      <c r="Q31" s="750"/>
      <c r="R31" s="750"/>
      <c r="S31" s="750"/>
      <c r="T31" s="750"/>
      <c r="U31" s="750"/>
      <c r="V31" s="750"/>
      <c r="W31" s="750"/>
      <c r="X31" s="750"/>
      <c r="Y31" s="750"/>
      <c r="Z31" s="750"/>
      <c r="AA31" s="750"/>
      <c r="AB31" s="750"/>
      <c r="AC31" s="750"/>
      <c r="AD31" s="750"/>
      <c r="AE31" s="750"/>
      <c r="AF31" s="750"/>
      <c r="AG31" s="750"/>
      <c r="AH31" s="750"/>
      <c r="AI31" s="750"/>
      <c r="AJ31" s="750"/>
      <c r="AK31" s="750"/>
      <c r="AL31" s="750"/>
      <c r="AM31" s="750"/>
      <c r="AN31" s="750"/>
      <c r="AO31" s="750"/>
      <c r="AP31" s="750"/>
      <c r="AQ31" s="750"/>
      <c r="AR31" s="750"/>
      <c r="AS31" s="750"/>
      <c r="AT31" s="750"/>
      <c r="AU31" s="750"/>
      <c r="AV31" s="750"/>
      <c r="AW31" s="750"/>
      <c r="AX31" s="750"/>
    </row>
    <row r="32" ht="15" customHeight="1" spans="2:50">
      <c r="B32" s="767" t="s">
        <v>1476</v>
      </c>
      <c r="C32" s="770"/>
      <c r="D32" s="770"/>
      <c r="E32" s="770"/>
      <c r="F32" s="770"/>
      <c r="G32" s="770"/>
      <c r="H32" s="770"/>
      <c r="I32" s="770"/>
      <c r="J32" s="770"/>
      <c r="K32" s="769" t="s">
        <v>1464</v>
      </c>
      <c r="L32" s="769" t="s">
        <v>199</v>
      </c>
      <c r="M32" s="769" t="s">
        <v>199</v>
      </c>
      <c r="N32" s="750"/>
      <c r="O32" s="750"/>
      <c r="P32" s="750"/>
      <c r="Q32" s="750"/>
      <c r="R32" s="750"/>
      <c r="S32" s="750"/>
      <c r="T32" s="750"/>
      <c r="U32" s="750"/>
      <c r="V32" s="750"/>
      <c r="W32" s="750"/>
      <c r="X32" s="750"/>
      <c r="Y32" s="750"/>
      <c r="Z32" s="750"/>
      <c r="AA32" s="750"/>
      <c r="AB32" s="750"/>
      <c r="AC32" s="750"/>
      <c r="AD32" s="750"/>
      <c r="AE32" s="750"/>
      <c r="AF32" s="750"/>
      <c r="AG32" s="750"/>
      <c r="AH32" s="750"/>
      <c r="AI32" s="750"/>
      <c r="AJ32" s="750"/>
      <c r="AK32" s="750"/>
      <c r="AL32" s="750"/>
      <c r="AM32" s="750"/>
      <c r="AN32" s="750"/>
      <c r="AO32" s="750"/>
      <c r="AP32" s="750"/>
      <c r="AQ32" s="750"/>
      <c r="AR32" s="750"/>
      <c r="AS32" s="750"/>
      <c r="AT32" s="750"/>
      <c r="AU32" s="750"/>
      <c r="AV32" s="750"/>
      <c r="AW32" s="750"/>
      <c r="AX32" s="750"/>
    </row>
    <row r="33" ht="15" customHeight="1" spans="2:50">
      <c r="B33" s="767" t="s">
        <v>1477</v>
      </c>
      <c r="C33" s="784"/>
      <c r="D33" s="784"/>
      <c r="E33" s="785"/>
      <c r="F33" s="785"/>
      <c r="G33" s="785"/>
      <c r="H33" s="785"/>
      <c r="I33" s="784"/>
      <c r="J33" s="770"/>
      <c r="K33" s="769" t="s">
        <v>1464</v>
      </c>
      <c r="L33" s="769" t="s">
        <v>199</v>
      </c>
      <c r="M33" s="769" t="s">
        <v>199</v>
      </c>
      <c r="N33" s="750"/>
      <c r="O33" s="750"/>
      <c r="P33" s="750"/>
      <c r="Q33" s="750"/>
      <c r="R33" s="750"/>
      <c r="S33" s="750"/>
      <c r="T33" s="750"/>
      <c r="U33" s="750"/>
      <c r="V33" s="750"/>
      <c r="W33" s="750"/>
      <c r="X33" s="750"/>
      <c r="Y33" s="750"/>
      <c r="Z33" s="750"/>
      <c r="AA33" s="750"/>
      <c r="AB33" s="750"/>
      <c r="AC33" s="750"/>
      <c r="AD33" s="750"/>
      <c r="AE33" s="750"/>
      <c r="AF33" s="750"/>
      <c r="AG33" s="750"/>
      <c r="AH33" s="750"/>
      <c r="AI33" s="750"/>
      <c r="AJ33" s="750"/>
      <c r="AK33" s="750"/>
      <c r="AL33" s="750"/>
      <c r="AM33" s="750"/>
      <c r="AN33" s="750"/>
      <c r="AO33" s="750"/>
      <c r="AP33" s="750"/>
      <c r="AQ33" s="750"/>
      <c r="AR33" s="750"/>
      <c r="AS33" s="750"/>
      <c r="AT33" s="750"/>
      <c r="AU33" s="750"/>
      <c r="AV33" s="750"/>
      <c r="AW33" s="750"/>
      <c r="AX33" s="750"/>
    </row>
    <row r="34" ht="15" customHeight="1" spans="2:50">
      <c r="B34" s="767" t="s">
        <v>1478</v>
      </c>
      <c r="C34" s="784"/>
      <c r="D34" s="784"/>
      <c r="E34" s="785"/>
      <c r="F34" s="785"/>
      <c r="G34" s="785"/>
      <c r="H34" s="785"/>
      <c r="I34" s="784"/>
      <c r="J34" s="770"/>
      <c r="K34" s="769" t="s">
        <v>1464</v>
      </c>
      <c r="L34" s="769" t="s">
        <v>199</v>
      </c>
      <c r="M34" s="769" t="s">
        <v>199</v>
      </c>
      <c r="N34" s="750"/>
      <c r="O34" s="750"/>
      <c r="P34" s="750"/>
      <c r="Q34" s="750"/>
      <c r="R34" s="750"/>
      <c r="S34" s="750"/>
      <c r="T34" s="750"/>
      <c r="U34" s="750"/>
      <c r="V34" s="750"/>
      <c r="W34" s="750"/>
      <c r="X34" s="750"/>
      <c r="Y34" s="750"/>
      <c r="Z34" s="750"/>
      <c r="AA34" s="750"/>
      <c r="AB34" s="750"/>
      <c r="AC34" s="750"/>
      <c r="AD34" s="750"/>
      <c r="AE34" s="750"/>
      <c r="AF34" s="750"/>
      <c r="AG34" s="750"/>
      <c r="AH34" s="750"/>
      <c r="AI34" s="750"/>
      <c r="AJ34" s="750"/>
      <c r="AK34" s="750"/>
      <c r="AL34" s="750"/>
      <c r="AM34" s="750"/>
      <c r="AN34" s="750"/>
      <c r="AO34" s="750"/>
      <c r="AP34" s="750"/>
      <c r="AQ34" s="750"/>
      <c r="AR34" s="750"/>
      <c r="AS34" s="750"/>
      <c r="AT34" s="750"/>
      <c r="AU34" s="750"/>
      <c r="AV34" s="750"/>
      <c r="AW34" s="750"/>
      <c r="AX34" s="750"/>
    </row>
    <row r="35" ht="15" customHeight="1" spans="2:50">
      <c r="B35" s="767" t="s">
        <v>1479</v>
      </c>
      <c r="C35" s="784"/>
      <c r="D35" s="784"/>
      <c r="E35" s="785"/>
      <c r="F35" s="785"/>
      <c r="G35" s="785"/>
      <c r="H35" s="785"/>
      <c r="I35" s="784"/>
      <c r="J35" s="770"/>
      <c r="K35" s="769" t="s">
        <v>1464</v>
      </c>
      <c r="L35" s="769" t="s">
        <v>199</v>
      </c>
      <c r="M35" s="769" t="s">
        <v>199</v>
      </c>
      <c r="N35" s="750"/>
      <c r="O35" s="750"/>
      <c r="P35" s="750"/>
      <c r="Q35" s="750"/>
      <c r="R35" s="750"/>
      <c r="S35" s="750"/>
      <c r="T35" s="750"/>
      <c r="U35" s="750"/>
      <c r="V35" s="750"/>
      <c r="W35" s="750"/>
      <c r="X35" s="750"/>
      <c r="Y35" s="750"/>
      <c r="Z35" s="750"/>
      <c r="AA35" s="750"/>
      <c r="AB35" s="750"/>
      <c r="AC35" s="750"/>
      <c r="AD35" s="750"/>
      <c r="AE35" s="750"/>
      <c r="AF35" s="750"/>
      <c r="AG35" s="750"/>
      <c r="AH35" s="750"/>
      <c r="AI35" s="750"/>
      <c r="AJ35" s="750"/>
      <c r="AK35" s="750"/>
      <c r="AL35" s="750"/>
      <c r="AM35" s="750"/>
      <c r="AN35" s="750"/>
      <c r="AO35" s="750"/>
      <c r="AP35" s="750"/>
      <c r="AQ35" s="750"/>
      <c r="AR35" s="750"/>
      <c r="AS35" s="750"/>
      <c r="AT35" s="750"/>
      <c r="AU35" s="750"/>
      <c r="AV35" s="750"/>
      <c r="AW35" s="750"/>
      <c r="AX35" s="750"/>
    </row>
    <row r="36" ht="15" customHeight="1" spans="2:50">
      <c r="B36" s="767" t="s">
        <v>1480</v>
      </c>
      <c r="C36" s="784"/>
      <c r="D36" s="784"/>
      <c r="E36" s="785"/>
      <c r="F36" s="785"/>
      <c r="G36" s="785"/>
      <c r="H36" s="785"/>
      <c r="I36" s="784"/>
      <c r="J36" s="770"/>
      <c r="K36" s="769" t="s">
        <v>1464</v>
      </c>
      <c r="L36" s="769" t="s">
        <v>199</v>
      </c>
      <c r="M36" s="769" t="s">
        <v>199</v>
      </c>
      <c r="N36" s="750"/>
      <c r="O36" s="750"/>
      <c r="P36" s="750"/>
      <c r="Q36" s="750"/>
      <c r="R36" s="750"/>
      <c r="S36" s="750"/>
      <c r="T36" s="750"/>
      <c r="U36" s="750"/>
      <c r="V36" s="750"/>
      <c r="W36" s="750"/>
      <c r="X36" s="750"/>
      <c r="Y36" s="750"/>
      <c r="Z36" s="750"/>
      <c r="AA36" s="750"/>
      <c r="AB36" s="750"/>
      <c r="AC36" s="750"/>
      <c r="AD36" s="750"/>
      <c r="AE36" s="750"/>
      <c r="AF36" s="750"/>
      <c r="AG36" s="750"/>
      <c r="AH36" s="750"/>
      <c r="AI36" s="750"/>
      <c r="AJ36" s="750"/>
      <c r="AK36" s="750"/>
      <c r="AL36" s="750"/>
      <c r="AM36" s="750"/>
      <c r="AN36" s="750"/>
      <c r="AO36" s="750"/>
      <c r="AP36" s="750"/>
      <c r="AQ36" s="750"/>
      <c r="AR36" s="750"/>
      <c r="AS36" s="750"/>
      <c r="AT36" s="750"/>
      <c r="AU36" s="750"/>
      <c r="AV36" s="750"/>
      <c r="AW36" s="750"/>
      <c r="AX36" s="750"/>
    </row>
    <row r="37" ht="15" customHeight="1" spans="2:50">
      <c r="B37" s="767" t="s">
        <v>1481</v>
      </c>
      <c r="C37" s="784"/>
      <c r="D37" s="784"/>
      <c r="E37" s="784"/>
      <c r="F37" s="784"/>
      <c r="G37" s="784"/>
      <c r="H37" s="784"/>
      <c r="I37" s="784"/>
      <c r="J37" s="770"/>
      <c r="K37" s="769" t="s">
        <v>1464</v>
      </c>
      <c r="L37" s="769" t="s">
        <v>199</v>
      </c>
      <c r="M37" s="769" t="s">
        <v>199</v>
      </c>
      <c r="N37" s="750"/>
      <c r="O37" s="750"/>
      <c r="P37" s="750"/>
      <c r="Q37" s="750"/>
      <c r="R37" s="750"/>
      <c r="S37" s="750"/>
      <c r="T37" s="750"/>
      <c r="U37" s="750"/>
      <c r="V37" s="750"/>
      <c r="W37" s="750"/>
      <c r="X37" s="750"/>
      <c r="Y37" s="750"/>
      <c r="Z37" s="750"/>
      <c r="AA37" s="750"/>
      <c r="AB37" s="750"/>
      <c r="AC37" s="750"/>
      <c r="AD37" s="750"/>
      <c r="AE37" s="750"/>
      <c r="AF37" s="750"/>
      <c r="AG37" s="750"/>
      <c r="AH37" s="750"/>
      <c r="AI37" s="750"/>
      <c r="AJ37" s="750"/>
      <c r="AK37" s="750"/>
      <c r="AL37" s="750"/>
      <c r="AM37" s="750"/>
      <c r="AN37" s="750"/>
      <c r="AO37" s="750"/>
      <c r="AP37" s="750"/>
      <c r="AQ37" s="750"/>
      <c r="AR37" s="750"/>
      <c r="AS37" s="750"/>
      <c r="AT37" s="750"/>
      <c r="AU37" s="750"/>
      <c r="AV37" s="750"/>
      <c r="AW37" s="750"/>
      <c r="AX37" s="750"/>
    </row>
    <row r="38" ht="15" customHeight="1" spans="2:50">
      <c r="B38" s="767" t="s">
        <v>1482</v>
      </c>
      <c r="C38" s="784"/>
      <c r="D38" s="784"/>
      <c r="E38" s="784"/>
      <c r="F38" s="784"/>
      <c r="G38" s="784"/>
      <c r="H38" s="784"/>
      <c r="I38" s="784"/>
      <c r="J38" s="770"/>
      <c r="K38" s="769" t="s">
        <v>1464</v>
      </c>
      <c r="L38" s="769" t="s">
        <v>199</v>
      </c>
      <c r="M38" s="769" t="s">
        <v>199</v>
      </c>
      <c r="N38" s="750"/>
      <c r="O38" s="750"/>
      <c r="P38" s="750"/>
      <c r="Q38" s="750"/>
      <c r="R38" s="750"/>
      <c r="S38" s="750"/>
      <c r="T38" s="750"/>
      <c r="U38" s="750"/>
      <c r="V38" s="750"/>
      <c r="W38" s="750"/>
      <c r="X38" s="750"/>
      <c r="Y38" s="750"/>
      <c r="Z38" s="750"/>
      <c r="AA38" s="750"/>
      <c r="AB38" s="750"/>
      <c r="AC38" s="750"/>
      <c r="AD38" s="750"/>
      <c r="AE38" s="750"/>
      <c r="AF38" s="750"/>
      <c r="AG38" s="750"/>
      <c r="AH38" s="750"/>
      <c r="AI38" s="750"/>
      <c r="AJ38" s="750"/>
      <c r="AK38" s="750"/>
      <c r="AL38" s="750"/>
      <c r="AM38" s="750"/>
      <c r="AN38" s="750"/>
      <c r="AO38" s="750"/>
      <c r="AP38" s="750"/>
      <c r="AQ38" s="750"/>
      <c r="AR38" s="750"/>
      <c r="AS38" s="750"/>
      <c r="AT38" s="750"/>
      <c r="AU38" s="750"/>
      <c r="AV38" s="750"/>
      <c r="AW38" s="750"/>
      <c r="AX38" s="750"/>
    </row>
    <row r="39" ht="15" customHeight="1" spans="2:50">
      <c r="B39" s="767" t="s">
        <v>1483</v>
      </c>
      <c r="C39" s="784"/>
      <c r="D39" s="784"/>
      <c r="E39" s="784"/>
      <c r="F39" s="784"/>
      <c r="G39" s="784"/>
      <c r="H39" s="784"/>
      <c r="I39" s="784"/>
      <c r="J39" s="770"/>
      <c r="K39" s="769" t="s">
        <v>1464</v>
      </c>
      <c r="L39" s="769" t="s">
        <v>199</v>
      </c>
      <c r="M39" s="769" t="s">
        <v>199</v>
      </c>
      <c r="N39" s="750"/>
      <c r="O39" s="750"/>
      <c r="P39" s="750"/>
      <c r="Q39" s="750"/>
      <c r="R39" s="750"/>
      <c r="S39" s="750"/>
      <c r="T39" s="750"/>
      <c r="U39" s="750"/>
      <c r="V39" s="750"/>
      <c r="W39" s="750"/>
      <c r="X39" s="750"/>
      <c r="Y39" s="750"/>
      <c r="Z39" s="750"/>
      <c r="AA39" s="750"/>
      <c r="AB39" s="750"/>
      <c r="AC39" s="750"/>
      <c r="AD39" s="750"/>
      <c r="AE39" s="750"/>
      <c r="AF39" s="750"/>
      <c r="AG39" s="750"/>
      <c r="AH39" s="750"/>
      <c r="AI39" s="750"/>
      <c r="AJ39" s="750"/>
      <c r="AK39" s="750"/>
      <c r="AL39" s="750"/>
      <c r="AM39" s="750"/>
      <c r="AN39" s="750"/>
      <c r="AO39" s="750"/>
      <c r="AP39" s="750"/>
      <c r="AQ39" s="750"/>
      <c r="AR39" s="750"/>
      <c r="AS39" s="750"/>
      <c r="AT39" s="750"/>
      <c r="AU39" s="750"/>
      <c r="AV39" s="750"/>
      <c r="AW39" s="750"/>
      <c r="AX39" s="750"/>
    </row>
    <row r="40" ht="15" customHeight="1" spans="2:50">
      <c r="B40" s="767" t="s">
        <v>1484</v>
      </c>
      <c r="C40" s="784"/>
      <c r="D40" s="784"/>
      <c r="E40" s="784"/>
      <c r="F40" s="784"/>
      <c r="G40" s="784"/>
      <c r="H40" s="784"/>
      <c r="I40" s="784"/>
      <c r="J40" s="770"/>
      <c r="K40" s="769" t="s">
        <v>1464</v>
      </c>
      <c r="L40" s="769" t="s">
        <v>199</v>
      </c>
      <c r="M40" s="769" t="s">
        <v>199</v>
      </c>
      <c r="N40" s="750"/>
      <c r="O40" s="750"/>
      <c r="P40" s="750"/>
      <c r="Q40" s="750"/>
      <c r="R40" s="750"/>
      <c r="S40" s="750"/>
      <c r="T40" s="750"/>
      <c r="U40" s="750"/>
      <c r="V40" s="750"/>
      <c r="W40" s="750"/>
      <c r="X40" s="750"/>
      <c r="Y40" s="750"/>
      <c r="Z40" s="750"/>
      <c r="AA40" s="750"/>
      <c r="AB40" s="750"/>
      <c r="AC40" s="750"/>
      <c r="AD40" s="750"/>
      <c r="AE40" s="750"/>
      <c r="AF40" s="750"/>
      <c r="AG40" s="750"/>
      <c r="AH40" s="750"/>
      <c r="AI40" s="750"/>
      <c r="AJ40" s="750"/>
      <c r="AK40" s="750"/>
      <c r="AL40" s="750"/>
      <c r="AM40" s="750"/>
      <c r="AN40" s="750"/>
      <c r="AO40" s="750"/>
      <c r="AP40" s="750"/>
      <c r="AQ40" s="750"/>
      <c r="AR40" s="750"/>
      <c r="AS40" s="750"/>
      <c r="AT40" s="750"/>
      <c r="AU40" s="750"/>
      <c r="AV40" s="750"/>
      <c r="AW40" s="750"/>
      <c r="AX40" s="750"/>
    </row>
    <row r="41" ht="15" customHeight="1" spans="2:50">
      <c r="B41" s="767" t="s">
        <v>1485</v>
      </c>
      <c r="C41" s="784"/>
      <c r="D41" s="784"/>
      <c r="E41" s="784"/>
      <c r="F41" s="784"/>
      <c r="G41" s="784"/>
      <c r="H41" s="784"/>
      <c r="I41" s="784"/>
      <c r="J41" s="770"/>
      <c r="K41" s="769" t="s">
        <v>1464</v>
      </c>
      <c r="L41" s="769" t="s">
        <v>199</v>
      </c>
      <c r="M41" s="769" t="s">
        <v>199</v>
      </c>
      <c r="N41" s="750"/>
      <c r="O41" s="750"/>
      <c r="P41" s="750"/>
      <c r="Q41" s="750"/>
      <c r="R41" s="750"/>
      <c r="S41" s="750"/>
      <c r="T41" s="750"/>
      <c r="U41" s="750"/>
      <c r="V41" s="750"/>
      <c r="W41" s="750"/>
      <c r="X41" s="750"/>
      <c r="Y41" s="750"/>
      <c r="Z41" s="750"/>
      <c r="AA41" s="750"/>
      <c r="AB41" s="750"/>
      <c r="AC41" s="750"/>
      <c r="AD41" s="750"/>
      <c r="AE41" s="750"/>
      <c r="AF41" s="750"/>
      <c r="AG41" s="750"/>
      <c r="AH41" s="750"/>
      <c r="AI41" s="750"/>
      <c r="AJ41" s="750"/>
      <c r="AK41" s="750"/>
      <c r="AL41" s="750"/>
      <c r="AM41" s="750"/>
      <c r="AN41" s="750"/>
      <c r="AO41" s="750"/>
      <c r="AP41" s="750"/>
      <c r="AQ41" s="750"/>
      <c r="AR41" s="750"/>
      <c r="AS41" s="750"/>
      <c r="AT41" s="750"/>
      <c r="AU41" s="750"/>
      <c r="AV41" s="750"/>
      <c r="AW41" s="750"/>
      <c r="AX41" s="750"/>
    </row>
    <row r="42" ht="15" customHeight="1" spans="2:50">
      <c r="B42" s="767" t="s">
        <v>1486</v>
      </c>
      <c r="C42" s="784"/>
      <c r="D42" s="784"/>
      <c r="E42" s="784"/>
      <c r="F42" s="784"/>
      <c r="G42" s="784"/>
      <c r="H42" s="784"/>
      <c r="I42" s="784"/>
      <c r="J42" s="770"/>
      <c r="K42" s="769" t="s">
        <v>1464</v>
      </c>
      <c r="L42" s="769" t="s">
        <v>199</v>
      </c>
      <c r="M42" s="769" t="s">
        <v>199</v>
      </c>
      <c r="N42" s="750"/>
      <c r="O42" s="750"/>
      <c r="P42" s="750"/>
      <c r="Q42" s="750"/>
      <c r="R42" s="750"/>
      <c r="S42" s="750"/>
      <c r="T42" s="750"/>
      <c r="U42" s="750"/>
      <c r="V42" s="750"/>
      <c r="W42" s="750"/>
      <c r="X42" s="750"/>
      <c r="Y42" s="750"/>
      <c r="Z42" s="750"/>
      <c r="AA42" s="750"/>
      <c r="AB42" s="750"/>
      <c r="AC42" s="750"/>
      <c r="AD42" s="750"/>
      <c r="AE42" s="750"/>
      <c r="AF42" s="750"/>
      <c r="AG42" s="750"/>
      <c r="AH42" s="750"/>
      <c r="AI42" s="750"/>
      <c r="AJ42" s="750"/>
      <c r="AK42" s="750"/>
      <c r="AL42" s="750"/>
      <c r="AM42" s="750"/>
      <c r="AN42" s="750"/>
      <c r="AO42" s="750"/>
      <c r="AP42" s="750"/>
      <c r="AQ42" s="750"/>
      <c r="AR42" s="750"/>
      <c r="AS42" s="750"/>
      <c r="AT42" s="750"/>
      <c r="AU42" s="750"/>
      <c r="AV42" s="750"/>
      <c r="AW42" s="750"/>
      <c r="AX42" s="750"/>
    </row>
    <row r="43" ht="15" customHeight="1" spans="2:50">
      <c r="B43" s="767" t="s">
        <v>1487</v>
      </c>
      <c r="C43" s="784"/>
      <c r="D43" s="784"/>
      <c r="E43" s="784"/>
      <c r="F43" s="784"/>
      <c r="G43" s="784"/>
      <c r="H43" s="784"/>
      <c r="I43" s="784"/>
      <c r="J43" s="770"/>
      <c r="K43" s="769" t="s">
        <v>1464</v>
      </c>
      <c r="L43" s="769" t="s">
        <v>199</v>
      </c>
      <c r="M43" s="769" t="s">
        <v>199</v>
      </c>
      <c r="N43" s="750"/>
      <c r="O43" s="750"/>
      <c r="P43" s="750"/>
      <c r="Q43" s="750"/>
      <c r="R43" s="750"/>
      <c r="S43" s="750"/>
      <c r="T43" s="750"/>
      <c r="U43" s="750"/>
      <c r="V43" s="750"/>
      <c r="W43" s="750"/>
      <c r="X43" s="750"/>
      <c r="Y43" s="750"/>
      <c r="Z43" s="750"/>
      <c r="AA43" s="750"/>
      <c r="AB43" s="750"/>
      <c r="AC43" s="750"/>
      <c r="AD43" s="750"/>
      <c r="AE43" s="750"/>
      <c r="AF43" s="750"/>
      <c r="AG43" s="750"/>
      <c r="AH43" s="750"/>
      <c r="AI43" s="750"/>
      <c r="AJ43" s="750"/>
      <c r="AK43" s="750"/>
      <c r="AL43" s="750"/>
      <c r="AM43" s="750"/>
      <c r="AN43" s="750"/>
      <c r="AO43" s="750"/>
      <c r="AP43" s="750"/>
      <c r="AQ43" s="750"/>
      <c r="AR43" s="750"/>
      <c r="AS43" s="750"/>
      <c r="AT43" s="750"/>
      <c r="AU43" s="750"/>
      <c r="AV43" s="750"/>
      <c r="AW43" s="750"/>
      <c r="AX43" s="750"/>
    </row>
    <row r="44" ht="15" customHeight="1" spans="2:50">
      <c r="B44" s="767" t="s">
        <v>1488</v>
      </c>
      <c r="C44" s="784"/>
      <c r="D44" s="784"/>
      <c r="E44" s="784"/>
      <c r="F44" s="784"/>
      <c r="G44" s="784"/>
      <c r="H44" s="784"/>
      <c r="I44" s="784"/>
      <c r="J44" s="770"/>
      <c r="K44" s="769" t="s">
        <v>1464</v>
      </c>
      <c r="L44" s="769" t="s">
        <v>199</v>
      </c>
      <c r="M44" s="769" t="s">
        <v>199</v>
      </c>
      <c r="N44" s="750"/>
      <c r="O44" s="750"/>
      <c r="P44" s="750"/>
      <c r="Q44" s="750"/>
      <c r="R44" s="750"/>
      <c r="S44" s="750"/>
      <c r="T44" s="750"/>
      <c r="U44" s="750"/>
      <c r="V44" s="750"/>
      <c r="W44" s="750"/>
      <c r="X44" s="750"/>
      <c r="Y44" s="750"/>
      <c r="Z44" s="750"/>
      <c r="AA44" s="750"/>
      <c r="AB44" s="750"/>
      <c r="AC44" s="750"/>
      <c r="AD44" s="750"/>
      <c r="AE44" s="750"/>
      <c r="AF44" s="750"/>
      <c r="AG44" s="750"/>
      <c r="AH44" s="750"/>
      <c r="AI44" s="750"/>
      <c r="AJ44" s="750"/>
      <c r="AK44" s="750"/>
      <c r="AL44" s="750"/>
      <c r="AM44" s="750"/>
      <c r="AN44" s="750"/>
      <c r="AO44" s="750"/>
      <c r="AP44" s="750"/>
      <c r="AQ44" s="750"/>
      <c r="AR44" s="750"/>
      <c r="AS44" s="750"/>
      <c r="AT44" s="750"/>
      <c r="AU44" s="750"/>
      <c r="AV44" s="750"/>
      <c r="AW44" s="750"/>
      <c r="AX44" s="750"/>
    </row>
    <row r="45" ht="15" customHeight="1" spans="2:50">
      <c r="B45" s="767" t="s">
        <v>1489</v>
      </c>
      <c r="C45" s="784"/>
      <c r="D45" s="784"/>
      <c r="E45" s="784"/>
      <c r="F45" s="784"/>
      <c r="G45" s="784"/>
      <c r="H45" s="784"/>
      <c r="I45" s="784"/>
      <c r="J45" s="770"/>
      <c r="K45" s="769" t="s">
        <v>1464</v>
      </c>
      <c r="L45" s="769" t="s">
        <v>199</v>
      </c>
      <c r="M45" s="769" t="s">
        <v>199</v>
      </c>
      <c r="N45" s="750"/>
      <c r="O45" s="750"/>
      <c r="P45" s="750"/>
      <c r="Q45" s="750"/>
      <c r="R45" s="750"/>
      <c r="S45" s="750"/>
      <c r="T45" s="750"/>
      <c r="U45" s="750"/>
      <c r="V45" s="750"/>
      <c r="W45" s="750"/>
      <c r="X45" s="750"/>
      <c r="Y45" s="750"/>
      <c r="Z45" s="750"/>
      <c r="AA45" s="750"/>
      <c r="AB45" s="750"/>
      <c r="AC45" s="750"/>
      <c r="AD45" s="750"/>
      <c r="AE45" s="750"/>
      <c r="AF45" s="750"/>
      <c r="AG45" s="750"/>
      <c r="AH45" s="750"/>
      <c r="AI45" s="750"/>
      <c r="AJ45" s="750"/>
      <c r="AK45" s="750"/>
      <c r="AL45" s="750"/>
      <c r="AM45" s="750"/>
      <c r="AN45" s="750"/>
      <c r="AO45" s="750"/>
      <c r="AP45" s="750"/>
      <c r="AQ45" s="750"/>
      <c r="AR45" s="750"/>
      <c r="AS45" s="750"/>
      <c r="AT45" s="750"/>
      <c r="AU45" s="750"/>
      <c r="AV45" s="750"/>
      <c r="AW45" s="750"/>
      <c r="AX45" s="750"/>
    </row>
    <row r="46" ht="15" customHeight="1" spans="2:50">
      <c r="B46" s="767" t="s">
        <v>1490</v>
      </c>
      <c r="C46" s="786"/>
      <c r="D46" s="786"/>
      <c r="E46" s="786"/>
      <c r="F46" s="786"/>
      <c r="G46" s="786"/>
      <c r="H46" s="786"/>
      <c r="I46" s="784"/>
      <c r="J46" s="770"/>
      <c r="K46" s="769" t="s">
        <v>1464</v>
      </c>
      <c r="L46" s="769" t="s">
        <v>199</v>
      </c>
      <c r="M46" s="769" t="s">
        <v>199</v>
      </c>
      <c r="N46" s="750"/>
      <c r="O46" s="750"/>
      <c r="P46" s="750"/>
      <c r="Q46" s="750"/>
      <c r="R46" s="750"/>
      <c r="S46" s="750"/>
      <c r="T46" s="750"/>
      <c r="U46" s="750"/>
      <c r="V46" s="750"/>
      <c r="W46" s="750"/>
      <c r="X46" s="750"/>
      <c r="Y46" s="750"/>
      <c r="Z46" s="750"/>
      <c r="AA46" s="750"/>
      <c r="AB46" s="750"/>
      <c r="AC46" s="750"/>
      <c r="AD46" s="750"/>
      <c r="AE46" s="750"/>
      <c r="AF46" s="750"/>
      <c r="AG46" s="750"/>
      <c r="AH46" s="750"/>
      <c r="AI46" s="750"/>
      <c r="AJ46" s="750"/>
      <c r="AK46" s="750"/>
      <c r="AL46" s="750"/>
      <c r="AM46" s="750"/>
      <c r="AN46" s="750"/>
      <c r="AO46" s="750"/>
      <c r="AP46" s="750"/>
      <c r="AQ46" s="750"/>
      <c r="AR46" s="750"/>
      <c r="AS46" s="750"/>
      <c r="AT46" s="750"/>
      <c r="AU46" s="750"/>
      <c r="AV46" s="750"/>
      <c r="AW46" s="750"/>
      <c r="AX46" s="750"/>
    </row>
    <row r="47" ht="15" customHeight="1" spans="2:50">
      <c r="B47" s="767" t="s">
        <v>1491</v>
      </c>
      <c r="C47" s="786"/>
      <c r="D47" s="786"/>
      <c r="E47" s="786"/>
      <c r="F47" s="786"/>
      <c r="G47" s="786"/>
      <c r="H47" s="786"/>
      <c r="I47" s="784"/>
      <c r="J47" s="770"/>
      <c r="K47" s="769" t="s">
        <v>1464</v>
      </c>
      <c r="L47" s="769" t="s">
        <v>199</v>
      </c>
      <c r="M47" s="769" t="s">
        <v>199</v>
      </c>
      <c r="N47" s="750"/>
      <c r="O47" s="750"/>
      <c r="P47" s="750"/>
      <c r="Q47" s="750"/>
      <c r="R47" s="750"/>
      <c r="S47" s="750"/>
      <c r="T47" s="750"/>
      <c r="U47" s="750"/>
      <c r="V47" s="750"/>
      <c r="W47" s="750"/>
      <c r="X47" s="750"/>
      <c r="Y47" s="750"/>
      <c r="Z47" s="750"/>
      <c r="AA47" s="750"/>
      <c r="AB47" s="750"/>
      <c r="AC47" s="750"/>
      <c r="AD47" s="750"/>
      <c r="AE47" s="750"/>
      <c r="AF47" s="750"/>
      <c r="AG47" s="750"/>
      <c r="AH47" s="750"/>
      <c r="AI47" s="750"/>
      <c r="AJ47" s="750"/>
      <c r="AK47" s="750"/>
      <c r="AL47" s="750"/>
      <c r="AM47" s="750"/>
      <c r="AN47" s="750"/>
      <c r="AO47" s="750"/>
      <c r="AP47" s="750"/>
      <c r="AQ47" s="750"/>
      <c r="AR47" s="750"/>
      <c r="AS47" s="750"/>
      <c r="AT47" s="750"/>
      <c r="AU47" s="750"/>
      <c r="AV47" s="750"/>
      <c r="AW47" s="750"/>
      <c r="AX47" s="750"/>
    </row>
    <row r="48" ht="15" customHeight="1" spans="2:50">
      <c r="B48" s="767" t="s">
        <v>1492</v>
      </c>
      <c r="C48" s="786"/>
      <c r="D48" s="786"/>
      <c r="E48" s="786"/>
      <c r="F48" s="786"/>
      <c r="G48" s="786"/>
      <c r="H48" s="786"/>
      <c r="I48" s="784"/>
      <c r="J48" s="770"/>
      <c r="K48" s="769" t="s">
        <v>1464</v>
      </c>
      <c r="L48" s="769" t="s">
        <v>199</v>
      </c>
      <c r="M48" s="769" t="s">
        <v>199</v>
      </c>
      <c r="N48" s="750"/>
      <c r="O48" s="750"/>
      <c r="P48" s="750"/>
      <c r="Q48" s="750"/>
      <c r="R48" s="750"/>
      <c r="S48" s="750"/>
      <c r="T48" s="750"/>
      <c r="U48" s="750"/>
      <c r="V48" s="750"/>
      <c r="W48" s="750"/>
      <c r="X48" s="750"/>
      <c r="Y48" s="750"/>
      <c r="Z48" s="750"/>
      <c r="AA48" s="750"/>
      <c r="AB48" s="750"/>
      <c r="AC48" s="750"/>
      <c r="AD48" s="750"/>
      <c r="AE48" s="750"/>
      <c r="AF48" s="750"/>
      <c r="AG48" s="750"/>
      <c r="AH48" s="750"/>
      <c r="AI48" s="750"/>
      <c r="AJ48" s="750"/>
      <c r="AK48" s="750"/>
      <c r="AL48" s="750"/>
      <c r="AM48" s="750"/>
      <c r="AN48" s="750"/>
      <c r="AO48" s="750"/>
      <c r="AP48" s="750"/>
      <c r="AQ48" s="750"/>
      <c r="AR48" s="750"/>
      <c r="AS48" s="750"/>
      <c r="AT48" s="750"/>
      <c r="AU48" s="750"/>
      <c r="AV48" s="750"/>
      <c r="AW48" s="750"/>
      <c r="AX48" s="750"/>
    </row>
    <row r="49" ht="15" customHeight="1" spans="2:50">
      <c r="B49" s="767" t="s">
        <v>1493</v>
      </c>
      <c r="C49" s="786"/>
      <c r="D49" s="786"/>
      <c r="E49" s="786"/>
      <c r="F49" s="786"/>
      <c r="G49" s="786"/>
      <c r="H49" s="786"/>
      <c r="I49" s="784"/>
      <c r="J49" s="770"/>
      <c r="K49" s="769" t="s">
        <v>1464</v>
      </c>
      <c r="L49" s="769" t="s">
        <v>199</v>
      </c>
      <c r="M49" s="769" t="s">
        <v>199</v>
      </c>
      <c r="N49" s="750"/>
      <c r="O49" s="750"/>
      <c r="P49" s="750"/>
      <c r="Q49" s="750"/>
      <c r="R49" s="750"/>
      <c r="S49" s="750"/>
      <c r="T49" s="750"/>
      <c r="U49" s="750"/>
      <c r="V49" s="750"/>
      <c r="W49" s="750"/>
      <c r="X49" s="750"/>
      <c r="Y49" s="750"/>
      <c r="Z49" s="750"/>
      <c r="AA49" s="750"/>
      <c r="AB49" s="750"/>
      <c r="AC49" s="750"/>
      <c r="AD49" s="750"/>
      <c r="AE49" s="750"/>
      <c r="AF49" s="750"/>
      <c r="AG49" s="750"/>
      <c r="AH49" s="750"/>
      <c r="AI49" s="750"/>
      <c r="AJ49" s="750"/>
      <c r="AK49" s="750"/>
      <c r="AL49" s="750"/>
      <c r="AM49" s="750"/>
      <c r="AN49" s="750"/>
      <c r="AO49" s="750"/>
      <c r="AP49" s="750"/>
      <c r="AQ49" s="750"/>
      <c r="AR49" s="750"/>
      <c r="AS49" s="750"/>
      <c r="AT49" s="750"/>
      <c r="AU49" s="750"/>
      <c r="AV49" s="750"/>
      <c r="AW49" s="750"/>
      <c r="AX49" s="750"/>
    </row>
    <row r="50" ht="15" customHeight="1" spans="2:50">
      <c r="B50" s="767" t="s">
        <v>1494</v>
      </c>
      <c r="C50" s="784"/>
      <c r="D50" s="784"/>
      <c r="E50" s="784"/>
      <c r="F50" s="784"/>
      <c r="G50" s="784"/>
      <c r="H50" s="784"/>
      <c r="I50" s="784"/>
      <c r="J50" s="770"/>
      <c r="K50" s="769" t="s">
        <v>1464</v>
      </c>
      <c r="L50" s="769" t="s">
        <v>199</v>
      </c>
      <c r="M50" s="769" t="s">
        <v>199</v>
      </c>
      <c r="N50" s="750"/>
      <c r="O50" s="750"/>
      <c r="P50" s="750"/>
      <c r="Q50" s="750"/>
      <c r="R50" s="750"/>
      <c r="S50" s="750"/>
      <c r="T50" s="750"/>
      <c r="U50" s="750"/>
      <c r="V50" s="750"/>
      <c r="W50" s="750"/>
      <c r="X50" s="750"/>
      <c r="Y50" s="750"/>
      <c r="Z50" s="750"/>
      <c r="AA50" s="750"/>
      <c r="AB50" s="750"/>
      <c r="AC50" s="750"/>
      <c r="AD50" s="750"/>
      <c r="AE50" s="750"/>
      <c r="AF50" s="750"/>
      <c r="AG50" s="750"/>
      <c r="AH50" s="750"/>
      <c r="AI50" s="750"/>
      <c r="AJ50" s="750"/>
      <c r="AK50" s="750"/>
      <c r="AL50" s="750"/>
      <c r="AM50" s="750"/>
      <c r="AN50" s="750"/>
      <c r="AO50" s="750"/>
      <c r="AP50" s="750"/>
      <c r="AQ50" s="750"/>
      <c r="AR50" s="750"/>
      <c r="AS50" s="750"/>
      <c r="AT50" s="750"/>
      <c r="AU50" s="750"/>
      <c r="AV50" s="750"/>
      <c r="AW50" s="750"/>
      <c r="AX50" s="750"/>
    </row>
    <row r="51" ht="15" customHeight="1" spans="2:50">
      <c r="B51" s="767" t="s">
        <v>1495</v>
      </c>
      <c r="C51" s="784"/>
      <c r="D51" s="784"/>
      <c r="E51" s="784"/>
      <c r="F51" s="784"/>
      <c r="G51" s="784"/>
      <c r="H51" s="784"/>
      <c r="I51" s="784"/>
      <c r="J51" s="770"/>
      <c r="K51" s="769" t="s">
        <v>1464</v>
      </c>
      <c r="L51" s="769" t="s">
        <v>199</v>
      </c>
      <c r="M51" s="769" t="s">
        <v>199</v>
      </c>
      <c r="N51" s="750"/>
      <c r="O51" s="750"/>
      <c r="P51" s="750"/>
      <c r="Q51" s="750"/>
      <c r="R51" s="750"/>
      <c r="S51" s="750"/>
      <c r="T51" s="750"/>
      <c r="U51" s="750"/>
      <c r="V51" s="750"/>
      <c r="W51" s="750"/>
      <c r="X51" s="750"/>
      <c r="Y51" s="750"/>
      <c r="Z51" s="750"/>
      <c r="AA51" s="750"/>
      <c r="AB51" s="750"/>
      <c r="AC51" s="750"/>
      <c r="AD51" s="750"/>
      <c r="AE51" s="750"/>
      <c r="AF51" s="750"/>
      <c r="AG51" s="750"/>
      <c r="AH51" s="750"/>
      <c r="AI51" s="750"/>
      <c r="AJ51" s="750"/>
      <c r="AK51" s="750"/>
      <c r="AL51" s="750"/>
      <c r="AM51" s="750"/>
      <c r="AN51" s="750"/>
      <c r="AO51" s="750"/>
      <c r="AP51" s="750"/>
      <c r="AQ51" s="750"/>
      <c r="AR51" s="750"/>
      <c r="AS51" s="750"/>
      <c r="AT51" s="750"/>
      <c r="AU51" s="750"/>
      <c r="AV51" s="750"/>
      <c r="AW51" s="750"/>
      <c r="AX51" s="750"/>
    </row>
    <row r="52" ht="15" customHeight="1" spans="2:50">
      <c r="B52" s="767" t="s">
        <v>1496</v>
      </c>
      <c r="C52" s="784"/>
      <c r="D52" s="784"/>
      <c r="E52" s="784"/>
      <c r="F52" s="784"/>
      <c r="G52" s="784"/>
      <c r="H52" s="784"/>
      <c r="I52" s="784"/>
      <c r="J52" s="770"/>
      <c r="K52" s="769" t="s">
        <v>1464</v>
      </c>
      <c r="L52" s="769" t="s">
        <v>199</v>
      </c>
      <c r="M52" s="769" t="s">
        <v>199</v>
      </c>
      <c r="N52" s="750"/>
      <c r="O52" s="750"/>
      <c r="P52" s="750"/>
      <c r="Q52" s="750"/>
      <c r="R52" s="750"/>
      <c r="S52" s="750"/>
      <c r="T52" s="750"/>
      <c r="U52" s="750"/>
      <c r="V52" s="750"/>
      <c r="W52" s="750"/>
      <c r="X52" s="750"/>
      <c r="Y52" s="750"/>
      <c r="Z52" s="750"/>
      <c r="AA52" s="750"/>
      <c r="AB52" s="750"/>
      <c r="AC52" s="750"/>
      <c r="AD52" s="750"/>
      <c r="AE52" s="750"/>
      <c r="AF52" s="750"/>
      <c r="AG52" s="750"/>
      <c r="AH52" s="750"/>
      <c r="AI52" s="750"/>
      <c r="AJ52" s="750"/>
      <c r="AK52" s="750"/>
      <c r="AL52" s="750"/>
      <c r="AM52" s="750"/>
      <c r="AN52" s="750"/>
      <c r="AO52" s="750"/>
      <c r="AP52" s="750"/>
      <c r="AQ52" s="750"/>
      <c r="AR52" s="750"/>
      <c r="AS52" s="750"/>
      <c r="AT52" s="750"/>
      <c r="AU52" s="750"/>
      <c r="AV52" s="750"/>
      <c r="AW52" s="750"/>
      <c r="AX52" s="750"/>
    </row>
    <row r="53" ht="15" customHeight="1" spans="2:50">
      <c r="B53" s="767" t="s">
        <v>1497</v>
      </c>
      <c r="C53" s="784"/>
      <c r="D53" s="784"/>
      <c r="E53" s="784"/>
      <c r="F53" s="784"/>
      <c r="G53" s="784"/>
      <c r="H53" s="784"/>
      <c r="I53" s="784"/>
      <c r="J53" s="770"/>
      <c r="K53" s="769" t="s">
        <v>1464</v>
      </c>
      <c r="L53" s="769" t="s">
        <v>199</v>
      </c>
      <c r="M53" s="769" t="s">
        <v>199</v>
      </c>
      <c r="N53" s="750"/>
      <c r="O53" s="750"/>
      <c r="P53" s="750"/>
      <c r="Q53" s="750"/>
      <c r="R53" s="750"/>
      <c r="S53" s="750"/>
      <c r="T53" s="750"/>
      <c r="U53" s="750"/>
      <c r="V53" s="750"/>
      <c r="W53" s="750"/>
      <c r="X53" s="750"/>
      <c r="Y53" s="750"/>
      <c r="Z53" s="750"/>
      <c r="AA53" s="750"/>
      <c r="AB53" s="750"/>
      <c r="AC53" s="750"/>
      <c r="AD53" s="750"/>
      <c r="AE53" s="750"/>
      <c r="AF53" s="750"/>
      <c r="AG53" s="750"/>
      <c r="AH53" s="750"/>
      <c r="AI53" s="750"/>
      <c r="AJ53" s="750"/>
      <c r="AK53" s="750"/>
      <c r="AL53" s="750"/>
      <c r="AM53" s="750"/>
      <c r="AN53" s="750"/>
      <c r="AO53" s="750"/>
      <c r="AP53" s="750"/>
      <c r="AQ53" s="750"/>
      <c r="AR53" s="750"/>
      <c r="AS53" s="750"/>
      <c r="AT53" s="750"/>
      <c r="AU53" s="750"/>
      <c r="AV53" s="750"/>
      <c r="AW53" s="750"/>
      <c r="AX53" s="750"/>
    </row>
    <row r="54" ht="15" customHeight="1" spans="2:50">
      <c r="B54" s="767" t="s">
        <v>1498</v>
      </c>
      <c r="C54" s="784"/>
      <c r="D54" s="784"/>
      <c r="E54" s="784"/>
      <c r="F54" s="784"/>
      <c r="G54" s="784"/>
      <c r="H54" s="784"/>
      <c r="I54" s="784"/>
      <c r="J54" s="770"/>
      <c r="K54" s="769" t="s">
        <v>1464</v>
      </c>
      <c r="L54" s="769" t="s">
        <v>199</v>
      </c>
      <c r="M54" s="769" t="s">
        <v>199</v>
      </c>
      <c r="N54" s="750"/>
      <c r="O54" s="750"/>
      <c r="P54" s="750"/>
      <c r="Q54" s="750"/>
      <c r="R54" s="750"/>
      <c r="S54" s="750"/>
      <c r="T54" s="750"/>
      <c r="U54" s="750"/>
      <c r="V54" s="788"/>
      <c r="W54" s="750"/>
      <c r="X54" s="750"/>
      <c r="Y54" s="750"/>
      <c r="Z54" s="750"/>
      <c r="AA54" s="750"/>
      <c r="AB54" s="750"/>
      <c r="AC54" s="750"/>
      <c r="AD54" s="750"/>
      <c r="AE54" s="750"/>
      <c r="AF54" s="750"/>
      <c r="AG54" s="750"/>
      <c r="AH54" s="750"/>
      <c r="AI54" s="788"/>
      <c r="AJ54" s="750"/>
      <c r="AK54" s="750"/>
      <c r="AL54" s="750"/>
      <c r="AM54" s="750"/>
      <c r="AN54" s="750"/>
      <c r="AO54" s="750"/>
      <c r="AP54" s="750"/>
      <c r="AQ54" s="750"/>
      <c r="AR54" s="750"/>
      <c r="AS54" s="750"/>
      <c r="AT54" s="750"/>
      <c r="AU54" s="788"/>
      <c r="AV54" s="750"/>
      <c r="AW54" s="750"/>
      <c r="AX54" s="750"/>
    </row>
    <row r="55" ht="15" customHeight="1" spans="2:50">
      <c r="B55" s="767" t="s">
        <v>1499</v>
      </c>
      <c r="C55" s="784"/>
      <c r="D55" s="784"/>
      <c r="E55" s="784"/>
      <c r="F55" s="784"/>
      <c r="G55" s="784"/>
      <c r="H55" s="784"/>
      <c r="I55" s="784"/>
      <c r="J55" s="770"/>
      <c r="K55" s="769" t="s">
        <v>1464</v>
      </c>
      <c r="L55" s="769" t="s">
        <v>199</v>
      </c>
      <c r="M55" s="769" t="s">
        <v>199</v>
      </c>
      <c r="N55" s="750"/>
      <c r="O55" s="750"/>
      <c r="P55" s="750"/>
      <c r="Q55" s="750"/>
      <c r="R55" s="750"/>
      <c r="S55" s="750"/>
      <c r="T55" s="750"/>
      <c r="U55" s="750"/>
      <c r="V55" s="750"/>
      <c r="W55" s="750"/>
      <c r="X55" s="750"/>
      <c r="Y55" s="750"/>
      <c r="Z55" s="750"/>
      <c r="AA55" s="750"/>
      <c r="AB55" s="750"/>
      <c r="AC55" s="750"/>
      <c r="AD55" s="750"/>
      <c r="AE55" s="750"/>
      <c r="AF55" s="750"/>
      <c r="AG55" s="750"/>
      <c r="AH55" s="750"/>
      <c r="AI55" s="750"/>
      <c r="AJ55" s="750"/>
      <c r="AK55" s="750"/>
      <c r="AL55" s="750"/>
      <c r="AM55" s="750"/>
      <c r="AN55" s="750"/>
      <c r="AO55" s="750"/>
      <c r="AP55" s="750"/>
      <c r="AQ55" s="750"/>
      <c r="AR55" s="750"/>
      <c r="AS55" s="750"/>
      <c r="AT55" s="750"/>
      <c r="AU55" s="750"/>
      <c r="AV55" s="750"/>
      <c r="AW55" s="750"/>
      <c r="AX55" s="750"/>
    </row>
    <row r="56" ht="15" customHeight="1" spans="2:50">
      <c r="B56" s="767" t="s">
        <v>1500</v>
      </c>
      <c r="C56" s="784"/>
      <c r="D56" s="784"/>
      <c r="E56" s="784"/>
      <c r="F56" s="784"/>
      <c r="G56" s="784"/>
      <c r="H56" s="784"/>
      <c r="I56" s="784"/>
      <c r="J56" s="770"/>
      <c r="K56" s="769" t="s">
        <v>1464</v>
      </c>
      <c r="L56" s="769" t="s">
        <v>199</v>
      </c>
      <c r="M56" s="769" t="s">
        <v>199</v>
      </c>
      <c r="N56" s="750"/>
      <c r="O56" s="750"/>
      <c r="P56" s="750"/>
      <c r="Q56" s="750"/>
      <c r="R56" s="750"/>
      <c r="S56" s="750"/>
      <c r="T56" s="750"/>
      <c r="U56" s="750"/>
      <c r="V56" s="750"/>
      <c r="W56" s="750"/>
      <c r="X56" s="750"/>
      <c r="Y56" s="750"/>
      <c r="Z56" s="750"/>
      <c r="AA56" s="750"/>
      <c r="AB56" s="750"/>
      <c r="AC56" s="750"/>
      <c r="AD56" s="750"/>
      <c r="AE56" s="750"/>
      <c r="AF56" s="750"/>
      <c r="AG56" s="750"/>
      <c r="AH56" s="750"/>
      <c r="AI56" s="750"/>
      <c r="AJ56" s="750"/>
      <c r="AK56" s="750"/>
      <c r="AL56" s="750"/>
      <c r="AM56" s="750"/>
      <c r="AN56" s="750"/>
      <c r="AO56" s="750"/>
      <c r="AP56" s="750"/>
      <c r="AQ56" s="750"/>
      <c r="AR56" s="750"/>
      <c r="AS56" s="750"/>
      <c r="AT56" s="750"/>
      <c r="AU56" s="750"/>
      <c r="AV56" s="750"/>
      <c r="AW56" s="750"/>
      <c r="AX56" s="750"/>
    </row>
    <row r="57" ht="15" customHeight="1" spans="2:50">
      <c r="B57" s="767" t="s">
        <v>1501</v>
      </c>
      <c r="C57" s="784"/>
      <c r="D57" s="784"/>
      <c r="E57" s="784"/>
      <c r="F57" s="784"/>
      <c r="G57" s="784"/>
      <c r="H57" s="784"/>
      <c r="I57" s="784"/>
      <c r="J57" s="770"/>
      <c r="K57" s="769" t="s">
        <v>1464</v>
      </c>
      <c r="L57" s="769" t="s">
        <v>199</v>
      </c>
      <c r="M57" s="769" t="s">
        <v>199</v>
      </c>
      <c r="N57" s="750"/>
      <c r="O57" s="750"/>
      <c r="P57" s="750"/>
      <c r="Q57" s="750"/>
      <c r="R57" s="750"/>
      <c r="S57" s="750"/>
      <c r="T57" s="750"/>
      <c r="U57" s="750"/>
      <c r="V57" s="750"/>
      <c r="W57" s="750"/>
      <c r="X57" s="750"/>
      <c r="Y57" s="750"/>
      <c r="Z57" s="750"/>
      <c r="AA57" s="750"/>
      <c r="AB57" s="750"/>
      <c r="AC57" s="750"/>
      <c r="AD57" s="750"/>
      <c r="AE57" s="750"/>
      <c r="AF57" s="750"/>
      <c r="AG57" s="750"/>
      <c r="AH57" s="750"/>
      <c r="AI57" s="750"/>
      <c r="AJ57" s="750"/>
      <c r="AK57" s="750"/>
      <c r="AL57" s="750"/>
      <c r="AM57" s="750"/>
      <c r="AN57" s="750"/>
      <c r="AO57" s="750"/>
      <c r="AP57" s="750"/>
      <c r="AQ57" s="750"/>
      <c r="AR57" s="750"/>
      <c r="AS57" s="750"/>
      <c r="AT57" s="750"/>
      <c r="AU57" s="750"/>
      <c r="AV57" s="750"/>
      <c r="AW57" s="750"/>
      <c r="AX57" s="750"/>
    </row>
    <row r="58" ht="15" customHeight="1" spans="2:50">
      <c r="B58" s="767" t="s">
        <v>1502</v>
      </c>
      <c r="C58" s="784"/>
      <c r="D58" s="784"/>
      <c r="E58" s="784"/>
      <c r="F58" s="784"/>
      <c r="G58" s="784"/>
      <c r="H58" s="784"/>
      <c r="I58" s="784"/>
      <c r="J58" s="770"/>
      <c r="K58" s="769" t="s">
        <v>1464</v>
      </c>
      <c r="L58" s="769" t="s">
        <v>199</v>
      </c>
      <c r="M58" s="769" t="s">
        <v>199</v>
      </c>
      <c r="N58" s="750"/>
      <c r="O58" s="750"/>
      <c r="P58" s="750"/>
      <c r="Q58" s="750"/>
      <c r="R58" s="750"/>
      <c r="S58" s="750"/>
      <c r="T58" s="750"/>
      <c r="U58" s="750"/>
      <c r="V58" s="750"/>
      <c r="W58" s="750"/>
      <c r="X58" s="750"/>
      <c r="Y58" s="750"/>
      <c r="Z58" s="750"/>
      <c r="AA58" s="750"/>
      <c r="AB58" s="750"/>
      <c r="AC58" s="750"/>
      <c r="AD58" s="750"/>
      <c r="AE58" s="750"/>
      <c r="AF58" s="750"/>
      <c r="AG58" s="750"/>
      <c r="AH58" s="750"/>
      <c r="AI58" s="750"/>
      <c r="AJ58" s="750"/>
      <c r="AK58" s="750"/>
      <c r="AL58" s="750"/>
      <c r="AM58" s="750"/>
      <c r="AN58" s="750"/>
      <c r="AO58" s="750"/>
      <c r="AP58" s="750"/>
      <c r="AQ58" s="750"/>
      <c r="AR58" s="750"/>
      <c r="AS58" s="750"/>
      <c r="AT58" s="750"/>
      <c r="AU58" s="750"/>
      <c r="AV58" s="750"/>
      <c r="AW58" s="750"/>
      <c r="AX58" s="750"/>
    </row>
    <row r="59" ht="15" customHeight="1" spans="2:50">
      <c r="B59" s="767" t="s">
        <v>1503</v>
      </c>
      <c r="C59" s="784"/>
      <c r="D59" s="784"/>
      <c r="E59" s="784"/>
      <c r="F59" s="784"/>
      <c r="G59" s="784"/>
      <c r="H59" s="784"/>
      <c r="I59" s="784"/>
      <c r="J59" s="770"/>
      <c r="K59" s="769" t="s">
        <v>1464</v>
      </c>
      <c r="L59" s="769" t="s">
        <v>199</v>
      </c>
      <c r="M59" s="769" t="s">
        <v>199</v>
      </c>
      <c r="N59" s="750"/>
      <c r="O59" s="750"/>
      <c r="P59" s="750"/>
      <c r="Q59" s="750"/>
      <c r="R59" s="750"/>
      <c r="S59" s="750"/>
      <c r="T59" s="750"/>
      <c r="U59" s="750"/>
      <c r="V59" s="750"/>
      <c r="W59" s="750"/>
      <c r="X59" s="750"/>
      <c r="Y59" s="750"/>
      <c r="Z59" s="750"/>
      <c r="AA59" s="750"/>
      <c r="AB59" s="750"/>
      <c r="AC59" s="750"/>
      <c r="AD59" s="750"/>
      <c r="AE59" s="750"/>
      <c r="AF59" s="750"/>
      <c r="AG59" s="750"/>
      <c r="AH59" s="750"/>
      <c r="AI59" s="750"/>
      <c r="AJ59" s="750"/>
      <c r="AK59" s="750"/>
      <c r="AL59" s="750"/>
      <c r="AM59" s="750"/>
      <c r="AN59" s="750"/>
      <c r="AO59" s="750"/>
      <c r="AP59" s="750"/>
      <c r="AQ59" s="750"/>
      <c r="AR59" s="750"/>
      <c r="AS59" s="750"/>
      <c r="AT59" s="750"/>
      <c r="AU59" s="750"/>
      <c r="AV59" s="750"/>
      <c r="AW59" s="750"/>
      <c r="AX59" s="750"/>
    </row>
    <row r="60" ht="15" customHeight="1" spans="2:50">
      <c r="B60" s="767" t="s">
        <v>1504</v>
      </c>
      <c r="C60" s="784"/>
      <c r="D60" s="784"/>
      <c r="E60" s="784"/>
      <c r="F60" s="784"/>
      <c r="G60" s="784"/>
      <c r="H60" s="784"/>
      <c r="I60" s="784"/>
      <c r="J60" s="770"/>
      <c r="K60" s="769" t="s">
        <v>1464</v>
      </c>
      <c r="L60" s="769" t="s">
        <v>199</v>
      </c>
      <c r="M60" s="769" t="s">
        <v>199</v>
      </c>
      <c r="N60" s="750"/>
      <c r="O60" s="750"/>
      <c r="P60" s="750"/>
      <c r="Q60" s="750"/>
      <c r="R60" s="750"/>
      <c r="S60" s="750"/>
      <c r="T60" s="750"/>
      <c r="U60" s="750"/>
      <c r="V60" s="750"/>
      <c r="W60" s="750"/>
      <c r="X60" s="750"/>
      <c r="Y60" s="750"/>
      <c r="Z60" s="750"/>
      <c r="AA60" s="750"/>
      <c r="AB60" s="750"/>
      <c r="AC60" s="750"/>
      <c r="AD60" s="750"/>
      <c r="AE60" s="750"/>
      <c r="AF60" s="750"/>
      <c r="AG60" s="750"/>
      <c r="AH60" s="750"/>
      <c r="AI60" s="750"/>
      <c r="AJ60" s="750"/>
      <c r="AK60" s="750"/>
      <c r="AL60" s="750"/>
      <c r="AM60" s="750"/>
      <c r="AN60" s="750"/>
      <c r="AO60" s="750"/>
      <c r="AP60" s="750"/>
      <c r="AQ60" s="750"/>
      <c r="AR60" s="750"/>
      <c r="AS60" s="750"/>
      <c r="AT60" s="750"/>
      <c r="AU60" s="750"/>
      <c r="AV60" s="750"/>
      <c r="AW60" s="750"/>
      <c r="AX60" s="750"/>
    </row>
    <row r="61" ht="15" customHeight="1" spans="2:50">
      <c r="B61" s="767" t="s">
        <v>1505</v>
      </c>
      <c r="C61" s="784"/>
      <c r="D61" s="784"/>
      <c r="E61" s="784"/>
      <c r="F61" s="784"/>
      <c r="G61" s="784"/>
      <c r="H61" s="784"/>
      <c r="I61" s="784"/>
      <c r="J61" s="770"/>
      <c r="K61" s="769" t="s">
        <v>1464</v>
      </c>
      <c r="L61" s="769" t="s">
        <v>199</v>
      </c>
      <c r="M61" s="769" t="s">
        <v>199</v>
      </c>
      <c r="N61" s="750"/>
      <c r="O61" s="750"/>
      <c r="P61" s="750"/>
      <c r="Q61" s="750"/>
      <c r="R61" s="750"/>
      <c r="S61" s="750"/>
      <c r="T61" s="750"/>
      <c r="U61" s="750"/>
      <c r="V61" s="750"/>
      <c r="W61" s="750"/>
      <c r="X61" s="750"/>
      <c r="Y61" s="750"/>
      <c r="Z61" s="750"/>
      <c r="AA61" s="750"/>
      <c r="AB61" s="750"/>
      <c r="AC61" s="750"/>
      <c r="AD61" s="750"/>
      <c r="AE61" s="750"/>
      <c r="AF61" s="750"/>
      <c r="AG61" s="750"/>
      <c r="AH61" s="750"/>
      <c r="AI61" s="750"/>
      <c r="AJ61" s="750"/>
      <c r="AK61" s="750"/>
      <c r="AL61" s="750"/>
      <c r="AM61" s="750"/>
      <c r="AN61" s="750"/>
      <c r="AO61" s="750"/>
      <c r="AP61" s="750"/>
      <c r="AQ61" s="750"/>
      <c r="AR61" s="750"/>
      <c r="AS61" s="750"/>
      <c r="AT61" s="750"/>
      <c r="AU61" s="750"/>
      <c r="AV61" s="750"/>
      <c r="AW61" s="750"/>
      <c r="AX61" s="750"/>
    </row>
    <row r="62" ht="15" customHeight="1" spans="2:50">
      <c r="B62" s="767" t="s">
        <v>1506</v>
      </c>
      <c r="C62" s="784"/>
      <c r="D62" s="784"/>
      <c r="E62" s="784"/>
      <c r="F62" s="784"/>
      <c r="G62" s="784"/>
      <c r="H62" s="784"/>
      <c r="I62" s="784"/>
      <c r="J62" s="770"/>
      <c r="K62" s="769" t="s">
        <v>1464</v>
      </c>
      <c r="L62" s="769" t="s">
        <v>199</v>
      </c>
      <c r="M62" s="769" t="s">
        <v>199</v>
      </c>
      <c r="N62" s="750"/>
      <c r="O62" s="750"/>
      <c r="P62" s="750"/>
      <c r="Q62" s="750"/>
      <c r="R62" s="750"/>
      <c r="S62" s="750"/>
      <c r="T62" s="750"/>
      <c r="U62" s="750"/>
      <c r="V62" s="750"/>
      <c r="W62" s="750"/>
      <c r="X62" s="750"/>
      <c r="Y62" s="750"/>
      <c r="Z62" s="750"/>
      <c r="AA62" s="750"/>
      <c r="AB62" s="750"/>
      <c r="AC62" s="750"/>
      <c r="AD62" s="750"/>
      <c r="AE62" s="750"/>
      <c r="AF62" s="750"/>
      <c r="AG62" s="750"/>
      <c r="AH62" s="750"/>
      <c r="AI62" s="750"/>
      <c r="AJ62" s="750"/>
      <c r="AK62" s="750"/>
      <c r="AL62" s="750"/>
      <c r="AM62" s="750"/>
      <c r="AN62" s="750"/>
      <c r="AO62" s="750"/>
      <c r="AP62" s="750"/>
      <c r="AQ62" s="750"/>
      <c r="AR62" s="750"/>
      <c r="AS62" s="750"/>
      <c r="AT62" s="750"/>
      <c r="AU62" s="750"/>
      <c r="AV62" s="750"/>
      <c r="AW62" s="750"/>
      <c r="AX62" s="750"/>
    </row>
    <row r="63" ht="15" customHeight="1" spans="2:50">
      <c r="B63" s="767" t="s">
        <v>1507</v>
      </c>
      <c r="C63" s="784"/>
      <c r="D63" s="784"/>
      <c r="E63" s="784"/>
      <c r="F63" s="784"/>
      <c r="G63" s="784"/>
      <c r="H63" s="784"/>
      <c r="I63" s="784"/>
      <c r="J63" s="770"/>
      <c r="K63" s="769" t="s">
        <v>1464</v>
      </c>
      <c r="L63" s="769" t="s">
        <v>199</v>
      </c>
      <c r="M63" s="769" t="s">
        <v>199</v>
      </c>
      <c r="N63" s="750"/>
      <c r="O63" s="750"/>
      <c r="P63" s="750"/>
      <c r="Q63" s="750"/>
      <c r="R63" s="750"/>
      <c r="S63" s="750"/>
      <c r="T63" s="750"/>
      <c r="U63" s="750"/>
      <c r="V63" s="750"/>
      <c r="W63" s="750"/>
      <c r="X63" s="750"/>
      <c r="Y63" s="750"/>
      <c r="Z63" s="750"/>
      <c r="AA63" s="750"/>
      <c r="AB63" s="750"/>
      <c r="AC63" s="750"/>
      <c r="AD63" s="750"/>
      <c r="AE63" s="750"/>
      <c r="AF63" s="750"/>
      <c r="AG63" s="750"/>
      <c r="AH63" s="750"/>
      <c r="AI63" s="750"/>
      <c r="AJ63" s="750"/>
      <c r="AK63" s="750"/>
      <c r="AL63" s="750"/>
      <c r="AM63" s="750"/>
      <c r="AN63" s="750"/>
      <c r="AO63" s="750"/>
      <c r="AP63" s="750"/>
      <c r="AQ63" s="750"/>
      <c r="AR63" s="750"/>
      <c r="AS63" s="750"/>
      <c r="AT63" s="750"/>
      <c r="AU63" s="750"/>
      <c r="AV63" s="750"/>
      <c r="AW63" s="750"/>
      <c r="AX63" s="750"/>
    </row>
    <row r="64" ht="15" customHeight="1" spans="2:50">
      <c r="B64" s="767" t="s">
        <v>1508</v>
      </c>
      <c r="C64" s="784"/>
      <c r="D64" s="784"/>
      <c r="E64" s="784"/>
      <c r="F64" s="784"/>
      <c r="G64" s="784"/>
      <c r="H64" s="784"/>
      <c r="I64" s="784"/>
      <c r="J64" s="770"/>
      <c r="K64" s="769" t="s">
        <v>1464</v>
      </c>
      <c r="L64" s="769" t="s">
        <v>199</v>
      </c>
      <c r="M64" s="769" t="s">
        <v>199</v>
      </c>
      <c r="N64" s="750"/>
      <c r="O64" s="750"/>
      <c r="P64" s="750"/>
      <c r="Q64" s="750"/>
      <c r="R64" s="750"/>
      <c r="S64" s="750"/>
      <c r="T64" s="750"/>
      <c r="U64" s="750"/>
      <c r="V64" s="750"/>
      <c r="W64" s="750"/>
      <c r="X64" s="750"/>
      <c r="Y64" s="750"/>
      <c r="Z64" s="750"/>
      <c r="AA64" s="750"/>
      <c r="AB64" s="750"/>
      <c r="AC64" s="750"/>
      <c r="AD64" s="750"/>
      <c r="AE64" s="750"/>
      <c r="AF64" s="750"/>
      <c r="AG64" s="750"/>
      <c r="AH64" s="750"/>
      <c r="AI64" s="750"/>
      <c r="AJ64" s="750"/>
      <c r="AK64" s="750"/>
      <c r="AL64" s="750"/>
      <c r="AM64" s="750"/>
      <c r="AN64" s="750"/>
      <c r="AO64" s="750"/>
      <c r="AP64" s="750"/>
      <c r="AQ64" s="750"/>
      <c r="AR64" s="750"/>
      <c r="AS64" s="750"/>
      <c r="AT64" s="750"/>
      <c r="AU64" s="750"/>
      <c r="AV64" s="750"/>
      <c r="AW64" s="750"/>
      <c r="AX64" s="750"/>
    </row>
    <row r="65" ht="15" customHeight="1" spans="2:50">
      <c r="B65" s="767" t="s">
        <v>1509</v>
      </c>
      <c r="C65" s="784"/>
      <c r="D65" s="784"/>
      <c r="E65" s="784"/>
      <c r="F65" s="784"/>
      <c r="G65" s="784"/>
      <c r="H65" s="784"/>
      <c r="I65" s="784"/>
      <c r="J65" s="770"/>
      <c r="K65" s="769" t="s">
        <v>1464</v>
      </c>
      <c r="L65" s="769" t="s">
        <v>199</v>
      </c>
      <c r="M65" s="769" t="s">
        <v>199</v>
      </c>
      <c r="N65" s="750"/>
      <c r="O65" s="750"/>
      <c r="P65" s="750"/>
      <c r="Q65" s="750"/>
      <c r="R65" s="750"/>
      <c r="S65" s="750"/>
      <c r="T65" s="750"/>
      <c r="U65" s="750"/>
      <c r="V65" s="750"/>
      <c r="W65" s="750"/>
      <c r="X65" s="750"/>
      <c r="Y65" s="750"/>
      <c r="Z65" s="750"/>
      <c r="AA65" s="750"/>
      <c r="AB65" s="750"/>
      <c r="AC65" s="750"/>
      <c r="AD65" s="750"/>
      <c r="AE65" s="750"/>
      <c r="AF65" s="750"/>
      <c r="AG65" s="750"/>
      <c r="AH65" s="750"/>
      <c r="AI65" s="750"/>
      <c r="AJ65" s="750"/>
      <c r="AK65" s="750"/>
      <c r="AL65" s="750"/>
      <c r="AM65" s="750"/>
      <c r="AN65" s="750"/>
      <c r="AO65" s="750"/>
      <c r="AP65" s="750"/>
      <c r="AQ65" s="750"/>
      <c r="AR65" s="750"/>
      <c r="AS65" s="750"/>
      <c r="AT65" s="750"/>
      <c r="AU65" s="750"/>
      <c r="AV65" s="750"/>
      <c r="AW65" s="750"/>
      <c r="AX65" s="750"/>
    </row>
    <row r="66" ht="15" customHeight="1" spans="2:50">
      <c r="B66" s="767" t="s">
        <v>1510</v>
      </c>
      <c r="C66" s="784"/>
      <c r="D66" s="784"/>
      <c r="E66" s="786"/>
      <c r="F66" s="786"/>
      <c r="G66" s="786"/>
      <c r="H66" s="786"/>
      <c r="I66" s="784"/>
      <c r="J66" s="770"/>
      <c r="K66" s="769" t="s">
        <v>1464</v>
      </c>
      <c r="L66" s="769" t="s">
        <v>199</v>
      </c>
      <c r="M66" s="769" t="s">
        <v>199</v>
      </c>
      <c r="N66" s="750"/>
      <c r="O66" s="750"/>
      <c r="P66" s="750"/>
      <c r="Q66" s="750"/>
      <c r="R66" s="750"/>
      <c r="S66" s="750"/>
      <c r="T66" s="750"/>
      <c r="U66" s="750"/>
      <c r="V66" s="750"/>
      <c r="W66" s="750"/>
      <c r="X66" s="750"/>
      <c r="Y66" s="750"/>
      <c r="Z66" s="750"/>
      <c r="AA66" s="750"/>
      <c r="AB66" s="750"/>
      <c r="AC66" s="750"/>
      <c r="AD66" s="750"/>
      <c r="AE66" s="750"/>
      <c r="AF66" s="750"/>
      <c r="AG66" s="750"/>
      <c r="AH66" s="750"/>
      <c r="AI66" s="750"/>
      <c r="AJ66" s="750"/>
      <c r="AK66" s="750"/>
      <c r="AL66" s="750"/>
      <c r="AM66" s="750"/>
      <c r="AN66" s="750"/>
      <c r="AO66" s="750"/>
      <c r="AP66" s="750"/>
      <c r="AQ66" s="750"/>
      <c r="AR66" s="750"/>
      <c r="AS66" s="750"/>
      <c r="AT66" s="750"/>
      <c r="AU66" s="750"/>
      <c r="AV66" s="750"/>
      <c r="AW66" s="750"/>
      <c r="AX66" s="750"/>
    </row>
    <row r="67" ht="15" customHeight="1" spans="2:50">
      <c r="B67" s="767" t="s">
        <v>1511</v>
      </c>
      <c r="C67" s="784"/>
      <c r="D67" s="784"/>
      <c r="E67" s="784"/>
      <c r="F67" s="784"/>
      <c r="G67" s="784"/>
      <c r="H67" s="784"/>
      <c r="I67" s="784"/>
      <c r="J67" s="770"/>
      <c r="K67" s="769" t="s">
        <v>1464</v>
      </c>
      <c r="L67" s="769" t="s">
        <v>199</v>
      </c>
      <c r="M67" s="769" t="s">
        <v>199</v>
      </c>
      <c r="N67" s="750"/>
      <c r="O67" s="750"/>
      <c r="P67" s="750"/>
      <c r="Q67" s="750"/>
      <c r="R67" s="750"/>
      <c r="S67" s="750"/>
      <c r="T67" s="750"/>
      <c r="U67" s="750"/>
      <c r="V67" s="750"/>
      <c r="W67" s="750"/>
      <c r="X67" s="750"/>
      <c r="Y67" s="750"/>
      <c r="Z67" s="750"/>
      <c r="AA67" s="750"/>
      <c r="AB67" s="750"/>
      <c r="AC67" s="750"/>
      <c r="AD67" s="750"/>
      <c r="AE67" s="750"/>
      <c r="AF67" s="750"/>
      <c r="AG67" s="750"/>
      <c r="AH67" s="750"/>
      <c r="AI67" s="750"/>
      <c r="AJ67" s="750"/>
      <c r="AK67" s="750"/>
      <c r="AL67" s="750"/>
      <c r="AM67" s="750"/>
      <c r="AN67" s="750"/>
      <c r="AO67" s="750"/>
      <c r="AP67" s="750"/>
      <c r="AQ67" s="750"/>
      <c r="AR67" s="750"/>
      <c r="AS67" s="750"/>
      <c r="AT67" s="750"/>
      <c r="AU67" s="750"/>
      <c r="AV67" s="750"/>
      <c r="AW67" s="750"/>
      <c r="AX67" s="750"/>
    </row>
    <row r="68" ht="15" customHeight="1" spans="2:50">
      <c r="B68" s="767" t="s">
        <v>1512</v>
      </c>
      <c r="C68" s="784"/>
      <c r="D68" s="784"/>
      <c r="E68" s="784"/>
      <c r="F68" s="784"/>
      <c r="G68" s="784"/>
      <c r="H68" s="784"/>
      <c r="I68" s="784"/>
      <c r="J68" s="770"/>
      <c r="K68" s="769" t="s">
        <v>1464</v>
      </c>
      <c r="L68" s="769" t="s">
        <v>199</v>
      </c>
      <c r="M68" s="769" t="s">
        <v>199</v>
      </c>
      <c r="N68" s="750"/>
      <c r="O68" s="750"/>
      <c r="P68" s="750"/>
      <c r="Q68" s="750"/>
      <c r="R68" s="750"/>
      <c r="S68" s="750"/>
      <c r="T68" s="750"/>
      <c r="U68" s="750"/>
      <c r="V68" s="750"/>
      <c r="W68" s="750"/>
      <c r="X68" s="750"/>
      <c r="Y68" s="750"/>
      <c r="Z68" s="750"/>
      <c r="AA68" s="750"/>
      <c r="AB68" s="750"/>
      <c r="AC68" s="750"/>
      <c r="AD68" s="750"/>
      <c r="AE68" s="750"/>
      <c r="AF68" s="750"/>
      <c r="AG68" s="750"/>
      <c r="AH68" s="750"/>
      <c r="AI68" s="750"/>
      <c r="AJ68" s="750"/>
      <c r="AK68" s="750"/>
      <c r="AL68" s="750"/>
      <c r="AM68" s="750"/>
      <c r="AN68" s="750"/>
      <c r="AO68" s="750"/>
      <c r="AP68" s="750"/>
      <c r="AQ68" s="750"/>
      <c r="AR68" s="750"/>
      <c r="AS68" s="750"/>
      <c r="AT68" s="750"/>
      <c r="AU68" s="750"/>
      <c r="AV68" s="750"/>
      <c r="AW68" s="750"/>
      <c r="AX68" s="750"/>
    </row>
    <row r="69" ht="15" customHeight="1" spans="2:50">
      <c r="B69" s="767" t="s">
        <v>1513</v>
      </c>
      <c r="C69" s="784"/>
      <c r="D69" s="784"/>
      <c r="E69" s="784"/>
      <c r="F69" s="784"/>
      <c r="G69" s="784"/>
      <c r="H69" s="784"/>
      <c r="I69" s="784"/>
      <c r="J69" s="770"/>
      <c r="K69" s="769" t="s">
        <v>1464</v>
      </c>
      <c r="L69" s="769" t="s">
        <v>199</v>
      </c>
      <c r="M69" s="769" t="s">
        <v>199</v>
      </c>
      <c r="N69" s="750"/>
      <c r="O69" s="750"/>
      <c r="P69" s="750"/>
      <c r="Q69" s="750"/>
      <c r="R69" s="750"/>
      <c r="S69" s="750"/>
      <c r="T69" s="750"/>
      <c r="U69" s="750"/>
      <c r="V69" s="750"/>
      <c r="W69" s="750"/>
      <c r="X69" s="750"/>
      <c r="Y69" s="750"/>
      <c r="Z69" s="750"/>
      <c r="AA69" s="750"/>
      <c r="AB69" s="750"/>
      <c r="AC69" s="750"/>
      <c r="AD69" s="750"/>
      <c r="AE69" s="750"/>
      <c r="AF69" s="750"/>
      <c r="AG69" s="750"/>
      <c r="AH69" s="750"/>
      <c r="AI69" s="750"/>
      <c r="AJ69" s="750"/>
      <c r="AK69" s="750"/>
      <c r="AL69" s="750"/>
      <c r="AM69" s="750"/>
      <c r="AN69" s="750"/>
      <c r="AO69" s="750"/>
      <c r="AP69" s="750"/>
      <c r="AQ69" s="750"/>
      <c r="AR69" s="750"/>
      <c r="AS69" s="750"/>
      <c r="AT69" s="750"/>
      <c r="AU69" s="750"/>
      <c r="AV69" s="750"/>
      <c r="AW69" s="750"/>
      <c r="AX69" s="750"/>
    </row>
    <row r="70" ht="15" customHeight="1" spans="2:50">
      <c r="B70" s="767" t="s">
        <v>1514</v>
      </c>
      <c r="C70" s="784"/>
      <c r="D70" s="784"/>
      <c r="E70" s="784"/>
      <c r="F70" s="784"/>
      <c r="G70" s="784"/>
      <c r="H70" s="784"/>
      <c r="I70" s="784"/>
      <c r="J70" s="770"/>
      <c r="K70" s="769" t="s">
        <v>1464</v>
      </c>
      <c r="L70" s="769" t="s">
        <v>199</v>
      </c>
      <c r="M70" s="769" t="s">
        <v>199</v>
      </c>
      <c r="N70" s="750"/>
      <c r="O70" s="750"/>
      <c r="P70" s="750"/>
      <c r="Q70" s="750"/>
      <c r="R70" s="750"/>
      <c r="S70" s="750"/>
      <c r="T70" s="750"/>
      <c r="U70" s="750"/>
      <c r="V70" s="750"/>
      <c r="W70" s="750"/>
      <c r="X70" s="750"/>
      <c r="Y70" s="750"/>
      <c r="Z70" s="750"/>
      <c r="AA70" s="750"/>
      <c r="AB70" s="750"/>
      <c r="AC70" s="750"/>
      <c r="AD70" s="750"/>
      <c r="AE70" s="750"/>
      <c r="AF70" s="750"/>
      <c r="AG70" s="750"/>
      <c r="AH70" s="750"/>
      <c r="AI70" s="750"/>
      <c r="AJ70" s="750"/>
      <c r="AK70" s="750"/>
      <c r="AL70" s="750"/>
      <c r="AM70" s="750"/>
      <c r="AN70" s="750"/>
      <c r="AO70" s="750"/>
      <c r="AP70" s="750"/>
      <c r="AQ70" s="750"/>
      <c r="AR70" s="750"/>
      <c r="AS70" s="750"/>
      <c r="AT70" s="750"/>
      <c r="AU70" s="750"/>
      <c r="AV70" s="750"/>
      <c r="AW70" s="750"/>
      <c r="AX70" s="750"/>
    </row>
    <row r="71" ht="15" customHeight="1" spans="2:50">
      <c r="B71" s="767" t="s">
        <v>1515</v>
      </c>
      <c r="C71" s="785"/>
      <c r="D71" s="785"/>
      <c r="E71" s="785"/>
      <c r="F71" s="785"/>
      <c r="G71" s="785"/>
      <c r="H71" s="785"/>
      <c r="I71" s="789"/>
      <c r="J71" s="770"/>
      <c r="K71" s="769" t="s">
        <v>1464</v>
      </c>
      <c r="L71" s="769" t="s">
        <v>199</v>
      </c>
      <c r="M71" s="769" t="s">
        <v>199</v>
      </c>
      <c r="N71" s="751"/>
      <c r="O71" s="751"/>
      <c r="P71" s="751"/>
      <c r="Q71" s="751"/>
      <c r="R71" s="751"/>
      <c r="S71" s="751"/>
      <c r="T71" s="751"/>
      <c r="U71" s="751"/>
      <c r="V71" s="751"/>
      <c r="W71" s="751"/>
      <c r="X71" s="751"/>
      <c r="Y71" s="751"/>
      <c r="Z71" s="751"/>
      <c r="AA71" s="751"/>
      <c r="AB71" s="751"/>
      <c r="AC71" s="751"/>
      <c r="AD71" s="751"/>
      <c r="AE71" s="751"/>
      <c r="AF71" s="751"/>
      <c r="AG71" s="751"/>
      <c r="AH71" s="751"/>
      <c r="AI71" s="751"/>
      <c r="AJ71" s="751"/>
      <c r="AK71" s="751"/>
      <c r="AL71" s="751"/>
      <c r="AM71" s="751"/>
      <c r="AN71" s="751"/>
      <c r="AO71" s="751"/>
      <c r="AP71" s="751"/>
      <c r="AQ71" s="751"/>
      <c r="AR71" s="751"/>
      <c r="AS71" s="751"/>
      <c r="AT71" s="751"/>
      <c r="AU71" s="751"/>
      <c r="AV71" s="751"/>
      <c r="AW71" s="751"/>
      <c r="AX71" s="751"/>
    </row>
    <row r="72" ht="15" customHeight="1" spans="2:50">
      <c r="B72" s="767" t="s">
        <v>1516</v>
      </c>
      <c r="C72" s="785"/>
      <c r="D72" s="785"/>
      <c r="E72" s="785"/>
      <c r="F72" s="785"/>
      <c r="G72" s="785"/>
      <c r="H72" s="785"/>
      <c r="I72" s="789"/>
      <c r="J72" s="770"/>
      <c r="K72" s="769" t="s">
        <v>1464</v>
      </c>
      <c r="L72" s="769" t="s">
        <v>199</v>
      </c>
      <c r="M72" s="769" t="s">
        <v>199</v>
      </c>
      <c r="N72" s="751"/>
      <c r="O72" s="751"/>
      <c r="P72" s="751"/>
      <c r="Q72" s="751"/>
      <c r="R72" s="751"/>
      <c r="S72" s="751"/>
      <c r="T72" s="751"/>
      <c r="U72" s="751"/>
      <c r="V72" s="751"/>
      <c r="W72" s="751"/>
      <c r="X72" s="751"/>
      <c r="Y72" s="751"/>
      <c r="Z72" s="751"/>
      <c r="AA72" s="751"/>
      <c r="AB72" s="751"/>
      <c r="AC72" s="751"/>
      <c r="AD72" s="751"/>
      <c r="AE72" s="751"/>
      <c r="AF72" s="751"/>
      <c r="AG72" s="751"/>
      <c r="AH72" s="751"/>
      <c r="AI72" s="751"/>
      <c r="AJ72" s="751"/>
      <c r="AK72" s="751"/>
      <c r="AL72" s="751"/>
      <c r="AM72" s="751"/>
      <c r="AN72" s="751"/>
      <c r="AO72" s="751"/>
      <c r="AP72" s="751"/>
      <c r="AQ72" s="751"/>
      <c r="AR72" s="751"/>
      <c r="AS72" s="751"/>
      <c r="AT72" s="751"/>
      <c r="AU72" s="751"/>
      <c r="AV72" s="751"/>
      <c r="AW72" s="751"/>
      <c r="AX72" s="751"/>
    </row>
    <row r="73" ht="15" customHeight="1" spans="2:50">
      <c r="B73" s="767" t="s">
        <v>1517</v>
      </c>
      <c r="C73" s="785"/>
      <c r="D73" s="785"/>
      <c r="E73" s="785"/>
      <c r="F73" s="785"/>
      <c r="G73" s="785"/>
      <c r="H73" s="785"/>
      <c r="I73" s="789"/>
      <c r="J73" s="792"/>
      <c r="K73" s="769" t="s">
        <v>1464</v>
      </c>
      <c r="L73" s="769" t="s">
        <v>199</v>
      </c>
      <c r="M73" s="769" t="s">
        <v>199</v>
      </c>
      <c r="N73" s="751"/>
      <c r="O73" s="751"/>
      <c r="P73" s="751"/>
      <c r="Q73" s="751"/>
      <c r="R73" s="751"/>
      <c r="S73" s="751"/>
      <c r="T73" s="751"/>
      <c r="U73" s="751"/>
      <c r="V73" s="751"/>
      <c r="W73" s="751"/>
      <c r="X73" s="751"/>
      <c r="Y73" s="751"/>
      <c r="Z73" s="751"/>
      <c r="AA73" s="751"/>
      <c r="AB73" s="751"/>
      <c r="AC73" s="751"/>
      <c r="AD73" s="751"/>
      <c r="AE73" s="751"/>
      <c r="AF73" s="751"/>
      <c r="AG73" s="751"/>
      <c r="AH73" s="751"/>
      <c r="AI73" s="751"/>
      <c r="AJ73" s="751"/>
      <c r="AK73" s="751"/>
      <c r="AL73" s="751"/>
      <c r="AM73" s="751"/>
      <c r="AN73" s="751"/>
      <c r="AO73" s="751"/>
      <c r="AP73" s="751"/>
      <c r="AQ73" s="751"/>
      <c r="AR73" s="751"/>
      <c r="AS73" s="751"/>
      <c r="AT73" s="751"/>
      <c r="AU73" s="751"/>
      <c r="AV73" s="751"/>
      <c r="AW73" s="751"/>
      <c r="AX73" s="751"/>
    </row>
    <row r="74" ht="15" customHeight="1" spans="2:50">
      <c r="B74" s="767" t="s">
        <v>1518</v>
      </c>
      <c r="C74" s="785"/>
      <c r="D74" s="785"/>
      <c r="E74" s="785"/>
      <c r="F74" s="785"/>
      <c r="G74" s="785"/>
      <c r="H74" s="785"/>
      <c r="I74" s="793"/>
      <c r="J74" s="793"/>
      <c r="K74" s="769" t="s">
        <v>1464</v>
      </c>
      <c r="L74" s="769" t="s">
        <v>199</v>
      </c>
      <c r="M74" s="769" t="s">
        <v>199</v>
      </c>
      <c r="N74" s="751"/>
      <c r="O74" s="751"/>
      <c r="P74" s="751"/>
      <c r="Q74" s="751"/>
      <c r="R74" s="751"/>
      <c r="S74" s="751"/>
      <c r="T74" s="751"/>
      <c r="U74" s="751"/>
      <c r="V74" s="751"/>
      <c r="W74" s="751"/>
      <c r="X74" s="751"/>
      <c r="Y74" s="751"/>
      <c r="Z74" s="751"/>
      <c r="AA74" s="751"/>
      <c r="AB74" s="751"/>
      <c r="AC74" s="751"/>
      <c r="AD74" s="751"/>
      <c r="AE74" s="751"/>
      <c r="AF74" s="751"/>
      <c r="AG74" s="751"/>
      <c r="AH74" s="751"/>
      <c r="AI74" s="751"/>
      <c r="AJ74" s="751"/>
      <c r="AK74" s="751"/>
      <c r="AL74" s="751"/>
      <c r="AM74" s="751"/>
      <c r="AN74" s="751"/>
      <c r="AO74" s="751"/>
      <c r="AP74" s="751"/>
      <c r="AQ74" s="751"/>
      <c r="AR74" s="751"/>
      <c r="AS74" s="751"/>
      <c r="AT74" s="751"/>
      <c r="AU74" s="751"/>
      <c r="AV74" s="751"/>
      <c r="AW74" s="751"/>
      <c r="AX74" s="751"/>
    </row>
    <row r="75" ht="15" customHeight="1" spans="2:50">
      <c r="B75" s="767" t="s">
        <v>1519</v>
      </c>
      <c r="C75" s="785"/>
      <c r="D75" s="785"/>
      <c r="E75" s="785"/>
      <c r="F75" s="785"/>
      <c r="G75" s="785"/>
      <c r="H75" s="785"/>
      <c r="I75" s="789"/>
      <c r="J75" s="793"/>
      <c r="K75" s="769" t="s">
        <v>1464</v>
      </c>
      <c r="L75" s="769" t="s">
        <v>199</v>
      </c>
      <c r="M75" s="769" t="s">
        <v>199</v>
      </c>
      <c r="N75" s="751"/>
      <c r="O75" s="751"/>
      <c r="P75" s="751"/>
      <c r="Q75" s="751"/>
      <c r="R75" s="751"/>
      <c r="S75" s="751"/>
      <c r="T75" s="751"/>
      <c r="U75" s="751"/>
      <c r="V75" s="751"/>
      <c r="W75" s="751"/>
      <c r="X75" s="751"/>
      <c r="Y75" s="751"/>
      <c r="Z75" s="751"/>
      <c r="AA75" s="751"/>
      <c r="AB75" s="751"/>
      <c r="AC75" s="751"/>
      <c r="AD75" s="751"/>
      <c r="AE75" s="751"/>
      <c r="AF75" s="751"/>
      <c r="AG75" s="751"/>
      <c r="AH75" s="751"/>
      <c r="AI75" s="751"/>
      <c r="AJ75" s="751"/>
      <c r="AK75" s="751"/>
      <c r="AL75" s="751"/>
      <c r="AM75" s="751"/>
      <c r="AN75" s="751"/>
      <c r="AO75" s="751"/>
      <c r="AP75" s="751"/>
      <c r="AQ75" s="751"/>
      <c r="AR75" s="751"/>
      <c r="AS75" s="751"/>
      <c r="AT75" s="751"/>
      <c r="AU75" s="751"/>
      <c r="AV75" s="751"/>
      <c r="AW75" s="751"/>
      <c r="AX75" s="751"/>
    </row>
    <row r="76" ht="15" customHeight="1" spans="2:50">
      <c r="B76" s="767" t="s">
        <v>1520</v>
      </c>
      <c r="C76" s="785"/>
      <c r="D76" s="785"/>
      <c r="E76" s="785"/>
      <c r="F76" s="785"/>
      <c r="G76" s="785"/>
      <c r="H76" s="785"/>
      <c r="I76" s="793"/>
      <c r="J76" s="793"/>
      <c r="K76" s="769" t="s">
        <v>1464</v>
      </c>
      <c r="L76" s="769" t="s">
        <v>199</v>
      </c>
      <c r="M76" s="769" t="s">
        <v>199</v>
      </c>
      <c r="N76" s="751"/>
      <c r="O76" s="751"/>
      <c r="P76" s="751"/>
      <c r="Q76" s="751"/>
      <c r="R76" s="751"/>
      <c r="S76" s="751"/>
      <c r="T76" s="751"/>
      <c r="U76" s="751"/>
      <c r="V76" s="751"/>
      <c r="W76" s="751"/>
      <c r="X76" s="751"/>
      <c r="Y76" s="751"/>
      <c r="Z76" s="751"/>
      <c r="AA76" s="751"/>
      <c r="AB76" s="751"/>
      <c r="AC76" s="751"/>
      <c r="AD76" s="751"/>
      <c r="AE76" s="751"/>
      <c r="AF76" s="751"/>
      <c r="AG76" s="751"/>
      <c r="AH76" s="751"/>
      <c r="AI76" s="751"/>
      <c r="AJ76" s="751"/>
      <c r="AK76" s="751"/>
      <c r="AL76" s="751"/>
      <c r="AM76" s="751"/>
      <c r="AN76" s="751"/>
      <c r="AO76" s="751"/>
      <c r="AP76" s="751"/>
      <c r="AQ76" s="751"/>
      <c r="AR76" s="751"/>
      <c r="AS76" s="751"/>
      <c r="AT76" s="751"/>
      <c r="AU76" s="751"/>
      <c r="AV76" s="751"/>
      <c r="AW76" s="751"/>
      <c r="AX76" s="751"/>
    </row>
    <row r="77" ht="15" customHeight="1" spans="2:50">
      <c r="B77" s="767" t="s">
        <v>1521</v>
      </c>
      <c r="C77" s="785"/>
      <c r="D77" s="785"/>
      <c r="E77" s="785"/>
      <c r="F77" s="785"/>
      <c r="G77" s="785"/>
      <c r="H77" s="785"/>
      <c r="I77" s="789"/>
      <c r="J77" s="793"/>
      <c r="K77" s="769" t="s">
        <v>1464</v>
      </c>
      <c r="L77" s="769" t="s">
        <v>199</v>
      </c>
      <c r="M77" s="769" t="s">
        <v>199</v>
      </c>
      <c r="N77" s="751"/>
      <c r="O77" s="751"/>
      <c r="P77" s="751"/>
      <c r="Q77" s="751"/>
      <c r="R77" s="751"/>
      <c r="S77" s="751"/>
      <c r="T77" s="751"/>
      <c r="U77" s="751"/>
      <c r="V77" s="751"/>
      <c r="W77" s="751"/>
      <c r="X77" s="751"/>
      <c r="Y77" s="751"/>
      <c r="Z77" s="751"/>
      <c r="AA77" s="751"/>
      <c r="AB77" s="751"/>
      <c r="AC77" s="751"/>
      <c r="AD77" s="751"/>
      <c r="AE77" s="751"/>
      <c r="AF77" s="751"/>
      <c r="AG77" s="751"/>
      <c r="AH77" s="751"/>
      <c r="AI77" s="751"/>
      <c r="AJ77" s="751"/>
      <c r="AK77" s="751"/>
      <c r="AL77" s="751"/>
      <c r="AM77" s="751"/>
      <c r="AN77" s="751"/>
      <c r="AO77" s="751"/>
      <c r="AP77" s="751"/>
      <c r="AQ77" s="751"/>
      <c r="AR77" s="751"/>
      <c r="AS77" s="751"/>
      <c r="AT77" s="751"/>
      <c r="AU77" s="751"/>
      <c r="AV77" s="751"/>
      <c r="AW77" s="751"/>
      <c r="AX77" s="751"/>
    </row>
    <row r="78" ht="15" customHeight="1" spans="2:50">
      <c r="B78" s="767" t="s">
        <v>1522</v>
      </c>
      <c r="C78" s="785"/>
      <c r="D78" s="785"/>
      <c r="E78" s="785"/>
      <c r="F78" s="785"/>
      <c r="G78" s="785"/>
      <c r="H78" s="785"/>
      <c r="I78" s="789"/>
      <c r="J78" s="793"/>
      <c r="K78" s="769" t="s">
        <v>1464</v>
      </c>
      <c r="L78" s="769" t="s">
        <v>199</v>
      </c>
      <c r="M78" s="769" t="s">
        <v>199</v>
      </c>
      <c r="N78" s="751"/>
      <c r="O78" s="751"/>
      <c r="P78" s="751"/>
      <c r="Q78" s="751"/>
      <c r="R78" s="751"/>
      <c r="S78" s="751"/>
      <c r="T78" s="751"/>
      <c r="U78" s="751"/>
      <c r="V78" s="751"/>
      <c r="W78" s="751"/>
      <c r="X78" s="751"/>
      <c r="Y78" s="751"/>
      <c r="Z78" s="751"/>
      <c r="AA78" s="751"/>
      <c r="AB78" s="751"/>
      <c r="AC78" s="751"/>
      <c r="AD78" s="751"/>
      <c r="AE78" s="751"/>
      <c r="AF78" s="751"/>
      <c r="AG78" s="751"/>
      <c r="AH78" s="751"/>
      <c r="AI78" s="751"/>
      <c r="AJ78" s="751"/>
      <c r="AK78" s="751"/>
      <c r="AL78" s="751"/>
      <c r="AM78" s="751"/>
      <c r="AN78" s="751"/>
      <c r="AO78" s="751"/>
      <c r="AP78" s="751"/>
      <c r="AQ78" s="751"/>
      <c r="AR78" s="751"/>
      <c r="AS78" s="751"/>
      <c r="AT78" s="751"/>
      <c r="AU78" s="751"/>
      <c r="AV78" s="751"/>
      <c r="AW78" s="751"/>
      <c r="AX78" s="751"/>
    </row>
    <row r="79" ht="15" customHeight="1" spans="2:50">
      <c r="B79" s="767" t="s">
        <v>1523</v>
      </c>
      <c r="C79" s="785"/>
      <c r="D79" s="785"/>
      <c r="E79" s="785"/>
      <c r="F79" s="785"/>
      <c r="G79" s="785"/>
      <c r="H79" s="785"/>
      <c r="I79" s="793"/>
      <c r="J79" s="793"/>
      <c r="K79" s="769" t="s">
        <v>1464</v>
      </c>
      <c r="L79" s="769" t="s">
        <v>199</v>
      </c>
      <c r="M79" s="769" t="s">
        <v>199</v>
      </c>
      <c r="N79" s="751"/>
      <c r="O79" s="751"/>
      <c r="P79" s="751"/>
      <c r="Q79" s="751"/>
      <c r="R79" s="751"/>
      <c r="S79" s="751"/>
      <c r="T79" s="751"/>
      <c r="U79" s="751"/>
      <c r="V79" s="751"/>
      <c r="W79" s="751"/>
      <c r="X79" s="751"/>
      <c r="Y79" s="751"/>
      <c r="Z79" s="751"/>
      <c r="AA79" s="751"/>
      <c r="AB79" s="751"/>
      <c r="AC79" s="751"/>
      <c r="AD79" s="751"/>
      <c r="AE79" s="751"/>
      <c r="AF79" s="751"/>
      <c r="AG79" s="751"/>
      <c r="AH79" s="751"/>
      <c r="AI79" s="751"/>
      <c r="AJ79" s="751"/>
      <c r="AK79" s="751"/>
      <c r="AL79" s="751"/>
      <c r="AM79" s="751"/>
      <c r="AN79" s="751"/>
      <c r="AO79" s="751"/>
      <c r="AP79" s="751"/>
      <c r="AQ79" s="751"/>
      <c r="AR79" s="751"/>
      <c r="AS79" s="751"/>
      <c r="AT79" s="751"/>
      <c r="AU79" s="751"/>
      <c r="AV79" s="751"/>
      <c r="AW79" s="751"/>
      <c r="AX79" s="751"/>
    </row>
    <row r="80" ht="15" customHeight="1" spans="2:50">
      <c r="B80" s="767" t="s">
        <v>1524</v>
      </c>
      <c r="C80" s="785"/>
      <c r="D80" s="785"/>
      <c r="E80" s="785"/>
      <c r="F80" s="785"/>
      <c r="G80" s="785"/>
      <c r="H80" s="785"/>
      <c r="I80" s="793"/>
      <c r="J80" s="793"/>
      <c r="K80" s="769" t="s">
        <v>1464</v>
      </c>
      <c r="L80" s="769" t="s">
        <v>199</v>
      </c>
      <c r="M80" s="769" t="s">
        <v>199</v>
      </c>
      <c r="N80" s="751"/>
      <c r="O80" s="751"/>
      <c r="P80" s="751"/>
      <c r="Q80" s="751"/>
      <c r="R80" s="751"/>
      <c r="S80" s="751"/>
      <c r="T80" s="751"/>
      <c r="U80" s="751"/>
      <c r="V80" s="751"/>
      <c r="W80" s="751"/>
      <c r="X80" s="751"/>
      <c r="Y80" s="751"/>
      <c r="Z80" s="751"/>
      <c r="AA80" s="751"/>
      <c r="AB80" s="751"/>
      <c r="AC80" s="751"/>
      <c r="AD80" s="751"/>
      <c r="AE80" s="751"/>
      <c r="AF80" s="751"/>
      <c r="AG80" s="751"/>
      <c r="AH80" s="751"/>
      <c r="AI80" s="751"/>
      <c r="AJ80" s="751"/>
      <c r="AK80" s="751"/>
      <c r="AL80" s="751"/>
      <c r="AM80" s="751"/>
      <c r="AN80" s="751"/>
      <c r="AO80" s="751"/>
      <c r="AP80" s="751"/>
      <c r="AQ80" s="751"/>
      <c r="AR80" s="751"/>
      <c r="AS80" s="751"/>
      <c r="AT80" s="751"/>
      <c r="AU80" s="751"/>
      <c r="AV80" s="751"/>
      <c r="AW80" s="751"/>
      <c r="AX80" s="751"/>
    </row>
    <row r="81" ht="15" customHeight="1" spans="2:50">
      <c r="B81" s="767" t="s">
        <v>1525</v>
      </c>
      <c r="C81" s="785"/>
      <c r="D81" s="785"/>
      <c r="E81" s="785"/>
      <c r="F81" s="785"/>
      <c r="G81" s="785"/>
      <c r="H81" s="785"/>
      <c r="I81" s="793"/>
      <c r="J81" s="793"/>
      <c r="K81" s="769" t="s">
        <v>1464</v>
      </c>
      <c r="L81" s="769" t="s">
        <v>199</v>
      </c>
      <c r="M81" s="769" t="s">
        <v>199</v>
      </c>
      <c r="N81" s="751"/>
      <c r="O81" s="751"/>
      <c r="P81" s="751"/>
      <c r="Q81" s="751"/>
      <c r="R81" s="751"/>
      <c r="S81" s="751"/>
      <c r="T81" s="751"/>
      <c r="U81" s="751"/>
      <c r="V81" s="751"/>
      <c r="W81" s="751"/>
      <c r="X81" s="751"/>
      <c r="Y81" s="751"/>
      <c r="Z81" s="751"/>
      <c r="AA81" s="751"/>
      <c r="AB81" s="751"/>
      <c r="AC81" s="751"/>
      <c r="AD81" s="751"/>
      <c r="AE81" s="751"/>
      <c r="AF81" s="751"/>
      <c r="AG81" s="751"/>
      <c r="AH81" s="751"/>
      <c r="AI81" s="751"/>
      <c r="AJ81" s="751"/>
      <c r="AK81" s="751"/>
      <c r="AL81" s="751"/>
      <c r="AM81" s="751"/>
      <c r="AN81" s="751"/>
      <c r="AO81" s="751"/>
      <c r="AP81" s="751"/>
      <c r="AQ81" s="751"/>
      <c r="AR81" s="751"/>
      <c r="AS81" s="751"/>
      <c r="AT81" s="751"/>
      <c r="AU81" s="751"/>
      <c r="AV81" s="751"/>
      <c r="AW81" s="751"/>
      <c r="AX81" s="751"/>
    </row>
    <row r="82" ht="15" customHeight="1" spans="2:50">
      <c r="B82" s="767" t="s">
        <v>1526</v>
      </c>
      <c r="C82" s="785"/>
      <c r="D82" s="785"/>
      <c r="E82" s="785"/>
      <c r="F82" s="785"/>
      <c r="G82" s="785"/>
      <c r="H82" s="785"/>
      <c r="I82" s="789"/>
      <c r="J82" s="770"/>
      <c r="K82" s="769" t="s">
        <v>1464</v>
      </c>
      <c r="L82" s="769" t="s">
        <v>199</v>
      </c>
      <c r="M82" s="769" t="s">
        <v>199</v>
      </c>
      <c r="N82" s="751"/>
      <c r="O82" s="751"/>
      <c r="P82" s="751"/>
      <c r="Q82" s="751"/>
      <c r="R82" s="751"/>
      <c r="S82" s="751"/>
      <c r="T82" s="751"/>
      <c r="U82" s="751"/>
      <c r="V82" s="751"/>
      <c r="W82" s="751"/>
      <c r="X82" s="751"/>
      <c r="Y82" s="751"/>
      <c r="Z82" s="751"/>
      <c r="AA82" s="751"/>
      <c r="AB82" s="751"/>
      <c r="AC82" s="751"/>
      <c r="AD82" s="751"/>
      <c r="AE82" s="751"/>
      <c r="AF82" s="751"/>
      <c r="AG82" s="751"/>
      <c r="AH82" s="751"/>
      <c r="AI82" s="751"/>
      <c r="AJ82" s="751"/>
      <c r="AK82" s="751"/>
      <c r="AL82" s="751"/>
      <c r="AM82" s="751"/>
      <c r="AN82" s="751"/>
      <c r="AO82" s="751"/>
      <c r="AP82" s="751"/>
      <c r="AQ82" s="751"/>
      <c r="AR82" s="751"/>
      <c r="AS82" s="751"/>
      <c r="AT82" s="751"/>
      <c r="AU82" s="751"/>
      <c r="AV82" s="751"/>
      <c r="AW82" s="751"/>
      <c r="AX82" s="751"/>
    </row>
    <row r="83" ht="15" customHeight="1" spans="2:50">
      <c r="B83" s="767" t="s">
        <v>1527</v>
      </c>
      <c r="C83" s="785"/>
      <c r="D83" s="785"/>
      <c r="E83" s="785"/>
      <c r="F83" s="785"/>
      <c r="G83" s="785"/>
      <c r="H83" s="785"/>
      <c r="I83" s="789"/>
      <c r="J83" s="770"/>
      <c r="K83" s="769" t="s">
        <v>1464</v>
      </c>
      <c r="L83" s="769" t="s">
        <v>199</v>
      </c>
      <c r="M83" s="769" t="s">
        <v>199</v>
      </c>
      <c r="N83" s="751"/>
      <c r="O83" s="751"/>
      <c r="P83" s="751"/>
      <c r="Q83" s="751"/>
      <c r="R83" s="751"/>
      <c r="S83" s="751"/>
      <c r="T83" s="751"/>
      <c r="U83" s="751"/>
      <c r="V83" s="751"/>
      <c r="W83" s="751"/>
      <c r="X83" s="751"/>
      <c r="Y83" s="751"/>
      <c r="Z83" s="751"/>
      <c r="AA83" s="751"/>
      <c r="AB83" s="751"/>
      <c r="AC83" s="751"/>
      <c r="AD83" s="751"/>
      <c r="AE83" s="751"/>
      <c r="AF83" s="751"/>
      <c r="AG83" s="751"/>
      <c r="AH83" s="751"/>
      <c r="AI83" s="751"/>
      <c r="AJ83" s="751"/>
      <c r="AK83" s="751"/>
      <c r="AL83" s="751"/>
      <c r="AM83" s="751"/>
      <c r="AN83" s="751"/>
      <c r="AO83" s="751"/>
      <c r="AP83" s="751"/>
      <c r="AQ83" s="751"/>
      <c r="AR83" s="751"/>
      <c r="AS83" s="751"/>
      <c r="AT83" s="751"/>
      <c r="AU83" s="751"/>
      <c r="AV83" s="751"/>
      <c r="AW83" s="751"/>
      <c r="AX83" s="751"/>
    </row>
    <row r="84" ht="15" customHeight="1" spans="2:50">
      <c r="B84" s="767" t="s">
        <v>1528</v>
      </c>
      <c r="C84" s="785"/>
      <c r="D84" s="785"/>
      <c r="E84" s="785"/>
      <c r="F84" s="785"/>
      <c r="G84" s="785"/>
      <c r="H84" s="785"/>
      <c r="I84" s="789"/>
      <c r="J84" s="770"/>
      <c r="K84" s="769" t="s">
        <v>1464</v>
      </c>
      <c r="L84" s="769" t="s">
        <v>199</v>
      </c>
      <c r="M84" s="769" t="s">
        <v>199</v>
      </c>
      <c r="N84" s="751"/>
      <c r="O84" s="751"/>
      <c r="P84" s="751"/>
      <c r="Q84" s="751"/>
      <c r="R84" s="751"/>
      <c r="S84" s="751"/>
      <c r="T84" s="751"/>
      <c r="U84" s="751"/>
      <c r="V84" s="751"/>
      <c r="W84" s="751"/>
      <c r="X84" s="751"/>
      <c r="Y84" s="751"/>
      <c r="Z84" s="751"/>
      <c r="AA84" s="751"/>
      <c r="AB84" s="751"/>
      <c r="AC84" s="751"/>
      <c r="AD84" s="751"/>
      <c r="AE84" s="751"/>
      <c r="AF84" s="751"/>
      <c r="AG84" s="751"/>
      <c r="AH84" s="751"/>
      <c r="AI84" s="751"/>
      <c r="AJ84" s="751"/>
      <c r="AK84" s="751"/>
      <c r="AL84" s="751"/>
      <c r="AM84" s="751"/>
      <c r="AN84" s="751"/>
      <c r="AO84" s="751"/>
      <c r="AP84" s="751"/>
      <c r="AQ84" s="751"/>
      <c r="AR84" s="751"/>
      <c r="AS84" s="751"/>
      <c r="AT84" s="751"/>
      <c r="AU84" s="751"/>
      <c r="AV84" s="751"/>
      <c r="AW84" s="751"/>
      <c r="AX84" s="751"/>
    </row>
    <row r="85" ht="15" customHeight="1" spans="2:50">
      <c r="B85" s="767" t="s">
        <v>1529</v>
      </c>
      <c r="C85" s="784"/>
      <c r="D85" s="784"/>
      <c r="E85" s="784"/>
      <c r="F85" s="784"/>
      <c r="G85" s="784"/>
      <c r="H85" s="784"/>
      <c r="I85" s="784"/>
      <c r="J85" s="770"/>
      <c r="K85" s="769" t="s">
        <v>1464</v>
      </c>
      <c r="L85" s="769" t="s">
        <v>199</v>
      </c>
      <c r="M85" s="769" t="s">
        <v>199</v>
      </c>
      <c r="N85" s="750"/>
      <c r="O85" s="750"/>
      <c r="P85" s="750"/>
      <c r="Q85" s="750"/>
      <c r="R85" s="750"/>
      <c r="S85" s="750"/>
      <c r="T85" s="750"/>
      <c r="U85" s="750"/>
      <c r="V85" s="750"/>
      <c r="W85" s="750"/>
      <c r="X85" s="750"/>
      <c r="Y85" s="750"/>
      <c r="Z85" s="750"/>
      <c r="AA85" s="750"/>
      <c r="AB85" s="750"/>
      <c r="AC85" s="750"/>
      <c r="AD85" s="750"/>
      <c r="AE85" s="750"/>
      <c r="AF85" s="750"/>
      <c r="AG85" s="750"/>
      <c r="AH85" s="750"/>
      <c r="AI85" s="750"/>
      <c r="AJ85" s="750"/>
      <c r="AK85" s="750"/>
      <c r="AL85" s="750"/>
      <c r="AM85" s="750"/>
      <c r="AN85" s="750"/>
      <c r="AO85" s="750"/>
      <c r="AP85" s="750"/>
      <c r="AQ85" s="750"/>
      <c r="AR85" s="750"/>
      <c r="AS85" s="750"/>
      <c r="AT85" s="750"/>
      <c r="AU85" s="750"/>
      <c r="AV85" s="750"/>
      <c r="AW85" s="750"/>
      <c r="AX85" s="750"/>
    </row>
    <row r="86" ht="15" customHeight="1" spans="2:50">
      <c r="B86" s="767" t="s">
        <v>1530</v>
      </c>
      <c r="C86" s="784"/>
      <c r="D86" s="784"/>
      <c r="E86" s="784"/>
      <c r="F86" s="784"/>
      <c r="G86" s="784"/>
      <c r="H86" s="784"/>
      <c r="I86" s="784"/>
      <c r="J86" s="770"/>
      <c r="K86" s="769" t="s">
        <v>1464</v>
      </c>
      <c r="L86" s="769" t="s">
        <v>199</v>
      </c>
      <c r="M86" s="769" t="s">
        <v>199</v>
      </c>
      <c r="N86" s="750"/>
      <c r="O86" s="750"/>
      <c r="P86" s="750"/>
      <c r="Q86" s="750"/>
      <c r="R86" s="750"/>
      <c r="S86" s="750"/>
      <c r="T86" s="750"/>
      <c r="U86" s="750"/>
      <c r="V86" s="750"/>
      <c r="W86" s="750"/>
      <c r="X86" s="750"/>
      <c r="Y86" s="750"/>
      <c r="Z86" s="750"/>
      <c r="AA86" s="750"/>
      <c r="AB86" s="750"/>
      <c r="AC86" s="750"/>
      <c r="AD86" s="750"/>
      <c r="AE86" s="750"/>
      <c r="AF86" s="750"/>
      <c r="AG86" s="750"/>
      <c r="AH86" s="750"/>
      <c r="AI86" s="750"/>
      <c r="AJ86" s="750"/>
      <c r="AK86" s="750"/>
      <c r="AL86" s="750"/>
      <c r="AM86" s="750"/>
      <c r="AN86" s="750"/>
      <c r="AO86" s="750"/>
      <c r="AP86" s="750"/>
      <c r="AQ86" s="750"/>
      <c r="AR86" s="750"/>
      <c r="AS86" s="750"/>
      <c r="AT86" s="750"/>
      <c r="AU86" s="750"/>
      <c r="AV86" s="750"/>
      <c r="AW86" s="750"/>
      <c r="AX86" s="750"/>
    </row>
    <row r="87" ht="15" customHeight="1" spans="2:50">
      <c r="B87" s="767" t="s">
        <v>1531</v>
      </c>
      <c r="C87" s="784"/>
      <c r="D87" s="784"/>
      <c r="E87" s="784"/>
      <c r="F87" s="784"/>
      <c r="G87" s="784"/>
      <c r="H87" s="784"/>
      <c r="I87" s="784"/>
      <c r="J87" s="770"/>
      <c r="K87" s="769" t="s">
        <v>1464</v>
      </c>
      <c r="L87" s="769" t="s">
        <v>199</v>
      </c>
      <c r="M87" s="769" t="s">
        <v>199</v>
      </c>
      <c r="N87" s="750"/>
      <c r="O87" s="750"/>
      <c r="P87" s="750"/>
      <c r="Q87" s="750"/>
      <c r="R87" s="750"/>
      <c r="S87" s="750"/>
      <c r="T87" s="750"/>
      <c r="U87" s="750"/>
      <c r="V87" s="750"/>
      <c r="W87" s="750"/>
      <c r="X87" s="750"/>
      <c r="Y87" s="750"/>
      <c r="Z87" s="750"/>
      <c r="AA87" s="750"/>
      <c r="AB87" s="750"/>
      <c r="AC87" s="750"/>
      <c r="AD87" s="750"/>
      <c r="AE87" s="750"/>
      <c r="AF87" s="750"/>
      <c r="AG87" s="750"/>
      <c r="AH87" s="750"/>
      <c r="AI87" s="750"/>
      <c r="AJ87" s="750"/>
      <c r="AK87" s="750"/>
      <c r="AL87" s="750"/>
      <c r="AM87" s="750"/>
      <c r="AN87" s="750"/>
      <c r="AO87" s="750"/>
      <c r="AP87" s="750"/>
      <c r="AQ87" s="750"/>
      <c r="AR87" s="750"/>
      <c r="AS87" s="750"/>
      <c r="AT87" s="750"/>
      <c r="AU87" s="750"/>
      <c r="AV87" s="750"/>
      <c r="AW87" s="750"/>
      <c r="AX87" s="750"/>
    </row>
    <row r="88" ht="15" customHeight="1" spans="2:50">
      <c r="B88" s="767" t="s">
        <v>1532</v>
      </c>
      <c r="C88" s="784"/>
      <c r="D88" s="784"/>
      <c r="E88" s="784"/>
      <c r="F88" s="784"/>
      <c r="G88" s="784"/>
      <c r="H88" s="784"/>
      <c r="I88" s="784"/>
      <c r="J88" s="770"/>
      <c r="K88" s="769" t="s">
        <v>1464</v>
      </c>
      <c r="L88" s="769" t="s">
        <v>199</v>
      </c>
      <c r="M88" s="769" t="s">
        <v>199</v>
      </c>
      <c r="N88" s="750">
        <v>0</v>
      </c>
      <c r="O88" s="750">
        <v>0</v>
      </c>
      <c r="P88" s="750">
        <v>0</v>
      </c>
      <c r="Q88" s="750">
        <v>0</v>
      </c>
      <c r="R88" s="750">
        <v>0</v>
      </c>
      <c r="S88" s="750">
        <v>0</v>
      </c>
      <c r="T88" s="750">
        <v>0</v>
      </c>
      <c r="U88" s="750">
        <v>0</v>
      </c>
      <c r="V88" s="750">
        <v>0</v>
      </c>
      <c r="W88" s="750">
        <v>0</v>
      </c>
      <c r="X88" s="750">
        <v>0</v>
      </c>
      <c r="Y88" s="750">
        <v>0</v>
      </c>
      <c r="Z88" s="750"/>
      <c r="AA88" s="750">
        <v>0</v>
      </c>
      <c r="AB88" s="750">
        <v>0</v>
      </c>
      <c r="AC88" s="750">
        <v>0</v>
      </c>
      <c r="AD88" s="750">
        <v>0</v>
      </c>
      <c r="AE88" s="750">
        <v>0</v>
      </c>
      <c r="AF88" s="750">
        <v>0</v>
      </c>
      <c r="AG88" s="750">
        <v>0</v>
      </c>
      <c r="AH88" s="750">
        <v>0</v>
      </c>
      <c r="AI88" s="750">
        <v>0</v>
      </c>
      <c r="AJ88" s="750">
        <v>0</v>
      </c>
      <c r="AK88" s="750">
        <v>0</v>
      </c>
      <c r="AL88" s="750">
        <v>0</v>
      </c>
      <c r="AM88" s="750">
        <v>0</v>
      </c>
      <c r="AN88" s="750">
        <v>0</v>
      </c>
      <c r="AO88" s="750">
        <v>0</v>
      </c>
      <c r="AP88" s="750">
        <v>0</v>
      </c>
      <c r="AQ88" s="750">
        <v>0</v>
      </c>
      <c r="AR88" s="750">
        <v>0</v>
      </c>
      <c r="AS88" s="750">
        <v>0</v>
      </c>
      <c r="AT88" s="750">
        <v>0</v>
      </c>
      <c r="AU88" s="750">
        <v>0</v>
      </c>
      <c r="AV88" s="750">
        <v>0</v>
      </c>
      <c r="AW88" s="750">
        <v>0</v>
      </c>
      <c r="AX88" s="750">
        <v>0</v>
      </c>
    </row>
    <row r="89" ht="15" customHeight="1" spans="2:50">
      <c r="B89" s="767" t="s">
        <v>1533</v>
      </c>
      <c r="C89" s="784"/>
      <c r="D89" s="784"/>
      <c r="E89" s="784"/>
      <c r="F89" s="784"/>
      <c r="G89" s="784"/>
      <c r="H89" s="784"/>
      <c r="I89" s="784" t="s">
        <v>1534</v>
      </c>
      <c r="J89" s="770"/>
      <c r="K89" s="769" t="s">
        <v>1464</v>
      </c>
      <c r="L89" s="769" t="s">
        <v>199</v>
      </c>
      <c r="M89" s="769" t="s">
        <v>199</v>
      </c>
      <c r="N89" s="750">
        <v>0</v>
      </c>
      <c r="O89" s="750">
        <v>0</v>
      </c>
      <c r="P89" s="750">
        <v>0</v>
      </c>
      <c r="Q89" s="750">
        <v>0</v>
      </c>
      <c r="R89" s="750">
        <v>0</v>
      </c>
      <c r="S89" s="750">
        <v>0</v>
      </c>
      <c r="T89" s="750">
        <v>0</v>
      </c>
      <c r="U89" s="750">
        <v>0</v>
      </c>
      <c r="V89" s="750">
        <v>0</v>
      </c>
      <c r="W89" s="750">
        <v>0</v>
      </c>
      <c r="X89" s="750">
        <v>0</v>
      </c>
      <c r="Y89" s="750">
        <v>0</v>
      </c>
      <c r="Z89" s="750"/>
      <c r="AA89" s="750">
        <v>0</v>
      </c>
      <c r="AB89" s="750">
        <v>0</v>
      </c>
      <c r="AC89" s="750">
        <v>0</v>
      </c>
      <c r="AD89" s="750">
        <v>0</v>
      </c>
      <c r="AE89" s="750">
        <v>0</v>
      </c>
      <c r="AF89" s="750">
        <v>0</v>
      </c>
      <c r="AG89" s="750">
        <v>0</v>
      </c>
      <c r="AH89" s="750">
        <v>0</v>
      </c>
      <c r="AI89" s="750">
        <v>0</v>
      </c>
      <c r="AJ89" s="750">
        <v>0</v>
      </c>
      <c r="AK89" s="750">
        <v>0</v>
      </c>
      <c r="AL89" s="750">
        <v>0</v>
      </c>
      <c r="AM89" s="750">
        <v>0</v>
      </c>
      <c r="AN89" s="750">
        <v>0</v>
      </c>
      <c r="AO89" s="750">
        <v>0</v>
      </c>
      <c r="AP89" s="750">
        <v>0</v>
      </c>
      <c r="AQ89" s="750">
        <v>0</v>
      </c>
      <c r="AR89" s="750">
        <v>0</v>
      </c>
      <c r="AS89" s="750">
        <v>0</v>
      </c>
      <c r="AT89" s="750">
        <v>0</v>
      </c>
      <c r="AU89" s="750">
        <v>0</v>
      </c>
      <c r="AV89" s="750">
        <v>0</v>
      </c>
      <c r="AW89" s="750">
        <v>0</v>
      </c>
      <c r="AX89" s="750">
        <v>0</v>
      </c>
    </row>
    <row r="90" ht="15" customHeight="1" spans="2:50">
      <c r="B90" s="767" t="s">
        <v>1535</v>
      </c>
      <c r="C90" s="784" t="s">
        <v>1534</v>
      </c>
      <c r="D90" s="784"/>
      <c r="E90" s="784" t="s">
        <v>1534</v>
      </c>
      <c r="F90" s="784"/>
      <c r="G90" s="784"/>
      <c r="H90" s="784"/>
      <c r="I90" s="784" t="s">
        <v>1534</v>
      </c>
      <c r="J90" s="770"/>
      <c r="K90" s="769" t="s">
        <v>1464</v>
      </c>
      <c r="L90" s="769" t="s">
        <v>199</v>
      </c>
      <c r="M90" s="769" t="s">
        <v>199</v>
      </c>
      <c r="N90" s="750">
        <v>0</v>
      </c>
      <c r="O90" s="750">
        <v>0</v>
      </c>
      <c r="P90" s="750">
        <v>0</v>
      </c>
      <c r="Q90" s="750">
        <v>0</v>
      </c>
      <c r="R90" s="750">
        <v>0</v>
      </c>
      <c r="S90" s="750">
        <v>0</v>
      </c>
      <c r="T90" s="750">
        <v>0</v>
      </c>
      <c r="U90" s="750">
        <v>0</v>
      </c>
      <c r="V90" s="750">
        <v>0</v>
      </c>
      <c r="W90" s="750">
        <v>0</v>
      </c>
      <c r="X90" s="750">
        <v>0</v>
      </c>
      <c r="Y90" s="750">
        <v>0</v>
      </c>
      <c r="Z90" s="750"/>
      <c r="AA90" s="750">
        <v>0</v>
      </c>
      <c r="AB90" s="750">
        <v>0</v>
      </c>
      <c r="AC90" s="750">
        <v>0</v>
      </c>
      <c r="AD90" s="750">
        <v>0</v>
      </c>
      <c r="AE90" s="750">
        <v>0</v>
      </c>
      <c r="AF90" s="750">
        <v>0</v>
      </c>
      <c r="AG90" s="750">
        <v>0</v>
      </c>
      <c r="AH90" s="750">
        <v>0</v>
      </c>
      <c r="AI90" s="750">
        <v>0</v>
      </c>
      <c r="AJ90" s="750">
        <v>0</v>
      </c>
      <c r="AK90" s="750">
        <v>0</v>
      </c>
      <c r="AL90" s="750">
        <v>0</v>
      </c>
      <c r="AM90" s="750">
        <v>0</v>
      </c>
      <c r="AN90" s="750">
        <v>0</v>
      </c>
      <c r="AO90" s="750">
        <v>0</v>
      </c>
      <c r="AP90" s="750">
        <v>0</v>
      </c>
      <c r="AQ90" s="750">
        <v>0</v>
      </c>
      <c r="AR90" s="750">
        <v>0</v>
      </c>
      <c r="AS90" s="750">
        <v>0</v>
      </c>
      <c r="AT90" s="750">
        <v>0</v>
      </c>
      <c r="AU90" s="750">
        <v>0</v>
      </c>
      <c r="AV90" s="750">
        <v>0</v>
      </c>
      <c r="AW90" s="750">
        <v>0</v>
      </c>
      <c r="AX90" s="750">
        <v>0</v>
      </c>
    </row>
    <row r="91" ht="15" customHeight="1" spans="2:50">
      <c r="B91" s="767" t="s">
        <v>1536</v>
      </c>
      <c r="C91" s="784" t="s">
        <v>1534</v>
      </c>
      <c r="D91" s="784"/>
      <c r="E91" s="784" t="s">
        <v>1534</v>
      </c>
      <c r="F91" s="784"/>
      <c r="G91" s="784"/>
      <c r="H91" s="784"/>
      <c r="I91" s="784" t="s">
        <v>1534</v>
      </c>
      <c r="J91" s="770"/>
      <c r="K91" s="769" t="s">
        <v>1464</v>
      </c>
      <c r="L91" s="769" t="s">
        <v>199</v>
      </c>
      <c r="M91" s="769" t="s">
        <v>199</v>
      </c>
      <c r="N91" s="750">
        <v>0</v>
      </c>
      <c r="O91" s="750">
        <v>0</v>
      </c>
      <c r="P91" s="750">
        <v>0</v>
      </c>
      <c r="Q91" s="750">
        <v>0</v>
      </c>
      <c r="R91" s="750">
        <v>0</v>
      </c>
      <c r="S91" s="750">
        <v>0</v>
      </c>
      <c r="T91" s="750">
        <v>0</v>
      </c>
      <c r="U91" s="750">
        <v>0</v>
      </c>
      <c r="V91" s="750">
        <v>0</v>
      </c>
      <c r="W91" s="750">
        <v>0</v>
      </c>
      <c r="X91" s="750">
        <v>0</v>
      </c>
      <c r="Y91" s="750">
        <v>0</v>
      </c>
      <c r="Z91" s="750"/>
      <c r="AA91" s="750">
        <v>0</v>
      </c>
      <c r="AB91" s="750">
        <v>0</v>
      </c>
      <c r="AC91" s="750">
        <v>0</v>
      </c>
      <c r="AD91" s="750">
        <v>0</v>
      </c>
      <c r="AE91" s="750">
        <v>0</v>
      </c>
      <c r="AF91" s="750">
        <v>0</v>
      </c>
      <c r="AG91" s="750">
        <v>0</v>
      </c>
      <c r="AH91" s="750">
        <v>0</v>
      </c>
      <c r="AI91" s="750">
        <v>0</v>
      </c>
      <c r="AJ91" s="750">
        <v>0</v>
      </c>
      <c r="AK91" s="750">
        <v>0</v>
      </c>
      <c r="AL91" s="750">
        <v>0</v>
      </c>
      <c r="AM91" s="750">
        <v>0</v>
      </c>
      <c r="AN91" s="750">
        <v>0</v>
      </c>
      <c r="AO91" s="750">
        <v>0</v>
      </c>
      <c r="AP91" s="750">
        <v>0</v>
      </c>
      <c r="AQ91" s="750">
        <v>0</v>
      </c>
      <c r="AR91" s="750">
        <v>0</v>
      </c>
      <c r="AS91" s="750">
        <v>0</v>
      </c>
      <c r="AT91" s="750">
        <v>0</v>
      </c>
      <c r="AU91" s="750">
        <v>0</v>
      </c>
      <c r="AV91" s="750">
        <v>0</v>
      </c>
      <c r="AW91" s="750">
        <v>0</v>
      </c>
      <c r="AX91" s="750">
        <v>0</v>
      </c>
    </row>
    <row r="92" ht="15" customHeight="1" spans="2:50">
      <c r="B92" s="767" t="s">
        <v>1537</v>
      </c>
      <c r="C92" s="784" t="s">
        <v>1534</v>
      </c>
      <c r="D92" s="784"/>
      <c r="E92" s="784" t="s">
        <v>1534</v>
      </c>
      <c r="F92" s="784"/>
      <c r="G92" s="784"/>
      <c r="H92" s="784"/>
      <c r="I92" s="784" t="s">
        <v>1534</v>
      </c>
      <c r="J92" s="770"/>
      <c r="K92" s="769" t="s">
        <v>1464</v>
      </c>
      <c r="L92" s="769" t="s">
        <v>199</v>
      </c>
      <c r="M92" s="769" t="s">
        <v>199</v>
      </c>
      <c r="N92" s="750">
        <v>0</v>
      </c>
      <c r="O92" s="750">
        <v>0</v>
      </c>
      <c r="P92" s="750">
        <v>0</v>
      </c>
      <c r="Q92" s="750">
        <v>0</v>
      </c>
      <c r="R92" s="750">
        <v>0</v>
      </c>
      <c r="S92" s="750">
        <v>0</v>
      </c>
      <c r="T92" s="750">
        <v>0</v>
      </c>
      <c r="U92" s="750">
        <v>0</v>
      </c>
      <c r="V92" s="750">
        <v>0</v>
      </c>
      <c r="W92" s="750">
        <v>0</v>
      </c>
      <c r="X92" s="750">
        <v>0</v>
      </c>
      <c r="Y92" s="750">
        <v>0</v>
      </c>
      <c r="Z92" s="750"/>
      <c r="AA92" s="750">
        <v>0</v>
      </c>
      <c r="AB92" s="750">
        <v>0</v>
      </c>
      <c r="AC92" s="750">
        <v>0</v>
      </c>
      <c r="AD92" s="750">
        <v>0</v>
      </c>
      <c r="AE92" s="750">
        <v>0</v>
      </c>
      <c r="AF92" s="750">
        <v>0</v>
      </c>
      <c r="AG92" s="750">
        <v>0</v>
      </c>
      <c r="AH92" s="750">
        <v>0</v>
      </c>
      <c r="AI92" s="750">
        <v>0</v>
      </c>
      <c r="AJ92" s="750">
        <v>0</v>
      </c>
      <c r="AK92" s="750">
        <v>0</v>
      </c>
      <c r="AL92" s="750">
        <v>0</v>
      </c>
      <c r="AM92" s="750">
        <v>0</v>
      </c>
      <c r="AN92" s="750">
        <v>0</v>
      </c>
      <c r="AO92" s="750">
        <v>0</v>
      </c>
      <c r="AP92" s="750">
        <v>0</v>
      </c>
      <c r="AQ92" s="750">
        <v>0</v>
      </c>
      <c r="AR92" s="750">
        <v>0</v>
      </c>
      <c r="AS92" s="750">
        <v>0</v>
      </c>
      <c r="AT92" s="750">
        <v>0</v>
      </c>
      <c r="AU92" s="750">
        <v>0</v>
      </c>
      <c r="AV92" s="750">
        <v>0</v>
      </c>
      <c r="AW92" s="750">
        <v>0</v>
      </c>
      <c r="AX92" s="750">
        <v>0</v>
      </c>
    </row>
    <row r="93" ht="15" customHeight="1" spans="2:50">
      <c r="B93" s="767" t="s">
        <v>1538</v>
      </c>
      <c r="C93" s="784" t="s">
        <v>1534</v>
      </c>
      <c r="D93" s="784"/>
      <c r="E93" s="784" t="s">
        <v>1534</v>
      </c>
      <c r="F93" s="784"/>
      <c r="G93" s="784"/>
      <c r="H93" s="784"/>
      <c r="I93" s="784" t="s">
        <v>1534</v>
      </c>
      <c r="J93" s="770"/>
      <c r="K93" s="769" t="s">
        <v>1464</v>
      </c>
      <c r="L93" s="769" t="s">
        <v>199</v>
      </c>
      <c r="M93" s="769" t="s">
        <v>199</v>
      </c>
      <c r="N93" s="750">
        <v>0</v>
      </c>
      <c r="O93" s="750">
        <v>0</v>
      </c>
      <c r="P93" s="750">
        <v>0</v>
      </c>
      <c r="Q93" s="750">
        <v>0</v>
      </c>
      <c r="R93" s="750">
        <v>0</v>
      </c>
      <c r="S93" s="750">
        <v>0</v>
      </c>
      <c r="T93" s="750">
        <v>0</v>
      </c>
      <c r="U93" s="750">
        <v>0</v>
      </c>
      <c r="V93" s="750">
        <v>0</v>
      </c>
      <c r="W93" s="750">
        <v>0</v>
      </c>
      <c r="X93" s="750">
        <v>0</v>
      </c>
      <c r="Y93" s="750">
        <v>0</v>
      </c>
      <c r="Z93" s="750"/>
      <c r="AA93" s="750">
        <v>0</v>
      </c>
      <c r="AB93" s="750">
        <v>0</v>
      </c>
      <c r="AC93" s="750">
        <v>0</v>
      </c>
      <c r="AD93" s="750">
        <v>0</v>
      </c>
      <c r="AE93" s="750">
        <v>0</v>
      </c>
      <c r="AF93" s="750">
        <v>0</v>
      </c>
      <c r="AG93" s="750">
        <v>0</v>
      </c>
      <c r="AH93" s="750">
        <v>0</v>
      </c>
      <c r="AI93" s="750">
        <v>0</v>
      </c>
      <c r="AJ93" s="750">
        <v>0</v>
      </c>
      <c r="AK93" s="750">
        <v>0</v>
      </c>
      <c r="AL93" s="750">
        <v>0</v>
      </c>
      <c r="AM93" s="750">
        <v>0</v>
      </c>
      <c r="AN93" s="750">
        <v>0</v>
      </c>
      <c r="AO93" s="750">
        <v>0</v>
      </c>
      <c r="AP93" s="750">
        <v>0</v>
      </c>
      <c r="AQ93" s="750">
        <v>0</v>
      </c>
      <c r="AR93" s="750">
        <v>0</v>
      </c>
      <c r="AS93" s="750">
        <v>0</v>
      </c>
      <c r="AT93" s="750">
        <v>0</v>
      </c>
      <c r="AU93" s="750">
        <v>0</v>
      </c>
      <c r="AV93" s="750">
        <v>0</v>
      </c>
      <c r="AW93" s="750">
        <v>0</v>
      </c>
      <c r="AX93" s="750">
        <v>0</v>
      </c>
    </row>
    <row r="94" ht="15" customHeight="1" spans="2:50">
      <c r="B94" s="767" t="s">
        <v>1539</v>
      </c>
      <c r="C94" s="784" t="s">
        <v>1534</v>
      </c>
      <c r="D94" s="784"/>
      <c r="E94" s="784" t="s">
        <v>1534</v>
      </c>
      <c r="F94" s="784"/>
      <c r="G94" s="784"/>
      <c r="H94" s="784"/>
      <c r="I94" s="784" t="s">
        <v>1534</v>
      </c>
      <c r="J94" s="770"/>
      <c r="K94" s="769" t="s">
        <v>1464</v>
      </c>
      <c r="L94" s="769" t="s">
        <v>199</v>
      </c>
      <c r="M94" s="769" t="s">
        <v>199</v>
      </c>
      <c r="N94" s="750">
        <v>0</v>
      </c>
      <c r="O94" s="750">
        <v>0</v>
      </c>
      <c r="P94" s="750">
        <v>0</v>
      </c>
      <c r="Q94" s="750">
        <v>0</v>
      </c>
      <c r="R94" s="750">
        <v>0</v>
      </c>
      <c r="S94" s="750">
        <v>0</v>
      </c>
      <c r="T94" s="750">
        <v>0</v>
      </c>
      <c r="U94" s="750">
        <v>0</v>
      </c>
      <c r="V94" s="750">
        <v>0</v>
      </c>
      <c r="W94" s="750">
        <v>0</v>
      </c>
      <c r="X94" s="750">
        <v>0</v>
      </c>
      <c r="Y94" s="750">
        <v>0</v>
      </c>
      <c r="Z94" s="750"/>
      <c r="AA94" s="750">
        <v>0</v>
      </c>
      <c r="AB94" s="750">
        <v>0</v>
      </c>
      <c r="AC94" s="750">
        <v>0</v>
      </c>
      <c r="AD94" s="750">
        <v>0</v>
      </c>
      <c r="AE94" s="750">
        <v>0</v>
      </c>
      <c r="AF94" s="750">
        <v>0</v>
      </c>
      <c r="AG94" s="750">
        <v>0</v>
      </c>
      <c r="AH94" s="750">
        <v>0</v>
      </c>
      <c r="AI94" s="750">
        <v>0</v>
      </c>
      <c r="AJ94" s="750">
        <v>0</v>
      </c>
      <c r="AK94" s="750">
        <v>0</v>
      </c>
      <c r="AL94" s="750">
        <v>0</v>
      </c>
      <c r="AM94" s="750">
        <v>0</v>
      </c>
      <c r="AN94" s="750">
        <v>0</v>
      </c>
      <c r="AO94" s="750">
        <v>0</v>
      </c>
      <c r="AP94" s="750">
        <v>0</v>
      </c>
      <c r="AQ94" s="750">
        <v>0</v>
      </c>
      <c r="AR94" s="750">
        <v>0</v>
      </c>
      <c r="AS94" s="750">
        <v>0</v>
      </c>
      <c r="AT94" s="750">
        <v>0</v>
      </c>
      <c r="AU94" s="750">
        <v>0</v>
      </c>
      <c r="AV94" s="750">
        <v>0</v>
      </c>
      <c r="AW94" s="750">
        <v>0</v>
      </c>
      <c r="AX94" s="750">
        <v>0</v>
      </c>
    </row>
    <row r="95" ht="15" customHeight="1" spans="2:50">
      <c r="B95" s="767" t="s">
        <v>1540</v>
      </c>
      <c r="C95" s="784" t="s">
        <v>1534</v>
      </c>
      <c r="D95" s="784"/>
      <c r="E95" s="784" t="s">
        <v>1534</v>
      </c>
      <c r="F95" s="784"/>
      <c r="G95" s="784"/>
      <c r="H95" s="784"/>
      <c r="I95" s="784" t="s">
        <v>1534</v>
      </c>
      <c r="J95" s="770"/>
      <c r="K95" s="769" t="s">
        <v>1464</v>
      </c>
      <c r="L95" s="769" t="s">
        <v>199</v>
      </c>
      <c r="M95" s="769" t="s">
        <v>199</v>
      </c>
      <c r="N95" s="750">
        <v>0</v>
      </c>
      <c r="O95" s="750">
        <v>0</v>
      </c>
      <c r="P95" s="750">
        <v>0</v>
      </c>
      <c r="Q95" s="750">
        <v>0</v>
      </c>
      <c r="R95" s="750">
        <v>0</v>
      </c>
      <c r="S95" s="750">
        <v>0</v>
      </c>
      <c r="T95" s="750">
        <v>0</v>
      </c>
      <c r="U95" s="750">
        <v>0</v>
      </c>
      <c r="V95" s="750">
        <v>0</v>
      </c>
      <c r="W95" s="750">
        <v>0</v>
      </c>
      <c r="X95" s="750">
        <v>0</v>
      </c>
      <c r="Y95" s="750">
        <v>0</v>
      </c>
      <c r="Z95" s="750"/>
      <c r="AA95" s="750">
        <v>0</v>
      </c>
      <c r="AB95" s="750">
        <v>0</v>
      </c>
      <c r="AC95" s="750">
        <v>0</v>
      </c>
      <c r="AD95" s="750">
        <v>0</v>
      </c>
      <c r="AE95" s="750">
        <v>0</v>
      </c>
      <c r="AF95" s="750">
        <v>0</v>
      </c>
      <c r="AG95" s="750">
        <v>0</v>
      </c>
      <c r="AH95" s="750">
        <v>0</v>
      </c>
      <c r="AI95" s="750">
        <v>0</v>
      </c>
      <c r="AJ95" s="750">
        <v>0</v>
      </c>
      <c r="AK95" s="750">
        <v>0</v>
      </c>
      <c r="AL95" s="750">
        <v>0</v>
      </c>
      <c r="AM95" s="750">
        <v>0</v>
      </c>
      <c r="AN95" s="750">
        <v>0</v>
      </c>
      <c r="AO95" s="750">
        <v>0</v>
      </c>
      <c r="AP95" s="750">
        <v>0</v>
      </c>
      <c r="AQ95" s="750">
        <v>0</v>
      </c>
      <c r="AR95" s="750">
        <v>0</v>
      </c>
      <c r="AS95" s="750">
        <v>0</v>
      </c>
      <c r="AT95" s="750">
        <v>0</v>
      </c>
      <c r="AU95" s="750">
        <v>0</v>
      </c>
      <c r="AV95" s="750">
        <v>0</v>
      </c>
      <c r="AW95" s="750">
        <v>0</v>
      </c>
      <c r="AX95" s="750">
        <v>0</v>
      </c>
    </row>
    <row r="96" ht="15" customHeight="1" spans="2:50">
      <c r="B96" s="767" t="s">
        <v>1541</v>
      </c>
      <c r="C96" s="784" t="s">
        <v>1534</v>
      </c>
      <c r="D96" s="784"/>
      <c r="E96" s="784" t="s">
        <v>1534</v>
      </c>
      <c r="F96" s="784"/>
      <c r="G96" s="784"/>
      <c r="H96" s="784"/>
      <c r="I96" s="784" t="s">
        <v>1534</v>
      </c>
      <c r="J96" s="770"/>
      <c r="K96" s="769" t="s">
        <v>1464</v>
      </c>
      <c r="L96" s="769" t="s">
        <v>199</v>
      </c>
      <c r="M96" s="769" t="s">
        <v>199</v>
      </c>
      <c r="N96" s="750">
        <v>0</v>
      </c>
      <c r="O96" s="750">
        <v>0</v>
      </c>
      <c r="P96" s="750">
        <v>0</v>
      </c>
      <c r="Q96" s="750">
        <v>0</v>
      </c>
      <c r="R96" s="750">
        <v>0</v>
      </c>
      <c r="S96" s="750">
        <v>0</v>
      </c>
      <c r="T96" s="750">
        <v>0</v>
      </c>
      <c r="U96" s="750">
        <v>0</v>
      </c>
      <c r="V96" s="750">
        <v>0</v>
      </c>
      <c r="W96" s="750">
        <v>0</v>
      </c>
      <c r="X96" s="750">
        <v>0</v>
      </c>
      <c r="Y96" s="750">
        <v>0</v>
      </c>
      <c r="Z96" s="750"/>
      <c r="AA96" s="750">
        <v>0</v>
      </c>
      <c r="AB96" s="750">
        <v>0</v>
      </c>
      <c r="AC96" s="750">
        <v>0</v>
      </c>
      <c r="AD96" s="750">
        <v>0</v>
      </c>
      <c r="AE96" s="750">
        <v>0</v>
      </c>
      <c r="AF96" s="750">
        <v>0</v>
      </c>
      <c r="AG96" s="750">
        <v>0</v>
      </c>
      <c r="AH96" s="750">
        <v>0</v>
      </c>
      <c r="AI96" s="750">
        <v>0</v>
      </c>
      <c r="AJ96" s="750">
        <v>0</v>
      </c>
      <c r="AK96" s="750">
        <v>0</v>
      </c>
      <c r="AL96" s="750">
        <v>0</v>
      </c>
      <c r="AM96" s="750">
        <v>0</v>
      </c>
      <c r="AN96" s="750">
        <v>0</v>
      </c>
      <c r="AO96" s="750">
        <v>0</v>
      </c>
      <c r="AP96" s="750">
        <v>0</v>
      </c>
      <c r="AQ96" s="750">
        <v>0</v>
      </c>
      <c r="AR96" s="750">
        <v>0</v>
      </c>
      <c r="AS96" s="750">
        <v>0</v>
      </c>
      <c r="AT96" s="750">
        <v>0</v>
      </c>
      <c r="AU96" s="750">
        <v>0</v>
      </c>
      <c r="AV96" s="750">
        <v>0</v>
      </c>
      <c r="AW96" s="750">
        <v>0</v>
      </c>
      <c r="AX96" s="750">
        <v>0</v>
      </c>
    </row>
    <row r="97" ht="15" customHeight="1" spans="2:50">
      <c r="B97" s="767" t="s">
        <v>1542</v>
      </c>
      <c r="C97" s="784" t="s">
        <v>1534</v>
      </c>
      <c r="D97" s="784"/>
      <c r="E97" s="784" t="s">
        <v>1534</v>
      </c>
      <c r="F97" s="784"/>
      <c r="G97" s="784"/>
      <c r="H97" s="784"/>
      <c r="I97" s="784" t="s">
        <v>1534</v>
      </c>
      <c r="J97" s="770"/>
      <c r="K97" s="769" t="s">
        <v>1464</v>
      </c>
      <c r="L97" s="769" t="s">
        <v>199</v>
      </c>
      <c r="M97" s="769" t="s">
        <v>199</v>
      </c>
      <c r="N97" s="750">
        <v>0</v>
      </c>
      <c r="O97" s="750">
        <v>0</v>
      </c>
      <c r="P97" s="750">
        <v>0</v>
      </c>
      <c r="Q97" s="750">
        <v>0</v>
      </c>
      <c r="R97" s="750">
        <v>0</v>
      </c>
      <c r="S97" s="750">
        <v>0</v>
      </c>
      <c r="T97" s="750">
        <v>0</v>
      </c>
      <c r="U97" s="750">
        <v>0</v>
      </c>
      <c r="V97" s="750">
        <v>0</v>
      </c>
      <c r="W97" s="750">
        <v>0</v>
      </c>
      <c r="X97" s="750">
        <v>0</v>
      </c>
      <c r="Y97" s="750">
        <v>0</v>
      </c>
      <c r="Z97" s="750"/>
      <c r="AA97" s="750">
        <v>0</v>
      </c>
      <c r="AB97" s="750">
        <v>0</v>
      </c>
      <c r="AC97" s="750">
        <v>0</v>
      </c>
      <c r="AD97" s="750">
        <v>0</v>
      </c>
      <c r="AE97" s="750">
        <v>0</v>
      </c>
      <c r="AF97" s="750">
        <v>0</v>
      </c>
      <c r="AG97" s="750">
        <v>0</v>
      </c>
      <c r="AH97" s="750">
        <v>0</v>
      </c>
      <c r="AI97" s="750">
        <v>0</v>
      </c>
      <c r="AJ97" s="750">
        <v>0</v>
      </c>
      <c r="AK97" s="750">
        <v>0</v>
      </c>
      <c r="AL97" s="750">
        <v>0</v>
      </c>
      <c r="AM97" s="750">
        <v>0</v>
      </c>
      <c r="AN97" s="750">
        <v>0</v>
      </c>
      <c r="AO97" s="750">
        <v>0</v>
      </c>
      <c r="AP97" s="750">
        <v>0</v>
      </c>
      <c r="AQ97" s="750">
        <v>0</v>
      </c>
      <c r="AR97" s="750">
        <v>0</v>
      </c>
      <c r="AS97" s="750">
        <v>0</v>
      </c>
      <c r="AT97" s="750">
        <v>0</v>
      </c>
      <c r="AU97" s="750">
        <v>0</v>
      </c>
      <c r="AV97" s="750">
        <v>0</v>
      </c>
      <c r="AW97" s="750">
        <v>0</v>
      </c>
      <c r="AX97" s="750">
        <v>0</v>
      </c>
    </row>
    <row r="98" ht="15" customHeight="1" spans="2:50">
      <c r="B98" s="767" t="s">
        <v>1543</v>
      </c>
      <c r="C98" s="784" t="s">
        <v>1534</v>
      </c>
      <c r="D98" s="784"/>
      <c r="E98" s="784" t="s">
        <v>1534</v>
      </c>
      <c r="F98" s="784"/>
      <c r="G98" s="784"/>
      <c r="H98" s="784"/>
      <c r="I98" s="784" t="s">
        <v>1534</v>
      </c>
      <c r="J98" s="770"/>
      <c r="K98" s="769" t="s">
        <v>1464</v>
      </c>
      <c r="L98" s="769" t="s">
        <v>199</v>
      </c>
      <c r="M98" s="769" t="s">
        <v>199</v>
      </c>
      <c r="N98" s="750">
        <v>0</v>
      </c>
      <c r="O98" s="750">
        <v>0</v>
      </c>
      <c r="P98" s="750">
        <v>0</v>
      </c>
      <c r="Q98" s="750">
        <v>0</v>
      </c>
      <c r="R98" s="750">
        <v>0</v>
      </c>
      <c r="S98" s="750">
        <v>0</v>
      </c>
      <c r="T98" s="750">
        <v>0</v>
      </c>
      <c r="U98" s="750">
        <v>0</v>
      </c>
      <c r="V98" s="750">
        <v>0</v>
      </c>
      <c r="W98" s="750">
        <v>0</v>
      </c>
      <c r="X98" s="750">
        <v>0</v>
      </c>
      <c r="Y98" s="750">
        <v>0</v>
      </c>
      <c r="Z98" s="750"/>
      <c r="AA98" s="750">
        <v>0</v>
      </c>
      <c r="AB98" s="750">
        <v>0</v>
      </c>
      <c r="AC98" s="750">
        <v>0</v>
      </c>
      <c r="AD98" s="750">
        <v>0</v>
      </c>
      <c r="AE98" s="750">
        <v>0</v>
      </c>
      <c r="AF98" s="750">
        <v>0</v>
      </c>
      <c r="AG98" s="750">
        <v>0</v>
      </c>
      <c r="AH98" s="750">
        <v>0</v>
      </c>
      <c r="AI98" s="750">
        <v>0</v>
      </c>
      <c r="AJ98" s="750">
        <v>0</v>
      </c>
      <c r="AK98" s="750">
        <v>0</v>
      </c>
      <c r="AL98" s="750">
        <v>0</v>
      </c>
      <c r="AM98" s="750">
        <v>0</v>
      </c>
      <c r="AN98" s="750">
        <v>0</v>
      </c>
      <c r="AO98" s="750">
        <v>0</v>
      </c>
      <c r="AP98" s="750">
        <v>0</v>
      </c>
      <c r="AQ98" s="750">
        <v>0</v>
      </c>
      <c r="AR98" s="750">
        <v>0</v>
      </c>
      <c r="AS98" s="750">
        <v>0</v>
      </c>
      <c r="AT98" s="750">
        <v>0</v>
      </c>
      <c r="AU98" s="750">
        <v>0</v>
      </c>
      <c r="AV98" s="750">
        <v>0</v>
      </c>
      <c r="AW98" s="750">
        <v>0</v>
      </c>
      <c r="AX98" s="750">
        <v>0</v>
      </c>
    </row>
    <row r="99" ht="15" customHeight="1" spans="2:50">
      <c r="B99" s="767" t="s">
        <v>1544</v>
      </c>
      <c r="C99" s="784" t="s">
        <v>1534</v>
      </c>
      <c r="D99" s="784"/>
      <c r="E99" s="784" t="s">
        <v>1534</v>
      </c>
      <c r="F99" s="784"/>
      <c r="G99" s="784"/>
      <c r="H99" s="784"/>
      <c r="I99" s="784" t="s">
        <v>1534</v>
      </c>
      <c r="J99" s="770"/>
      <c r="K99" s="769" t="s">
        <v>1464</v>
      </c>
      <c r="L99" s="769" t="s">
        <v>199</v>
      </c>
      <c r="M99" s="769" t="s">
        <v>199</v>
      </c>
      <c r="N99" s="750">
        <v>0</v>
      </c>
      <c r="O99" s="750">
        <v>0</v>
      </c>
      <c r="P99" s="750">
        <v>0</v>
      </c>
      <c r="Q99" s="750">
        <v>0</v>
      </c>
      <c r="R99" s="750">
        <v>0</v>
      </c>
      <c r="S99" s="750">
        <v>0</v>
      </c>
      <c r="T99" s="750">
        <v>0</v>
      </c>
      <c r="U99" s="750">
        <v>0</v>
      </c>
      <c r="V99" s="750">
        <v>0</v>
      </c>
      <c r="W99" s="750">
        <v>0</v>
      </c>
      <c r="X99" s="750">
        <v>0</v>
      </c>
      <c r="Y99" s="750">
        <v>0</v>
      </c>
      <c r="Z99" s="750"/>
      <c r="AA99" s="750">
        <v>0</v>
      </c>
      <c r="AB99" s="750">
        <v>0</v>
      </c>
      <c r="AC99" s="750">
        <v>0</v>
      </c>
      <c r="AD99" s="750">
        <v>0</v>
      </c>
      <c r="AE99" s="750">
        <v>0</v>
      </c>
      <c r="AF99" s="750">
        <v>0</v>
      </c>
      <c r="AG99" s="750">
        <v>0</v>
      </c>
      <c r="AH99" s="750">
        <v>0</v>
      </c>
      <c r="AI99" s="750">
        <v>0</v>
      </c>
      <c r="AJ99" s="750">
        <v>0</v>
      </c>
      <c r="AK99" s="750">
        <v>0</v>
      </c>
      <c r="AL99" s="750">
        <v>0</v>
      </c>
      <c r="AM99" s="750">
        <v>0</v>
      </c>
      <c r="AN99" s="750">
        <v>0</v>
      </c>
      <c r="AO99" s="750">
        <v>0</v>
      </c>
      <c r="AP99" s="750">
        <v>0</v>
      </c>
      <c r="AQ99" s="750">
        <v>0</v>
      </c>
      <c r="AR99" s="750">
        <v>0</v>
      </c>
      <c r="AS99" s="750">
        <v>0</v>
      </c>
      <c r="AT99" s="750">
        <v>0</v>
      </c>
      <c r="AU99" s="750">
        <v>0</v>
      </c>
      <c r="AV99" s="750">
        <v>0</v>
      </c>
      <c r="AW99" s="750">
        <v>0</v>
      </c>
      <c r="AX99" s="750">
        <v>0</v>
      </c>
    </row>
    <row r="100" ht="15" customHeight="1" spans="2:50">
      <c r="B100" s="767" t="s">
        <v>1545</v>
      </c>
      <c r="C100" s="784" t="s">
        <v>1534</v>
      </c>
      <c r="D100" s="784"/>
      <c r="E100" s="784" t="s">
        <v>1534</v>
      </c>
      <c r="F100" s="784"/>
      <c r="G100" s="784"/>
      <c r="H100" s="784"/>
      <c r="I100" s="784" t="s">
        <v>1534</v>
      </c>
      <c r="J100" s="770"/>
      <c r="K100" s="769" t="s">
        <v>1464</v>
      </c>
      <c r="L100" s="769" t="s">
        <v>199</v>
      </c>
      <c r="M100" s="769" t="s">
        <v>199</v>
      </c>
      <c r="N100" s="750">
        <v>0</v>
      </c>
      <c r="O100" s="750">
        <v>0</v>
      </c>
      <c r="P100" s="750">
        <v>0</v>
      </c>
      <c r="Q100" s="750">
        <v>0</v>
      </c>
      <c r="R100" s="750">
        <v>0</v>
      </c>
      <c r="S100" s="750">
        <v>0</v>
      </c>
      <c r="T100" s="750">
        <v>0</v>
      </c>
      <c r="U100" s="750">
        <v>0</v>
      </c>
      <c r="V100" s="750">
        <v>0</v>
      </c>
      <c r="W100" s="750">
        <v>0</v>
      </c>
      <c r="X100" s="750">
        <v>0</v>
      </c>
      <c r="Y100" s="750">
        <v>0</v>
      </c>
      <c r="Z100" s="750"/>
      <c r="AA100" s="750">
        <v>0</v>
      </c>
      <c r="AB100" s="750">
        <v>0</v>
      </c>
      <c r="AC100" s="750">
        <v>0</v>
      </c>
      <c r="AD100" s="750">
        <v>0</v>
      </c>
      <c r="AE100" s="750">
        <v>0</v>
      </c>
      <c r="AF100" s="750">
        <v>0</v>
      </c>
      <c r="AG100" s="750">
        <v>0</v>
      </c>
      <c r="AH100" s="750">
        <v>0</v>
      </c>
      <c r="AI100" s="750">
        <v>0</v>
      </c>
      <c r="AJ100" s="750">
        <v>0</v>
      </c>
      <c r="AK100" s="750">
        <v>0</v>
      </c>
      <c r="AL100" s="750">
        <v>0</v>
      </c>
      <c r="AM100" s="750">
        <v>0</v>
      </c>
      <c r="AN100" s="750">
        <v>0</v>
      </c>
      <c r="AO100" s="750">
        <v>0</v>
      </c>
      <c r="AP100" s="750">
        <v>0</v>
      </c>
      <c r="AQ100" s="750">
        <v>0</v>
      </c>
      <c r="AR100" s="750">
        <v>0</v>
      </c>
      <c r="AS100" s="750">
        <v>0</v>
      </c>
      <c r="AT100" s="750">
        <v>0</v>
      </c>
      <c r="AU100" s="750">
        <v>0</v>
      </c>
      <c r="AV100" s="750">
        <v>0</v>
      </c>
      <c r="AW100" s="750">
        <v>0</v>
      </c>
      <c r="AX100" s="750">
        <v>0</v>
      </c>
    </row>
    <row r="101" ht="15" customHeight="1" spans="2:50">
      <c r="B101" s="767" t="s">
        <v>1546</v>
      </c>
      <c r="C101" s="784" t="s">
        <v>1534</v>
      </c>
      <c r="D101" s="784"/>
      <c r="E101" s="784" t="s">
        <v>1534</v>
      </c>
      <c r="F101" s="784"/>
      <c r="G101" s="784"/>
      <c r="H101" s="784"/>
      <c r="I101" s="784" t="s">
        <v>1534</v>
      </c>
      <c r="J101" s="770"/>
      <c r="K101" s="769" t="s">
        <v>1464</v>
      </c>
      <c r="L101" s="769" t="s">
        <v>199</v>
      </c>
      <c r="M101" s="769" t="s">
        <v>199</v>
      </c>
      <c r="N101" s="750">
        <v>0</v>
      </c>
      <c r="O101" s="750">
        <v>0</v>
      </c>
      <c r="P101" s="750">
        <v>0</v>
      </c>
      <c r="Q101" s="750">
        <v>0</v>
      </c>
      <c r="R101" s="750">
        <v>0</v>
      </c>
      <c r="S101" s="750">
        <v>0</v>
      </c>
      <c r="T101" s="750">
        <v>0</v>
      </c>
      <c r="U101" s="750">
        <v>0</v>
      </c>
      <c r="V101" s="750">
        <v>0</v>
      </c>
      <c r="W101" s="750">
        <v>0</v>
      </c>
      <c r="X101" s="750">
        <v>0</v>
      </c>
      <c r="Y101" s="750">
        <v>0</v>
      </c>
      <c r="Z101" s="750"/>
      <c r="AA101" s="750">
        <v>0</v>
      </c>
      <c r="AB101" s="750">
        <v>0</v>
      </c>
      <c r="AC101" s="750">
        <v>0</v>
      </c>
      <c r="AD101" s="750">
        <v>0</v>
      </c>
      <c r="AE101" s="750">
        <v>0</v>
      </c>
      <c r="AF101" s="750">
        <v>0</v>
      </c>
      <c r="AG101" s="750">
        <v>0</v>
      </c>
      <c r="AH101" s="750">
        <v>0</v>
      </c>
      <c r="AI101" s="750">
        <v>0</v>
      </c>
      <c r="AJ101" s="750">
        <v>0</v>
      </c>
      <c r="AK101" s="750">
        <v>0</v>
      </c>
      <c r="AL101" s="750">
        <v>0</v>
      </c>
      <c r="AM101" s="750">
        <v>0</v>
      </c>
      <c r="AN101" s="750">
        <v>0</v>
      </c>
      <c r="AO101" s="750">
        <v>0</v>
      </c>
      <c r="AP101" s="750">
        <v>0</v>
      </c>
      <c r="AQ101" s="750">
        <v>0</v>
      </c>
      <c r="AR101" s="750">
        <v>0</v>
      </c>
      <c r="AS101" s="750">
        <v>0</v>
      </c>
      <c r="AT101" s="750">
        <v>0</v>
      </c>
      <c r="AU101" s="750">
        <v>0</v>
      </c>
      <c r="AV101" s="750">
        <v>0</v>
      </c>
      <c r="AW101" s="750">
        <v>0</v>
      </c>
      <c r="AX101" s="750">
        <v>0</v>
      </c>
    </row>
    <row r="102" ht="15" customHeight="1" spans="2:50">
      <c r="B102" s="767" t="s">
        <v>1547</v>
      </c>
      <c r="C102" s="784" t="s">
        <v>1534</v>
      </c>
      <c r="D102" s="784"/>
      <c r="E102" s="784" t="s">
        <v>1534</v>
      </c>
      <c r="F102" s="784"/>
      <c r="G102" s="784"/>
      <c r="H102" s="784"/>
      <c r="I102" s="784" t="s">
        <v>1534</v>
      </c>
      <c r="J102" s="770"/>
      <c r="K102" s="769" t="s">
        <v>1464</v>
      </c>
      <c r="L102" s="769" t="s">
        <v>199</v>
      </c>
      <c r="M102" s="769" t="s">
        <v>199</v>
      </c>
      <c r="N102" s="750">
        <v>0</v>
      </c>
      <c r="O102" s="750">
        <v>0</v>
      </c>
      <c r="P102" s="750">
        <v>0</v>
      </c>
      <c r="Q102" s="750">
        <v>0</v>
      </c>
      <c r="R102" s="750">
        <v>0</v>
      </c>
      <c r="S102" s="750">
        <v>0</v>
      </c>
      <c r="T102" s="750">
        <v>0</v>
      </c>
      <c r="U102" s="750">
        <v>0</v>
      </c>
      <c r="V102" s="750">
        <v>0</v>
      </c>
      <c r="W102" s="750">
        <v>0</v>
      </c>
      <c r="X102" s="750">
        <v>0</v>
      </c>
      <c r="Y102" s="750">
        <v>0</v>
      </c>
      <c r="Z102" s="750"/>
      <c r="AA102" s="750">
        <v>0</v>
      </c>
      <c r="AB102" s="750">
        <v>0</v>
      </c>
      <c r="AC102" s="750">
        <v>0</v>
      </c>
      <c r="AD102" s="750">
        <v>0</v>
      </c>
      <c r="AE102" s="750">
        <v>0</v>
      </c>
      <c r="AF102" s="750">
        <v>0</v>
      </c>
      <c r="AG102" s="750">
        <v>0</v>
      </c>
      <c r="AH102" s="750">
        <v>0</v>
      </c>
      <c r="AI102" s="750">
        <v>0</v>
      </c>
      <c r="AJ102" s="750">
        <v>0</v>
      </c>
      <c r="AK102" s="750">
        <v>0</v>
      </c>
      <c r="AL102" s="750">
        <v>0</v>
      </c>
      <c r="AM102" s="750">
        <v>0</v>
      </c>
      <c r="AN102" s="750">
        <v>0</v>
      </c>
      <c r="AO102" s="750">
        <v>0</v>
      </c>
      <c r="AP102" s="750">
        <v>0</v>
      </c>
      <c r="AQ102" s="750">
        <v>0</v>
      </c>
      <c r="AR102" s="750">
        <v>0</v>
      </c>
      <c r="AS102" s="750">
        <v>0</v>
      </c>
      <c r="AT102" s="750">
        <v>0</v>
      </c>
      <c r="AU102" s="750">
        <v>0</v>
      </c>
      <c r="AV102" s="750">
        <v>0</v>
      </c>
      <c r="AW102" s="750">
        <v>0</v>
      </c>
      <c r="AX102" s="750">
        <v>0</v>
      </c>
    </row>
    <row r="103" ht="15" customHeight="1" spans="2:50">
      <c r="B103" s="767" t="s">
        <v>1548</v>
      </c>
      <c r="C103" s="784" t="s">
        <v>1534</v>
      </c>
      <c r="D103" s="784"/>
      <c r="E103" s="784" t="s">
        <v>1534</v>
      </c>
      <c r="F103" s="784"/>
      <c r="G103" s="784"/>
      <c r="H103" s="784"/>
      <c r="I103" s="784" t="s">
        <v>1534</v>
      </c>
      <c r="J103" s="770"/>
      <c r="K103" s="769" t="s">
        <v>1464</v>
      </c>
      <c r="L103" s="769" t="s">
        <v>199</v>
      </c>
      <c r="M103" s="769" t="s">
        <v>199</v>
      </c>
      <c r="N103" s="750">
        <v>0</v>
      </c>
      <c r="O103" s="750">
        <v>0</v>
      </c>
      <c r="P103" s="750">
        <v>0</v>
      </c>
      <c r="Q103" s="750">
        <v>0</v>
      </c>
      <c r="R103" s="750">
        <v>0</v>
      </c>
      <c r="S103" s="750">
        <v>0</v>
      </c>
      <c r="T103" s="750">
        <v>0</v>
      </c>
      <c r="U103" s="750">
        <v>0</v>
      </c>
      <c r="V103" s="750">
        <v>0</v>
      </c>
      <c r="W103" s="750">
        <v>0</v>
      </c>
      <c r="X103" s="750">
        <v>0</v>
      </c>
      <c r="Y103" s="750">
        <v>0</v>
      </c>
      <c r="Z103" s="750"/>
      <c r="AA103" s="750">
        <v>0</v>
      </c>
      <c r="AB103" s="750">
        <v>0</v>
      </c>
      <c r="AC103" s="750">
        <v>0</v>
      </c>
      <c r="AD103" s="750">
        <v>0</v>
      </c>
      <c r="AE103" s="750">
        <v>0</v>
      </c>
      <c r="AF103" s="750">
        <v>0</v>
      </c>
      <c r="AG103" s="750">
        <v>0</v>
      </c>
      <c r="AH103" s="750">
        <v>0</v>
      </c>
      <c r="AI103" s="750">
        <v>0</v>
      </c>
      <c r="AJ103" s="750">
        <v>0</v>
      </c>
      <c r="AK103" s="750">
        <v>0</v>
      </c>
      <c r="AL103" s="750">
        <v>0</v>
      </c>
      <c r="AM103" s="750">
        <v>0</v>
      </c>
      <c r="AN103" s="750">
        <v>0</v>
      </c>
      <c r="AO103" s="750">
        <v>0</v>
      </c>
      <c r="AP103" s="750">
        <v>0</v>
      </c>
      <c r="AQ103" s="750">
        <v>0</v>
      </c>
      <c r="AR103" s="750">
        <v>0</v>
      </c>
      <c r="AS103" s="750">
        <v>0</v>
      </c>
      <c r="AT103" s="750">
        <v>0</v>
      </c>
      <c r="AU103" s="750">
        <v>0</v>
      </c>
      <c r="AV103" s="750">
        <v>0</v>
      </c>
      <c r="AW103" s="750">
        <v>0</v>
      </c>
      <c r="AX103" s="750">
        <v>0</v>
      </c>
    </row>
    <row r="104" ht="15" customHeight="1" spans="2:50">
      <c r="B104" s="767" t="s">
        <v>1549</v>
      </c>
      <c r="C104" s="784" t="s">
        <v>1534</v>
      </c>
      <c r="D104" s="784"/>
      <c r="E104" s="784" t="s">
        <v>1534</v>
      </c>
      <c r="F104" s="784"/>
      <c r="G104" s="784"/>
      <c r="H104" s="784"/>
      <c r="I104" s="784" t="s">
        <v>1534</v>
      </c>
      <c r="J104" s="770"/>
      <c r="K104" s="769" t="s">
        <v>1464</v>
      </c>
      <c r="L104" s="769" t="s">
        <v>199</v>
      </c>
      <c r="M104" s="769" t="s">
        <v>199</v>
      </c>
      <c r="N104" s="750">
        <v>0</v>
      </c>
      <c r="O104" s="750">
        <v>0</v>
      </c>
      <c r="P104" s="750">
        <v>0</v>
      </c>
      <c r="Q104" s="750">
        <v>0</v>
      </c>
      <c r="R104" s="750">
        <v>0</v>
      </c>
      <c r="S104" s="750">
        <v>0</v>
      </c>
      <c r="T104" s="750">
        <v>0</v>
      </c>
      <c r="U104" s="750">
        <v>0</v>
      </c>
      <c r="V104" s="750">
        <v>0</v>
      </c>
      <c r="W104" s="750">
        <v>0</v>
      </c>
      <c r="X104" s="750">
        <v>0</v>
      </c>
      <c r="Y104" s="750">
        <v>0</v>
      </c>
      <c r="Z104" s="750"/>
      <c r="AA104" s="750">
        <v>0</v>
      </c>
      <c r="AB104" s="750">
        <v>0</v>
      </c>
      <c r="AC104" s="750">
        <v>0</v>
      </c>
      <c r="AD104" s="750">
        <v>0</v>
      </c>
      <c r="AE104" s="750">
        <v>0</v>
      </c>
      <c r="AF104" s="750">
        <v>0</v>
      </c>
      <c r="AG104" s="750">
        <v>0</v>
      </c>
      <c r="AH104" s="750">
        <v>0</v>
      </c>
      <c r="AI104" s="750">
        <v>0</v>
      </c>
      <c r="AJ104" s="750">
        <v>0</v>
      </c>
      <c r="AK104" s="750">
        <v>0</v>
      </c>
      <c r="AL104" s="750">
        <v>0</v>
      </c>
      <c r="AM104" s="750">
        <v>0</v>
      </c>
      <c r="AN104" s="750">
        <v>0</v>
      </c>
      <c r="AO104" s="750">
        <v>0</v>
      </c>
      <c r="AP104" s="750">
        <v>0</v>
      </c>
      <c r="AQ104" s="750">
        <v>0</v>
      </c>
      <c r="AR104" s="750">
        <v>0</v>
      </c>
      <c r="AS104" s="750">
        <v>0</v>
      </c>
      <c r="AT104" s="750">
        <v>0</v>
      </c>
      <c r="AU104" s="750">
        <v>0</v>
      </c>
      <c r="AV104" s="750">
        <v>0</v>
      </c>
      <c r="AW104" s="750">
        <v>0</v>
      </c>
      <c r="AX104" s="750">
        <v>0</v>
      </c>
    </row>
    <row r="105" ht="15" customHeight="1" spans="2:50">
      <c r="B105" s="767" t="s">
        <v>1550</v>
      </c>
      <c r="C105" s="784" t="s">
        <v>1534</v>
      </c>
      <c r="D105" s="784"/>
      <c r="E105" s="784" t="s">
        <v>1534</v>
      </c>
      <c r="F105" s="784"/>
      <c r="G105" s="784"/>
      <c r="H105" s="784"/>
      <c r="I105" s="784" t="s">
        <v>1534</v>
      </c>
      <c r="J105" s="770"/>
      <c r="K105" s="769" t="s">
        <v>1464</v>
      </c>
      <c r="L105" s="769" t="s">
        <v>199</v>
      </c>
      <c r="M105" s="769" t="s">
        <v>199</v>
      </c>
      <c r="N105" s="750">
        <v>0</v>
      </c>
      <c r="O105" s="750">
        <v>0</v>
      </c>
      <c r="P105" s="750">
        <v>0</v>
      </c>
      <c r="Q105" s="750">
        <v>0</v>
      </c>
      <c r="R105" s="750">
        <v>0</v>
      </c>
      <c r="S105" s="750">
        <v>0</v>
      </c>
      <c r="T105" s="750">
        <v>0</v>
      </c>
      <c r="U105" s="750">
        <v>0</v>
      </c>
      <c r="V105" s="750">
        <v>0</v>
      </c>
      <c r="W105" s="750">
        <v>0</v>
      </c>
      <c r="X105" s="750">
        <v>0</v>
      </c>
      <c r="Y105" s="750">
        <v>0</v>
      </c>
      <c r="Z105" s="750"/>
      <c r="AA105" s="750">
        <v>0</v>
      </c>
      <c r="AB105" s="750">
        <v>0</v>
      </c>
      <c r="AC105" s="750">
        <v>0</v>
      </c>
      <c r="AD105" s="750">
        <v>0</v>
      </c>
      <c r="AE105" s="750">
        <v>0</v>
      </c>
      <c r="AF105" s="750">
        <v>0</v>
      </c>
      <c r="AG105" s="750">
        <v>0</v>
      </c>
      <c r="AH105" s="750">
        <v>0</v>
      </c>
      <c r="AI105" s="750">
        <v>0</v>
      </c>
      <c r="AJ105" s="750">
        <v>0</v>
      </c>
      <c r="AK105" s="750">
        <v>0</v>
      </c>
      <c r="AL105" s="750">
        <v>0</v>
      </c>
      <c r="AM105" s="750">
        <v>0</v>
      </c>
      <c r="AN105" s="750">
        <v>0</v>
      </c>
      <c r="AO105" s="750">
        <v>0</v>
      </c>
      <c r="AP105" s="750">
        <v>0</v>
      </c>
      <c r="AQ105" s="750">
        <v>0</v>
      </c>
      <c r="AR105" s="750">
        <v>0</v>
      </c>
      <c r="AS105" s="750">
        <v>0</v>
      </c>
      <c r="AT105" s="750">
        <v>0</v>
      </c>
      <c r="AU105" s="750">
        <v>0</v>
      </c>
      <c r="AV105" s="750">
        <v>0</v>
      </c>
      <c r="AW105" s="750">
        <v>0</v>
      </c>
      <c r="AX105" s="750">
        <v>0</v>
      </c>
    </row>
    <row r="106" ht="15" customHeight="1" spans="2:50">
      <c r="B106" s="767" t="s">
        <v>1551</v>
      </c>
      <c r="C106" s="784" t="s">
        <v>1534</v>
      </c>
      <c r="D106" s="784"/>
      <c r="E106" s="784" t="s">
        <v>1534</v>
      </c>
      <c r="F106" s="784"/>
      <c r="G106" s="784"/>
      <c r="H106" s="784"/>
      <c r="I106" s="784" t="s">
        <v>1534</v>
      </c>
      <c r="J106" s="770"/>
      <c r="K106" s="769" t="s">
        <v>1464</v>
      </c>
      <c r="L106" s="769" t="s">
        <v>199</v>
      </c>
      <c r="M106" s="769" t="s">
        <v>199</v>
      </c>
      <c r="N106" s="750">
        <v>0</v>
      </c>
      <c r="O106" s="750">
        <v>0</v>
      </c>
      <c r="P106" s="750">
        <v>0</v>
      </c>
      <c r="Q106" s="750">
        <v>0</v>
      </c>
      <c r="R106" s="750">
        <v>0</v>
      </c>
      <c r="S106" s="750">
        <v>0</v>
      </c>
      <c r="T106" s="750">
        <v>0</v>
      </c>
      <c r="U106" s="750">
        <v>0</v>
      </c>
      <c r="V106" s="750">
        <v>0</v>
      </c>
      <c r="W106" s="750">
        <v>0</v>
      </c>
      <c r="X106" s="750">
        <v>0</v>
      </c>
      <c r="Y106" s="750">
        <v>0</v>
      </c>
      <c r="Z106" s="750"/>
      <c r="AA106" s="750">
        <v>0</v>
      </c>
      <c r="AB106" s="750">
        <v>0</v>
      </c>
      <c r="AC106" s="750">
        <v>0</v>
      </c>
      <c r="AD106" s="750">
        <v>0</v>
      </c>
      <c r="AE106" s="750">
        <v>0</v>
      </c>
      <c r="AF106" s="750">
        <v>0</v>
      </c>
      <c r="AG106" s="750">
        <v>0</v>
      </c>
      <c r="AH106" s="750">
        <v>0</v>
      </c>
      <c r="AI106" s="750">
        <v>0</v>
      </c>
      <c r="AJ106" s="750">
        <v>0</v>
      </c>
      <c r="AK106" s="750">
        <v>0</v>
      </c>
      <c r="AL106" s="750">
        <v>0</v>
      </c>
      <c r="AM106" s="750">
        <v>0</v>
      </c>
      <c r="AN106" s="750">
        <v>0</v>
      </c>
      <c r="AO106" s="750">
        <v>0</v>
      </c>
      <c r="AP106" s="750">
        <v>0</v>
      </c>
      <c r="AQ106" s="750">
        <v>0</v>
      </c>
      <c r="AR106" s="750">
        <v>0</v>
      </c>
      <c r="AS106" s="750">
        <v>0</v>
      </c>
      <c r="AT106" s="750">
        <v>0</v>
      </c>
      <c r="AU106" s="750">
        <v>0</v>
      </c>
      <c r="AV106" s="750">
        <v>0</v>
      </c>
      <c r="AW106" s="750">
        <v>0</v>
      </c>
      <c r="AX106" s="750">
        <v>0</v>
      </c>
    </row>
    <row r="107" ht="15" customHeight="1" spans="2:50">
      <c r="B107" s="767" t="s">
        <v>1552</v>
      </c>
      <c r="C107" s="784" t="s">
        <v>1534</v>
      </c>
      <c r="D107" s="784"/>
      <c r="E107" s="784" t="s">
        <v>1534</v>
      </c>
      <c r="F107" s="784"/>
      <c r="G107" s="784"/>
      <c r="H107" s="784"/>
      <c r="I107" s="784" t="s">
        <v>1534</v>
      </c>
      <c r="J107" s="770"/>
      <c r="K107" s="769" t="s">
        <v>1464</v>
      </c>
      <c r="L107" s="769" t="s">
        <v>199</v>
      </c>
      <c r="M107" s="769" t="s">
        <v>199</v>
      </c>
      <c r="N107" s="750">
        <v>0</v>
      </c>
      <c r="O107" s="750">
        <v>0</v>
      </c>
      <c r="P107" s="750">
        <v>0</v>
      </c>
      <c r="Q107" s="750">
        <v>0</v>
      </c>
      <c r="R107" s="750">
        <v>0</v>
      </c>
      <c r="S107" s="750">
        <v>0</v>
      </c>
      <c r="T107" s="750">
        <v>0</v>
      </c>
      <c r="U107" s="750">
        <v>0</v>
      </c>
      <c r="V107" s="750">
        <v>0</v>
      </c>
      <c r="W107" s="750">
        <v>0</v>
      </c>
      <c r="X107" s="750">
        <v>0</v>
      </c>
      <c r="Y107" s="750">
        <v>0</v>
      </c>
      <c r="Z107" s="750"/>
      <c r="AA107" s="750">
        <v>0</v>
      </c>
      <c r="AB107" s="750">
        <v>0</v>
      </c>
      <c r="AC107" s="750">
        <v>0</v>
      </c>
      <c r="AD107" s="750">
        <v>0</v>
      </c>
      <c r="AE107" s="750">
        <v>0</v>
      </c>
      <c r="AF107" s="750">
        <v>0</v>
      </c>
      <c r="AG107" s="750">
        <v>0</v>
      </c>
      <c r="AH107" s="750">
        <v>0</v>
      </c>
      <c r="AI107" s="750">
        <v>0</v>
      </c>
      <c r="AJ107" s="750">
        <v>0</v>
      </c>
      <c r="AK107" s="750">
        <v>0</v>
      </c>
      <c r="AL107" s="750">
        <v>0</v>
      </c>
      <c r="AM107" s="750">
        <v>0</v>
      </c>
      <c r="AN107" s="750">
        <v>0</v>
      </c>
      <c r="AO107" s="750">
        <v>0</v>
      </c>
      <c r="AP107" s="750">
        <v>0</v>
      </c>
      <c r="AQ107" s="750">
        <v>0</v>
      </c>
      <c r="AR107" s="750">
        <v>0</v>
      </c>
      <c r="AS107" s="750">
        <v>0</v>
      </c>
      <c r="AT107" s="750">
        <v>0</v>
      </c>
      <c r="AU107" s="750">
        <v>0</v>
      </c>
      <c r="AV107" s="750">
        <v>0</v>
      </c>
      <c r="AW107" s="750">
        <v>0</v>
      </c>
      <c r="AX107" s="750">
        <v>0</v>
      </c>
    </row>
    <row r="108" ht="15" customHeight="1" spans="2:50">
      <c r="B108" s="767" t="s">
        <v>1553</v>
      </c>
      <c r="C108" s="784" t="s">
        <v>1534</v>
      </c>
      <c r="D108" s="784"/>
      <c r="E108" s="784" t="s">
        <v>1534</v>
      </c>
      <c r="F108" s="784"/>
      <c r="G108" s="784"/>
      <c r="H108" s="784"/>
      <c r="I108" s="784" t="s">
        <v>1534</v>
      </c>
      <c r="J108" s="770"/>
      <c r="K108" s="769" t="s">
        <v>1464</v>
      </c>
      <c r="L108" s="769" t="s">
        <v>199</v>
      </c>
      <c r="M108" s="769" t="s">
        <v>199</v>
      </c>
      <c r="N108" s="750">
        <v>0</v>
      </c>
      <c r="O108" s="750">
        <v>0</v>
      </c>
      <c r="P108" s="750">
        <v>0</v>
      </c>
      <c r="Q108" s="750">
        <v>0</v>
      </c>
      <c r="R108" s="750">
        <v>0</v>
      </c>
      <c r="S108" s="750">
        <v>0</v>
      </c>
      <c r="T108" s="750">
        <v>0</v>
      </c>
      <c r="U108" s="750">
        <v>0</v>
      </c>
      <c r="V108" s="750">
        <v>0</v>
      </c>
      <c r="W108" s="750">
        <v>0</v>
      </c>
      <c r="X108" s="750">
        <v>0</v>
      </c>
      <c r="Y108" s="750">
        <v>0</v>
      </c>
      <c r="Z108" s="750"/>
      <c r="AA108" s="750">
        <v>0</v>
      </c>
      <c r="AB108" s="750">
        <v>0</v>
      </c>
      <c r="AC108" s="750">
        <v>0</v>
      </c>
      <c r="AD108" s="750">
        <v>0</v>
      </c>
      <c r="AE108" s="750">
        <v>0</v>
      </c>
      <c r="AF108" s="750">
        <v>0</v>
      </c>
      <c r="AG108" s="750">
        <v>0</v>
      </c>
      <c r="AH108" s="750">
        <v>0</v>
      </c>
      <c r="AI108" s="750">
        <v>0</v>
      </c>
      <c r="AJ108" s="750">
        <v>0</v>
      </c>
      <c r="AK108" s="750">
        <v>0</v>
      </c>
      <c r="AL108" s="750">
        <v>0</v>
      </c>
      <c r="AM108" s="750">
        <v>0</v>
      </c>
      <c r="AN108" s="750">
        <v>0</v>
      </c>
      <c r="AO108" s="750">
        <v>0</v>
      </c>
      <c r="AP108" s="750">
        <v>0</v>
      </c>
      <c r="AQ108" s="750">
        <v>0</v>
      </c>
      <c r="AR108" s="750">
        <v>0</v>
      </c>
      <c r="AS108" s="750">
        <v>0</v>
      </c>
      <c r="AT108" s="750">
        <v>0</v>
      </c>
      <c r="AU108" s="750">
        <v>0</v>
      </c>
      <c r="AV108" s="750">
        <v>0</v>
      </c>
      <c r="AW108" s="750">
        <v>0</v>
      </c>
      <c r="AX108" s="750">
        <v>0</v>
      </c>
    </row>
    <row r="109" ht="15" customHeight="1" spans="2:50">
      <c r="B109" s="767" t="s">
        <v>1554</v>
      </c>
      <c r="C109" s="784" t="s">
        <v>1534</v>
      </c>
      <c r="D109" s="784"/>
      <c r="E109" s="784" t="s">
        <v>1534</v>
      </c>
      <c r="F109" s="784"/>
      <c r="G109" s="784"/>
      <c r="H109" s="784"/>
      <c r="I109" s="784" t="s">
        <v>1534</v>
      </c>
      <c r="J109" s="770"/>
      <c r="K109" s="769" t="s">
        <v>1464</v>
      </c>
      <c r="L109" s="769" t="s">
        <v>199</v>
      </c>
      <c r="M109" s="769" t="s">
        <v>199</v>
      </c>
      <c r="N109" s="750">
        <v>0</v>
      </c>
      <c r="O109" s="750">
        <v>0</v>
      </c>
      <c r="P109" s="750">
        <v>0</v>
      </c>
      <c r="Q109" s="750">
        <v>0</v>
      </c>
      <c r="R109" s="750">
        <v>0</v>
      </c>
      <c r="S109" s="750">
        <v>0</v>
      </c>
      <c r="T109" s="750">
        <v>0</v>
      </c>
      <c r="U109" s="750">
        <v>0</v>
      </c>
      <c r="V109" s="750">
        <v>0</v>
      </c>
      <c r="W109" s="750">
        <v>0</v>
      </c>
      <c r="X109" s="750">
        <v>0</v>
      </c>
      <c r="Y109" s="750">
        <v>0</v>
      </c>
      <c r="Z109" s="750"/>
      <c r="AA109" s="750">
        <v>0</v>
      </c>
      <c r="AB109" s="750">
        <v>0</v>
      </c>
      <c r="AC109" s="750">
        <v>0</v>
      </c>
      <c r="AD109" s="750">
        <v>0</v>
      </c>
      <c r="AE109" s="750">
        <v>0</v>
      </c>
      <c r="AF109" s="750">
        <v>0</v>
      </c>
      <c r="AG109" s="750">
        <v>0</v>
      </c>
      <c r="AH109" s="750">
        <v>0</v>
      </c>
      <c r="AI109" s="750">
        <v>0</v>
      </c>
      <c r="AJ109" s="750">
        <v>0</v>
      </c>
      <c r="AK109" s="750">
        <v>0</v>
      </c>
      <c r="AL109" s="750">
        <v>0</v>
      </c>
      <c r="AM109" s="750">
        <v>0</v>
      </c>
      <c r="AN109" s="750">
        <v>0</v>
      </c>
      <c r="AO109" s="750">
        <v>0</v>
      </c>
      <c r="AP109" s="750">
        <v>0</v>
      </c>
      <c r="AQ109" s="750">
        <v>0</v>
      </c>
      <c r="AR109" s="750">
        <v>0</v>
      </c>
      <c r="AS109" s="750">
        <v>0</v>
      </c>
      <c r="AT109" s="750">
        <v>0</v>
      </c>
      <c r="AU109" s="750">
        <v>0</v>
      </c>
      <c r="AV109" s="750">
        <v>0</v>
      </c>
      <c r="AW109" s="750">
        <v>0</v>
      </c>
      <c r="AX109" s="750">
        <v>0</v>
      </c>
    </row>
    <row r="110" ht="15" customHeight="1" spans="2:50">
      <c r="B110" s="767" t="s">
        <v>1555</v>
      </c>
      <c r="C110" s="784" t="s">
        <v>1534</v>
      </c>
      <c r="D110" s="784"/>
      <c r="E110" s="784" t="s">
        <v>1534</v>
      </c>
      <c r="F110" s="784"/>
      <c r="G110" s="784"/>
      <c r="H110" s="784"/>
      <c r="I110" s="784" t="s">
        <v>1534</v>
      </c>
      <c r="J110" s="770"/>
      <c r="K110" s="769" t="s">
        <v>1464</v>
      </c>
      <c r="L110" s="769" t="s">
        <v>199</v>
      </c>
      <c r="M110" s="769" t="s">
        <v>199</v>
      </c>
      <c r="N110" s="750">
        <v>0</v>
      </c>
      <c r="O110" s="750">
        <v>0</v>
      </c>
      <c r="P110" s="750">
        <v>0</v>
      </c>
      <c r="Q110" s="750">
        <v>0</v>
      </c>
      <c r="R110" s="750">
        <v>0</v>
      </c>
      <c r="S110" s="750">
        <v>0</v>
      </c>
      <c r="T110" s="750">
        <v>0</v>
      </c>
      <c r="U110" s="750">
        <v>0</v>
      </c>
      <c r="V110" s="750">
        <v>0</v>
      </c>
      <c r="W110" s="750">
        <v>0</v>
      </c>
      <c r="X110" s="750">
        <v>0</v>
      </c>
      <c r="Y110" s="750">
        <v>0</v>
      </c>
      <c r="Z110" s="750"/>
      <c r="AA110" s="750">
        <v>0</v>
      </c>
      <c r="AB110" s="750">
        <v>0</v>
      </c>
      <c r="AC110" s="750">
        <v>0</v>
      </c>
      <c r="AD110" s="750">
        <v>0</v>
      </c>
      <c r="AE110" s="750">
        <v>0</v>
      </c>
      <c r="AF110" s="750">
        <v>0</v>
      </c>
      <c r="AG110" s="750">
        <v>0</v>
      </c>
      <c r="AH110" s="750">
        <v>0</v>
      </c>
      <c r="AI110" s="750">
        <v>0</v>
      </c>
      <c r="AJ110" s="750">
        <v>0</v>
      </c>
      <c r="AK110" s="750">
        <v>0</v>
      </c>
      <c r="AL110" s="750">
        <v>0</v>
      </c>
      <c r="AM110" s="750">
        <v>0</v>
      </c>
      <c r="AN110" s="750">
        <v>0</v>
      </c>
      <c r="AO110" s="750">
        <v>0</v>
      </c>
      <c r="AP110" s="750">
        <v>0</v>
      </c>
      <c r="AQ110" s="750">
        <v>0</v>
      </c>
      <c r="AR110" s="750">
        <v>0</v>
      </c>
      <c r="AS110" s="750">
        <v>0</v>
      </c>
      <c r="AT110" s="750">
        <v>0</v>
      </c>
      <c r="AU110" s="750">
        <v>0</v>
      </c>
      <c r="AV110" s="750">
        <v>0</v>
      </c>
      <c r="AW110" s="750">
        <v>0</v>
      </c>
      <c r="AX110" s="750">
        <v>0</v>
      </c>
    </row>
    <row r="111" ht="15" customHeight="1" spans="2:50">
      <c r="B111" s="767" t="s">
        <v>1556</v>
      </c>
      <c r="C111" s="784" t="s">
        <v>1534</v>
      </c>
      <c r="D111" s="784"/>
      <c r="E111" s="784" t="s">
        <v>1534</v>
      </c>
      <c r="F111" s="784"/>
      <c r="G111" s="784"/>
      <c r="H111" s="784"/>
      <c r="I111" s="784" t="s">
        <v>1534</v>
      </c>
      <c r="J111" s="770"/>
      <c r="K111" s="769" t="s">
        <v>1464</v>
      </c>
      <c r="L111" s="769" t="s">
        <v>199</v>
      </c>
      <c r="M111" s="769" t="s">
        <v>199</v>
      </c>
      <c r="N111" s="750">
        <v>0</v>
      </c>
      <c r="O111" s="750">
        <v>0</v>
      </c>
      <c r="P111" s="750">
        <v>0</v>
      </c>
      <c r="Q111" s="750">
        <v>0</v>
      </c>
      <c r="R111" s="750">
        <v>0</v>
      </c>
      <c r="S111" s="750">
        <v>0</v>
      </c>
      <c r="T111" s="750">
        <v>0</v>
      </c>
      <c r="U111" s="750">
        <v>0</v>
      </c>
      <c r="V111" s="750">
        <v>0</v>
      </c>
      <c r="W111" s="750">
        <v>0</v>
      </c>
      <c r="X111" s="750">
        <v>0</v>
      </c>
      <c r="Y111" s="750">
        <v>0</v>
      </c>
      <c r="Z111" s="750"/>
      <c r="AA111" s="750">
        <v>0</v>
      </c>
      <c r="AB111" s="750">
        <v>0</v>
      </c>
      <c r="AC111" s="750">
        <v>0</v>
      </c>
      <c r="AD111" s="750">
        <v>0</v>
      </c>
      <c r="AE111" s="750">
        <v>0</v>
      </c>
      <c r="AF111" s="750">
        <v>0</v>
      </c>
      <c r="AG111" s="750">
        <v>0</v>
      </c>
      <c r="AH111" s="750">
        <v>0</v>
      </c>
      <c r="AI111" s="750">
        <v>0</v>
      </c>
      <c r="AJ111" s="750">
        <v>0</v>
      </c>
      <c r="AK111" s="750">
        <v>0</v>
      </c>
      <c r="AL111" s="750">
        <v>0</v>
      </c>
      <c r="AM111" s="750">
        <v>0</v>
      </c>
      <c r="AN111" s="750">
        <v>0</v>
      </c>
      <c r="AO111" s="750">
        <v>0</v>
      </c>
      <c r="AP111" s="750">
        <v>0</v>
      </c>
      <c r="AQ111" s="750">
        <v>0</v>
      </c>
      <c r="AR111" s="750">
        <v>0</v>
      </c>
      <c r="AS111" s="750">
        <v>0</v>
      </c>
      <c r="AT111" s="750">
        <v>0</v>
      </c>
      <c r="AU111" s="750">
        <v>0</v>
      </c>
      <c r="AV111" s="750">
        <v>0</v>
      </c>
      <c r="AW111" s="750">
        <v>0</v>
      </c>
      <c r="AX111" s="750">
        <v>0</v>
      </c>
    </row>
    <row r="112" ht="15" customHeight="1" spans="2:50">
      <c r="B112" s="767" t="s">
        <v>1557</v>
      </c>
      <c r="C112" s="784" t="s">
        <v>1534</v>
      </c>
      <c r="D112" s="784"/>
      <c r="E112" s="784" t="s">
        <v>1534</v>
      </c>
      <c r="F112" s="784"/>
      <c r="G112" s="784"/>
      <c r="H112" s="784"/>
      <c r="I112" s="784" t="s">
        <v>1534</v>
      </c>
      <c r="J112" s="770"/>
      <c r="K112" s="769" t="s">
        <v>1464</v>
      </c>
      <c r="L112" s="769" t="s">
        <v>199</v>
      </c>
      <c r="M112" s="769" t="s">
        <v>199</v>
      </c>
      <c r="N112" s="750">
        <v>0</v>
      </c>
      <c r="O112" s="750">
        <v>0</v>
      </c>
      <c r="P112" s="750">
        <v>0</v>
      </c>
      <c r="Q112" s="750">
        <v>0</v>
      </c>
      <c r="R112" s="750">
        <v>0</v>
      </c>
      <c r="S112" s="750">
        <v>0</v>
      </c>
      <c r="T112" s="750">
        <v>0</v>
      </c>
      <c r="U112" s="750">
        <v>0</v>
      </c>
      <c r="V112" s="750">
        <v>0</v>
      </c>
      <c r="W112" s="750">
        <v>0</v>
      </c>
      <c r="X112" s="750">
        <v>0</v>
      </c>
      <c r="Y112" s="750">
        <v>0</v>
      </c>
      <c r="Z112" s="750"/>
      <c r="AA112" s="750">
        <v>0</v>
      </c>
      <c r="AB112" s="750">
        <v>0</v>
      </c>
      <c r="AC112" s="750">
        <v>0</v>
      </c>
      <c r="AD112" s="750">
        <v>0</v>
      </c>
      <c r="AE112" s="750">
        <v>0</v>
      </c>
      <c r="AF112" s="750">
        <v>0</v>
      </c>
      <c r="AG112" s="750">
        <v>0</v>
      </c>
      <c r="AH112" s="750">
        <v>0</v>
      </c>
      <c r="AI112" s="750">
        <v>0</v>
      </c>
      <c r="AJ112" s="750">
        <v>0</v>
      </c>
      <c r="AK112" s="750">
        <v>0</v>
      </c>
      <c r="AL112" s="750">
        <v>0</v>
      </c>
      <c r="AM112" s="750">
        <v>0</v>
      </c>
      <c r="AN112" s="750">
        <v>0</v>
      </c>
      <c r="AO112" s="750">
        <v>0</v>
      </c>
      <c r="AP112" s="750">
        <v>0</v>
      </c>
      <c r="AQ112" s="750">
        <v>0</v>
      </c>
      <c r="AR112" s="750">
        <v>0</v>
      </c>
      <c r="AS112" s="750">
        <v>0</v>
      </c>
      <c r="AT112" s="750">
        <v>0</v>
      </c>
      <c r="AU112" s="750">
        <v>0</v>
      </c>
      <c r="AV112" s="750">
        <v>0</v>
      </c>
      <c r="AW112" s="750">
        <v>0</v>
      </c>
      <c r="AX112" s="750">
        <v>0</v>
      </c>
    </row>
    <row r="113" ht="15" customHeight="1" spans="2:50">
      <c r="B113" s="767" t="s">
        <v>1558</v>
      </c>
      <c r="C113" s="784" t="s">
        <v>1534</v>
      </c>
      <c r="D113" s="784"/>
      <c r="E113" s="784" t="s">
        <v>1534</v>
      </c>
      <c r="F113" s="784"/>
      <c r="G113" s="784"/>
      <c r="H113" s="784"/>
      <c r="I113" s="784" t="s">
        <v>1534</v>
      </c>
      <c r="J113" s="770"/>
      <c r="K113" s="769" t="s">
        <v>1464</v>
      </c>
      <c r="L113" s="769" t="s">
        <v>199</v>
      </c>
      <c r="M113" s="769" t="s">
        <v>199</v>
      </c>
      <c r="N113" s="750">
        <v>0</v>
      </c>
      <c r="O113" s="750">
        <v>0</v>
      </c>
      <c r="P113" s="750">
        <v>0</v>
      </c>
      <c r="Q113" s="750">
        <v>0</v>
      </c>
      <c r="R113" s="750">
        <v>0</v>
      </c>
      <c r="S113" s="750">
        <v>0</v>
      </c>
      <c r="T113" s="750">
        <v>0</v>
      </c>
      <c r="U113" s="750">
        <v>0</v>
      </c>
      <c r="V113" s="750">
        <v>0</v>
      </c>
      <c r="W113" s="750">
        <v>0</v>
      </c>
      <c r="X113" s="750">
        <v>0</v>
      </c>
      <c r="Y113" s="750">
        <v>0</v>
      </c>
      <c r="Z113" s="750"/>
      <c r="AA113" s="750">
        <v>0</v>
      </c>
      <c r="AB113" s="750">
        <v>0</v>
      </c>
      <c r="AC113" s="750">
        <v>0</v>
      </c>
      <c r="AD113" s="750">
        <v>0</v>
      </c>
      <c r="AE113" s="750">
        <v>0</v>
      </c>
      <c r="AF113" s="750">
        <v>0</v>
      </c>
      <c r="AG113" s="750">
        <v>0</v>
      </c>
      <c r="AH113" s="750">
        <v>0</v>
      </c>
      <c r="AI113" s="750">
        <v>0</v>
      </c>
      <c r="AJ113" s="750">
        <v>0</v>
      </c>
      <c r="AK113" s="750">
        <v>0</v>
      </c>
      <c r="AL113" s="750">
        <v>0</v>
      </c>
      <c r="AM113" s="750">
        <v>0</v>
      </c>
      <c r="AN113" s="750">
        <v>0</v>
      </c>
      <c r="AO113" s="750">
        <v>0</v>
      </c>
      <c r="AP113" s="750">
        <v>0</v>
      </c>
      <c r="AQ113" s="750">
        <v>0</v>
      </c>
      <c r="AR113" s="750">
        <v>0</v>
      </c>
      <c r="AS113" s="750">
        <v>0</v>
      </c>
      <c r="AT113" s="750">
        <v>0</v>
      </c>
      <c r="AU113" s="750">
        <v>0</v>
      </c>
      <c r="AV113" s="750">
        <v>0</v>
      </c>
      <c r="AW113" s="750">
        <v>0</v>
      </c>
      <c r="AX113" s="750">
        <v>0</v>
      </c>
    </row>
    <row r="114" ht="15" customHeight="1" spans="2:50">
      <c r="B114" s="767" t="s">
        <v>1559</v>
      </c>
      <c r="C114" s="784" t="s">
        <v>1534</v>
      </c>
      <c r="D114" s="784"/>
      <c r="E114" s="784" t="s">
        <v>1534</v>
      </c>
      <c r="F114" s="784"/>
      <c r="G114" s="784"/>
      <c r="H114" s="784"/>
      <c r="I114" s="784" t="s">
        <v>1534</v>
      </c>
      <c r="J114" s="770"/>
      <c r="K114" s="769" t="s">
        <v>1464</v>
      </c>
      <c r="L114" s="769" t="s">
        <v>199</v>
      </c>
      <c r="M114" s="769" t="s">
        <v>199</v>
      </c>
      <c r="N114" s="750">
        <v>0</v>
      </c>
      <c r="O114" s="750">
        <v>0</v>
      </c>
      <c r="P114" s="750">
        <v>0</v>
      </c>
      <c r="Q114" s="750">
        <v>0</v>
      </c>
      <c r="R114" s="750">
        <v>0</v>
      </c>
      <c r="S114" s="750">
        <v>0</v>
      </c>
      <c r="T114" s="750">
        <v>0</v>
      </c>
      <c r="U114" s="750">
        <v>0</v>
      </c>
      <c r="V114" s="750">
        <v>0</v>
      </c>
      <c r="W114" s="750">
        <v>0</v>
      </c>
      <c r="X114" s="750">
        <v>0</v>
      </c>
      <c r="Y114" s="750">
        <v>0</v>
      </c>
      <c r="Z114" s="750"/>
      <c r="AA114" s="750">
        <v>0</v>
      </c>
      <c r="AB114" s="750">
        <v>0</v>
      </c>
      <c r="AC114" s="750">
        <v>0</v>
      </c>
      <c r="AD114" s="750">
        <v>0</v>
      </c>
      <c r="AE114" s="750">
        <v>0</v>
      </c>
      <c r="AF114" s="750">
        <v>0</v>
      </c>
      <c r="AG114" s="750">
        <v>0</v>
      </c>
      <c r="AH114" s="750">
        <v>0</v>
      </c>
      <c r="AI114" s="750">
        <v>0</v>
      </c>
      <c r="AJ114" s="750">
        <v>0</v>
      </c>
      <c r="AK114" s="750">
        <v>0</v>
      </c>
      <c r="AL114" s="750">
        <v>0</v>
      </c>
      <c r="AM114" s="750">
        <v>0</v>
      </c>
      <c r="AN114" s="750">
        <v>0</v>
      </c>
      <c r="AO114" s="750">
        <v>0</v>
      </c>
      <c r="AP114" s="750">
        <v>0</v>
      </c>
      <c r="AQ114" s="750">
        <v>0</v>
      </c>
      <c r="AR114" s="750">
        <v>0</v>
      </c>
      <c r="AS114" s="750">
        <v>0</v>
      </c>
      <c r="AT114" s="750">
        <v>0</v>
      </c>
      <c r="AU114" s="750">
        <v>0</v>
      </c>
      <c r="AV114" s="750">
        <v>0</v>
      </c>
      <c r="AW114" s="750">
        <v>0</v>
      </c>
      <c r="AX114" s="750">
        <v>0</v>
      </c>
    </row>
    <row r="115" ht="15" customHeight="1" spans="2:50">
      <c r="B115" s="767" t="s">
        <v>1560</v>
      </c>
      <c r="C115" s="784" t="s">
        <v>1534</v>
      </c>
      <c r="D115" s="784"/>
      <c r="E115" s="784" t="s">
        <v>1534</v>
      </c>
      <c r="F115" s="784"/>
      <c r="G115" s="784"/>
      <c r="H115" s="784"/>
      <c r="I115" s="784" t="s">
        <v>1534</v>
      </c>
      <c r="J115" s="770"/>
      <c r="K115" s="769" t="s">
        <v>1464</v>
      </c>
      <c r="L115" s="769" t="s">
        <v>199</v>
      </c>
      <c r="M115" s="769" t="s">
        <v>199</v>
      </c>
      <c r="N115" s="750">
        <v>0</v>
      </c>
      <c r="O115" s="750">
        <v>0</v>
      </c>
      <c r="P115" s="750">
        <v>0</v>
      </c>
      <c r="Q115" s="750">
        <v>0</v>
      </c>
      <c r="R115" s="750">
        <v>0</v>
      </c>
      <c r="S115" s="750">
        <v>0</v>
      </c>
      <c r="T115" s="750">
        <v>0</v>
      </c>
      <c r="U115" s="750">
        <v>0</v>
      </c>
      <c r="V115" s="750">
        <v>0</v>
      </c>
      <c r="W115" s="750">
        <v>0</v>
      </c>
      <c r="X115" s="750">
        <v>0</v>
      </c>
      <c r="Y115" s="750">
        <v>0</v>
      </c>
      <c r="Z115" s="750"/>
      <c r="AA115" s="750">
        <v>0</v>
      </c>
      <c r="AB115" s="750">
        <v>0</v>
      </c>
      <c r="AC115" s="750">
        <v>0</v>
      </c>
      <c r="AD115" s="750">
        <v>0</v>
      </c>
      <c r="AE115" s="750">
        <v>0</v>
      </c>
      <c r="AF115" s="750">
        <v>0</v>
      </c>
      <c r="AG115" s="750">
        <v>0</v>
      </c>
      <c r="AH115" s="750">
        <v>0</v>
      </c>
      <c r="AI115" s="750">
        <v>0</v>
      </c>
      <c r="AJ115" s="750">
        <v>0</v>
      </c>
      <c r="AK115" s="750">
        <v>0</v>
      </c>
      <c r="AL115" s="750">
        <v>0</v>
      </c>
      <c r="AM115" s="750">
        <v>0</v>
      </c>
      <c r="AN115" s="750">
        <v>0</v>
      </c>
      <c r="AO115" s="750">
        <v>0</v>
      </c>
      <c r="AP115" s="750">
        <v>0</v>
      </c>
      <c r="AQ115" s="750">
        <v>0</v>
      </c>
      <c r="AR115" s="750">
        <v>0</v>
      </c>
      <c r="AS115" s="750">
        <v>0</v>
      </c>
      <c r="AT115" s="750">
        <v>0</v>
      </c>
      <c r="AU115" s="750">
        <v>0</v>
      </c>
      <c r="AV115" s="750">
        <v>0</v>
      </c>
      <c r="AW115" s="750">
        <v>0</v>
      </c>
      <c r="AX115" s="750">
        <v>0</v>
      </c>
    </row>
    <row r="116" ht="15" customHeight="1" spans="2:50">
      <c r="B116" s="767" t="s">
        <v>1561</v>
      </c>
      <c r="C116" s="784" t="s">
        <v>1534</v>
      </c>
      <c r="D116" s="784"/>
      <c r="E116" s="784" t="s">
        <v>1534</v>
      </c>
      <c r="F116" s="784"/>
      <c r="G116" s="784"/>
      <c r="H116" s="784"/>
      <c r="I116" s="784" t="s">
        <v>1534</v>
      </c>
      <c r="J116" s="770"/>
      <c r="K116" s="769" t="s">
        <v>1464</v>
      </c>
      <c r="L116" s="769" t="s">
        <v>199</v>
      </c>
      <c r="M116" s="769" t="s">
        <v>199</v>
      </c>
      <c r="N116" s="750">
        <v>0</v>
      </c>
      <c r="O116" s="750">
        <v>0</v>
      </c>
      <c r="P116" s="750">
        <v>0</v>
      </c>
      <c r="Q116" s="750">
        <v>0</v>
      </c>
      <c r="R116" s="750">
        <v>0</v>
      </c>
      <c r="S116" s="750">
        <v>0</v>
      </c>
      <c r="T116" s="750">
        <v>0</v>
      </c>
      <c r="U116" s="750">
        <v>0</v>
      </c>
      <c r="V116" s="750">
        <v>0</v>
      </c>
      <c r="W116" s="750">
        <v>0</v>
      </c>
      <c r="X116" s="750">
        <v>0</v>
      </c>
      <c r="Y116" s="750">
        <v>0</v>
      </c>
      <c r="Z116" s="750"/>
      <c r="AA116" s="750">
        <v>0</v>
      </c>
      <c r="AB116" s="750">
        <v>0</v>
      </c>
      <c r="AC116" s="750">
        <v>0</v>
      </c>
      <c r="AD116" s="750">
        <v>0</v>
      </c>
      <c r="AE116" s="750">
        <v>0</v>
      </c>
      <c r="AF116" s="750">
        <v>0</v>
      </c>
      <c r="AG116" s="750">
        <v>0</v>
      </c>
      <c r="AH116" s="750">
        <v>0</v>
      </c>
      <c r="AI116" s="750">
        <v>0</v>
      </c>
      <c r="AJ116" s="750">
        <v>0</v>
      </c>
      <c r="AK116" s="750">
        <v>0</v>
      </c>
      <c r="AL116" s="750">
        <v>0</v>
      </c>
      <c r="AM116" s="750">
        <v>0</v>
      </c>
      <c r="AN116" s="750">
        <v>0</v>
      </c>
      <c r="AO116" s="750">
        <v>0</v>
      </c>
      <c r="AP116" s="750">
        <v>0</v>
      </c>
      <c r="AQ116" s="750">
        <v>0</v>
      </c>
      <c r="AR116" s="750">
        <v>0</v>
      </c>
      <c r="AS116" s="750">
        <v>0</v>
      </c>
      <c r="AT116" s="750">
        <v>0</v>
      </c>
      <c r="AU116" s="750">
        <v>0</v>
      </c>
      <c r="AV116" s="750">
        <v>0</v>
      </c>
      <c r="AW116" s="750">
        <v>0</v>
      </c>
      <c r="AX116" s="750">
        <v>0</v>
      </c>
    </row>
    <row r="117" ht="15" customHeight="1" spans="2:50">
      <c r="B117" s="767" t="s">
        <v>1562</v>
      </c>
      <c r="C117" s="784" t="s">
        <v>1534</v>
      </c>
      <c r="D117" s="784"/>
      <c r="E117" s="784" t="s">
        <v>1534</v>
      </c>
      <c r="F117" s="784"/>
      <c r="G117" s="784"/>
      <c r="H117" s="784"/>
      <c r="I117" s="784" t="s">
        <v>1534</v>
      </c>
      <c r="J117" s="770"/>
      <c r="K117" s="769" t="s">
        <v>1464</v>
      </c>
      <c r="L117" s="769" t="s">
        <v>199</v>
      </c>
      <c r="M117" s="769" t="s">
        <v>199</v>
      </c>
      <c r="N117" s="750">
        <v>0</v>
      </c>
      <c r="O117" s="750">
        <v>0</v>
      </c>
      <c r="P117" s="750">
        <v>0</v>
      </c>
      <c r="Q117" s="750">
        <v>0</v>
      </c>
      <c r="R117" s="750">
        <v>0</v>
      </c>
      <c r="S117" s="750">
        <v>0</v>
      </c>
      <c r="T117" s="750">
        <v>0</v>
      </c>
      <c r="U117" s="750">
        <v>0</v>
      </c>
      <c r="V117" s="750">
        <v>0</v>
      </c>
      <c r="W117" s="750">
        <v>0</v>
      </c>
      <c r="X117" s="750">
        <v>0</v>
      </c>
      <c r="Y117" s="750">
        <v>0</v>
      </c>
      <c r="Z117" s="750"/>
      <c r="AA117" s="750">
        <v>0</v>
      </c>
      <c r="AB117" s="750">
        <v>0</v>
      </c>
      <c r="AC117" s="750">
        <v>0</v>
      </c>
      <c r="AD117" s="750">
        <v>0</v>
      </c>
      <c r="AE117" s="750">
        <v>0</v>
      </c>
      <c r="AF117" s="750">
        <v>0</v>
      </c>
      <c r="AG117" s="750">
        <v>0</v>
      </c>
      <c r="AH117" s="750">
        <v>0</v>
      </c>
      <c r="AI117" s="750">
        <v>0</v>
      </c>
      <c r="AJ117" s="750">
        <v>0</v>
      </c>
      <c r="AK117" s="750">
        <v>0</v>
      </c>
      <c r="AL117" s="750">
        <v>0</v>
      </c>
      <c r="AM117" s="750">
        <v>0</v>
      </c>
      <c r="AN117" s="750">
        <v>0</v>
      </c>
      <c r="AO117" s="750">
        <v>0</v>
      </c>
      <c r="AP117" s="750">
        <v>0</v>
      </c>
      <c r="AQ117" s="750">
        <v>0</v>
      </c>
      <c r="AR117" s="750">
        <v>0</v>
      </c>
      <c r="AS117" s="750">
        <v>0</v>
      </c>
      <c r="AT117" s="750">
        <v>0</v>
      </c>
      <c r="AU117" s="750">
        <v>0</v>
      </c>
      <c r="AV117" s="750">
        <v>0</v>
      </c>
      <c r="AW117" s="750">
        <v>0</v>
      </c>
      <c r="AX117" s="750">
        <v>0</v>
      </c>
    </row>
    <row r="118" ht="15" customHeight="1" spans="2:50">
      <c r="B118" s="767" t="s">
        <v>1563</v>
      </c>
      <c r="C118" s="784" t="s">
        <v>1534</v>
      </c>
      <c r="D118" s="784"/>
      <c r="E118" s="784" t="s">
        <v>1534</v>
      </c>
      <c r="F118" s="784"/>
      <c r="G118" s="784"/>
      <c r="H118" s="784"/>
      <c r="I118" s="784" t="s">
        <v>1534</v>
      </c>
      <c r="J118" s="770"/>
      <c r="K118" s="769" t="s">
        <v>1464</v>
      </c>
      <c r="L118" s="769" t="s">
        <v>199</v>
      </c>
      <c r="M118" s="769" t="s">
        <v>199</v>
      </c>
      <c r="N118" s="750">
        <v>0</v>
      </c>
      <c r="O118" s="750">
        <v>0</v>
      </c>
      <c r="P118" s="750">
        <v>0</v>
      </c>
      <c r="Q118" s="750">
        <v>0</v>
      </c>
      <c r="R118" s="750">
        <v>0</v>
      </c>
      <c r="S118" s="750">
        <v>0</v>
      </c>
      <c r="T118" s="750">
        <v>0</v>
      </c>
      <c r="U118" s="750">
        <v>0</v>
      </c>
      <c r="V118" s="750">
        <v>0</v>
      </c>
      <c r="W118" s="750">
        <v>0</v>
      </c>
      <c r="X118" s="750">
        <v>0</v>
      </c>
      <c r="Y118" s="750">
        <v>0</v>
      </c>
      <c r="Z118" s="750"/>
      <c r="AA118" s="750">
        <v>0</v>
      </c>
      <c r="AB118" s="750">
        <v>0</v>
      </c>
      <c r="AC118" s="750">
        <v>0</v>
      </c>
      <c r="AD118" s="750">
        <v>0</v>
      </c>
      <c r="AE118" s="750">
        <v>0</v>
      </c>
      <c r="AF118" s="750">
        <v>0</v>
      </c>
      <c r="AG118" s="750">
        <v>0</v>
      </c>
      <c r="AH118" s="750">
        <v>0</v>
      </c>
      <c r="AI118" s="750">
        <v>0</v>
      </c>
      <c r="AJ118" s="750">
        <v>0</v>
      </c>
      <c r="AK118" s="750">
        <v>0</v>
      </c>
      <c r="AL118" s="750">
        <v>0</v>
      </c>
      <c r="AM118" s="750">
        <v>0</v>
      </c>
      <c r="AN118" s="750">
        <v>0</v>
      </c>
      <c r="AO118" s="750">
        <v>0</v>
      </c>
      <c r="AP118" s="750">
        <v>0</v>
      </c>
      <c r="AQ118" s="750">
        <v>0</v>
      </c>
      <c r="AR118" s="750">
        <v>0</v>
      </c>
      <c r="AS118" s="750">
        <v>0</v>
      </c>
      <c r="AT118" s="750">
        <v>0</v>
      </c>
      <c r="AU118" s="750">
        <v>0</v>
      </c>
      <c r="AV118" s="750">
        <v>0</v>
      </c>
      <c r="AW118" s="750">
        <v>0</v>
      </c>
      <c r="AX118" s="750">
        <v>0</v>
      </c>
    </row>
    <row r="119" ht="15" customHeight="1" spans="2:50">
      <c r="B119" s="767" t="s">
        <v>1564</v>
      </c>
      <c r="C119" s="784" t="s">
        <v>1534</v>
      </c>
      <c r="D119" s="784"/>
      <c r="E119" s="784" t="s">
        <v>1534</v>
      </c>
      <c r="F119" s="784"/>
      <c r="G119" s="784"/>
      <c r="H119" s="784"/>
      <c r="I119" s="784" t="s">
        <v>1534</v>
      </c>
      <c r="J119" s="770"/>
      <c r="K119" s="769" t="s">
        <v>1464</v>
      </c>
      <c r="L119" s="769" t="s">
        <v>199</v>
      </c>
      <c r="M119" s="769" t="s">
        <v>199</v>
      </c>
      <c r="N119" s="750">
        <v>0</v>
      </c>
      <c r="O119" s="750">
        <v>0</v>
      </c>
      <c r="P119" s="750">
        <v>0</v>
      </c>
      <c r="Q119" s="750">
        <v>0</v>
      </c>
      <c r="R119" s="750">
        <v>0</v>
      </c>
      <c r="S119" s="750">
        <v>0</v>
      </c>
      <c r="T119" s="750">
        <v>0</v>
      </c>
      <c r="U119" s="750">
        <v>0</v>
      </c>
      <c r="V119" s="750">
        <v>0</v>
      </c>
      <c r="W119" s="750">
        <v>0</v>
      </c>
      <c r="X119" s="750">
        <v>0</v>
      </c>
      <c r="Y119" s="750">
        <v>0</v>
      </c>
      <c r="Z119" s="750"/>
      <c r="AA119" s="750">
        <v>0</v>
      </c>
      <c r="AB119" s="750">
        <v>0</v>
      </c>
      <c r="AC119" s="750">
        <v>0</v>
      </c>
      <c r="AD119" s="750">
        <v>0</v>
      </c>
      <c r="AE119" s="750">
        <v>0</v>
      </c>
      <c r="AF119" s="750">
        <v>0</v>
      </c>
      <c r="AG119" s="750">
        <v>0</v>
      </c>
      <c r="AH119" s="750">
        <v>0</v>
      </c>
      <c r="AI119" s="750">
        <v>0</v>
      </c>
      <c r="AJ119" s="750">
        <v>0</v>
      </c>
      <c r="AK119" s="750">
        <v>0</v>
      </c>
      <c r="AL119" s="750">
        <v>0</v>
      </c>
      <c r="AM119" s="750">
        <v>0</v>
      </c>
      <c r="AN119" s="750">
        <v>0</v>
      </c>
      <c r="AO119" s="750">
        <v>0</v>
      </c>
      <c r="AP119" s="750">
        <v>0</v>
      </c>
      <c r="AQ119" s="750">
        <v>0</v>
      </c>
      <c r="AR119" s="750">
        <v>0</v>
      </c>
      <c r="AS119" s="750">
        <v>0</v>
      </c>
      <c r="AT119" s="750">
        <v>0</v>
      </c>
      <c r="AU119" s="750">
        <v>0</v>
      </c>
      <c r="AV119" s="750">
        <v>0</v>
      </c>
      <c r="AW119" s="750">
        <v>0</v>
      </c>
      <c r="AX119" s="750">
        <v>0</v>
      </c>
    </row>
  </sheetData>
  <mergeCells count="19">
    <mergeCell ref="N21:Z21"/>
    <mergeCell ref="AA21:AL21"/>
    <mergeCell ref="AM21:AX21"/>
    <mergeCell ref="B21:B22"/>
    <mergeCell ref="C21:C22"/>
    <mergeCell ref="D21:D22"/>
    <mergeCell ref="E21:E22"/>
    <mergeCell ref="F17:F18"/>
    <mergeCell ref="F21:F22"/>
    <mergeCell ref="G17:G18"/>
    <mergeCell ref="G21:G22"/>
    <mergeCell ref="H21:H22"/>
    <mergeCell ref="I21:I22"/>
    <mergeCell ref="J21:J22"/>
    <mergeCell ref="K21:K22"/>
    <mergeCell ref="L21:L22"/>
    <mergeCell ref="M21:M22"/>
    <mergeCell ref="B11:E14"/>
    <mergeCell ref="B15:E16"/>
  </mergeCells>
  <hyperlinks>
    <hyperlink ref="A1" location="目录!A1" display="← 返回目录"/>
  </hyperlinks>
  <pageMargins left="0.7" right="0.7" top="0.75" bottom="0.75" header="0.3" footer="0.3"/>
  <pageSetup paperSize="1"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>
    <tabColor theme="8" tint="0.799981688894314"/>
  </sheetPr>
  <dimension ref="A1:AX119"/>
  <sheetViews>
    <sheetView showGridLines="0" showZeros="0" zoomScale="85" zoomScaleNormal="85" topLeftCell="A10" workbookViewId="0">
      <pane xSplit="1" ySplit="15" topLeftCell="B25" activePane="bottomRight" state="frozen"/>
      <selection/>
      <selection pane="topRight"/>
      <selection pane="bottomLeft"/>
      <selection pane="bottomRight" activeCell="A1" sqref="A1"/>
    </sheetView>
  </sheetViews>
  <sheetFormatPr defaultColWidth="8.725" defaultRowHeight="11.25"/>
  <cols>
    <col min="1" max="1" width="1.63333333333333" style="1" customWidth="1"/>
    <col min="2" max="2" width="6.63333333333333" style="1" customWidth="1"/>
    <col min="3" max="3" width="12.6333333333333" style="1" customWidth="1"/>
    <col min="4" max="4" width="12.725" style="1" customWidth="1"/>
    <col min="5" max="5" width="15.6333333333333" style="1" customWidth="1"/>
    <col min="6" max="6" width="11.6333333333333" style="1" customWidth="1"/>
    <col min="7" max="7" width="10.0916666666667" style="1" customWidth="1"/>
    <col min="8" max="8" width="11" style="1" customWidth="1"/>
    <col min="9" max="9" width="13.5416666666667" style="1" customWidth="1"/>
    <col min="10" max="12" width="12.6333333333333" style="1" customWidth="1"/>
    <col min="13" max="13" width="15.3666666666667" style="1" customWidth="1"/>
    <col min="14" max="25" width="9.725" style="1" customWidth="1"/>
    <col min="26" max="26" width="23.9083333333333" style="1" customWidth="1"/>
    <col min="27" max="38" width="11.1833333333333" style="1" customWidth="1"/>
    <col min="39" max="69" width="8.725" style="1" customWidth="1"/>
    <col min="70" max="16384" width="8.725" style="1"/>
  </cols>
  <sheetData>
    <row r="1" ht="16.5" hidden="1" customHeight="1" spans="1:30">
      <c r="A1" s="162" t="s">
        <v>185</v>
      </c>
      <c r="B1" s="1" t="s">
        <v>1435</v>
      </c>
      <c r="C1" s="1" t="s">
        <v>1436</v>
      </c>
    </row>
    <row r="2" ht="16.5" hidden="1" customHeight="1" spans="1:30">
      <c r="B2" s="754" t="s">
        <v>1437</v>
      </c>
      <c r="C2" s="1" t="s">
        <v>1438</v>
      </c>
    </row>
    <row r="3" ht="16.5" hidden="1" customHeight="1" spans="1:30">
      <c r="B3" s="754" t="s">
        <v>1439</v>
      </c>
      <c r="C3" s="1" t="s">
        <v>340</v>
      </c>
    </row>
    <row r="4" ht="16.5" hidden="1" customHeight="1" spans="1:30">
      <c r="B4" s="754" t="s">
        <v>1440</v>
      </c>
      <c r="C4" s="1" t="s">
        <v>1441</v>
      </c>
    </row>
    <row r="5" ht="16.5" hidden="1" customHeight="1" spans="1:30">
      <c r="B5" s="754" t="s">
        <v>1442</v>
      </c>
      <c r="C5" s="1" t="s">
        <v>1443</v>
      </c>
    </row>
    <row r="6" ht="16.5" hidden="1" customHeight="1" spans="1:30">
      <c r="B6" s="754" t="s">
        <v>333</v>
      </c>
      <c r="C6" s="1" t="s">
        <v>1444</v>
      </c>
    </row>
    <row r="7" ht="16.5" hidden="1" customHeight="1" spans="1:30">
      <c r="B7" s="754" t="s">
        <v>1445</v>
      </c>
      <c r="C7" s="1" t="s">
        <v>1446</v>
      </c>
    </row>
    <row r="8" ht="9" hidden="1" customHeight="1" spans="1:30">
      <c r="B8" s="754"/>
    </row>
    <row r="9" ht="9" hidden="1" customHeight="1"/>
    <row r="10" ht="3.65" customHeight="1" spans="1:30">
      <c r="B10" s="755"/>
      <c r="E10" s="756"/>
      <c r="F10" s="756"/>
    </row>
    <row r="11" ht="13" customHeight="1" spans="1:30">
      <c r="B11" s="492" t="s">
        <v>1569</v>
      </c>
      <c r="C11" s="492"/>
      <c r="D11" s="492"/>
      <c r="E11" s="492"/>
      <c r="F11" s="7" t="s">
        <v>1404</v>
      </c>
      <c r="G11" s="8" t="s">
        <v>1448</v>
      </c>
      <c r="H11" s="8"/>
      <c r="I11" s="8"/>
      <c r="J11" s="8"/>
      <c r="K11" s="8"/>
      <c r="L11" s="8"/>
      <c r="M11" s="70"/>
      <c r="AA11" s="8"/>
      <c r="AB11" s="8"/>
      <c r="AC11" s="8"/>
      <c r="AD11" s="70"/>
    </row>
    <row r="12" ht="13" customHeight="1" spans="1:30">
      <c r="B12" s="492"/>
      <c r="C12" s="492"/>
      <c r="D12" s="492"/>
      <c r="E12" s="492"/>
      <c r="F12" s="12"/>
      <c r="G12" s="13" t="s">
        <v>1449</v>
      </c>
      <c r="H12" s="13"/>
      <c r="I12" s="13"/>
      <c r="J12" s="13"/>
      <c r="K12" s="13"/>
      <c r="L12" s="13"/>
      <c r="M12" s="803"/>
      <c r="AA12" s="14"/>
      <c r="AB12" s="14"/>
      <c r="AC12" s="14"/>
      <c r="AD12" s="71"/>
    </row>
    <row r="13" customHeight="1" spans="1:30">
      <c r="B13" s="492"/>
      <c r="C13" s="492"/>
      <c r="D13" s="492"/>
      <c r="E13" s="492"/>
      <c r="F13" s="12"/>
      <c r="G13" s="13" t="s">
        <v>1570</v>
      </c>
      <c r="H13" s="13"/>
      <c r="I13" s="13"/>
      <c r="J13" s="13"/>
      <c r="K13" s="13"/>
      <c r="L13" s="13"/>
      <c r="M13" s="804"/>
      <c r="AA13" s="15"/>
      <c r="AB13" s="15"/>
      <c r="AC13" s="14"/>
      <c r="AD13" s="71"/>
    </row>
    <row r="14" customHeight="1" spans="1:30">
      <c r="B14" s="492"/>
      <c r="C14" s="492"/>
      <c r="D14" s="492"/>
      <c r="E14" s="492"/>
      <c r="F14" s="12"/>
      <c r="G14" s="13" t="s">
        <v>1408</v>
      </c>
      <c r="H14" s="13"/>
      <c r="I14" s="13"/>
      <c r="J14" s="13"/>
      <c r="K14" s="13"/>
      <c r="L14" s="13"/>
      <c r="M14" s="804"/>
      <c r="AA14" s="15"/>
      <c r="AB14" s="15"/>
      <c r="AC14" s="14"/>
      <c r="AD14" s="71"/>
    </row>
    <row r="15" customHeight="1" spans="1:30">
      <c r="B15" s="292" t="s">
        <v>1451</v>
      </c>
      <c r="C15" s="292"/>
      <c r="D15" s="292"/>
      <c r="E15" s="292"/>
      <c r="F15" s="12"/>
      <c r="G15" s="22"/>
      <c r="H15" s="22"/>
      <c r="I15" s="13"/>
      <c r="J15" s="13"/>
      <c r="K15" s="13"/>
      <c r="L15" s="13"/>
      <c r="M15" s="804"/>
      <c r="AA15" s="15"/>
      <c r="AB15" s="15"/>
      <c r="AC15" s="14"/>
      <c r="AD15" s="71"/>
    </row>
    <row r="16" customHeight="1" spans="1:30">
      <c r="B16" s="292"/>
      <c r="C16" s="292"/>
      <c r="D16" s="292"/>
      <c r="E16" s="292"/>
      <c r="F16" s="26" t="s">
        <v>1452</v>
      </c>
      <c r="G16" s="27"/>
      <c r="H16" s="27"/>
      <c r="I16" s="28"/>
      <c r="J16" s="28"/>
      <c r="K16" s="28"/>
      <c r="L16" s="28"/>
      <c r="M16" s="805"/>
      <c r="AA16" s="29"/>
      <c r="AB16" s="29"/>
      <c r="AC16" s="30"/>
      <c r="AD16" s="72"/>
    </row>
    <row r="17" ht="4.5" customHeight="1" spans="2:50">
      <c r="F17" s="31"/>
      <c r="G17" s="32">
        <v>0</v>
      </c>
      <c r="H17" s="32"/>
      <c r="L17" s="33"/>
      <c r="M17" s="34"/>
      <c r="AA17" s="34"/>
      <c r="AB17" s="34"/>
    </row>
    <row r="18" ht="10.5" customHeight="1" spans="2:50">
      <c r="F18" s="35"/>
      <c r="G18" s="32"/>
      <c r="H18" s="32"/>
      <c r="AN18" s="1" t="s">
        <v>1453</v>
      </c>
    </row>
    <row r="19" ht="15" customHeight="1" spans="2:50">
      <c r="B19" s="36" t="s">
        <v>1411</v>
      </c>
      <c r="C19" s="37" t="s">
        <v>1412</v>
      </c>
      <c r="D19" s="36" t="s">
        <v>188</v>
      </c>
      <c r="E19" s="37" t="s">
        <v>1413</v>
      </c>
      <c r="F19" s="36" t="s">
        <v>5</v>
      </c>
      <c r="G19" s="37" t="s">
        <v>1454</v>
      </c>
      <c r="H19" s="36" t="s">
        <v>1364</v>
      </c>
      <c r="I19" s="37" t="s">
        <v>1396</v>
      </c>
      <c r="J19" s="36" t="s">
        <v>1414</v>
      </c>
      <c r="K19" s="38" t="s">
        <v>1359</v>
      </c>
    </row>
    <row r="20" ht="15.5" customHeight="1"/>
    <row r="21" s="753" customFormat="1" ht="22.5" customHeight="1" spans="2:50">
      <c r="B21" s="759" t="s">
        <v>1455</v>
      </c>
      <c r="C21" s="759" t="s">
        <v>1456</v>
      </c>
      <c r="D21" s="759" t="s">
        <v>1366</v>
      </c>
      <c r="E21" s="794" t="s">
        <v>1367</v>
      </c>
      <c r="F21" s="794" t="s">
        <v>1368</v>
      </c>
      <c r="G21" s="759" t="s">
        <v>489</v>
      </c>
      <c r="H21" s="759" t="s">
        <v>1369</v>
      </c>
      <c r="I21" s="794" t="s">
        <v>493</v>
      </c>
      <c r="J21" s="759" t="s">
        <v>1458</v>
      </c>
      <c r="K21" s="759" t="s">
        <v>1459</v>
      </c>
      <c r="L21" s="759" t="s">
        <v>1460</v>
      </c>
      <c r="M21" s="759" t="s">
        <v>1461</v>
      </c>
      <c r="N21" s="795" t="s">
        <v>1427</v>
      </c>
      <c r="O21" s="796"/>
      <c r="P21" s="796"/>
      <c r="Q21" s="796"/>
      <c r="R21" s="796"/>
      <c r="S21" s="796"/>
      <c r="T21" s="796"/>
      <c r="U21" s="796"/>
      <c r="V21" s="796"/>
      <c r="W21" s="796"/>
      <c r="X21" s="796"/>
      <c r="Y21" s="796"/>
      <c r="Z21" s="797"/>
      <c r="AA21" s="761" t="s">
        <v>280</v>
      </c>
      <c r="AB21" s="762"/>
      <c r="AC21" s="762"/>
      <c r="AD21" s="762"/>
      <c r="AE21" s="762"/>
      <c r="AF21" s="762"/>
      <c r="AG21" s="762"/>
      <c r="AH21" s="762"/>
      <c r="AI21" s="762"/>
      <c r="AJ21" s="762"/>
      <c r="AK21" s="762"/>
      <c r="AL21" s="802"/>
      <c r="AM21" s="761" t="s">
        <v>287</v>
      </c>
      <c r="AN21" s="762"/>
      <c r="AO21" s="762"/>
      <c r="AP21" s="762"/>
      <c r="AQ21" s="762"/>
      <c r="AR21" s="762"/>
      <c r="AS21" s="762"/>
      <c r="AT21" s="762"/>
      <c r="AU21" s="762"/>
      <c r="AV21" s="762"/>
      <c r="AW21" s="762"/>
      <c r="AX21" s="802"/>
    </row>
    <row r="22" s="753" customFormat="1" ht="22.5" customHeight="1" spans="2:50">
      <c r="B22" s="764"/>
      <c r="C22" s="764"/>
      <c r="D22" s="764"/>
      <c r="E22" s="798"/>
      <c r="F22" s="798"/>
      <c r="G22" s="764"/>
      <c r="H22" s="764"/>
      <c r="I22" s="798"/>
      <c r="J22" s="764"/>
      <c r="K22" s="764"/>
      <c r="L22" s="764"/>
      <c r="M22" s="764"/>
      <c r="N22" s="732" t="s">
        <v>304</v>
      </c>
      <c r="O22" s="732" t="s">
        <v>305</v>
      </c>
      <c r="P22" s="732" t="s">
        <v>306</v>
      </c>
      <c r="Q22" s="732" t="s">
        <v>307</v>
      </c>
      <c r="R22" s="732" t="s">
        <v>308</v>
      </c>
      <c r="S22" s="732" t="s">
        <v>309</v>
      </c>
      <c r="T22" s="732" t="s">
        <v>310</v>
      </c>
      <c r="U22" s="732" t="s">
        <v>311</v>
      </c>
      <c r="V22" s="732" t="s">
        <v>312</v>
      </c>
      <c r="W22" s="732" t="s">
        <v>313</v>
      </c>
      <c r="X22" s="732" t="s">
        <v>314</v>
      </c>
      <c r="Y22" s="732" t="s">
        <v>315</v>
      </c>
      <c r="Z22" s="732" t="s">
        <v>1462</v>
      </c>
      <c r="AA22" s="766" t="s">
        <v>304</v>
      </c>
      <c r="AB22" s="766" t="s">
        <v>305</v>
      </c>
      <c r="AC22" s="766" t="s">
        <v>306</v>
      </c>
      <c r="AD22" s="766" t="s">
        <v>307</v>
      </c>
      <c r="AE22" s="766" t="s">
        <v>308</v>
      </c>
      <c r="AF22" s="766" t="s">
        <v>309</v>
      </c>
      <c r="AG22" s="766" t="s">
        <v>310</v>
      </c>
      <c r="AH22" s="766" t="s">
        <v>311</v>
      </c>
      <c r="AI22" s="766" t="s">
        <v>312</v>
      </c>
      <c r="AJ22" s="766" t="s">
        <v>313</v>
      </c>
      <c r="AK22" s="766" t="s">
        <v>314</v>
      </c>
      <c r="AL22" s="766" t="s">
        <v>315</v>
      </c>
      <c r="AM22" s="766" t="s">
        <v>304</v>
      </c>
      <c r="AN22" s="766" t="s">
        <v>305</v>
      </c>
      <c r="AO22" s="766" t="s">
        <v>306</v>
      </c>
      <c r="AP22" s="766" t="s">
        <v>307</v>
      </c>
      <c r="AQ22" s="766" t="s">
        <v>308</v>
      </c>
      <c r="AR22" s="766" t="s">
        <v>309</v>
      </c>
      <c r="AS22" s="766" t="s">
        <v>310</v>
      </c>
      <c r="AT22" s="766" t="s">
        <v>311</v>
      </c>
      <c r="AU22" s="766" t="s">
        <v>312</v>
      </c>
      <c r="AV22" s="766" t="s">
        <v>313</v>
      </c>
      <c r="AW22" s="766" t="s">
        <v>314</v>
      </c>
      <c r="AX22" s="766" t="s">
        <v>315</v>
      </c>
    </row>
    <row r="23" s="753" customFormat="1" ht="22.5" customHeight="1" spans="2:50">
      <c r="B23" s="763"/>
      <c r="C23" s="763" t="s">
        <v>1421</v>
      </c>
      <c r="D23" s="763" t="s">
        <v>1421</v>
      </c>
      <c r="E23" s="744" t="s">
        <v>1463</v>
      </c>
      <c r="F23" s="744" t="s">
        <v>1463</v>
      </c>
      <c r="G23" s="763" t="s">
        <v>1421</v>
      </c>
      <c r="H23" s="763" t="s">
        <v>1421</v>
      </c>
      <c r="I23" s="744" t="s">
        <v>1463</v>
      </c>
      <c r="J23" s="763" t="s">
        <v>1421</v>
      </c>
      <c r="K23" s="763" t="s">
        <v>1464</v>
      </c>
      <c r="L23" s="763" t="s">
        <v>199</v>
      </c>
      <c r="M23" s="763" t="s">
        <v>199</v>
      </c>
      <c r="N23" s="746" t="s">
        <v>1465</v>
      </c>
      <c r="O23" s="746" t="s">
        <v>1465</v>
      </c>
      <c r="P23" s="746" t="s">
        <v>1465</v>
      </c>
      <c r="Q23" s="746" t="s">
        <v>1465</v>
      </c>
      <c r="R23" s="746" t="s">
        <v>1465</v>
      </c>
      <c r="S23" s="746" t="s">
        <v>1465</v>
      </c>
      <c r="T23" s="746" t="s">
        <v>1465</v>
      </c>
      <c r="U23" s="746" t="s">
        <v>1465</v>
      </c>
      <c r="V23" s="746" t="s">
        <v>1465</v>
      </c>
      <c r="W23" s="746" t="s">
        <v>1465</v>
      </c>
      <c r="X23" s="746" t="s">
        <v>1465</v>
      </c>
      <c r="Y23" s="746" t="s">
        <v>1465</v>
      </c>
      <c r="Z23" s="746" t="s">
        <v>1465</v>
      </c>
      <c r="AA23" s="766" t="s">
        <v>1421</v>
      </c>
      <c r="AB23" s="766" t="s">
        <v>1421</v>
      </c>
      <c r="AC23" s="766" t="s">
        <v>1421</v>
      </c>
      <c r="AD23" s="766" t="s">
        <v>1421</v>
      </c>
      <c r="AE23" s="766" t="s">
        <v>1421</v>
      </c>
      <c r="AF23" s="766" t="s">
        <v>1421</v>
      </c>
      <c r="AG23" s="766" t="s">
        <v>1421</v>
      </c>
      <c r="AH23" s="766" t="s">
        <v>1421</v>
      </c>
      <c r="AI23" s="766" t="s">
        <v>1421</v>
      </c>
      <c r="AJ23" s="766" t="s">
        <v>1421</v>
      </c>
      <c r="AK23" s="766" t="s">
        <v>1421</v>
      </c>
      <c r="AL23" s="766" t="s">
        <v>1421</v>
      </c>
      <c r="AM23" s="766" t="s">
        <v>199</v>
      </c>
      <c r="AN23" s="766" t="s">
        <v>199</v>
      </c>
      <c r="AO23" s="766" t="s">
        <v>199</v>
      </c>
      <c r="AP23" s="766" t="s">
        <v>199</v>
      </c>
      <c r="AQ23" s="766" t="s">
        <v>199</v>
      </c>
      <c r="AR23" s="766" t="s">
        <v>199</v>
      </c>
      <c r="AS23" s="766" t="s">
        <v>199</v>
      </c>
      <c r="AT23" s="766" t="s">
        <v>199</v>
      </c>
      <c r="AU23" s="766" t="s">
        <v>199</v>
      </c>
      <c r="AV23" s="766" t="s">
        <v>199</v>
      </c>
      <c r="AW23" s="766" t="s">
        <v>199</v>
      </c>
      <c r="AX23" s="766" t="s">
        <v>199</v>
      </c>
    </row>
    <row r="24" ht="20.5" customHeight="1" spans="2:50">
      <c r="B24" s="767" t="s">
        <v>281</v>
      </c>
      <c r="C24" s="768" t="s">
        <v>1466</v>
      </c>
      <c r="D24" s="768" t="s">
        <v>1466</v>
      </c>
      <c r="E24" s="768" t="s">
        <v>1466</v>
      </c>
      <c r="F24" s="768" t="s">
        <v>1466</v>
      </c>
      <c r="G24" s="768" t="s">
        <v>1466</v>
      </c>
      <c r="H24" s="768" t="s">
        <v>1466</v>
      </c>
      <c r="I24" s="768" t="s">
        <v>1466</v>
      </c>
      <c r="J24" s="768"/>
      <c r="K24" s="769" t="s">
        <v>1464</v>
      </c>
      <c r="L24" s="769" t="s">
        <v>199</v>
      </c>
      <c r="M24" s="769" t="s">
        <v>199</v>
      </c>
      <c r="N24" s="769" t="s">
        <v>1464</v>
      </c>
      <c r="O24" s="769" t="s">
        <v>1464</v>
      </c>
      <c r="P24" s="769" t="s">
        <v>1464</v>
      </c>
      <c r="Q24" s="769" t="s">
        <v>1464</v>
      </c>
      <c r="R24" s="769" t="s">
        <v>1464</v>
      </c>
      <c r="S24" s="769" t="s">
        <v>1464</v>
      </c>
      <c r="T24" s="769" t="s">
        <v>1464</v>
      </c>
      <c r="U24" s="769" t="s">
        <v>1464</v>
      </c>
      <c r="V24" s="769" t="s">
        <v>1464</v>
      </c>
      <c r="W24" s="769" t="s">
        <v>1464</v>
      </c>
      <c r="X24" s="769" t="s">
        <v>1464</v>
      </c>
      <c r="Y24" s="769" t="s">
        <v>1464</v>
      </c>
      <c r="Z24" s="769"/>
      <c r="AA24" s="769" t="s">
        <v>1464</v>
      </c>
      <c r="AB24" s="769" t="s">
        <v>1464</v>
      </c>
      <c r="AC24" s="769" t="s">
        <v>1464</v>
      </c>
      <c r="AD24" s="769" t="s">
        <v>1464</v>
      </c>
      <c r="AE24" s="769" t="s">
        <v>1464</v>
      </c>
      <c r="AF24" s="769" t="s">
        <v>1464</v>
      </c>
      <c r="AG24" s="769" t="s">
        <v>1464</v>
      </c>
      <c r="AH24" s="769" t="s">
        <v>1464</v>
      </c>
      <c r="AI24" s="769" t="s">
        <v>1464</v>
      </c>
      <c r="AJ24" s="769" t="s">
        <v>1464</v>
      </c>
      <c r="AK24" s="769" t="s">
        <v>1464</v>
      </c>
      <c r="AL24" s="769" t="s">
        <v>1464</v>
      </c>
      <c r="AM24" s="769" t="s">
        <v>1464</v>
      </c>
      <c r="AN24" s="769" t="s">
        <v>1464</v>
      </c>
      <c r="AO24" s="769" t="s">
        <v>1464</v>
      </c>
      <c r="AP24" s="769" t="s">
        <v>1464</v>
      </c>
      <c r="AQ24" s="769" t="s">
        <v>1464</v>
      </c>
      <c r="AR24" s="769" t="s">
        <v>1464</v>
      </c>
      <c r="AS24" s="769" t="s">
        <v>1464</v>
      </c>
      <c r="AT24" s="769" t="s">
        <v>1464</v>
      </c>
      <c r="AU24" s="769" t="s">
        <v>1464</v>
      </c>
      <c r="AV24" s="769" t="s">
        <v>1464</v>
      </c>
      <c r="AW24" s="769" t="s">
        <v>1464</v>
      </c>
      <c r="AX24" s="769" t="s">
        <v>1464</v>
      </c>
    </row>
    <row r="25" ht="15" customHeight="1" spans="2:50">
      <c r="B25" s="767" t="s">
        <v>1467</v>
      </c>
      <c r="C25" s="770"/>
      <c r="D25" s="770"/>
      <c r="E25" s="770"/>
      <c r="F25" s="770" t="s">
        <v>1468</v>
      </c>
      <c r="G25" s="770" t="s">
        <v>1424</v>
      </c>
      <c r="H25" s="770"/>
      <c r="I25" s="770" t="s">
        <v>1425</v>
      </c>
      <c r="J25" s="770"/>
      <c r="K25" s="769" t="s">
        <v>1464</v>
      </c>
      <c r="L25" s="769" t="s">
        <v>199</v>
      </c>
      <c r="M25" s="769" t="s">
        <v>199</v>
      </c>
      <c r="N25" s="748"/>
      <c r="O25" s="800"/>
      <c r="P25" s="800"/>
      <c r="Q25" s="800"/>
      <c r="R25" s="800"/>
      <c r="S25" s="800"/>
      <c r="T25" s="800"/>
      <c r="U25" s="800"/>
      <c r="V25" s="800"/>
      <c r="W25" s="800"/>
      <c r="X25" s="748"/>
      <c r="Y25" s="748"/>
      <c r="Z25" s="748"/>
      <c r="AA25" s="748"/>
      <c r="AB25" s="800"/>
      <c r="AC25" s="800"/>
      <c r="AD25" s="800"/>
      <c r="AE25" s="800"/>
      <c r="AF25" s="800"/>
      <c r="AG25" s="800"/>
      <c r="AH25" s="800"/>
      <c r="AI25" s="800"/>
      <c r="AJ25" s="800"/>
      <c r="AK25" s="748"/>
      <c r="AL25" s="748"/>
      <c r="AM25" s="748"/>
      <c r="AN25" s="800"/>
      <c r="AO25" s="800"/>
      <c r="AP25" s="800"/>
      <c r="AQ25" s="800"/>
      <c r="AR25" s="800"/>
      <c r="AS25" s="800"/>
      <c r="AT25" s="800"/>
      <c r="AU25" s="800"/>
      <c r="AV25" s="800"/>
      <c r="AW25" s="748"/>
      <c r="AX25" s="748"/>
    </row>
    <row r="26" ht="15" customHeight="1" spans="2:50">
      <c r="B26" s="767" t="s">
        <v>1469</v>
      </c>
      <c r="C26" s="770"/>
      <c r="D26" s="770"/>
      <c r="E26" s="770"/>
      <c r="F26" s="770" t="s">
        <v>1470</v>
      </c>
      <c r="G26" s="770"/>
      <c r="H26" s="770"/>
      <c r="I26" s="770" t="s">
        <v>1426</v>
      </c>
      <c r="J26" s="770"/>
      <c r="K26" s="769" t="s">
        <v>1464</v>
      </c>
      <c r="L26" s="769" t="s">
        <v>199</v>
      </c>
      <c r="M26" s="769" t="s">
        <v>199</v>
      </c>
      <c r="N26" s="748"/>
      <c r="O26" s="748"/>
      <c r="P26" s="748"/>
      <c r="Q26" s="748"/>
      <c r="R26" s="800"/>
      <c r="S26" s="800"/>
      <c r="T26" s="800"/>
      <c r="U26" s="800"/>
      <c r="V26" s="800"/>
      <c r="W26" s="800"/>
      <c r="X26" s="748"/>
      <c r="Y26" s="748"/>
      <c r="Z26" s="748"/>
      <c r="AA26" s="748"/>
      <c r="AB26" s="748"/>
      <c r="AC26" s="748"/>
      <c r="AD26" s="748"/>
      <c r="AE26" s="800"/>
      <c r="AF26" s="800"/>
      <c r="AG26" s="800"/>
      <c r="AH26" s="800"/>
      <c r="AI26" s="800"/>
      <c r="AJ26" s="800"/>
      <c r="AK26" s="748"/>
      <c r="AL26" s="748"/>
      <c r="AM26" s="748"/>
      <c r="AN26" s="748"/>
      <c r="AO26" s="748"/>
      <c r="AP26" s="748"/>
      <c r="AQ26" s="800"/>
      <c r="AR26" s="800"/>
      <c r="AS26" s="800"/>
      <c r="AT26" s="800"/>
      <c r="AU26" s="800"/>
      <c r="AV26" s="800"/>
      <c r="AW26" s="748"/>
      <c r="AX26" s="748"/>
    </row>
    <row r="27" ht="15" customHeight="1" spans="2:50">
      <c r="B27" s="767" t="s">
        <v>1471</v>
      </c>
      <c r="C27" s="770"/>
      <c r="D27" s="770"/>
      <c r="E27" s="770"/>
      <c r="F27" s="770"/>
      <c r="G27" s="770" t="s">
        <v>1568</v>
      </c>
      <c r="H27" s="770"/>
      <c r="I27" s="770"/>
      <c r="J27" s="770"/>
      <c r="K27" s="769" t="s">
        <v>1464</v>
      </c>
      <c r="L27" s="769" t="s">
        <v>199</v>
      </c>
      <c r="M27" s="769" t="s">
        <v>199</v>
      </c>
      <c r="N27" s="800"/>
      <c r="O27" s="800"/>
      <c r="P27" s="800"/>
      <c r="Q27" s="800"/>
      <c r="R27" s="800"/>
      <c r="S27" s="800"/>
      <c r="T27" s="800"/>
      <c r="U27" s="800"/>
      <c r="V27" s="800"/>
      <c r="W27" s="800"/>
      <c r="X27" s="748"/>
      <c r="Y27" s="748"/>
      <c r="Z27" s="748"/>
      <c r="AA27" s="800"/>
      <c r="AB27" s="800"/>
      <c r="AC27" s="800"/>
      <c r="AD27" s="800"/>
      <c r="AE27" s="800"/>
      <c r="AF27" s="800"/>
      <c r="AG27" s="800"/>
      <c r="AH27" s="800"/>
      <c r="AI27" s="800"/>
      <c r="AJ27" s="800"/>
      <c r="AK27" s="748"/>
      <c r="AL27" s="748"/>
      <c r="AM27" s="800"/>
      <c r="AN27" s="800"/>
      <c r="AO27" s="800"/>
      <c r="AP27" s="800"/>
      <c r="AQ27" s="800"/>
      <c r="AR27" s="800"/>
      <c r="AS27" s="800"/>
      <c r="AT27" s="800"/>
      <c r="AU27" s="800"/>
      <c r="AV27" s="800"/>
      <c r="AW27" s="748"/>
      <c r="AX27" s="748"/>
    </row>
    <row r="28" ht="15" customHeight="1" spans="2:50">
      <c r="B28" s="767" t="s">
        <v>1472</v>
      </c>
      <c r="C28" s="770"/>
      <c r="D28" s="770"/>
      <c r="E28" s="770"/>
      <c r="F28" s="770"/>
      <c r="G28" s="770"/>
      <c r="H28" s="770"/>
      <c r="I28" s="770"/>
      <c r="J28" s="770"/>
      <c r="K28" s="769" t="s">
        <v>1464</v>
      </c>
      <c r="L28" s="769" t="s">
        <v>199</v>
      </c>
      <c r="M28" s="769" t="s">
        <v>199</v>
      </c>
      <c r="N28" s="800"/>
      <c r="O28" s="800"/>
      <c r="P28" s="800"/>
      <c r="Q28" s="800"/>
      <c r="R28" s="800"/>
      <c r="S28" s="800"/>
      <c r="T28" s="800"/>
      <c r="U28" s="748"/>
      <c r="V28" s="800"/>
      <c r="W28" s="748"/>
      <c r="X28" s="748"/>
      <c r="Y28" s="748"/>
      <c r="Z28" s="748"/>
      <c r="AA28" s="800"/>
      <c r="AB28" s="800"/>
      <c r="AC28" s="800"/>
      <c r="AD28" s="800"/>
      <c r="AE28" s="800"/>
      <c r="AF28" s="800"/>
      <c r="AG28" s="800"/>
      <c r="AH28" s="748"/>
      <c r="AI28" s="800"/>
      <c r="AJ28" s="748"/>
      <c r="AK28" s="748"/>
      <c r="AL28" s="748"/>
      <c r="AM28" s="800"/>
      <c r="AN28" s="800"/>
      <c r="AO28" s="800"/>
      <c r="AP28" s="800"/>
      <c r="AQ28" s="800"/>
      <c r="AR28" s="800"/>
      <c r="AS28" s="800"/>
      <c r="AT28" s="748"/>
      <c r="AU28" s="800"/>
      <c r="AV28" s="748"/>
      <c r="AW28" s="748"/>
      <c r="AX28" s="748"/>
    </row>
    <row r="29" ht="15" customHeight="1" spans="2:50">
      <c r="B29" s="767" t="s">
        <v>1473</v>
      </c>
      <c r="C29" s="770"/>
      <c r="D29" s="770"/>
      <c r="E29" s="770"/>
      <c r="F29" s="770"/>
      <c r="G29" s="770"/>
      <c r="H29" s="770"/>
      <c r="I29" s="770"/>
      <c r="J29" s="770"/>
      <c r="K29" s="769" t="s">
        <v>1464</v>
      </c>
      <c r="L29" s="769" t="s">
        <v>199</v>
      </c>
      <c r="M29" s="769" t="s">
        <v>199</v>
      </c>
      <c r="N29" s="748"/>
      <c r="O29" s="748"/>
      <c r="P29" s="748"/>
      <c r="Q29" s="748"/>
      <c r="R29" s="748"/>
      <c r="S29" s="748"/>
      <c r="T29" s="748"/>
      <c r="U29" s="748"/>
      <c r="V29" s="800"/>
      <c r="W29" s="800"/>
      <c r="X29" s="749"/>
      <c r="Y29" s="749"/>
      <c r="Z29" s="749"/>
      <c r="AA29" s="748"/>
      <c r="AB29" s="748"/>
      <c r="AC29" s="748"/>
      <c r="AD29" s="748"/>
      <c r="AE29" s="748"/>
      <c r="AF29" s="748"/>
      <c r="AG29" s="748"/>
      <c r="AH29" s="748"/>
      <c r="AI29" s="800"/>
      <c r="AJ29" s="800"/>
      <c r="AK29" s="749"/>
      <c r="AL29" s="749"/>
      <c r="AM29" s="748"/>
      <c r="AN29" s="748"/>
      <c r="AO29" s="748"/>
      <c r="AP29" s="748"/>
      <c r="AQ29" s="748"/>
      <c r="AR29" s="748"/>
      <c r="AS29" s="748"/>
      <c r="AT29" s="748"/>
      <c r="AU29" s="800"/>
      <c r="AV29" s="800"/>
      <c r="AW29" s="749"/>
      <c r="AX29" s="749"/>
    </row>
    <row r="30" ht="15" customHeight="1" spans="2:50">
      <c r="B30" s="767" t="s">
        <v>1474</v>
      </c>
      <c r="C30" s="770"/>
      <c r="D30" s="770"/>
      <c r="E30" s="770"/>
      <c r="F30" s="770"/>
      <c r="G30" s="770"/>
      <c r="H30" s="770"/>
      <c r="I30" s="770"/>
      <c r="J30" s="770"/>
      <c r="K30" s="769" t="s">
        <v>1464</v>
      </c>
      <c r="L30" s="769" t="s">
        <v>199</v>
      </c>
      <c r="M30" s="769" t="s">
        <v>199</v>
      </c>
      <c r="N30" s="800"/>
      <c r="O30" s="800"/>
      <c r="P30" s="800"/>
      <c r="Q30" s="800"/>
      <c r="R30" s="800"/>
      <c r="S30" s="800"/>
      <c r="T30" s="800"/>
      <c r="U30" s="800"/>
      <c r="V30" s="800"/>
      <c r="W30" s="800"/>
      <c r="X30" s="749"/>
      <c r="Y30" s="749"/>
      <c r="Z30" s="749"/>
      <c r="AA30" s="800"/>
      <c r="AB30" s="800"/>
      <c r="AC30" s="800"/>
      <c r="AD30" s="800"/>
      <c r="AE30" s="800"/>
      <c r="AF30" s="800"/>
      <c r="AG30" s="800"/>
      <c r="AH30" s="800"/>
      <c r="AI30" s="800"/>
      <c r="AJ30" s="800"/>
      <c r="AK30" s="749"/>
      <c r="AL30" s="749"/>
      <c r="AM30" s="800"/>
      <c r="AN30" s="800"/>
      <c r="AO30" s="800"/>
      <c r="AP30" s="800"/>
      <c r="AQ30" s="800"/>
      <c r="AR30" s="800"/>
      <c r="AS30" s="800"/>
      <c r="AT30" s="800"/>
      <c r="AU30" s="800"/>
      <c r="AV30" s="800"/>
      <c r="AW30" s="749"/>
      <c r="AX30" s="749"/>
    </row>
    <row r="31" ht="15" customHeight="1" spans="2:50">
      <c r="B31" s="767" t="s">
        <v>1475</v>
      </c>
      <c r="C31" s="770"/>
      <c r="D31" s="770"/>
      <c r="E31" s="770"/>
      <c r="F31" s="770"/>
      <c r="G31" s="770"/>
      <c r="H31" s="770"/>
      <c r="I31" s="770"/>
      <c r="J31" s="770"/>
      <c r="K31" s="769" t="s">
        <v>1464</v>
      </c>
      <c r="L31" s="769" t="s">
        <v>199</v>
      </c>
      <c r="M31" s="769" t="s">
        <v>199</v>
      </c>
      <c r="N31" s="750"/>
      <c r="O31" s="750"/>
      <c r="P31" s="750"/>
      <c r="Q31" s="750"/>
      <c r="R31" s="750"/>
      <c r="S31" s="750"/>
      <c r="T31" s="750"/>
      <c r="U31" s="750"/>
      <c r="V31" s="750"/>
      <c r="W31" s="750"/>
      <c r="X31" s="750"/>
      <c r="Y31" s="750"/>
      <c r="Z31" s="750"/>
      <c r="AA31" s="750"/>
      <c r="AB31" s="750"/>
      <c r="AC31" s="750"/>
      <c r="AD31" s="750"/>
      <c r="AE31" s="750"/>
      <c r="AF31" s="750"/>
      <c r="AG31" s="750"/>
      <c r="AH31" s="750"/>
      <c r="AI31" s="750"/>
      <c r="AJ31" s="750"/>
      <c r="AK31" s="750"/>
      <c r="AL31" s="750"/>
      <c r="AM31" s="750"/>
      <c r="AN31" s="750"/>
      <c r="AO31" s="750"/>
      <c r="AP31" s="750"/>
      <c r="AQ31" s="750"/>
      <c r="AR31" s="750"/>
      <c r="AS31" s="750"/>
      <c r="AT31" s="750"/>
      <c r="AU31" s="750"/>
      <c r="AV31" s="750"/>
      <c r="AW31" s="750"/>
      <c r="AX31" s="750"/>
    </row>
    <row r="32" ht="15" customHeight="1" spans="2:50">
      <c r="B32" s="767" t="s">
        <v>1476</v>
      </c>
      <c r="C32" s="770"/>
      <c r="D32" s="770"/>
      <c r="E32" s="770"/>
      <c r="F32" s="770"/>
      <c r="G32" s="770"/>
      <c r="H32" s="770"/>
      <c r="I32" s="770"/>
      <c r="J32" s="770"/>
      <c r="K32" s="769" t="s">
        <v>1464</v>
      </c>
      <c r="L32" s="769" t="s">
        <v>199</v>
      </c>
      <c r="M32" s="769" t="s">
        <v>199</v>
      </c>
      <c r="N32" s="750"/>
      <c r="O32" s="750"/>
      <c r="P32" s="750"/>
      <c r="Q32" s="750"/>
      <c r="R32" s="750"/>
      <c r="S32" s="750"/>
      <c r="T32" s="750"/>
      <c r="U32" s="750"/>
      <c r="V32" s="750"/>
      <c r="W32" s="750"/>
      <c r="X32" s="750"/>
      <c r="Y32" s="750"/>
      <c r="Z32" s="750"/>
      <c r="AA32" s="750"/>
      <c r="AB32" s="750"/>
      <c r="AC32" s="750"/>
      <c r="AD32" s="750"/>
      <c r="AE32" s="750"/>
      <c r="AF32" s="750"/>
      <c r="AG32" s="750"/>
      <c r="AH32" s="750"/>
      <c r="AI32" s="750"/>
      <c r="AJ32" s="750"/>
      <c r="AK32" s="750"/>
      <c r="AL32" s="750"/>
      <c r="AM32" s="750"/>
      <c r="AN32" s="750"/>
      <c r="AO32" s="750"/>
      <c r="AP32" s="750"/>
      <c r="AQ32" s="750"/>
      <c r="AR32" s="750"/>
      <c r="AS32" s="750"/>
      <c r="AT32" s="750"/>
      <c r="AU32" s="750"/>
      <c r="AV32" s="750"/>
      <c r="AW32" s="750"/>
      <c r="AX32" s="750"/>
    </row>
    <row r="33" ht="15" customHeight="1" spans="2:50">
      <c r="B33" s="767" t="s">
        <v>1477</v>
      </c>
      <c r="C33" s="784"/>
      <c r="D33" s="784"/>
      <c r="E33" s="785"/>
      <c r="F33" s="785"/>
      <c r="G33" s="785"/>
      <c r="H33" s="785"/>
      <c r="I33" s="784"/>
      <c r="J33" s="770"/>
      <c r="K33" s="769" t="s">
        <v>1464</v>
      </c>
      <c r="L33" s="769" t="s">
        <v>199</v>
      </c>
      <c r="M33" s="769" t="s">
        <v>199</v>
      </c>
      <c r="N33" s="750"/>
      <c r="O33" s="750"/>
      <c r="P33" s="750"/>
      <c r="Q33" s="750"/>
      <c r="R33" s="750"/>
      <c r="S33" s="750"/>
      <c r="T33" s="750"/>
      <c r="U33" s="750"/>
      <c r="V33" s="750"/>
      <c r="W33" s="750"/>
      <c r="X33" s="750"/>
      <c r="Y33" s="750"/>
      <c r="Z33" s="750"/>
      <c r="AA33" s="750"/>
      <c r="AB33" s="750"/>
      <c r="AC33" s="750"/>
      <c r="AD33" s="750"/>
      <c r="AE33" s="750"/>
      <c r="AF33" s="750"/>
      <c r="AG33" s="750"/>
      <c r="AH33" s="750"/>
      <c r="AI33" s="750"/>
      <c r="AJ33" s="750"/>
      <c r="AK33" s="750"/>
      <c r="AL33" s="750"/>
      <c r="AM33" s="750"/>
      <c r="AN33" s="750"/>
      <c r="AO33" s="750"/>
      <c r="AP33" s="750"/>
      <c r="AQ33" s="750"/>
      <c r="AR33" s="750"/>
      <c r="AS33" s="750"/>
      <c r="AT33" s="750"/>
      <c r="AU33" s="750"/>
      <c r="AV33" s="750"/>
      <c r="AW33" s="750"/>
      <c r="AX33" s="750"/>
    </row>
    <row r="34" ht="15" customHeight="1" spans="2:50">
      <c r="B34" s="767" t="s">
        <v>1478</v>
      </c>
      <c r="C34" s="784"/>
      <c r="D34" s="784"/>
      <c r="E34" s="785"/>
      <c r="F34" s="785"/>
      <c r="G34" s="785"/>
      <c r="H34" s="785"/>
      <c r="I34" s="784"/>
      <c r="J34" s="770"/>
      <c r="K34" s="769" t="s">
        <v>1464</v>
      </c>
      <c r="L34" s="769" t="s">
        <v>199</v>
      </c>
      <c r="M34" s="769" t="s">
        <v>199</v>
      </c>
      <c r="N34" s="750"/>
      <c r="O34" s="750"/>
      <c r="P34" s="750"/>
      <c r="Q34" s="750"/>
      <c r="R34" s="750"/>
      <c r="S34" s="750"/>
      <c r="T34" s="750"/>
      <c r="U34" s="750"/>
      <c r="V34" s="750"/>
      <c r="W34" s="750"/>
      <c r="X34" s="750"/>
      <c r="Y34" s="750"/>
      <c r="Z34" s="750"/>
      <c r="AA34" s="750"/>
      <c r="AB34" s="750"/>
      <c r="AC34" s="750"/>
      <c r="AD34" s="750"/>
      <c r="AE34" s="750"/>
      <c r="AF34" s="750"/>
      <c r="AG34" s="750"/>
      <c r="AH34" s="750"/>
      <c r="AI34" s="750"/>
      <c r="AJ34" s="750"/>
      <c r="AK34" s="750"/>
      <c r="AL34" s="750"/>
      <c r="AM34" s="750"/>
      <c r="AN34" s="750"/>
      <c r="AO34" s="750"/>
      <c r="AP34" s="750"/>
      <c r="AQ34" s="750"/>
      <c r="AR34" s="750"/>
      <c r="AS34" s="750"/>
      <c r="AT34" s="750"/>
      <c r="AU34" s="750"/>
      <c r="AV34" s="750"/>
      <c r="AW34" s="750"/>
      <c r="AX34" s="750"/>
    </row>
    <row r="35" ht="15" customHeight="1" spans="2:50">
      <c r="B35" s="767" t="s">
        <v>1479</v>
      </c>
      <c r="C35" s="784"/>
      <c r="D35" s="784"/>
      <c r="E35" s="785"/>
      <c r="F35" s="785"/>
      <c r="G35" s="785"/>
      <c r="H35" s="785"/>
      <c r="I35" s="784"/>
      <c r="J35" s="770"/>
      <c r="K35" s="769" t="s">
        <v>1464</v>
      </c>
      <c r="L35" s="769" t="s">
        <v>199</v>
      </c>
      <c r="M35" s="769" t="s">
        <v>199</v>
      </c>
      <c r="N35" s="750"/>
      <c r="O35" s="750"/>
      <c r="P35" s="750"/>
      <c r="Q35" s="750"/>
      <c r="R35" s="750"/>
      <c r="S35" s="750"/>
      <c r="T35" s="750"/>
      <c r="U35" s="750"/>
      <c r="V35" s="750"/>
      <c r="W35" s="750"/>
      <c r="X35" s="750"/>
      <c r="Y35" s="750"/>
      <c r="Z35" s="750"/>
      <c r="AA35" s="750"/>
      <c r="AB35" s="750"/>
      <c r="AC35" s="750"/>
      <c r="AD35" s="750"/>
      <c r="AE35" s="750"/>
      <c r="AF35" s="750"/>
      <c r="AG35" s="750"/>
      <c r="AH35" s="750"/>
      <c r="AI35" s="750"/>
      <c r="AJ35" s="750"/>
      <c r="AK35" s="750"/>
      <c r="AL35" s="750"/>
      <c r="AM35" s="750"/>
      <c r="AN35" s="750"/>
      <c r="AO35" s="750"/>
      <c r="AP35" s="750"/>
      <c r="AQ35" s="750"/>
      <c r="AR35" s="750"/>
      <c r="AS35" s="750"/>
      <c r="AT35" s="750"/>
      <c r="AU35" s="750"/>
      <c r="AV35" s="750"/>
      <c r="AW35" s="750"/>
      <c r="AX35" s="750"/>
    </row>
    <row r="36" ht="15" customHeight="1" spans="2:50">
      <c r="B36" s="767" t="s">
        <v>1480</v>
      </c>
      <c r="C36" s="784"/>
      <c r="D36" s="784"/>
      <c r="E36" s="785"/>
      <c r="F36" s="785"/>
      <c r="G36" s="785"/>
      <c r="H36" s="785"/>
      <c r="I36" s="784"/>
      <c r="J36" s="770"/>
      <c r="K36" s="769" t="s">
        <v>1464</v>
      </c>
      <c r="L36" s="769" t="s">
        <v>199</v>
      </c>
      <c r="M36" s="769" t="s">
        <v>199</v>
      </c>
      <c r="N36" s="750"/>
      <c r="O36" s="750"/>
      <c r="P36" s="750"/>
      <c r="Q36" s="750"/>
      <c r="R36" s="750"/>
      <c r="S36" s="750"/>
      <c r="T36" s="750"/>
      <c r="U36" s="750"/>
      <c r="V36" s="750"/>
      <c r="W36" s="750"/>
      <c r="X36" s="750"/>
      <c r="Y36" s="750"/>
      <c r="Z36" s="750"/>
      <c r="AA36" s="750"/>
      <c r="AB36" s="750"/>
      <c r="AC36" s="750"/>
      <c r="AD36" s="750"/>
      <c r="AE36" s="750"/>
      <c r="AF36" s="750"/>
      <c r="AG36" s="750"/>
      <c r="AH36" s="750"/>
      <c r="AI36" s="750"/>
      <c r="AJ36" s="750"/>
      <c r="AK36" s="750"/>
      <c r="AL36" s="750"/>
      <c r="AM36" s="750"/>
      <c r="AN36" s="750"/>
      <c r="AO36" s="750"/>
      <c r="AP36" s="750"/>
      <c r="AQ36" s="750"/>
      <c r="AR36" s="750"/>
      <c r="AS36" s="750"/>
      <c r="AT36" s="750"/>
      <c r="AU36" s="750"/>
      <c r="AV36" s="750"/>
      <c r="AW36" s="750"/>
      <c r="AX36" s="750"/>
    </row>
    <row r="37" ht="15" customHeight="1" spans="2:50">
      <c r="B37" s="767" t="s">
        <v>1481</v>
      </c>
      <c r="C37" s="784"/>
      <c r="D37" s="784"/>
      <c r="E37" s="784"/>
      <c r="F37" s="784"/>
      <c r="G37" s="784"/>
      <c r="H37" s="784"/>
      <c r="I37" s="784"/>
      <c r="J37" s="770"/>
      <c r="K37" s="769" t="s">
        <v>1464</v>
      </c>
      <c r="L37" s="769" t="s">
        <v>199</v>
      </c>
      <c r="M37" s="769" t="s">
        <v>199</v>
      </c>
      <c r="N37" s="750"/>
      <c r="O37" s="750"/>
      <c r="P37" s="750"/>
      <c r="Q37" s="750"/>
      <c r="R37" s="750"/>
      <c r="S37" s="750"/>
      <c r="T37" s="750"/>
      <c r="U37" s="750"/>
      <c r="V37" s="750"/>
      <c r="W37" s="750"/>
      <c r="X37" s="750"/>
      <c r="Y37" s="750"/>
      <c r="Z37" s="750"/>
      <c r="AA37" s="750"/>
      <c r="AB37" s="750"/>
      <c r="AC37" s="750"/>
      <c r="AD37" s="750"/>
      <c r="AE37" s="750"/>
      <c r="AF37" s="750"/>
      <c r="AG37" s="750"/>
      <c r="AH37" s="750"/>
      <c r="AI37" s="750"/>
      <c r="AJ37" s="750"/>
      <c r="AK37" s="750"/>
      <c r="AL37" s="750"/>
      <c r="AM37" s="750"/>
      <c r="AN37" s="750"/>
      <c r="AO37" s="750"/>
      <c r="AP37" s="750"/>
      <c r="AQ37" s="750"/>
      <c r="AR37" s="750"/>
      <c r="AS37" s="750"/>
      <c r="AT37" s="750"/>
      <c r="AU37" s="750"/>
      <c r="AV37" s="750"/>
      <c r="AW37" s="750"/>
      <c r="AX37" s="750"/>
    </row>
    <row r="38" ht="15" customHeight="1" spans="2:50">
      <c r="B38" s="767" t="s">
        <v>1482</v>
      </c>
      <c r="C38" s="784"/>
      <c r="D38" s="784"/>
      <c r="E38" s="784"/>
      <c r="F38" s="784"/>
      <c r="G38" s="784"/>
      <c r="H38" s="784"/>
      <c r="I38" s="784"/>
      <c r="J38" s="770"/>
      <c r="K38" s="769" t="s">
        <v>1464</v>
      </c>
      <c r="L38" s="769" t="s">
        <v>199</v>
      </c>
      <c r="M38" s="769" t="s">
        <v>199</v>
      </c>
      <c r="N38" s="750"/>
      <c r="O38" s="750"/>
      <c r="P38" s="750"/>
      <c r="Q38" s="750"/>
      <c r="R38" s="750"/>
      <c r="S38" s="750"/>
      <c r="T38" s="750"/>
      <c r="U38" s="750"/>
      <c r="V38" s="750"/>
      <c r="W38" s="750"/>
      <c r="X38" s="750"/>
      <c r="Y38" s="750"/>
      <c r="Z38" s="750"/>
      <c r="AA38" s="750"/>
      <c r="AB38" s="750"/>
      <c r="AC38" s="750"/>
      <c r="AD38" s="750"/>
      <c r="AE38" s="750"/>
      <c r="AF38" s="750"/>
      <c r="AG38" s="750"/>
      <c r="AH38" s="750"/>
      <c r="AI38" s="750"/>
      <c r="AJ38" s="750"/>
      <c r="AK38" s="750"/>
      <c r="AL38" s="750"/>
      <c r="AM38" s="750"/>
      <c r="AN38" s="750"/>
      <c r="AO38" s="750"/>
      <c r="AP38" s="750"/>
      <c r="AQ38" s="750"/>
      <c r="AR38" s="750"/>
      <c r="AS38" s="750"/>
      <c r="AT38" s="750"/>
      <c r="AU38" s="750"/>
      <c r="AV38" s="750"/>
      <c r="AW38" s="750"/>
      <c r="AX38" s="750"/>
    </row>
    <row r="39" ht="15" customHeight="1" spans="2:50">
      <c r="B39" s="767" t="s">
        <v>1483</v>
      </c>
      <c r="C39" s="784"/>
      <c r="D39" s="784"/>
      <c r="E39" s="784"/>
      <c r="F39" s="784"/>
      <c r="G39" s="784"/>
      <c r="H39" s="784"/>
      <c r="I39" s="784"/>
      <c r="J39" s="770"/>
      <c r="K39" s="769" t="s">
        <v>1464</v>
      </c>
      <c r="L39" s="769" t="s">
        <v>199</v>
      </c>
      <c r="M39" s="769" t="s">
        <v>199</v>
      </c>
      <c r="N39" s="750"/>
      <c r="O39" s="750"/>
      <c r="P39" s="750"/>
      <c r="Q39" s="750"/>
      <c r="R39" s="750"/>
      <c r="S39" s="750"/>
      <c r="T39" s="750"/>
      <c r="U39" s="750"/>
      <c r="V39" s="750"/>
      <c r="W39" s="750"/>
      <c r="X39" s="750"/>
      <c r="Y39" s="750"/>
      <c r="Z39" s="750"/>
      <c r="AA39" s="750"/>
      <c r="AB39" s="750"/>
      <c r="AC39" s="750"/>
      <c r="AD39" s="750"/>
      <c r="AE39" s="750"/>
      <c r="AF39" s="750"/>
      <c r="AG39" s="750"/>
      <c r="AH39" s="750"/>
      <c r="AI39" s="750"/>
      <c r="AJ39" s="750"/>
      <c r="AK39" s="750"/>
      <c r="AL39" s="750"/>
      <c r="AM39" s="750"/>
      <c r="AN39" s="750"/>
      <c r="AO39" s="750"/>
      <c r="AP39" s="750"/>
      <c r="AQ39" s="750"/>
      <c r="AR39" s="750"/>
      <c r="AS39" s="750"/>
      <c r="AT39" s="750"/>
      <c r="AU39" s="750"/>
      <c r="AV39" s="750"/>
      <c r="AW39" s="750"/>
      <c r="AX39" s="750"/>
    </row>
    <row r="40" ht="15" customHeight="1" spans="2:50">
      <c r="B40" s="767" t="s">
        <v>1484</v>
      </c>
      <c r="C40" s="784"/>
      <c r="D40" s="784"/>
      <c r="E40" s="784"/>
      <c r="F40" s="784"/>
      <c r="G40" s="784"/>
      <c r="H40" s="784"/>
      <c r="I40" s="784"/>
      <c r="J40" s="770"/>
      <c r="K40" s="769" t="s">
        <v>1464</v>
      </c>
      <c r="L40" s="769" t="s">
        <v>199</v>
      </c>
      <c r="M40" s="769" t="s">
        <v>199</v>
      </c>
      <c r="N40" s="750"/>
      <c r="O40" s="750"/>
      <c r="P40" s="750"/>
      <c r="Q40" s="750"/>
      <c r="R40" s="750"/>
      <c r="S40" s="750"/>
      <c r="T40" s="750"/>
      <c r="U40" s="750"/>
      <c r="V40" s="750"/>
      <c r="W40" s="750"/>
      <c r="X40" s="750"/>
      <c r="Y40" s="750"/>
      <c r="Z40" s="750"/>
      <c r="AA40" s="750"/>
      <c r="AB40" s="750"/>
      <c r="AC40" s="750"/>
      <c r="AD40" s="750"/>
      <c r="AE40" s="750"/>
      <c r="AF40" s="750"/>
      <c r="AG40" s="750"/>
      <c r="AH40" s="750"/>
      <c r="AI40" s="750"/>
      <c r="AJ40" s="750"/>
      <c r="AK40" s="750"/>
      <c r="AL40" s="750"/>
      <c r="AM40" s="750"/>
      <c r="AN40" s="750"/>
      <c r="AO40" s="750"/>
      <c r="AP40" s="750"/>
      <c r="AQ40" s="750"/>
      <c r="AR40" s="750"/>
      <c r="AS40" s="750"/>
      <c r="AT40" s="750"/>
      <c r="AU40" s="750"/>
      <c r="AV40" s="750"/>
      <c r="AW40" s="750"/>
      <c r="AX40" s="750"/>
    </row>
    <row r="41" ht="15" customHeight="1" spans="2:50">
      <c r="B41" s="767" t="s">
        <v>1485</v>
      </c>
      <c r="C41" s="784"/>
      <c r="D41" s="784"/>
      <c r="E41" s="784"/>
      <c r="F41" s="784"/>
      <c r="G41" s="784"/>
      <c r="H41" s="784"/>
      <c r="I41" s="784"/>
      <c r="J41" s="770"/>
      <c r="K41" s="769" t="s">
        <v>1464</v>
      </c>
      <c r="L41" s="769" t="s">
        <v>199</v>
      </c>
      <c r="M41" s="769" t="s">
        <v>199</v>
      </c>
      <c r="N41" s="750"/>
      <c r="O41" s="750"/>
      <c r="P41" s="750"/>
      <c r="Q41" s="750"/>
      <c r="R41" s="750"/>
      <c r="S41" s="750"/>
      <c r="T41" s="750"/>
      <c r="U41" s="750"/>
      <c r="V41" s="750"/>
      <c r="W41" s="750"/>
      <c r="X41" s="750"/>
      <c r="Y41" s="750"/>
      <c r="Z41" s="750"/>
      <c r="AA41" s="750"/>
      <c r="AB41" s="750"/>
      <c r="AC41" s="750"/>
      <c r="AD41" s="750"/>
      <c r="AE41" s="750"/>
      <c r="AF41" s="750"/>
      <c r="AG41" s="750"/>
      <c r="AH41" s="750"/>
      <c r="AI41" s="750"/>
      <c r="AJ41" s="750"/>
      <c r="AK41" s="750"/>
      <c r="AL41" s="750"/>
      <c r="AM41" s="750"/>
      <c r="AN41" s="750"/>
      <c r="AO41" s="750"/>
      <c r="AP41" s="750"/>
      <c r="AQ41" s="750"/>
      <c r="AR41" s="750"/>
      <c r="AS41" s="750"/>
      <c r="AT41" s="750"/>
      <c r="AU41" s="750"/>
      <c r="AV41" s="750"/>
      <c r="AW41" s="750"/>
      <c r="AX41" s="750"/>
    </row>
    <row r="42" ht="15" customHeight="1" spans="2:50">
      <c r="B42" s="767" t="s">
        <v>1486</v>
      </c>
      <c r="C42" s="784"/>
      <c r="D42" s="784"/>
      <c r="E42" s="784"/>
      <c r="F42" s="784"/>
      <c r="G42" s="784"/>
      <c r="H42" s="784"/>
      <c r="I42" s="784"/>
      <c r="J42" s="770"/>
      <c r="K42" s="769" t="s">
        <v>1464</v>
      </c>
      <c r="L42" s="769" t="s">
        <v>199</v>
      </c>
      <c r="M42" s="769" t="s">
        <v>199</v>
      </c>
      <c r="N42" s="750"/>
      <c r="O42" s="750"/>
      <c r="P42" s="750"/>
      <c r="Q42" s="750"/>
      <c r="R42" s="750"/>
      <c r="S42" s="750"/>
      <c r="T42" s="750"/>
      <c r="U42" s="750"/>
      <c r="V42" s="750"/>
      <c r="W42" s="750"/>
      <c r="X42" s="750"/>
      <c r="Y42" s="750"/>
      <c r="Z42" s="750"/>
      <c r="AA42" s="750"/>
      <c r="AB42" s="750"/>
      <c r="AC42" s="750"/>
      <c r="AD42" s="750"/>
      <c r="AE42" s="750"/>
      <c r="AF42" s="750"/>
      <c r="AG42" s="750"/>
      <c r="AH42" s="750"/>
      <c r="AI42" s="750"/>
      <c r="AJ42" s="750"/>
      <c r="AK42" s="750"/>
      <c r="AL42" s="750"/>
      <c r="AM42" s="750"/>
      <c r="AN42" s="750"/>
      <c r="AO42" s="750"/>
      <c r="AP42" s="750"/>
      <c r="AQ42" s="750"/>
      <c r="AR42" s="750"/>
      <c r="AS42" s="750"/>
      <c r="AT42" s="750"/>
      <c r="AU42" s="750"/>
      <c r="AV42" s="750"/>
      <c r="AW42" s="750"/>
      <c r="AX42" s="750"/>
    </row>
    <row r="43" ht="15" customHeight="1" spans="2:50">
      <c r="B43" s="767" t="s">
        <v>1487</v>
      </c>
      <c r="C43" s="784"/>
      <c r="D43" s="784"/>
      <c r="E43" s="784"/>
      <c r="F43" s="784"/>
      <c r="G43" s="784"/>
      <c r="H43" s="784"/>
      <c r="I43" s="784"/>
      <c r="J43" s="770"/>
      <c r="K43" s="769" t="s">
        <v>1464</v>
      </c>
      <c r="L43" s="769" t="s">
        <v>199</v>
      </c>
      <c r="M43" s="769" t="s">
        <v>199</v>
      </c>
      <c r="N43" s="750"/>
      <c r="O43" s="750"/>
      <c r="P43" s="750"/>
      <c r="Q43" s="750"/>
      <c r="R43" s="750"/>
      <c r="S43" s="750"/>
      <c r="T43" s="750"/>
      <c r="U43" s="750"/>
      <c r="V43" s="750"/>
      <c r="W43" s="750"/>
      <c r="X43" s="750"/>
      <c r="Y43" s="750"/>
      <c r="Z43" s="750"/>
      <c r="AA43" s="750"/>
      <c r="AB43" s="750"/>
      <c r="AC43" s="750"/>
      <c r="AD43" s="750"/>
      <c r="AE43" s="750"/>
      <c r="AF43" s="750"/>
      <c r="AG43" s="750"/>
      <c r="AH43" s="750"/>
      <c r="AI43" s="750"/>
      <c r="AJ43" s="750"/>
      <c r="AK43" s="750"/>
      <c r="AL43" s="750"/>
      <c r="AM43" s="750"/>
      <c r="AN43" s="750"/>
      <c r="AO43" s="750"/>
      <c r="AP43" s="750"/>
      <c r="AQ43" s="750"/>
      <c r="AR43" s="750"/>
      <c r="AS43" s="750"/>
      <c r="AT43" s="750"/>
      <c r="AU43" s="750"/>
      <c r="AV43" s="750"/>
      <c r="AW43" s="750"/>
      <c r="AX43" s="750"/>
    </row>
    <row r="44" ht="15" customHeight="1" spans="2:50">
      <c r="B44" s="767" t="s">
        <v>1488</v>
      </c>
      <c r="C44" s="784"/>
      <c r="D44" s="784"/>
      <c r="E44" s="784"/>
      <c r="F44" s="784"/>
      <c r="G44" s="784"/>
      <c r="H44" s="784"/>
      <c r="I44" s="784"/>
      <c r="J44" s="770"/>
      <c r="K44" s="769" t="s">
        <v>1464</v>
      </c>
      <c r="L44" s="769" t="s">
        <v>199</v>
      </c>
      <c r="M44" s="769" t="s">
        <v>199</v>
      </c>
      <c r="N44" s="750"/>
      <c r="O44" s="750"/>
      <c r="P44" s="750"/>
      <c r="Q44" s="750"/>
      <c r="R44" s="750"/>
      <c r="S44" s="750"/>
      <c r="T44" s="750"/>
      <c r="U44" s="750"/>
      <c r="V44" s="750"/>
      <c r="W44" s="750"/>
      <c r="X44" s="750"/>
      <c r="Y44" s="750"/>
      <c r="Z44" s="750"/>
      <c r="AA44" s="750"/>
      <c r="AB44" s="750"/>
      <c r="AC44" s="750"/>
      <c r="AD44" s="750"/>
      <c r="AE44" s="750"/>
      <c r="AF44" s="750"/>
      <c r="AG44" s="750"/>
      <c r="AH44" s="750"/>
      <c r="AI44" s="750"/>
      <c r="AJ44" s="750"/>
      <c r="AK44" s="750"/>
      <c r="AL44" s="750"/>
      <c r="AM44" s="750"/>
      <c r="AN44" s="750"/>
      <c r="AO44" s="750"/>
      <c r="AP44" s="750"/>
      <c r="AQ44" s="750"/>
      <c r="AR44" s="750"/>
      <c r="AS44" s="750"/>
      <c r="AT44" s="750"/>
      <c r="AU44" s="750"/>
      <c r="AV44" s="750"/>
      <c r="AW44" s="750"/>
      <c r="AX44" s="750"/>
    </row>
    <row r="45" ht="15" customHeight="1" spans="2:50">
      <c r="B45" s="767" t="s">
        <v>1489</v>
      </c>
      <c r="C45" s="784"/>
      <c r="D45" s="784"/>
      <c r="E45" s="784"/>
      <c r="F45" s="784"/>
      <c r="G45" s="784"/>
      <c r="H45" s="784"/>
      <c r="I45" s="784"/>
      <c r="J45" s="770"/>
      <c r="K45" s="769" t="s">
        <v>1464</v>
      </c>
      <c r="L45" s="769" t="s">
        <v>199</v>
      </c>
      <c r="M45" s="769" t="s">
        <v>199</v>
      </c>
      <c r="N45" s="750"/>
      <c r="O45" s="750"/>
      <c r="P45" s="750"/>
      <c r="Q45" s="750"/>
      <c r="R45" s="750"/>
      <c r="S45" s="750"/>
      <c r="T45" s="750"/>
      <c r="U45" s="750"/>
      <c r="V45" s="750"/>
      <c r="W45" s="750"/>
      <c r="X45" s="750"/>
      <c r="Y45" s="750"/>
      <c r="Z45" s="750"/>
      <c r="AA45" s="750"/>
      <c r="AB45" s="750"/>
      <c r="AC45" s="750"/>
      <c r="AD45" s="750"/>
      <c r="AE45" s="750"/>
      <c r="AF45" s="750"/>
      <c r="AG45" s="750"/>
      <c r="AH45" s="750"/>
      <c r="AI45" s="750"/>
      <c r="AJ45" s="750"/>
      <c r="AK45" s="750"/>
      <c r="AL45" s="750"/>
      <c r="AM45" s="750"/>
      <c r="AN45" s="750"/>
      <c r="AO45" s="750"/>
      <c r="AP45" s="750"/>
      <c r="AQ45" s="750"/>
      <c r="AR45" s="750"/>
      <c r="AS45" s="750"/>
      <c r="AT45" s="750"/>
      <c r="AU45" s="750"/>
      <c r="AV45" s="750"/>
      <c r="AW45" s="750"/>
      <c r="AX45" s="750"/>
    </row>
    <row r="46" ht="15" customHeight="1" spans="2:50">
      <c r="B46" s="767" t="s">
        <v>1490</v>
      </c>
      <c r="C46" s="786"/>
      <c r="D46" s="786"/>
      <c r="E46" s="786"/>
      <c r="F46" s="786"/>
      <c r="G46" s="786"/>
      <c r="H46" s="786"/>
      <c r="I46" s="784"/>
      <c r="J46" s="770"/>
      <c r="K46" s="769" t="s">
        <v>1464</v>
      </c>
      <c r="L46" s="769" t="s">
        <v>199</v>
      </c>
      <c r="M46" s="769" t="s">
        <v>199</v>
      </c>
      <c r="N46" s="750"/>
      <c r="O46" s="750"/>
      <c r="P46" s="750"/>
      <c r="Q46" s="750"/>
      <c r="R46" s="750"/>
      <c r="S46" s="750"/>
      <c r="T46" s="750"/>
      <c r="U46" s="750"/>
      <c r="V46" s="750"/>
      <c r="W46" s="750"/>
      <c r="X46" s="750"/>
      <c r="Y46" s="750"/>
      <c r="Z46" s="750"/>
      <c r="AA46" s="750"/>
      <c r="AB46" s="750"/>
      <c r="AC46" s="750"/>
      <c r="AD46" s="750"/>
      <c r="AE46" s="750"/>
      <c r="AF46" s="750"/>
      <c r="AG46" s="750"/>
      <c r="AH46" s="750"/>
      <c r="AI46" s="750"/>
      <c r="AJ46" s="750"/>
      <c r="AK46" s="750"/>
      <c r="AL46" s="750"/>
      <c r="AM46" s="750"/>
      <c r="AN46" s="750"/>
      <c r="AO46" s="750"/>
      <c r="AP46" s="750"/>
      <c r="AQ46" s="750"/>
      <c r="AR46" s="750"/>
      <c r="AS46" s="750"/>
      <c r="AT46" s="750"/>
      <c r="AU46" s="750"/>
      <c r="AV46" s="750"/>
      <c r="AW46" s="750"/>
      <c r="AX46" s="750"/>
    </row>
    <row r="47" ht="15" customHeight="1" spans="2:50">
      <c r="B47" s="767" t="s">
        <v>1491</v>
      </c>
      <c r="C47" s="786"/>
      <c r="D47" s="786"/>
      <c r="E47" s="786"/>
      <c r="F47" s="786"/>
      <c r="G47" s="786"/>
      <c r="H47" s="786"/>
      <c r="I47" s="784"/>
      <c r="J47" s="770"/>
      <c r="K47" s="769" t="s">
        <v>1464</v>
      </c>
      <c r="L47" s="769" t="s">
        <v>199</v>
      </c>
      <c r="M47" s="769" t="s">
        <v>199</v>
      </c>
      <c r="N47" s="750"/>
      <c r="O47" s="750"/>
      <c r="P47" s="750"/>
      <c r="Q47" s="750"/>
      <c r="R47" s="750"/>
      <c r="S47" s="750"/>
      <c r="T47" s="750"/>
      <c r="U47" s="750"/>
      <c r="V47" s="750"/>
      <c r="W47" s="750"/>
      <c r="X47" s="750"/>
      <c r="Y47" s="750"/>
      <c r="Z47" s="750"/>
      <c r="AA47" s="750"/>
      <c r="AB47" s="750"/>
      <c r="AC47" s="750"/>
      <c r="AD47" s="750"/>
      <c r="AE47" s="750"/>
      <c r="AF47" s="750"/>
      <c r="AG47" s="750"/>
      <c r="AH47" s="750"/>
      <c r="AI47" s="750"/>
      <c r="AJ47" s="750"/>
      <c r="AK47" s="750"/>
      <c r="AL47" s="750"/>
      <c r="AM47" s="750"/>
      <c r="AN47" s="750"/>
      <c r="AO47" s="750"/>
      <c r="AP47" s="750"/>
      <c r="AQ47" s="750"/>
      <c r="AR47" s="750"/>
      <c r="AS47" s="750"/>
      <c r="AT47" s="750"/>
      <c r="AU47" s="750"/>
      <c r="AV47" s="750"/>
      <c r="AW47" s="750"/>
      <c r="AX47" s="750"/>
    </row>
    <row r="48" ht="15" customHeight="1" spans="2:50">
      <c r="B48" s="767" t="s">
        <v>1492</v>
      </c>
      <c r="C48" s="786"/>
      <c r="D48" s="786"/>
      <c r="E48" s="786"/>
      <c r="F48" s="786"/>
      <c r="G48" s="786"/>
      <c r="H48" s="786"/>
      <c r="I48" s="784"/>
      <c r="J48" s="770"/>
      <c r="K48" s="769" t="s">
        <v>1464</v>
      </c>
      <c r="L48" s="769" t="s">
        <v>199</v>
      </c>
      <c r="M48" s="769" t="s">
        <v>199</v>
      </c>
      <c r="N48" s="750"/>
      <c r="O48" s="750"/>
      <c r="P48" s="750"/>
      <c r="Q48" s="750"/>
      <c r="R48" s="750"/>
      <c r="S48" s="750"/>
      <c r="T48" s="750"/>
      <c r="U48" s="750"/>
      <c r="V48" s="750"/>
      <c r="W48" s="750"/>
      <c r="X48" s="750"/>
      <c r="Y48" s="750"/>
      <c r="Z48" s="750"/>
      <c r="AA48" s="750"/>
      <c r="AB48" s="750"/>
      <c r="AC48" s="750"/>
      <c r="AD48" s="750"/>
      <c r="AE48" s="750"/>
      <c r="AF48" s="750"/>
      <c r="AG48" s="750"/>
      <c r="AH48" s="750"/>
      <c r="AI48" s="750"/>
      <c r="AJ48" s="750"/>
      <c r="AK48" s="750"/>
      <c r="AL48" s="750"/>
      <c r="AM48" s="750"/>
      <c r="AN48" s="750"/>
      <c r="AO48" s="750"/>
      <c r="AP48" s="750"/>
      <c r="AQ48" s="750"/>
      <c r="AR48" s="750"/>
      <c r="AS48" s="750"/>
      <c r="AT48" s="750"/>
      <c r="AU48" s="750"/>
      <c r="AV48" s="750"/>
      <c r="AW48" s="750"/>
      <c r="AX48" s="750"/>
    </row>
    <row r="49" ht="15" customHeight="1" spans="2:50">
      <c r="B49" s="767" t="s">
        <v>1493</v>
      </c>
      <c r="C49" s="786"/>
      <c r="D49" s="786"/>
      <c r="E49" s="786"/>
      <c r="F49" s="786"/>
      <c r="G49" s="786"/>
      <c r="H49" s="786"/>
      <c r="I49" s="784"/>
      <c r="J49" s="770"/>
      <c r="K49" s="769" t="s">
        <v>1464</v>
      </c>
      <c r="L49" s="769" t="s">
        <v>199</v>
      </c>
      <c r="M49" s="769" t="s">
        <v>199</v>
      </c>
      <c r="N49" s="750"/>
      <c r="O49" s="750"/>
      <c r="P49" s="750"/>
      <c r="Q49" s="750"/>
      <c r="R49" s="750"/>
      <c r="S49" s="750"/>
      <c r="T49" s="750"/>
      <c r="U49" s="750"/>
      <c r="V49" s="750"/>
      <c r="W49" s="750"/>
      <c r="X49" s="750"/>
      <c r="Y49" s="750"/>
      <c r="Z49" s="750"/>
      <c r="AA49" s="750"/>
      <c r="AB49" s="750"/>
      <c r="AC49" s="750"/>
      <c r="AD49" s="750"/>
      <c r="AE49" s="750"/>
      <c r="AF49" s="750"/>
      <c r="AG49" s="750"/>
      <c r="AH49" s="750"/>
      <c r="AI49" s="750"/>
      <c r="AJ49" s="750"/>
      <c r="AK49" s="750"/>
      <c r="AL49" s="750"/>
      <c r="AM49" s="750"/>
      <c r="AN49" s="750"/>
      <c r="AO49" s="750"/>
      <c r="AP49" s="750"/>
      <c r="AQ49" s="750"/>
      <c r="AR49" s="750"/>
      <c r="AS49" s="750"/>
      <c r="AT49" s="750"/>
      <c r="AU49" s="750"/>
      <c r="AV49" s="750"/>
      <c r="AW49" s="750"/>
      <c r="AX49" s="750"/>
    </row>
    <row r="50" ht="15" customHeight="1" spans="2:50">
      <c r="B50" s="767" t="s">
        <v>1494</v>
      </c>
      <c r="C50" s="784"/>
      <c r="D50" s="784"/>
      <c r="E50" s="784"/>
      <c r="F50" s="784"/>
      <c r="G50" s="784"/>
      <c r="H50" s="784"/>
      <c r="I50" s="784"/>
      <c r="J50" s="770"/>
      <c r="K50" s="769" t="s">
        <v>1464</v>
      </c>
      <c r="L50" s="769" t="s">
        <v>199</v>
      </c>
      <c r="M50" s="769" t="s">
        <v>199</v>
      </c>
      <c r="N50" s="750"/>
      <c r="O50" s="750"/>
      <c r="P50" s="750"/>
      <c r="Q50" s="750"/>
      <c r="R50" s="750"/>
      <c r="S50" s="750"/>
      <c r="T50" s="750"/>
      <c r="U50" s="750"/>
      <c r="V50" s="750"/>
      <c r="W50" s="750"/>
      <c r="X50" s="750"/>
      <c r="Y50" s="750"/>
      <c r="Z50" s="750"/>
      <c r="AA50" s="750"/>
      <c r="AB50" s="750"/>
      <c r="AC50" s="750"/>
      <c r="AD50" s="750"/>
      <c r="AE50" s="750"/>
      <c r="AF50" s="750"/>
      <c r="AG50" s="750"/>
      <c r="AH50" s="750"/>
      <c r="AI50" s="750"/>
      <c r="AJ50" s="750"/>
      <c r="AK50" s="750"/>
      <c r="AL50" s="750"/>
      <c r="AM50" s="750"/>
      <c r="AN50" s="750"/>
      <c r="AO50" s="750"/>
      <c r="AP50" s="750"/>
      <c r="AQ50" s="750"/>
      <c r="AR50" s="750"/>
      <c r="AS50" s="750"/>
      <c r="AT50" s="750"/>
      <c r="AU50" s="750"/>
      <c r="AV50" s="750"/>
      <c r="AW50" s="750"/>
      <c r="AX50" s="750"/>
    </row>
    <row r="51" ht="15" customHeight="1" spans="2:50">
      <c r="B51" s="767" t="s">
        <v>1495</v>
      </c>
      <c r="C51" s="784"/>
      <c r="D51" s="784"/>
      <c r="E51" s="784"/>
      <c r="F51" s="784"/>
      <c r="G51" s="784"/>
      <c r="H51" s="784"/>
      <c r="I51" s="784"/>
      <c r="J51" s="770"/>
      <c r="K51" s="769" t="s">
        <v>1464</v>
      </c>
      <c r="L51" s="769" t="s">
        <v>199</v>
      </c>
      <c r="M51" s="769" t="s">
        <v>199</v>
      </c>
      <c r="N51" s="750"/>
      <c r="O51" s="750"/>
      <c r="P51" s="750"/>
      <c r="Q51" s="750"/>
      <c r="R51" s="750"/>
      <c r="S51" s="750"/>
      <c r="T51" s="750"/>
      <c r="U51" s="750"/>
      <c r="V51" s="750"/>
      <c r="W51" s="750"/>
      <c r="X51" s="750"/>
      <c r="Y51" s="750"/>
      <c r="Z51" s="750"/>
      <c r="AA51" s="750"/>
      <c r="AB51" s="750"/>
      <c r="AC51" s="750"/>
      <c r="AD51" s="750"/>
      <c r="AE51" s="750"/>
      <c r="AF51" s="750"/>
      <c r="AG51" s="750"/>
      <c r="AH51" s="750"/>
      <c r="AI51" s="750"/>
      <c r="AJ51" s="750"/>
      <c r="AK51" s="750"/>
      <c r="AL51" s="750"/>
      <c r="AM51" s="750"/>
      <c r="AN51" s="750"/>
      <c r="AO51" s="750"/>
      <c r="AP51" s="750"/>
      <c r="AQ51" s="750"/>
      <c r="AR51" s="750"/>
      <c r="AS51" s="750"/>
      <c r="AT51" s="750"/>
      <c r="AU51" s="750"/>
      <c r="AV51" s="750"/>
      <c r="AW51" s="750"/>
      <c r="AX51" s="750"/>
    </row>
    <row r="52" ht="15" customHeight="1" spans="2:50">
      <c r="B52" s="767" t="s">
        <v>1496</v>
      </c>
      <c r="C52" s="784"/>
      <c r="D52" s="784"/>
      <c r="E52" s="784"/>
      <c r="F52" s="784"/>
      <c r="G52" s="784"/>
      <c r="H52" s="784"/>
      <c r="I52" s="784"/>
      <c r="J52" s="770"/>
      <c r="K52" s="769" t="s">
        <v>1464</v>
      </c>
      <c r="L52" s="769" t="s">
        <v>199</v>
      </c>
      <c r="M52" s="769" t="s">
        <v>199</v>
      </c>
      <c r="N52" s="750"/>
      <c r="O52" s="750"/>
      <c r="P52" s="750"/>
      <c r="Q52" s="750"/>
      <c r="R52" s="750"/>
      <c r="S52" s="750"/>
      <c r="T52" s="750"/>
      <c r="U52" s="750"/>
      <c r="V52" s="750"/>
      <c r="W52" s="750"/>
      <c r="X52" s="750"/>
      <c r="Y52" s="750"/>
      <c r="Z52" s="750"/>
      <c r="AA52" s="750"/>
      <c r="AB52" s="750"/>
      <c r="AC52" s="750"/>
      <c r="AD52" s="750"/>
      <c r="AE52" s="750"/>
      <c r="AF52" s="750"/>
      <c r="AG52" s="750"/>
      <c r="AH52" s="750"/>
      <c r="AI52" s="750"/>
      <c r="AJ52" s="750"/>
      <c r="AK52" s="750"/>
      <c r="AL52" s="750"/>
      <c r="AM52" s="750"/>
      <c r="AN52" s="750"/>
      <c r="AO52" s="750"/>
      <c r="AP52" s="750"/>
      <c r="AQ52" s="750"/>
      <c r="AR52" s="750"/>
      <c r="AS52" s="750"/>
      <c r="AT52" s="750"/>
      <c r="AU52" s="750"/>
      <c r="AV52" s="750"/>
      <c r="AW52" s="750"/>
      <c r="AX52" s="750"/>
    </row>
    <row r="53" ht="15" customHeight="1" spans="2:50">
      <c r="B53" s="767" t="s">
        <v>1497</v>
      </c>
      <c r="C53" s="784"/>
      <c r="D53" s="784"/>
      <c r="E53" s="784"/>
      <c r="F53" s="784"/>
      <c r="G53" s="784"/>
      <c r="H53" s="784"/>
      <c r="I53" s="784"/>
      <c r="J53" s="770"/>
      <c r="K53" s="769" t="s">
        <v>1464</v>
      </c>
      <c r="L53" s="769" t="s">
        <v>199</v>
      </c>
      <c r="M53" s="769" t="s">
        <v>199</v>
      </c>
      <c r="N53" s="750"/>
      <c r="O53" s="750"/>
      <c r="P53" s="750"/>
      <c r="Q53" s="750"/>
      <c r="R53" s="750"/>
      <c r="S53" s="750"/>
      <c r="T53" s="750"/>
      <c r="U53" s="750"/>
      <c r="V53" s="750"/>
      <c r="W53" s="750"/>
      <c r="X53" s="750"/>
      <c r="Y53" s="750"/>
      <c r="Z53" s="750"/>
      <c r="AA53" s="750"/>
      <c r="AB53" s="750"/>
      <c r="AC53" s="750"/>
      <c r="AD53" s="750"/>
      <c r="AE53" s="750"/>
      <c r="AF53" s="750"/>
      <c r="AG53" s="750"/>
      <c r="AH53" s="750"/>
      <c r="AI53" s="750"/>
      <c r="AJ53" s="750"/>
      <c r="AK53" s="750"/>
      <c r="AL53" s="750"/>
      <c r="AM53" s="750"/>
      <c r="AN53" s="750"/>
      <c r="AO53" s="750"/>
      <c r="AP53" s="750"/>
      <c r="AQ53" s="750"/>
      <c r="AR53" s="750"/>
      <c r="AS53" s="750"/>
      <c r="AT53" s="750"/>
      <c r="AU53" s="750"/>
      <c r="AV53" s="750"/>
      <c r="AW53" s="750"/>
      <c r="AX53" s="750"/>
    </row>
    <row r="54" ht="15" customHeight="1" spans="2:50">
      <c r="B54" s="767" t="s">
        <v>1498</v>
      </c>
      <c r="C54" s="784"/>
      <c r="D54" s="784"/>
      <c r="E54" s="784"/>
      <c r="F54" s="784"/>
      <c r="G54" s="784"/>
      <c r="H54" s="784"/>
      <c r="I54" s="784"/>
      <c r="J54" s="770"/>
      <c r="K54" s="769" t="s">
        <v>1464</v>
      </c>
      <c r="L54" s="769" t="s">
        <v>199</v>
      </c>
      <c r="M54" s="769" t="s">
        <v>199</v>
      </c>
      <c r="N54" s="750"/>
      <c r="O54" s="750"/>
      <c r="P54" s="750"/>
      <c r="Q54" s="750"/>
      <c r="R54" s="750"/>
      <c r="S54" s="750"/>
      <c r="T54" s="750"/>
      <c r="U54" s="750"/>
      <c r="V54" s="788"/>
      <c r="W54" s="750"/>
      <c r="X54" s="750"/>
      <c r="Y54" s="750"/>
      <c r="Z54" s="750"/>
      <c r="AA54" s="750"/>
      <c r="AB54" s="750"/>
      <c r="AC54" s="750"/>
      <c r="AD54" s="750"/>
      <c r="AE54" s="750"/>
      <c r="AF54" s="750"/>
      <c r="AG54" s="750"/>
      <c r="AH54" s="750"/>
      <c r="AI54" s="788"/>
      <c r="AJ54" s="750"/>
      <c r="AK54" s="750"/>
      <c r="AL54" s="750"/>
      <c r="AM54" s="750"/>
      <c r="AN54" s="750"/>
      <c r="AO54" s="750"/>
      <c r="AP54" s="750"/>
      <c r="AQ54" s="750"/>
      <c r="AR54" s="750"/>
      <c r="AS54" s="750"/>
      <c r="AT54" s="750"/>
      <c r="AU54" s="788"/>
      <c r="AV54" s="750"/>
      <c r="AW54" s="750"/>
      <c r="AX54" s="750"/>
    </row>
    <row r="55" ht="15" customHeight="1" spans="2:50">
      <c r="B55" s="767" t="s">
        <v>1499</v>
      </c>
      <c r="C55" s="784"/>
      <c r="D55" s="784"/>
      <c r="E55" s="784"/>
      <c r="F55" s="784"/>
      <c r="G55" s="784"/>
      <c r="H55" s="784"/>
      <c r="I55" s="784"/>
      <c r="J55" s="770"/>
      <c r="K55" s="769" t="s">
        <v>1464</v>
      </c>
      <c r="L55" s="769" t="s">
        <v>199</v>
      </c>
      <c r="M55" s="769" t="s">
        <v>199</v>
      </c>
      <c r="N55" s="750"/>
      <c r="O55" s="750"/>
      <c r="P55" s="750"/>
      <c r="Q55" s="750"/>
      <c r="R55" s="750"/>
      <c r="S55" s="750"/>
      <c r="T55" s="750"/>
      <c r="U55" s="750"/>
      <c r="V55" s="750"/>
      <c r="W55" s="750"/>
      <c r="X55" s="750"/>
      <c r="Y55" s="750"/>
      <c r="Z55" s="750"/>
      <c r="AA55" s="750"/>
      <c r="AB55" s="750"/>
      <c r="AC55" s="750"/>
      <c r="AD55" s="750"/>
      <c r="AE55" s="750"/>
      <c r="AF55" s="750"/>
      <c r="AG55" s="750"/>
      <c r="AH55" s="750"/>
      <c r="AI55" s="750"/>
      <c r="AJ55" s="750"/>
      <c r="AK55" s="750"/>
      <c r="AL55" s="750"/>
      <c r="AM55" s="750"/>
      <c r="AN55" s="750"/>
      <c r="AO55" s="750"/>
      <c r="AP55" s="750"/>
      <c r="AQ55" s="750"/>
      <c r="AR55" s="750"/>
      <c r="AS55" s="750"/>
      <c r="AT55" s="750"/>
      <c r="AU55" s="750"/>
      <c r="AV55" s="750"/>
      <c r="AW55" s="750"/>
      <c r="AX55" s="750"/>
    </row>
    <row r="56" ht="15" customHeight="1" spans="2:50">
      <c r="B56" s="767" t="s">
        <v>1500</v>
      </c>
      <c r="C56" s="784"/>
      <c r="D56" s="784"/>
      <c r="E56" s="784"/>
      <c r="F56" s="784"/>
      <c r="G56" s="784"/>
      <c r="H56" s="784"/>
      <c r="I56" s="784"/>
      <c r="J56" s="770"/>
      <c r="K56" s="769" t="s">
        <v>1464</v>
      </c>
      <c r="L56" s="769" t="s">
        <v>199</v>
      </c>
      <c r="M56" s="769" t="s">
        <v>199</v>
      </c>
      <c r="N56" s="750"/>
      <c r="O56" s="750"/>
      <c r="P56" s="750"/>
      <c r="Q56" s="750"/>
      <c r="R56" s="750"/>
      <c r="S56" s="750"/>
      <c r="T56" s="750"/>
      <c r="U56" s="750"/>
      <c r="V56" s="750"/>
      <c r="W56" s="750"/>
      <c r="X56" s="750"/>
      <c r="Y56" s="750"/>
      <c r="Z56" s="750"/>
      <c r="AA56" s="750"/>
      <c r="AB56" s="750"/>
      <c r="AC56" s="750"/>
      <c r="AD56" s="750"/>
      <c r="AE56" s="750"/>
      <c r="AF56" s="750"/>
      <c r="AG56" s="750"/>
      <c r="AH56" s="750"/>
      <c r="AI56" s="750"/>
      <c r="AJ56" s="750"/>
      <c r="AK56" s="750"/>
      <c r="AL56" s="750"/>
      <c r="AM56" s="750"/>
      <c r="AN56" s="750"/>
      <c r="AO56" s="750"/>
      <c r="AP56" s="750"/>
      <c r="AQ56" s="750"/>
      <c r="AR56" s="750"/>
      <c r="AS56" s="750"/>
      <c r="AT56" s="750"/>
      <c r="AU56" s="750"/>
      <c r="AV56" s="750"/>
      <c r="AW56" s="750"/>
      <c r="AX56" s="750"/>
    </row>
    <row r="57" ht="15" customHeight="1" spans="2:50">
      <c r="B57" s="767" t="s">
        <v>1501</v>
      </c>
      <c r="C57" s="784"/>
      <c r="D57" s="784"/>
      <c r="E57" s="784"/>
      <c r="F57" s="784"/>
      <c r="G57" s="784"/>
      <c r="H57" s="784"/>
      <c r="I57" s="784"/>
      <c r="J57" s="770"/>
      <c r="K57" s="769" t="s">
        <v>1464</v>
      </c>
      <c r="L57" s="769" t="s">
        <v>199</v>
      </c>
      <c r="M57" s="769" t="s">
        <v>199</v>
      </c>
      <c r="N57" s="750"/>
      <c r="O57" s="750"/>
      <c r="P57" s="750"/>
      <c r="Q57" s="750"/>
      <c r="R57" s="750"/>
      <c r="S57" s="750"/>
      <c r="T57" s="750"/>
      <c r="U57" s="750"/>
      <c r="V57" s="750"/>
      <c r="W57" s="750"/>
      <c r="X57" s="750"/>
      <c r="Y57" s="750"/>
      <c r="Z57" s="750"/>
      <c r="AA57" s="750"/>
      <c r="AB57" s="750"/>
      <c r="AC57" s="750"/>
      <c r="AD57" s="750"/>
      <c r="AE57" s="750"/>
      <c r="AF57" s="750"/>
      <c r="AG57" s="750"/>
      <c r="AH57" s="750"/>
      <c r="AI57" s="750"/>
      <c r="AJ57" s="750"/>
      <c r="AK57" s="750"/>
      <c r="AL57" s="750"/>
      <c r="AM57" s="750"/>
      <c r="AN57" s="750"/>
      <c r="AO57" s="750"/>
      <c r="AP57" s="750"/>
      <c r="AQ57" s="750"/>
      <c r="AR57" s="750"/>
      <c r="AS57" s="750"/>
      <c r="AT57" s="750"/>
      <c r="AU57" s="750"/>
      <c r="AV57" s="750"/>
      <c r="AW57" s="750"/>
      <c r="AX57" s="750"/>
    </row>
    <row r="58" ht="15" customHeight="1" spans="2:50">
      <c r="B58" s="767" t="s">
        <v>1502</v>
      </c>
      <c r="C58" s="784"/>
      <c r="D58" s="784"/>
      <c r="E58" s="784"/>
      <c r="F58" s="784"/>
      <c r="G58" s="784"/>
      <c r="H58" s="784"/>
      <c r="I58" s="784"/>
      <c r="J58" s="770"/>
      <c r="K58" s="769" t="s">
        <v>1464</v>
      </c>
      <c r="L58" s="769" t="s">
        <v>199</v>
      </c>
      <c r="M58" s="769" t="s">
        <v>199</v>
      </c>
      <c r="N58" s="750"/>
      <c r="O58" s="750"/>
      <c r="P58" s="750"/>
      <c r="Q58" s="750"/>
      <c r="R58" s="750"/>
      <c r="S58" s="750"/>
      <c r="T58" s="750"/>
      <c r="U58" s="750"/>
      <c r="V58" s="750"/>
      <c r="W58" s="750"/>
      <c r="X58" s="750"/>
      <c r="Y58" s="750"/>
      <c r="Z58" s="750"/>
      <c r="AA58" s="750"/>
      <c r="AB58" s="750"/>
      <c r="AC58" s="750"/>
      <c r="AD58" s="750"/>
      <c r="AE58" s="750"/>
      <c r="AF58" s="750"/>
      <c r="AG58" s="750"/>
      <c r="AH58" s="750"/>
      <c r="AI58" s="750"/>
      <c r="AJ58" s="750"/>
      <c r="AK58" s="750"/>
      <c r="AL58" s="750"/>
      <c r="AM58" s="750"/>
      <c r="AN58" s="750"/>
      <c r="AO58" s="750"/>
      <c r="AP58" s="750"/>
      <c r="AQ58" s="750"/>
      <c r="AR58" s="750"/>
      <c r="AS58" s="750"/>
      <c r="AT58" s="750"/>
      <c r="AU58" s="750"/>
      <c r="AV58" s="750"/>
      <c r="AW58" s="750"/>
      <c r="AX58" s="750"/>
    </row>
    <row r="59" ht="15" customHeight="1" spans="2:50">
      <c r="B59" s="767" t="s">
        <v>1503</v>
      </c>
      <c r="C59" s="784"/>
      <c r="D59" s="784"/>
      <c r="E59" s="784"/>
      <c r="F59" s="784"/>
      <c r="G59" s="784"/>
      <c r="H59" s="784"/>
      <c r="I59" s="784"/>
      <c r="J59" s="770"/>
      <c r="K59" s="769" t="s">
        <v>1464</v>
      </c>
      <c r="L59" s="769" t="s">
        <v>199</v>
      </c>
      <c r="M59" s="769" t="s">
        <v>199</v>
      </c>
      <c r="N59" s="750"/>
      <c r="O59" s="750"/>
      <c r="P59" s="750"/>
      <c r="Q59" s="750"/>
      <c r="R59" s="750"/>
      <c r="S59" s="750"/>
      <c r="T59" s="750"/>
      <c r="U59" s="750"/>
      <c r="V59" s="750"/>
      <c r="W59" s="750"/>
      <c r="X59" s="750"/>
      <c r="Y59" s="750"/>
      <c r="Z59" s="750"/>
      <c r="AA59" s="750"/>
      <c r="AB59" s="750"/>
      <c r="AC59" s="750"/>
      <c r="AD59" s="750"/>
      <c r="AE59" s="750"/>
      <c r="AF59" s="750"/>
      <c r="AG59" s="750"/>
      <c r="AH59" s="750"/>
      <c r="AI59" s="750"/>
      <c r="AJ59" s="750"/>
      <c r="AK59" s="750"/>
      <c r="AL59" s="750"/>
      <c r="AM59" s="750"/>
      <c r="AN59" s="750"/>
      <c r="AO59" s="750"/>
      <c r="AP59" s="750"/>
      <c r="AQ59" s="750"/>
      <c r="AR59" s="750"/>
      <c r="AS59" s="750"/>
      <c r="AT59" s="750"/>
      <c r="AU59" s="750"/>
      <c r="AV59" s="750"/>
      <c r="AW59" s="750"/>
      <c r="AX59" s="750"/>
    </row>
    <row r="60" ht="15" customHeight="1" spans="2:50">
      <c r="B60" s="767" t="s">
        <v>1504</v>
      </c>
      <c r="C60" s="784"/>
      <c r="D60" s="784"/>
      <c r="E60" s="784"/>
      <c r="F60" s="784"/>
      <c r="G60" s="784"/>
      <c r="H60" s="784"/>
      <c r="I60" s="784"/>
      <c r="J60" s="770"/>
      <c r="K60" s="769" t="s">
        <v>1464</v>
      </c>
      <c r="L60" s="769" t="s">
        <v>199</v>
      </c>
      <c r="M60" s="769" t="s">
        <v>199</v>
      </c>
      <c r="N60" s="750"/>
      <c r="O60" s="750"/>
      <c r="P60" s="750"/>
      <c r="Q60" s="750"/>
      <c r="R60" s="750"/>
      <c r="S60" s="750"/>
      <c r="T60" s="750"/>
      <c r="U60" s="750"/>
      <c r="V60" s="750"/>
      <c r="W60" s="750"/>
      <c r="X60" s="750"/>
      <c r="Y60" s="750"/>
      <c r="Z60" s="750"/>
      <c r="AA60" s="750"/>
      <c r="AB60" s="750"/>
      <c r="AC60" s="750"/>
      <c r="AD60" s="750"/>
      <c r="AE60" s="750"/>
      <c r="AF60" s="750"/>
      <c r="AG60" s="750"/>
      <c r="AH60" s="750"/>
      <c r="AI60" s="750"/>
      <c r="AJ60" s="750"/>
      <c r="AK60" s="750"/>
      <c r="AL60" s="750"/>
      <c r="AM60" s="750"/>
      <c r="AN60" s="750"/>
      <c r="AO60" s="750"/>
      <c r="AP60" s="750"/>
      <c r="AQ60" s="750"/>
      <c r="AR60" s="750"/>
      <c r="AS60" s="750"/>
      <c r="AT60" s="750"/>
      <c r="AU60" s="750"/>
      <c r="AV60" s="750"/>
      <c r="AW60" s="750"/>
      <c r="AX60" s="750"/>
    </row>
    <row r="61" ht="15" customHeight="1" spans="2:50">
      <c r="B61" s="767" t="s">
        <v>1505</v>
      </c>
      <c r="C61" s="784"/>
      <c r="D61" s="784"/>
      <c r="E61" s="784"/>
      <c r="F61" s="784"/>
      <c r="G61" s="784"/>
      <c r="H61" s="784"/>
      <c r="I61" s="784"/>
      <c r="J61" s="770"/>
      <c r="K61" s="769" t="s">
        <v>1464</v>
      </c>
      <c r="L61" s="769" t="s">
        <v>199</v>
      </c>
      <c r="M61" s="769" t="s">
        <v>199</v>
      </c>
      <c r="N61" s="750"/>
      <c r="O61" s="750"/>
      <c r="P61" s="750"/>
      <c r="Q61" s="750"/>
      <c r="R61" s="750"/>
      <c r="S61" s="750"/>
      <c r="T61" s="750"/>
      <c r="U61" s="750"/>
      <c r="V61" s="750"/>
      <c r="W61" s="750"/>
      <c r="X61" s="750"/>
      <c r="Y61" s="750"/>
      <c r="Z61" s="750"/>
      <c r="AA61" s="750"/>
      <c r="AB61" s="750"/>
      <c r="AC61" s="750"/>
      <c r="AD61" s="750"/>
      <c r="AE61" s="750"/>
      <c r="AF61" s="750"/>
      <c r="AG61" s="750"/>
      <c r="AH61" s="750"/>
      <c r="AI61" s="750"/>
      <c r="AJ61" s="750"/>
      <c r="AK61" s="750"/>
      <c r="AL61" s="750"/>
      <c r="AM61" s="750"/>
      <c r="AN61" s="750"/>
      <c r="AO61" s="750"/>
      <c r="AP61" s="750"/>
      <c r="AQ61" s="750"/>
      <c r="AR61" s="750"/>
      <c r="AS61" s="750"/>
      <c r="AT61" s="750"/>
      <c r="AU61" s="750"/>
      <c r="AV61" s="750"/>
      <c r="AW61" s="750"/>
      <c r="AX61" s="750"/>
    </row>
    <row r="62" ht="15" customHeight="1" spans="2:50">
      <c r="B62" s="767" t="s">
        <v>1506</v>
      </c>
      <c r="C62" s="784"/>
      <c r="D62" s="784"/>
      <c r="E62" s="784"/>
      <c r="F62" s="784"/>
      <c r="G62" s="784"/>
      <c r="H62" s="784"/>
      <c r="I62" s="784"/>
      <c r="J62" s="770"/>
      <c r="K62" s="769" t="s">
        <v>1464</v>
      </c>
      <c r="L62" s="769" t="s">
        <v>199</v>
      </c>
      <c r="M62" s="769" t="s">
        <v>199</v>
      </c>
      <c r="N62" s="750"/>
      <c r="O62" s="750"/>
      <c r="P62" s="750"/>
      <c r="Q62" s="750"/>
      <c r="R62" s="750"/>
      <c r="S62" s="750"/>
      <c r="T62" s="750"/>
      <c r="U62" s="750"/>
      <c r="V62" s="750"/>
      <c r="W62" s="750"/>
      <c r="X62" s="750"/>
      <c r="Y62" s="750"/>
      <c r="Z62" s="750"/>
      <c r="AA62" s="750"/>
      <c r="AB62" s="750"/>
      <c r="AC62" s="750"/>
      <c r="AD62" s="750"/>
      <c r="AE62" s="750"/>
      <c r="AF62" s="750"/>
      <c r="AG62" s="750"/>
      <c r="AH62" s="750"/>
      <c r="AI62" s="750"/>
      <c r="AJ62" s="750"/>
      <c r="AK62" s="750"/>
      <c r="AL62" s="750"/>
      <c r="AM62" s="750"/>
      <c r="AN62" s="750"/>
      <c r="AO62" s="750"/>
      <c r="AP62" s="750"/>
      <c r="AQ62" s="750"/>
      <c r="AR62" s="750"/>
      <c r="AS62" s="750"/>
      <c r="AT62" s="750"/>
      <c r="AU62" s="750"/>
      <c r="AV62" s="750"/>
      <c r="AW62" s="750"/>
      <c r="AX62" s="750"/>
    </row>
    <row r="63" ht="15" customHeight="1" spans="2:50">
      <c r="B63" s="767" t="s">
        <v>1507</v>
      </c>
      <c r="C63" s="784"/>
      <c r="D63" s="784"/>
      <c r="E63" s="784"/>
      <c r="F63" s="784"/>
      <c r="G63" s="784"/>
      <c r="H63" s="784"/>
      <c r="I63" s="784"/>
      <c r="J63" s="770"/>
      <c r="K63" s="769" t="s">
        <v>1464</v>
      </c>
      <c r="L63" s="769" t="s">
        <v>199</v>
      </c>
      <c r="M63" s="769" t="s">
        <v>199</v>
      </c>
      <c r="N63" s="750"/>
      <c r="O63" s="750"/>
      <c r="P63" s="750"/>
      <c r="Q63" s="750"/>
      <c r="R63" s="750"/>
      <c r="S63" s="750"/>
      <c r="T63" s="750"/>
      <c r="U63" s="750"/>
      <c r="V63" s="750"/>
      <c r="W63" s="750"/>
      <c r="X63" s="750"/>
      <c r="Y63" s="750"/>
      <c r="Z63" s="750"/>
      <c r="AA63" s="750"/>
      <c r="AB63" s="750"/>
      <c r="AC63" s="750"/>
      <c r="AD63" s="750"/>
      <c r="AE63" s="750"/>
      <c r="AF63" s="750"/>
      <c r="AG63" s="750"/>
      <c r="AH63" s="750"/>
      <c r="AI63" s="750"/>
      <c r="AJ63" s="750"/>
      <c r="AK63" s="750"/>
      <c r="AL63" s="750"/>
      <c r="AM63" s="750"/>
      <c r="AN63" s="750"/>
      <c r="AO63" s="750"/>
      <c r="AP63" s="750"/>
      <c r="AQ63" s="750"/>
      <c r="AR63" s="750"/>
      <c r="AS63" s="750"/>
      <c r="AT63" s="750"/>
      <c r="AU63" s="750"/>
      <c r="AV63" s="750"/>
      <c r="AW63" s="750"/>
      <c r="AX63" s="750"/>
    </row>
    <row r="64" ht="15" customHeight="1" spans="2:50">
      <c r="B64" s="767" t="s">
        <v>1508</v>
      </c>
      <c r="C64" s="784"/>
      <c r="D64" s="784"/>
      <c r="E64" s="784"/>
      <c r="F64" s="784"/>
      <c r="G64" s="784"/>
      <c r="H64" s="784"/>
      <c r="I64" s="784"/>
      <c r="J64" s="770"/>
      <c r="K64" s="769" t="s">
        <v>1464</v>
      </c>
      <c r="L64" s="769" t="s">
        <v>199</v>
      </c>
      <c r="M64" s="769" t="s">
        <v>199</v>
      </c>
      <c r="N64" s="750"/>
      <c r="O64" s="750"/>
      <c r="P64" s="750"/>
      <c r="Q64" s="750"/>
      <c r="R64" s="750"/>
      <c r="S64" s="750"/>
      <c r="T64" s="750"/>
      <c r="U64" s="750"/>
      <c r="V64" s="750"/>
      <c r="W64" s="750"/>
      <c r="X64" s="750"/>
      <c r="Y64" s="750"/>
      <c r="Z64" s="750"/>
      <c r="AA64" s="750"/>
      <c r="AB64" s="750"/>
      <c r="AC64" s="750"/>
      <c r="AD64" s="750"/>
      <c r="AE64" s="750"/>
      <c r="AF64" s="750"/>
      <c r="AG64" s="750"/>
      <c r="AH64" s="750"/>
      <c r="AI64" s="750"/>
      <c r="AJ64" s="750"/>
      <c r="AK64" s="750"/>
      <c r="AL64" s="750"/>
      <c r="AM64" s="750"/>
      <c r="AN64" s="750"/>
      <c r="AO64" s="750"/>
      <c r="AP64" s="750"/>
      <c r="AQ64" s="750"/>
      <c r="AR64" s="750"/>
      <c r="AS64" s="750"/>
      <c r="AT64" s="750"/>
      <c r="AU64" s="750"/>
      <c r="AV64" s="750"/>
      <c r="AW64" s="750"/>
      <c r="AX64" s="750"/>
    </row>
    <row r="65" ht="15" customHeight="1" spans="2:50">
      <c r="B65" s="767" t="s">
        <v>1509</v>
      </c>
      <c r="C65" s="784"/>
      <c r="D65" s="784"/>
      <c r="E65" s="784"/>
      <c r="F65" s="784"/>
      <c r="G65" s="784"/>
      <c r="H65" s="784"/>
      <c r="I65" s="784"/>
      <c r="J65" s="770"/>
      <c r="K65" s="769" t="s">
        <v>1464</v>
      </c>
      <c r="L65" s="769" t="s">
        <v>199</v>
      </c>
      <c r="M65" s="769" t="s">
        <v>199</v>
      </c>
      <c r="N65" s="750"/>
      <c r="O65" s="750"/>
      <c r="P65" s="750"/>
      <c r="Q65" s="750"/>
      <c r="R65" s="750"/>
      <c r="S65" s="750"/>
      <c r="T65" s="750"/>
      <c r="U65" s="750"/>
      <c r="V65" s="750"/>
      <c r="W65" s="750"/>
      <c r="X65" s="750"/>
      <c r="Y65" s="750"/>
      <c r="Z65" s="750"/>
      <c r="AA65" s="750"/>
      <c r="AB65" s="750"/>
      <c r="AC65" s="750"/>
      <c r="AD65" s="750"/>
      <c r="AE65" s="750"/>
      <c r="AF65" s="750"/>
      <c r="AG65" s="750"/>
      <c r="AH65" s="750"/>
      <c r="AI65" s="750"/>
      <c r="AJ65" s="750"/>
      <c r="AK65" s="750"/>
      <c r="AL65" s="750"/>
      <c r="AM65" s="750"/>
      <c r="AN65" s="750"/>
      <c r="AO65" s="750"/>
      <c r="AP65" s="750"/>
      <c r="AQ65" s="750"/>
      <c r="AR65" s="750"/>
      <c r="AS65" s="750"/>
      <c r="AT65" s="750"/>
      <c r="AU65" s="750"/>
      <c r="AV65" s="750"/>
      <c r="AW65" s="750"/>
      <c r="AX65" s="750"/>
    </row>
    <row r="66" ht="15" customHeight="1" spans="2:50">
      <c r="B66" s="767" t="s">
        <v>1510</v>
      </c>
      <c r="C66" s="784"/>
      <c r="D66" s="784"/>
      <c r="E66" s="786"/>
      <c r="F66" s="786"/>
      <c r="G66" s="786"/>
      <c r="H66" s="786"/>
      <c r="I66" s="784"/>
      <c r="J66" s="770"/>
      <c r="K66" s="769" t="s">
        <v>1464</v>
      </c>
      <c r="L66" s="769" t="s">
        <v>199</v>
      </c>
      <c r="M66" s="769" t="s">
        <v>199</v>
      </c>
      <c r="N66" s="750"/>
      <c r="O66" s="750"/>
      <c r="P66" s="750"/>
      <c r="Q66" s="750"/>
      <c r="R66" s="750"/>
      <c r="S66" s="750"/>
      <c r="T66" s="750"/>
      <c r="U66" s="750"/>
      <c r="V66" s="750"/>
      <c r="W66" s="750"/>
      <c r="X66" s="750"/>
      <c r="Y66" s="750"/>
      <c r="Z66" s="750"/>
      <c r="AA66" s="750"/>
      <c r="AB66" s="750"/>
      <c r="AC66" s="750"/>
      <c r="AD66" s="750"/>
      <c r="AE66" s="750"/>
      <c r="AF66" s="750"/>
      <c r="AG66" s="750"/>
      <c r="AH66" s="750"/>
      <c r="AI66" s="750"/>
      <c r="AJ66" s="750"/>
      <c r="AK66" s="750"/>
      <c r="AL66" s="750"/>
      <c r="AM66" s="750"/>
      <c r="AN66" s="750"/>
      <c r="AO66" s="750"/>
      <c r="AP66" s="750"/>
      <c r="AQ66" s="750"/>
      <c r="AR66" s="750"/>
      <c r="AS66" s="750"/>
      <c r="AT66" s="750"/>
      <c r="AU66" s="750"/>
      <c r="AV66" s="750"/>
      <c r="AW66" s="750"/>
      <c r="AX66" s="750"/>
    </row>
    <row r="67" ht="15" customHeight="1" spans="2:50">
      <c r="B67" s="767" t="s">
        <v>1511</v>
      </c>
      <c r="C67" s="784"/>
      <c r="D67" s="784"/>
      <c r="E67" s="784"/>
      <c r="F67" s="784"/>
      <c r="G67" s="784"/>
      <c r="H67" s="784"/>
      <c r="I67" s="784"/>
      <c r="J67" s="770"/>
      <c r="K67" s="769" t="s">
        <v>1464</v>
      </c>
      <c r="L67" s="769" t="s">
        <v>199</v>
      </c>
      <c r="M67" s="769" t="s">
        <v>199</v>
      </c>
      <c r="N67" s="750"/>
      <c r="O67" s="750"/>
      <c r="P67" s="750"/>
      <c r="Q67" s="750"/>
      <c r="R67" s="750"/>
      <c r="S67" s="750"/>
      <c r="T67" s="750"/>
      <c r="U67" s="750"/>
      <c r="V67" s="750"/>
      <c r="W67" s="750"/>
      <c r="X67" s="750"/>
      <c r="Y67" s="750"/>
      <c r="Z67" s="750"/>
      <c r="AA67" s="750"/>
      <c r="AB67" s="750"/>
      <c r="AC67" s="750"/>
      <c r="AD67" s="750"/>
      <c r="AE67" s="750"/>
      <c r="AF67" s="750"/>
      <c r="AG67" s="750"/>
      <c r="AH67" s="750"/>
      <c r="AI67" s="750"/>
      <c r="AJ67" s="750"/>
      <c r="AK67" s="750"/>
      <c r="AL67" s="750"/>
      <c r="AM67" s="750"/>
      <c r="AN67" s="750"/>
      <c r="AO67" s="750"/>
      <c r="AP67" s="750"/>
      <c r="AQ67" s="750"/>
      <c r="AR67" s="750"/>
      <c r="AS67" s="750"/>
      <c r="AT67" s="750"/>
      <c r="AU67" s="750"/>
      <c r="AV67" s="750"/>
      <c r="AW67" s="750"/>
      <c r="AX67" s="750"/>
    </row>
    <row r="68" ht="15" customHeight="1" spans="2:50">
      <c r="B68" s="767" t="s">
        <v>1512</v>
      </c>
      <c r="C68" s="784"/>
      <c r="D68" s="784"/>
      <c r="E68" s="784"/>
      <c r="F68" s="784"/>
      <c r="G68" s="784"/>
      <c r="H68" s="784"/>
      <c r="I68" s="784"/>
      <c r="J68" s="770"/>
      <c r="K68" s="769" t="s">
        <v>1464</v>
      </c>
      <c r="L68" s="769" t="s">
        <v>199</v>
      </c>
      <c r="M68" s="769" t="s">
        <v>199</v>
      </c>
      <c r="N68" s="750"/>
      <c r="O68" s="750"/>
      <c r="P68" s="750"/>
      <c r="Q68" s="750"/>
      <c r="R68" s="750"/>
      <c r="S68" s="750"/>
      <c r="T68" s="750"/>
      <c r="U68" s="750"/>
      <c r="V68" s="750"/>
      <c r="W68" s="750"/>
      <c r="X68" s="750"/>
      <c r="Y68" s="750"/>
      <c r="Z68" s="750"/>
      <c r="AA68" s="750"/>
      <c r="AB68" s="750"/>
      <c r="AC68" s="750"/>
      <c r="AD68" s="750"/>
      <c r="AE68" s="750"/>
      <c r="AF68" s="750"/>
      <c r="AG68" s="750"/>
      <c r="AH68" s="750"/>
      <c r="AI68" s="750"/>
      <c r="AJ68" s="750"/>
      <c r="AK68" s="750"/>
      <c r="AL68" s="750"/>
      <c r="AM68" s="750"/>
      <c r="AN68" s="750"/>
      <c r="AO68" s="750"/>
      <c r="AP68" s="750"/>
      <c r="AQ68" s="750"/>
      <c r="AR68" s="750"/>
      <c r="AS68" s="750"/>
      <c r="AT68" s="750"/>
      <c r="AU68" s="750"/>
      <c r="AV68" s="750"/>
      <c r="AW68" s="750"/>
      <c r="AX68" s="750"/>
    </row>
    <row r="69" ht="15" customHeight="1" spans="2:50">
      <c r="B69" s="767" t="s">
        <v>1513</v>
      </c>
      <c r="C69" s="784"/>
      <c r="D69" s="784"/>
      <c r="E69" s="784"/>
      <c r="F69" s="784"/>
      <c r="G69" s="784"/>
      <c r="H69" s="784"/>
      <c r="I69" s="784"/>
      <c r="J69" s="770"/>
      <c r="K69" s="769" t="s">
        <v>1464</v>
      </c>
      <c r="L69" s="769" t="s">
        <v>199</v>
      </c>
      <c r="M69" s="769" t="s">
        <v>199</v>
      </c>
      <c r="N69" s="750"/>
      <c r="O69" s="750"/>
      <c r="P69" s="750"/>
      <c r="Q69" s="750"/>
      <c r="R69" s="750"/>
      <c r="S69" s="750"/>
      <c r="T69" s="750"/>
      <c r="U69" s="750"/>
      <c r="V69" s="750"/>
      <c r="W69" s="750"/>
      <c r="X69" s="750"/>
      <c r="Y69" s="750"/>
      <c r="Z69" s="750"/>
      <c r="AA69" s="750"/>
      <c r="AB69" s="750"/>
      <c r="AC69" s="750"/>
      <c r="AD69" s="750"/>
      <c r="AE69" s="750"/>
      <c r="AF69" s="750"/>
      <c r="AG69" s="750"/>
      <c r="AH69" s="750"/>
      <c r="AI69" s="750"/>
      <c r="AJ69" s="750"/>
      <c r="AK69" s="750"/>
      <c r="AL69" s="750"/>
      <c r="AM69" s="750"/>
      <c r="AN69" s="750"/>
      <c r="AO69" s="750"/>
      <c r="AP69" s="750"/>
      <c r="AQ69" s="750"/>
      <c r="AR69" s="750"/>
      <c r="AS69" s="750"/>
      <c r="AT69" s="750"/>
      <c r="AU69" s="750"/>
      <c r="AV69" s="750"/>
      <c r="AW69" s="750"/>
      <c r="AX69" s="750"/>
    </row>
    <row r="70" ht="15" customHeight="1" spans="2:50">
      <c r="B70" s="767" t="s">
        <v>1514</v>
      </c>
      <c r="C70" s="784"/>
      <c r="D70" s="784"/>
      <c r="E70" s="784"/>
      <c r="F70" s="784"/>
      <c r="G70" s="784"/>
      <c r="H70" s="784"/>
      <c r="I70" s="784"/>
      <c r="J70" s="770"/>
      <c r="K70" s="769" t="s">
        <v>1464</v>
      </c>
      <c r="L70" s="769" t="s">
        <v>199</v>
      </c>
      <c r="M70" s="769" t="s">
        <v>199</v>
      </c>
      <c r="N70" s="750"/>
      <c r="O70" s="750"/>
      <c r="P70" s="750"/>
      <c r="Q70" s="750"/>
      <c r="R70" s="750"/>
      <c r="S70" s="750"/>
      <c r="T70" s="750"/>
      <c r="U70" s="750"/>
      <c r="V70" s="750"/>
      <c r="W70" s="750"/>
      <c r="X70" s="750"/>
      <c r="Y70" s="750"/>
      <c r="Z70" s="750"/>
      <c r="AA70" s="750"/>
      <c r="AB70" s="750"/>
      <c r="AC70" s="750"/>
      <c r="AD70" s="750"/>
      <c r="AE70" s="750"/>
      <c r="AF70" s="750"/>
      <c r="AG70" s="750"/>
      <c r="AH70" s="750"/>
      <c r="AI70" s="750"/>
      <c r="AJ70" s="750"/>
      <c r="AK70" s="750"/>
      <c r="AL70" s="750"/>
      <c r="AM70" s="750"/>
      <c r="AN70" s="750"/>
      <c r="AO70" s="750"/>
      <c r="AP70" s="750"/>
      <c r="AQ70" s="750"/>
      <c r="AR70" s="750"/>
      <c r="AS70" s="750"/>
      <c r="AT70" s="750"/>
      <c r="AU70" s="750"/>
      <c r="AV70" s="750"/>
      <c r="AW70" s="750"/>
      <c r="AX70" s="750"/>
    </row>
    <row r="71" ht="15" customHeight="1" spans="2:50">
      <c r="B71" s="767" t="s">
        <v>1515</v>
      </c>
      <c r="C71" s="785"/>
      <c r="D71" s="785"/>
      <c r="E71" s="785"/>
      <c r="F71" s="785"/>
      <c r="G71" s="785"/>
      <c r="H71" s="785"/>
      <c r="I71" s="789"/>
      <c r="J71" s="770"/>
      <c r="K71" s="769" t="s">
        <v>1464</v>
      </c>
      <c r="L71" s="769" t="s">
        <v>199</v>
      </c>
      <c r="M71" s="769" t="s">
        <v>199</v>
      </c>
      <c r="N71" s="751"/>
      <c r="O71" s="751"/>
      <c r="P71" s="751"/>
      <c r="Q71" s="751"/>
      <c r="R71" s="751"/>
      <c r="S71" s="751"/>
      <c r="T71" s="751"/>
      <c r="U71" s="751"/>
      <c r="V71" s="751"/>
      <c r="W71" s="751"/>
      <c r="X71" s="751"/>
      <c r="Y71" s="751"/>
      <c r="Z71" s="751"/>
      <c r="AA71" s="751"/>
      <c r="AB71" s="751"/>
      <c r="AC71" s="751"/>
      <c r="AD71" s="751"/>
      <c r="AE71" s="751"/>
      <c r="AF71" s="751"/>
      <c r="AG71" s="751"/>
      <c r="AH71" s="751"/>
      <c r="AI71" s="751"/>
      <c r="AJ71" s="751"/>
      <c r="AK71" s="751"/>
      <c r="AL71" s="751"/>
      <c r="AM71" s="751"/>
      <c r="AN71" s="751"/>
      <c r="AO71" s="751"/>
      <c r="AP71" s="751"/>
      <c r="AQ71" s="751"/>
      <c r="AR71" s="751"/>
      <c r="AS71" s="751"/>
      <c r="AT71" s="751"/>
      <c r="AU71" s="751"/>
      <c r="AV71" s="751"/>
      <c r="AW71" s="751"/>
      <c r="AX71" s="751"/>
    </row>
    <row r="72" ht="15" customHeight="1" spans="2:50">
      <c r="B72" s="767" t="s">
        <v>1516</v>
      </c>
      <c r="C72" s="785"/>
      <c r="D72" s="785"/>
      <c r="E72" s="785"/>
      <c r="F72" s="785"/>
      <c r="G72" s="785"/>
      <c r="H72" s="785"/>
      <c r="I72" s="789"/>
      <c r="J72" s="770"/>
      <c r="K72" s="769" t="s">
        <v>1464</v>
      </c>
      <c r="L72" s="769" t="s">
        <v>199</v>
      </c>
      <c r="M72" s="769" t="s">
        <v>199</v>
      </c>
      <c r="N72" s="751"/>
      <c r="O72" s="751"/>
      <c r="P72" s="751"/>
      <c r="Q72" s="751"/>
      <c r="R72" s="751"/>
      <c r="S72" s="751"/>
      <c r="T72" s="751"/>
      <c r="U72" s="751"/>
      <c r="V72" s="751"/>
      <c r="W72" s="751"/>
      <c r="X72" s="751"/>
      <c r="Y72" s="751"/>
      <c r="Z72" s="751"/>
      <c r="AA72" s="751"/>
      <c r="AB72" s="751"/>
      <c r="AC72" s="751"/>
      <c r="AD72" s="751"/>
      <c r="AE72" s="751"/>
      <c r="AF72" s="751"/>
      <c r="AG72" s="751"/>
      <c r="AH72" s="751"/>
      <c r="AI72" s="751"/>
      <c r="AJ72" s="751"/>
      <c r="AK72" s="751"/>
      <c r="AL72" s="751"/>
      <c r="AM72" s="751"/>
      <c r="AN72" s="751"/>
      <c r="AO72" s="751"/>
      <c r="AP72" s="751"/>
      <c r="AQ72" s="751"/>
      <c r="AR72" s="751"/>
      <c r="AS72" s="751"/>
      <c r="AT72" s="751"/>
      <c r="AU72" s="751"/>
      <c r="AV72" s="751"/>
      <c r="AW72" s="751"/>
      <c r="AX72" s="751"/>
    </row>
    <row r="73" ht="15" customHeight="1" spans="2:50">
      <c r="B73" s="767" t="s">
        <v>1517</v>
      </c>
      <c r="C73" s="785"/>
      <c r="D73" s="785"/>
      <c r="E73" s="785"/>
      <c r="F73" s="785"/>
      <c r="G73" s="785"/>
      <c r="H73" s="785"/>
      <c r="I73" s="789"/>
      <c r="J73" s="792"/>
      <c r="K73" s="769" t="s">
        <v>1464</v>
      </c>
      <c r="L73" s="769" t="s">
        <v>199</v>
      </c>
      <c r="M73" s="769" t="s">
        <v>199</v>
      </c>
      <c r="N73" s="751"/>
      <c r="O73" s="751"/>
      <c r="P73" s="751"/>
      <c r="Q73" s="751"/>
      <c r="R73" s="751"/>
      <c r="S73" s="751"/>
      <c r="T73" s="751"/>
      <c r="U73" s="751"/>
      <c r="V73" s="751"/>
      <c r="W73" s="751"/>
      <c r="X73" s="751"/>
      <c r="Y73" s="751"/>
      <c r="Z73" s="751"/>
      <c r="AA73" s="751"/>
      <c r="AB73" s="751"/>
      <c r="AC73" s="751"/>
      <c r="AD73" s="751"/>
      <c r="AE73" s="751"/>
      <c r="AF73" s="751"/>
      <c r="AG73" s="751"/>
      <c r="AH73" s="751"/>
      <c r="AI73" s="751"/>
      <c r="AJ73" s="751"/>
      <c r="AK73" s="751"/>
      <c r="AL73" s="751"/>
      <c r="AM73" s="751"/>
      <c r="AN73" s="751"/>
      <c r="AO73" s="751"/>
      <c r="AP73" s="751"/>
      <c r="AQ73" s="751"/>
      <c r="AR73" s="751"/>
      <c r="AS73" s="751"/>
      <c r="AT73" s="751"/>
      <c r="AU73" s="751"/>
      <c r="AV73" s="751"/>
      <c r="AW73" s="751"/>
      <c r="AX73" s="751"/>
    </row>
    <row r="74" ht="15" customHeight="1" spans="2:50">
      <c r="B74" s="767" t="s">
        <v>1518</v>
      </c>
      <c r="C74" s="785"/>
      <c r="D74" s="785"/>
      <c r="E74" s="785"/>
      <c r="F74" s="785"/>
      <c r="G74" s="785"/>
      <c r="H74" s="785"/>
      <c r="I74" s="793"/>
      <c r="J74" s="793"/>
      <c r="K74" s="769" t="s">
        <v>1464</v>
      </c>
      <c r="L74" s="769" t="s">
        <v>199</v>
      </c>
      <c r="M74" s="769" t="s">
        <v>199</v>
      </c>
      <c r="N74" s="751"/>
      <c r="O74" s="751"/>
      <c r="P74" s="751"/>
      <c r="Q74" s="751"/>
      <c r="R74" s="751"/>
      <c r="S74" s="751"/>
      <c r="T74" s="751"/>
      <c r="U74" s="751"/>
      <c r="V74" s="751"/>
      <c r="W74" s="751"/>
      <c r="X74" s="751"/>
      <c r="Y74" s="751"/>
      <c r="Z74" s="751"/>
      <c r="AA74" s="751"/>
      <c r="AB74" s="751"/>
      <c r="AC74" s="751"/>
      <c r="AD74" s="751"/>
      <c r="AE74" s="751"/>
      <c r="AF74" s="751"/>
      <c r="AG74" s="751"/>
      <c r="AH74" s="751"/>
      <c r="AI74" s="751"/>
      <c r="AJ74" s="751"/>
      <c r="AK74" s="751"/>
      <c r="AL74" s="751"/>
      <c r="AM74" s="751"/>
      <c r="AN74" s="751"/>
      <c r="AO74" s="751"/>
      <c r="AP74" s="751"/>
      <c r="AQ74" s="751"/>
      <c r="AR74" s="751"/>
      <c r="AS74" s="751"/>
      <c r="AT74" s="751"/>
      <c r="AU74" s="751"/>
      <c r="AV74" s="751"/>
      <c r="AW74" s="751"/>
      <c r="AX74" s="751"/>
    </row>
    <row r="75" ht="15" customHeight="1" spans="2:50">
      <c r="B75" s="767" t="s">
        <v>1519</v>
      </c>
      <c r="C75" s="785"/>
      <c r="D75" s="785"/>
      <c r="E75" s="785"/>
      <c r="F75" s="785"/>
      <c r="G75" s="785"/>
      <c r="H75" s="785"/>
      <c r="I75" s="789"/>
      <c r="J75" s="793"/>
      <c r="K75" s="769" t="s">
        <v>1464</v>
      </c>
      <c r="L75" s="769" t="s">
        <v>199</v>
      </c>
      <c r="M75" s="769" t="s">
        <v>199</v>
      </c>
      <c r="N75" s="751"/>
      <c r="O75" s="751"/>
      <c r="P75" s="751"/>
      <c r="Q75" s="751"/>
      <c r="R75" s="751"/>
      <c r="S75" s="751"/>
      <c r="T75" s="751"/>
      <c r="U75" s="751"/>
      <c r="V75" s="751"/>
      <c r="W75" s="751"/>
      <c r="X75" s="751"/>
      <c r="Y75" s="751"/>
      <c r="Z75" s="751"/>
      <c r="AA75" s="751"/>
      <c r="AB75" s="751"/>
      <c r="AC75" s="751"/>
      <c r="AD75" s="751"/>
      <c r="AE75" s="751"/>
      <c r="AF75" s="751"/>
      <c r="AG75" s="751"/>
      <c r="AH75" s="751"/>
      <c r="AI75" s="751"/>
      <c r="AJ75" s="751"/>
      <c r="AK75" s="751"/>
      <c r="AL75" s="751"/>
      <c r="AM75" s="751"/>
      <c r="AN75" s="751"/>
      <c r="AO75" s="751"/>
      <c r="AP75" s="751"/>
      <c r="AQ75" s="751"/>
      <c r="AR75" s="751"/>
      <c r="AS75" s="751"/>
      <c r="AT75" s="751"/>
      <c r="AU75" s="751"/>
      <c r="AV75" s="751"/>
      <c r="AW75" s="751"/>
      <c r="AX75" s="751"/>
    </row>
    <row r="76" ht="15" customHeight="1" spans="2:50">
      <c r="B76" s="767" t="s">
        <v>1520</v>
      </c>
      <c r="C76" s="785"/>
      <c r="D76" s="785"/>
      <c r="E76" s="785"/>
      <c r="F76" s="785"/>
      <c r="G76" s="785"/>
      <c r="H76" s="785"/>
      <c r="I76" s="793"/>
      <c r="J76" s="793"/>
      <c r="K76" s="769" t="s">
        <v>1464</v>
      </c>
      <c r="L76" s="769" t="s">
        <v>199</v>
      </c>
      <c r="M76" s="769" t="s">
        <v>199</v>
      </c>
      <c r="N76" s="751"/>
      <c r="O76" s="751"/>
      <c r="P76" s="751"/>
      <c r="Q76" s="751"/>
      <c r="R76" s="751"/>
      <c r="S76" s="751"/>
      <c r="T76" s="751"/>
      <c r="U76" s="751"/>
      <c r="V76" s="751"/>
      <c r="W76" s="751"/>
      <c r="X76" s="751"/>
      <c r="Y76" s="751"/>
      <c r="Z76" s="751"/>
      <c r="AA76" s="751"/>
      <c r="AB76" s="751"/>
      <c r="AC76" s="751"/>
      <c r="AD76" s="751"/>
      <c r="AE76" s="751"/>
      <c r="AF76" s="751"/>
      <c r="AG76" s="751"/>
      <c r="AH76" s="751"/>
      <c r="AI76" s="751"/>
      <c r="AJ76" s="751"/>
      <c r="AK76" s="751"/>
      <c r="AL76" s="751"/>
      <c r="AM76" s="751"/>
      <c r="AN76" s="751"/>
      <c r="AO76" s="751"/>
      <c r="AP76" s="751"/>
      <c r="AQ76" s="751"/>
      <c r="AR76" s="751"/>
      <c r="AS76" s="751"/>
      <c r="AT76" s="751"/>
      <c r="AU76" s="751"/>
      <c r="AV76" s="751"/>
      <c r="AW76" s="751"/>
      <c r="AX76" s="751"/>
    </row>
    <row r="77" ht="15" customHeight="1" spans="2:50">
      <c r="B77" s="767" t="s">
        <v>1521</v>
      </c>
      <c r="C77" s="785"/>
      <c r="D77" s="785"/>
      <c r="E77" s="785"/>
      <c r="F77" s="785"/>
      <c r="G77" s="785"/>
      <c r="H77" s="785"/>
      <c r="I77" s="789"/>
      <c r="J77" s="793"/>
      <c r="K77" s="769" t="s">
        <v>1464</v>
      </c>
      <c r="L77" s="769" t="s">
        <v>199</v>
      </c>
      <c r="M77" s="769" t="s">
        <v>199</v>
      </c>
      <c r="N77" s="751"/>
      <c r="O77" s="751"/>
      <c r="P77" s="751"/>
      <c r="Q77" s="751"/>
      <c r="R77" s="751"/>
      <c r="S77" s="751"/>
      <c r="T77" s="751"/>
      <c r="U77" s="751"/>
      <c r="V77" s="751"/>
      <c r="W77" s="751"/>
      <c r="X77" s="751"/>
      <c r="Y77" s="751"/>
      <c r="Z77" s="751"/>
      <c r="AA77" s="751"/>
      <c r="AB77" s="751"/>
      <c r="AC77" s="751"/>
      <c r="AD77" s="751"/>
      <c r="AE77" s="751"/>
      <c r="AF77" s="751"/>
      <c r="AG77" s="751"/>
      <c r="AH77" s="751"/>
      <c r="AI77" s="751"/>
      <c r="AJ77" s="751"/>
      <c r="AK77" s="751"/>
      <c r="AL77" s="751"/>
      <c r="AM77" s="751"/>
      <c r="AN77" s="751"/>
      <c r="AO77" s="751"/>
      <c r="AP77" s="751"/>
      <c r="AQ77" s="751"/>
      <c r="AR77" s="751"/>
      <c r="AS77" s="751"/>
      <c r="AT77" s="751"/>
      <c r="AU77" s="751"/>
      <c r="AV77" s="751"/>
      <c r="AW77" s="751"/>
      <c r="AX77" s="751"/>
    </row>
    <row r="78" ht="15" customHeight="1" spans="2:50">
      <c r="B78" s="767" t="s">
        <v>1522</v>
      </c>
      <c r="C78" s="785"/>
      <c r="D78" s="785"/>
      <c r="E78" s="785"/>
      <c r="F78" s="785"/>
      <c r="G78" s="785"/>
      <c r="H78" s="785"/>
      <c r="I78" s="789"/>
      <c r="J78" s="793"/>
      <c r="K78" s="769" t="s">
        <v>1464</v>
      </c>
      <c r="L78" s="769" t="s">
        <v>199</v>
      </c>
      <c r="M78" s="769" t="s">
        <v>199</v>
      </c>
      <c r="N78" s="751"/>
      <c r="O78" s="751"/>
      <c r="P78" s="751"/>
      <c r="Q78" s="751"/>
      <c r="R78" s="751"/>
      <c r="S78" s="751"/>
      <c r="T78" s="751"/>
      <c r="U78" s="751"/>
      <c r="V78" s="751"/>
      <c r="W78" s="751"/>
      <c r="X78" s="751"/>
      <c r="Y78" s="751"/>
      <c r="Z78" s="751"/>
      <c r="AA78" s="751"/>
      <c r="AB78" s="751"/>
      <c r="AC78" s="751"/>
      <c r="AD78" s="751"/>
      <c r="AE78" s="751"/>
      <c r="AF78" s="751"/>
      <c r="AG78" s="751"/>
      <c r="AH78" s="751"/>
      <c r="AI78" s="751"/>
      <c r="AJ78" s="751"/>
      <c r="AK78" s="751"/>
      <c r="AL78" s="751"/>
      <c r="AM78" s="751"/>
      <c r="AN78" s="751"/>
      <c r="AO78" s="751"/>
      <c r="AP78" s="751"/>
      <c r="AQ78" s="751"/>
      <c r="AR78" s="751"/>
      <c r="AS78" s="751"/>
      <c r="AT78" s="751"/>
      <c r="AU78" s="751"/>
      <c r="AV78" s="751"/>
      <c r="AW78" s="751"/>
      <c r="AX78" s="751"/>
    </row>
    <row r="79" ht="15" customHeight="1" spans="2:50">
      <c r="B79" s="767" t="s">
        <v>1523</v>
      </c>
      <c r="C79" s="785"/>
      <c r="D79" s="785"/>
      <c r="E79" s="785"/>
      <c r="F79" s="785"/>
      <c r="G79" s="785"/>
      <c r="H79" s="785"/>
      <c r="I79" s="793"/>
      <c r="J79" s="793"/>
      <c r="K79" s="769" t="s">
        <v>1464</v>
      </c>
      <c r="L79" s="769" t="s">
        <v>199</v>
      </c>
      <c r="M79" s="769" t="s">
        <v>199</v>
      </c>
      <c r="N79" s="751"/>
      <c r="O79" s="751"/>
      <c r="P79" s="751"/>
      <c r="Q79" s="751"/>
      <c r="R79" s="751"/>
      <c r="S79" s="751"/>
      <c r="T79" s="751"/>
      <c r="U79" s="751"/>
      <c r="V79" s="751"/>
      <c r="W79" s="751"/>
      <c r="X79" s="751"/>
      <c r="Y79" s="751"/>
      <c r="Z79" s="751"/>
      <c r="AA79" s="751"/>
      <c r="AB79" s="751"/>
      <c r="AC79" s="751"/>
      <c r="AD79" s="751"/>
      <c r="AE79" s="751"/>
      <c r="AF79" s="751"/>
      <c r="AG79" s="751"/>
      <c r="AH79" s="751"/>
      <c r="AI79" s="751"/>
      <c r="AJ79" s="751"/>
      <c r="AK79" s="751"/>
      <c r="AL79" s="751"/>
      <c r="AM79" s="751"/>
      <c r="AN79" s="751"/>
      <c r="AO79" s="751"/>
      <c r="AP79" s="751"/>
      <c r="AQ79" s="751"/>
      <c r="AR79" s="751"/>
      <c r="AS79" s="751"/>
      <c r="AT79" s="751"/>
      <c r="AU79" s="751"/>
      <c r="AV79" s="751"/>
      <c r="AW79" s="751"/>
      <c r="AX79" s="751"/>
    </row>
    <row r="80" ht="15" customHeight="1" spans="2:50">
      <c r="B80" s="767" t="s">
        <v>1524</v>
      </c>
      <c r="C80" s="785"/>
      <c r="D80" s="785"/>
      <c r="E80" s="785"/>
      <c r="F80" s="785"/>
      <c r="G80" s="785"/>
      <c r="H80" s="785"/>
      <c r="I80" s="793"/>
      <c r="J80" s="793"/>
      <c r="K80" s="769" t="s">
        <v>1464</v>
      </c>
      <c r="L80" s="769" t="s">
        <v>199</v>
      </c>
      <c r="M80" s="769" t="s">
        <v>199</v>
      </c>
      <c r="N80" s="751"/>
      <c r="O80" s="751"/>
      <c r="P80" s="751"/>
      <c r="Q80" s="751"/>
      <c r="R80" s="751"/>
      <c r="S80" s="751"/>
      <c r="T80" s="751"/>
      <c r="U80" s="751"/>
      <c r="V80" s="751"/>
      <c r="W80" s="751"/>
      <c r="X80" s="751"/>
      <c r="Y80" s="751"/>
      <c r="Z80" s="751"/>
      <c r="AA80" s="751"/>
      <c r="AB80" s="751"/>
      <c r="AC80" s="751"/>
      <c r="AD80" s="751"/>
      <c r="AE80" s="751"/>
      <c r="AF80" s="751"/>
      <c r="AG80" s="751"/>
      <c r="AH80" s="751"/>
      <c r="AI80" s="751"/>
      <c r="AJ80" s="751"/>
      <c r="AK80" s="751"/>
      <c r="AL80" s="751"/>
      <c r="AM80" s="751"/>
      <c r="AN80" s="751"/>
      <c r="AO80" s="751"/>
      <c r="AP80" s="751"/>
      <c r="AQ80" s="751"/>
      <c r="AR80" s="751"/>
      <c r="AS80" s="751"/>
      <c r="AT80" s="751"/>
      <c r="AU80" s="751"/>
      <c r="AV80" s="751"/>
      <c r="AW80" s="751"/>
      <c r="AX80" s="751"/>
    </row>
    <row r="81" ht="15" customHeight="1" spans="2:50">
      <c r="B81" s="767" t="s">
        <v>1525</v>
      </c>
      <c r="C81" s="785"/>
      <c r="D81" s="785"/>
      <c r="E81" s="785"/>
      <c r="F81" s="785"/>
      <c r="G81" s="785"/>
      <c r="H81" s="785"/>
      <c r="I81" s="793"/>
      <c r="J81" s="793"/>
      <c r="K81" s="769" t="s">
        <v>1464</v>
      </c>
      <c r="L81" s="769" t="s">
        <v>199</v>
      </c>
      <c r="M81" s="769" t="s">
        <v>199</v>
      </c>
      <c r="N81" s="751"/>
      <c r="O81" s="751"/>
      <c r="P81" s="751"/>
      <c r="Q81" s="751"/>
      <c r="R81" s="751"/>
      <c r="S81" s="751"/>
      <c r="T81" s="751"/>
      <c r="U81" s="751"/>
      <c r="V81" s="751"/>
      <c r="W81" s="751"/>
      <c r="X81" s="751"/>
      <c r="Y81" s="751"/>
      <c r="Z81" s="751"/>
      <c r="AA81" s="751"/>
      <c r="AB81" s="751"/>
      <c r="AC81" s="751"/>
      <c r="AD81" s="751"/>
      <c r="AE81" s="751"/>
      <c r="AF81" s="751"/>
      <c r="AG81" s="751"/>
      <c r="AH81" s="751"/>
      <c r="AI81" s="751"/>
      <c r="AJ81" s="751"/>
      <c r="AK81" s="751"/>
      <c r="AL81" s="751"/>
      <c r="AM81" s="751"/>
      <c r="AN81" s="751"/>
      <c r="AO81" s="751"/>
      <c r="AP81" s="751"/>
      <c r="AQ81" s="751"/>
      <c r="AR81" s="751"/>
      <c r="AS81" s="751"/>
      <c r="AT81" s="751"/>
      <c r="AU81" s="751"/>
      <c r="AV81" s="751"/>
      <c r="AW81" s="751"/>
      <c r="AX81" s="751"/>
    </row>
    <row r="82" ht="15" customHeight="1" spans="2:50">
      <c r="B82" s="767" t="s">
        <v>1526</v>
      </c>
      <c r="C82" s="785"/>
      <c r="D82" s="785"/>
      <c r="E82" s="785"/>
      <c r="F82" s="785"/>
      <c r="G82" s="785"/>
      <c r="H82" s="785"/>
      <c r="I82" s="789"/>
      <c r="J82" s="770"/>
      <c r="K82" s="769" t="s">
        <v>1464</v>
      </c>
      <c r="L82" s="769" t="s">
        <v>199</v>
      </c>
      <c r="M82" s="769" t="s">
        <v>199</v>
      </c>
      <c r="N82" s="751"/>
      <c r="O82" s="751"/>
      <c r="P82" s="751"/>
      <c r="Q82" s="751"/>
      <c r="R82" s="751"/>
      <c r="S82" s="751"/>
      <c r="T82" s="751"/>
      <c r="U82" s="751"/>
      <c r="V82" s="751"/>
      <c r="W82" s="751"/>
      <c r="X82" s="751"/>
      <c r="Y82" s="751"/>
      <c r="Z82" s="751"/>
      <c r="AA82" s="751"/>
      <c r="AB82" s="751"/>
      <c r="AC82" s="751"/>
      <c r="AD82" s="751"/>
      <c r="AE82" s="751"/>
      <c r="AF82" s="751"/>
      <c r="AG82" s="751"/>
      <c r="AH82" s="751"/>
      <c r="AI82" s="751"/>
      <c r="AJ82" s="751"/>
      <c r="AK82" s="751"/>
      <c r="AL82" s="751"/>
      <c r="AM82" s="751"/>
      <c r="AN82" s="751"/>
      <c r="AO82" s="751"/>
      <c r="AP82" s="751"/>
      <c r="AQ82" s="751"/>
      <c r="AR82" s="751"/>
      <c r="AS82" s="751"/>
      <c r="AT82" s="751"/>
      <c r="AU82" s="751"/>
      <c r="AV82" s="751"/>
      <c r="AW82" s="751"/>
      <c r="AX82" s="751"/>
    </row>
    <row r="83" ht="15" customHeight="1" spans="2:50">
      <c r="B83" s="767" t="s">
        <v>1527</v>
      </c>
      <c r="C83" s="785"/>
      <c r="D83" s="785"/>
      <c r="E83" s="785"/>
      <c r="F83" s="785"/>
      <c r="G83" s="785"/>
      <c r="H83" s="785"/>
      <c r="I83" s="789"/>
      <c r="J83" s="770"/>
      <c r="K83" s="769" t="s">
        <v>1464</v>
      </c>
      <c r="L83" s="769" t="s">
        <v>199</v>
      </c>
      <c r="M83" s="769" t="s">
        <v>199</v>
      </c>
      <c r="N83" s="751"/>
      <c r="O83" s="751"/>
      <c r="P83" s="751"/>
      <c r="Q83" s="751"/>
      <c r="R83" s="751"/>
      <c r="S83" s="751"/>
      <c r="T83" s="751"/>
      <c r="U83" s="751"/>
      <c r="V83" s="751"/>
      <c r="W83" s="751"/>
      <c r="X83" s="751"/>
      <c r="Y83" s="751"/>
      <c r="Z83" s="751"/>
      <c r="AA83" s="751"/>
      <c r="AB83" s="751"/>
      <c r="AC83" s="751"/>
      <c r="AD83" s="751"/>
      <c r="AE83" s="751"/>
      <c r="AF83" s="751"/>
      <c r="AG83" s="751"/>
      <c r="AH83" s="751"/>
      <c r="AI83" s="751"/>
      <c r="AJ83" s="751"/>
      <c r="AK83" s="751"/>
      <c r="AL83" s="751"/>
      <c r="AM83" s="751"/>
      <c r="AN83" s="751"/>
      <c r="AO83" s="751"/>
      <c r="AP83" s="751"/>
      <c r="AQ83" s="751"/>
      <c r="AR83" s="751"/>
      <c r="AS83" s="751"/>
      <c r="AT83" s="751"/>
      <c r="AU83" s="751"/>
      <c r="AV83" s="751"/>
      <c r="AW83" s="751"/>
      <c r="AX83" s="751"/>
    </row>
    <row r="84" ht="15" customHeight="1" spans="2:50">
      <c r="B84" s="767" t="s">
        <v>1528</v>
      </c>
      <c r="C84" s="785"/>
      <c r="D84" s="785"/>
      <c r="E84" s="785"/>
      <c r="F84" s="785"/>
      <c r="G84" s="785"/>
      <c r="H84" s="785"/>
      <c r="I84" s="789"/>
      <c r="J84" s="770"/>
      <c r="K84" s="769" t="s">
        <v>1464</v>
      </c>
      <c r="L84" s="769" t="s">
        <v>199</v>
      </c>
      <c r="M84" s="769" t="s">
        <v>199</v>
      </c>
      <c r="N84" s="751"/>
      <c r="O84" s="751"/>
      <c r="P84" s="751"/>
      <c r="Q84" s="751"/>
      <c r="R84" s="751"/>
      <c r="S84" s="751"/>
      <c r="T84" s="751"/>
      <c r="U84" s="751"/>
      <c r="V84" s="751"/>
      <c r="W84" s="751"/>
      <c r="X84" s="751"/>
      <c r="Y84" s="751"/>
      <c r="Z84" s="751"/>
      <c r="AA84" s="751"/>
      <c r="AB84" s="751"/>
      <c r="AC84" s="751"/>
      <c r="AD84" s="751"/>
      <c r="AE84" s="751"/>
      <c r="AF84" s="751"/>
      <c r="AG84" s="751"/>
      <c r="AH84" s="751"/>
      <c r="AI84" s="751"/>
      <c r="AJ84" s="751"/>
      <c r="AK84" s="751"/>
      <c r="AL84" s="751"/>
      <c r="AM84" s="751"/>
      <c r="AN84" s="751"/>
      <c r="AO84" s="751"/>
      <c r="AP84" s="751"/>
      <c r="AQ84" s="751"/>
      <c r="AR84" s="751"/>
      <c r="AS84" s="751"/>
      <c r="AT84" s="751"/>
      <c r="AU84" s="751"/>
      <c r="AV84" s="751"/>
      <c r="AW84" s="751"/>
      <c r="AX84" s="751"/>
    </row>
    <row r="85" ht="15" customHeight="1" spans="2:50">
      <c r="B85" s="767" t="s">
        <v>1529</v>
      </c>
      <c r="C85" s="784"/>
      <c r="D85" s="784"/>
      <c r="E85" s="784"/>
      <c r="F85" s="784"/>
      <c r="G85" s="784"/>
      <c r="H85" s="784"/>
      <c r="I85" s="784"/>
      <c r="J85" s="770"/>
      <c r="K85" s="769" t="s">
        <v>1464</v>
      </c>
      <c r="L85" s="769" t="s">
        <v>199</v>
      </c>
      <c r="M85" s="769" t="s">
        <v>199</v>
      </c>
      <c r="N85" s="750"/>
      <c r="O85" s="750"/>
      <c r="P85" s="750"/>
      <c r="Q85" s="750"/>
      <c r="R85" s="750"/>
      <c r="S85" s="750"/>
      <c r="T85" s="750"/>
      <c r="U85" s="750"/>
      <c r="V85" s="750"/>
      <c r="W85" s="750"/>
      <c r="X85" s="750"/>
      <c r="Y85" s="750"/>
      <c r="Z85" s="750"/>
      <c r="AA85" s="750"/>
      <c r="AB85" s="750"/>
      <c r="AC85" s="750"/>
      <c r="AD85" s="750"/>
      <c r="AE85" s="750"/>
      <c r="AF85" s="750"/>
      <c r="AG85" s="750"/>
      <c r="AH85" s="750"/>
      <c r="AI85" s="750"/>
      <c r="AJ85" s="750"/>
      <c r="AK85" s="750"/>
      <c r="AL85" s="750"/>
      <c r="AM85" s="750"/>
      <c r="AN85" s="750"/>
      <c r="AO85" s="750"/>
      <c r="AP85" s="750"/>
      <c r="AQ85" s="750"/>
      <c r="AR85" s="750"/>
      <c r="AS85" s="750"/>
      <c r="AT85" s="750"/>
      <c r="AU85" s="750"/>
      <c r="AV85" s="750"/>
      <c r="AW85" s="750"/>
      <c r="AX85" s="750"/>
    </row>
    <row r="86" ht="15" customHeight="1" spans="2:50">
      <c r="B86" s="767" t="s">
        <v>1530</v>
      </c>
      <c r="C86" s="784"/>
      <c r="D86" s="784"/>
      <c r="E86" s="784"/>
      <c r="F86" s="784"/>
      <c r="G86" s="784"/>
      <c r="H86" s="784"/>
      <c r="I86" s="784"/>
      <c r="J86" s="770"/>
      <c r="K86" s="769" t="s">
        <v>1464</v>
      </c>
      <c r="L86" s="769" t="s">
        <v>199</v>
      </c>
      <c r="M86" s="769" t="s">
        <v>199</v>
      </c>
      <c r="N86" s="750"/>
      <c r="O86" s="750"/>
      <c r="P86" s="750"/>
      <c r="Q86" s="750"/>
      <c r="R86" s="750"/>
      <c r="S86" s="750"/>
      <c r="T86" s="750"/>
      <c r="U86" s="750"/>
      <c r="V86" s="750"/>
      <c r="W86" s="750"/>
      <c r="X86" s="750"/>
      <c r="Y86" s="750"/>
      <c r="Z86" s="750"/>
      <c r="AA86" s="750"/>
      <c r="AB86" s="750"/>
      <c r="AC86" s="750"/>
      <c r="AD86" s="750"/>
      <c r="AE86" s="750"/>
      <c r="AF86" s="750"/>
      <c r="AG86" s="750"/>
      <c r="AH86" s="750"/>
      <c r="AI86" s="750"/>
      <c r="AJ86" s="750"/>
      <c r="AK86" s="750"/>
      <c r="AL86" s="750"/>
      <c r="AM86" s="750"/>
      <c r="AN86" s="750"/>
      <c r="AO86" s="750"/>
      <c r="AP86" s="750"/>
      <c r="AQ86" s="750"/>
      <c r="AR86" s="750"/>
      <c r="AS86" s="750"/>
      <c r="AT86" s="750"/>
      <c r="AU86" s="750"/>
      <c r="AV86" s="750"/>
      <c r="AW86" s="750"/>
      <c r="AX86" s="750"/>
    </row>
    <row r="87" ht="15" customHeight="1" spans="2:50">
      <c r="B87" s="767" t="s">
        <v>1531</v>
      </c>
      <c r="C87" s="784"/>
      <c r="D87" s="784"/>
      <c r="E87" s="784"/>
      <c r="F87" s="784"/>
      <c r="G87" s="784"/>
      <c r="H87" s="784"/>
      <c r="I87" s="784"/>
      <c r="J87" s="770"/>
      <c r="K87" s="769" t="s">
        <v>1464</v>
      </c>
      <c r="L87" s="769" t="s">
        <v>199</v>
      </c>
      <c r="M87" s="769" t="s">
        <v>199</v>
      </c>
      <c r="N87" s="750"/>
      <c r="O87" s="750"/>
      <c r="P87" s="750"/>
      <c r="Q87" s="750"/>
      <c r="R87" s="750"/>
      <c r="S87" s="750"/>
      <c r="T87" s="750"/>
      <c r="U87" s="750"/>
      <c r="V87" s="750"/>
      <c r="W87" s="750"/>
      <c r="X87" s="750"/>
      <c r="Y87" s="750"/>
      <c r="Z87" s="750"/>
      <c r="AA87" s="750"/>
      <c r="AB87" s="750"/>
      <c r="AC87" s="750"/>
      <c r="AD87" s="750"/>
      <c r="AE87" s="750"/>
      <c r="AF87" s="750"/>
      <c r="AG87" s="750"/>
      <c r="AH87" s="750"/>
      <c r="AI87" s="750"/>
      <c r="AJ87" s="750"/>
      <c r="AK87" s="750"/>
      <c r="AL87" s="750"/>
      <c r="AM87" s="750"/>
      <c r="AN87" s="750"/>
      <c r="AO87" s="750"/>
      <c r="AP87" s="750"/>
      <c r="AQ87" s="750"/>
      <c r="AR87" s="750"/>
      <c r="AS87" s="750"/>
      <c r="AT87" s="750"/>
      <c r="AU87" s="750"/>
      <c r="AV87" s="750"/>
      <c r="AW87" s="750"/>
      <c r="AX87" s="750"/>
    </row>
    <row r="88" ht="15" customHeight="1" spans="2:50">
      <c r="B88" s="767" t="s">
        <v>1532</v>
      </c>
      <c r="C88" s="784"/>
      <c r="D88" s="784"/>
      <c r="E88" s="784"/>
      <c r="F88" s="784"/>
      <c r="G88" s="784"/>
      <c r="H88" s="784"/>
      <c r="I88" s="784"/>
      <c r="J88" s="770"/>
      <c r="K88" s="769" t="s">
        <v>1464</v>
      </c>
      <c r="L88" s="769" t="s">
        <v>199</v>
      </c>
      <c r="M88" s="769" t="s">
        <v>199</v>
      </c>
      <c r="N88" s="750">
        <v>0</v>
      </c>
      <c r="O88" s="750">
        <v>0</v>
      </c>
      <c r="P88" s="750">
        <v>0</v>
      </c>
      <c r="Q88" s="750">
        <v>0</v>
      </c>
      <c r="R88" s="750">
        <v>0</v>
      </c>
      <c r="S88" s="750">
        <v>0</v>
      </c>
      <c r="T88" s="750">
        <v>0</v>
      </c>
      <c r="U88" s="750">
        <v>0</v>
      </c>
      <c r="V88" s="750">
        <v>0</v>
      </c>
      <c r="W88" s="750">
        <v>0</v>
      </c>
      <c r="X88" s="750">
        <v>0</v>
      </c>
      <c r="Y88" s="750">
        <v>0</v>
      </c>
      <c r="Z88" s="750"/>
      <c r="AA88" s="750">
        <v>0</v>
      </c>
      <c r="AB88" s="750">
        <v>0</v>
      </c>
      <c r="AC88" s="750">
        <v>0</v>
      </c>
      <c r="AD88" s="750">
        <v>0</v>
      </c>
      <c r="AE88" s="750">
        <v>0</v>
      </c>
      <c r="AF88" s="750">
        <v>0</v>
      </c>
      <c r="AG88" s="750">
        <v>0</v>
      </c>
      <c r="AH88" s="750">
        <v>0</v>
      </c>
      <c r="AI88" s="750">
        <v>0</v>
      </c>
      <c r="AJ88" s="750">
        <v>0</v>
      </c>
      <c r="AK88" s="750">
        <v>0</v>
      </c>
      <c r="AL88" s="750">
        <v>0</v>
      </c>
      <c r="AM88" s="750">
        <v>0</v>
      </c>
      <c r="AN88" s="750">
        <v>0</v>
      </c>
      <c r="AO88" s="750">
        <v>0</v>
      </c>
      <c r="AP88" s="750">
        <v>0</v>
      </c>
      <c r="AQ88" s="750">
        <v>0</v>
      </c>
      <c r="AR88" s="750">
        <v>0</v>
      </c>
      <c r="AS88" s="750">
        <v>0</v>
      </c>
      <c r="AT88" s="750">
        <v>0</v>
      </c>
      <c r="AU88" s="750">
        <v>0</v>
      </c>
      <c r="AV88" s="750">
        <v>0</v>
      </c>
      <c r="AW88" s="750">
        <v>0</v>
      </c>
      <c r="AX88" s="750">
        <v>0</v>
      </c>
    </row>
    <row r="89" ht="15" customHeight="1" spans="2:50">
      <c r="B89" s="767" t="s">
        <v>1533</v>
      </c>
      <c r="C89" s="784"/>
      <c r="D89" s="784"/>
      <c r="E89" s="784"/>
      <c r="F89" s="784"/>
      <c r="G89" s="784"/>
      <c r="H89" s="784"/>
      <c r="I89" s="784" t="s">
        <v>1534</v>
      </c>
      <c r="J89" s="770"/>
      <c r="K89" s="769" t="s">
        <v>1464</v>
      </c>
      <c r="L89" s="769" t="s">
        <v>199</v>
      </c>
      <c r="M89" s="769" t="s">
        <v>199</v>
      </c>
      <c r="N89" s="750">
        <v>0</v>
      </c>
      <c r="O89" s="750">
        <v>0</v>
      </c>
      <c r="P89" s="750">
        <v>0</v>
      </c>
      <c r="Q89" s="750">
        <v>0</v>
      </c>
      <c r="R89" s="750">
        <v>0</v>
      </c>
      <c r="S89" s="750">
        <v>0</v>
      </c>
      <c r="T89" s="750">
        <v>0</v>
      </c>
      <c r="U89" s="750">
        <v>0</v>
      </c>
      <c r="V89" s="750">
        <v>0</v>
      </c>
      <c r="W89" s="750">
        <v>0</v>
      </c>
      <c r="X89" s="750">
        <v>0</v>
      </c>
      <c r="Y89" s="750">
        <v>0</v>
      </c>
      <c r="Z89" s="750"/>
      <c r="AA89" s="750">
        <v>0</v>
      </c>
      <c r="AB89" s="750">
        <v>0</v>
      </c>
      <c r="AC89" s="750">
        <v>0</v>
      </c>
      <c r="AD89" s="750">
        <v>0</v>
      </c>
      <c r="AE89" s="750">
        <v>0</v>
      </c>
      <c r="AF89" s="750">
        <v>0</v>
      </c>
      <c r="AG89" s="750">
        <v>0</v>
      </c>
      <c r="AH89" s="750">
        <v>0</v>
      </c>
      <c r="AI89" s="750">
        <v>0</v>
      </c>
      <c r="AJ89" s="750">
        <v>0</v>
      </c>
      <c r="AK89" s="750">
        <v>0</v>
      </c>
      <c r="AL89" s="750">
        <v>0</v>
      </c>
      <c r="AM89" s="750">
        <v>0</v>
      </c>
      <c r="AN89" s="750">
        <v>0</v>
      </c>
      <c r="AO89" s="750">
        <v>0</v>
      </c>
      <c r="AP89" s="750">
        <v>0</v>
      </c>
      <c r="AQ89" s="750">
        <v>0</v>
      </c>
      <c r="AR89" s="750">
        <v>0</v>
      </c>
      <c r="AS89" s="750">
        <v>0</v>
      </c>
      <c r="AT89" s="750">
        <v>0</v>
      </c>
      <c r="AU89" s="750">
        <v>0</v>
      </c>
      <c r="AV89" s="750">
        <v>0</v>
      </c>
      <c r="AW89" s="750">
        <v>0</v>
      </c>
      <c r="AX89" s="750">
        <v>0</v>
      </c>
    </row>
    <row r="90" ht="15" customHeight="1" spans="2:50">
      <c r="B90" s="767" t="s">
        <v>1535</v>
      </c>
      <c r="C90" s="784" t="s">
        <v>1534</v>
      </c>
      <c r="D90" s="784"/>
      <c r="E90" s="784" t="s">
        <v>1534</v>
      </c>
      <c r="F90" s="784"/>
      <c r="G90" s="784"/>
      <c r="H90" s="784"/>
      <c r="I90" s="784" t="s">
        <v>1534</v>
      </c>
      <c r="J90" s="770"/>
      <c r="K90" s="769" t="s">
        <v>1464</v>
      </c>
      <c r="L90" s="769" t="s">
        <v>199</v>
      </c>
      <c r="M90" s="769" t="s">
        <v>199</v>
      </c>
      <c r="N90" s="750">
        <v>0</v>
      </c>
      <c r="O90" s="750">
        <v>0</v>
      </c>
      <c r="P90" s="750">
        <v>0</v>
      </c>
      <c r="Q90" s="750">
        <v>0</v>
      </c>
      <c r="R90" s="750">
        <v>0</v>
      </c>
      <c r="S90" s="750">
        <v>0</v>
      </c>
      <c r="T90" s="750">
        <v>0</v>
      </c>
      <c r="U90" s="750">
        <v>0</v>
      </c>
      <c r="V90" s="750">
        <v>0</v>
      </c>
      <c r="W90" s="750">
        <v>0</v>
      </c>
      <c r="X90" s="750">
        <v>0</v>
      </c>
      <c r="Y90" s="750">
        <v>0</v>
      </c>
      <c r="Z90" s="750"/>
      <c r="AA90" s="750">
        <v>0</v>
      </c>
      <c r="AB90" s="750">
        <v>0</v>
      </c>
      <c r="AC90" s="750">
        <v>0</v>
      </c>
      <c r="AD90" s="750">
        <v>0</v>
      </c>
      <c r="AE90" s="750">
        <v>0</v>
      </c>
      <c r="AF90" s="750">
        <v>0</v>
      </c>
      <c r="AG90" s="750">
        <v>0</v>
      </c>
      <c r="AH90" s="750">
        <v>0</v>
      </c>
      <c r="AI90" s="750">
        <v>0</v>
      </c>
      <c r="AJ90" s="750">
        <v>0</v>
      </c>
      <c r="AK90" s="750">
        <v>0</v>
      </c>
      <c r="AL90" s="750">
        <v>0</v>
      </c>
      <c r="AM90" s="750">
        <v>0</v>
      </c>
      <c r="AN90" s="750">
        <v>0</v>
      </c>
      <c r="AO90" s="750">
        <v>0</v>
      </c>
      <c r="AP90" s="750">
        <v>0</v>
      </c>
      <c r="AQ90" s="750">
        <v>0</v>
      </c>
      <c r="AR90" s="750">
        <v>0</v>
      </c>
      <c r="AS90" s="750">
        <v>0</v>
      </c>
      <c r="AT90" s="750">
        <v>0</v>
      </c>
      <c r="AU90" s="750">
        <v>0</v>
      </c>
      <c r="AV90" s="750">
        <v>0</v>
      </c>
      <c r="AW90" s="750">
        <v>0</v>
      </c>
      <c r="AX90" s="750">
        <v>0</v>
      </c>
    </row>
    <row r="91" ht="15" customHeight="1" spans="2:50">
      <c r="B91" s="767" t="s">
        <v>1536</v>
      </c>
      <c r="C91" s="784" t="s">
        <v>1534</v>
      </c>
      <c r="D91" s="784"/>
      <c r="E91" s="784" t="s">
        <v>1534</v>
      </c>
      <c r="F91" s="784"/>
      <c r="G91" s="784"/>
      <c r="H91" s="784"/>
      <c r="I91" s="784" t="s">
        <v>1534</v>
      </c>
      <c r="J91" s="770"/>
      <c r="K91" s="769" t="s">
        <v>1464</v>
      </c>
      <c r="L91" s="769" t="s">
        <v>199</v>
      </c>
      <c r="M91" s="769" t="s">
        <v>199</v>
      </c>
      <c r="N91" s="750">
        <v>0</v>
      </c>
      <c r="O91" s="750">
        <v>0</v>
      </c>
      <c r="P91" s="750">
        <v>0</v>
      </c>
      <c r="Q91" s="750">
        <v>0</v>
      </c>
      <c r="R91" s="750">
        <v>0</v>
      </c>
      <c r="S91" s="750">
        <v>0</v>
      </c>
      <c r="T91" s="750">
        <v>0</v>
      </c>
      <c r="U91" s="750">
        <v>0</v>
      </c>
      <c r="V91" s="750">
        <v>0</v>
      </c>
      <c r="W91" s="750">
        <v>0</v>
      </c>
      <c r="X91" s="750">
        <v>0</v>
      </c>
      <c r="Y91" s="750">
        <v>0</v>
      </c>
      <c r="Z91" s="750"/>
      <c r="AA91" s="750">
        <v>0</v>
      </c>
      <c r="AB91" s="750">
        <v>0</v>
      </c>
      <c r="AC91" s="750">
        <v>0</v>
      </c>
      <c r="AD91" s="750">
        <v>0</v>
      </c>
      <c r="AE91" s="750">
        <v>0</v>
      </c>
      <c r="AF91" s="750">
        <v>0</v>
      </c>
      <c r="AG91" s="750">
        <v>0</v>
      </c>
      <c r="AH91" s="750">
        <v>0</v>
      </c>
      <c r="AI91" s="750">
        <v>0</v>
      </c>
      <c r="AJ91" s="750">
        <v>0</v>
      </c>
      <c r="AK91" s="750">
        <v>0</v>
      </c>
      <c r="AL91" s="750">
        <v>0</v>
      </c>
      <c r="AM91" s="750">
        <v>0</v>
      </c>
      <c r="AN91" s="750">
        <v>0</v>
      </c>
      <c r="AO91" s="750">
        <v>0</v>
      </c>
      <c r="AP91" s="750">
        <v>0</v>
      </c>
      <c r="AQ91" s="750">
        <v>0</v>
      </c>
      <c r="AR91" s="750">
        <v>0</v>
      </c>
      <c r="AS91" s="750">
        <v>0</v>
      </c>
      <c r="AT91" s="750">
        <v>0</v>
      </c>
      <c r="AU91" s="750">
        <v>0</v>
      </c>
      <c r="AV91" s="750">
        <v>0</v>
      </c>
      <c r="AW91" s="750">
        <v>0</v>
      </c>
      <c r="AX91" s="750">
        <v>0</v>
      </c>
    </row>
    <row r="92" ht="15" customHeight="1" spans="2:50">
      <c r="B92" s="767" t="s">
        <v>1537</v>
      </c>
      <c r="C92" s="784" t="s">
        <v>1534</v>
      </c>
      <c r="D92" s="784"/>
      <c r="E92" s="784" t="s">
        <v>1534</v>
      </c>
      <c r="F92" s="784"/>
      <c r="G92" s="784"/>
      <c r="H92" s="784"/>
      <c r="I92" s="784" t="s">
        <v>1534</v>
      </c>
      <c r="J92" s="770"/>
      <c r="K92" s="769" t="s">
        <v>1464</v>
      </c>
      <c r="L92" s="769" t="s">
        <v>199</v>
      </c>
      <c r="M92" s="769" t="s">
        <v>199</v>
      </c>
      <c r="N92" s="750">
        <v>0</v>
      </c>
      <c r="O92" s="750">
        <v>0</v>
      </c>
      <c r="P92" s="750">
        <v>0</v>
      </c>
      <c r="Q92" s="750">
        <v>0</v>
      </c>
      <c r="R92" s="750">
        <v>0</v>
      </c>
      <c r="S92" s="750">
        <v>0</v>
      </c>
      <c r="T92" s="750">
        <v>0</v>
      </c>
      <c r="U92" s="750">
        <v>0</v>
      </c>
      <c r="V92" s="750">
        <v>0</v>
      </c>
      <c r="W92" s="750">
        <v>0</v>
      </c>
      <c r="X92" s="750">
        <v>0</v>
      </c>
      <c r="Y92" s="750">
        <v>0</v>
      </c>
      <c r="Z92" s="750"/>
      <c r="AA92" s="750">
        <v>0</v>
      </c>
      <c r="AB92" s="750">
        <v>0</v>
      </c>
      <c r="AC92" s="750">
        <v>0</v>
      </c>
      <c r="AD92" s="750">
        <v>0</v>
      </c>
      <c r="AE92" s="750">
        <v>0</v>
      </c>
      <c r="AF92" s="750">
        <v>0</v>
      </c>
      <c r="AG92" s="750">
        <v>0</v>
      </c>
      <c r="AH92" s="750">
        <v>0</v>
      </c>
      <c r="AI92" s="750">
        <v>0</v>
      </c>
      <c r="AJ92" s="750">
        <v>0</v>
      </c>
      <c r="AK92" s="750">
        <v>0</v>
      </c>
      <c r="AL92" s="750">
        <v>0</v>
      </c>
      <c r="AM92" s="750">
        <v>0</v>
      </c>
      <c r="AN92" s="750">
        <v>0</v>
      </c>
      <c r="AO92" s="750">
        <v>0</v>
      </c>
      <c r="AP92" s="750">
        <v>0</v>
      </c>
      <c r="AQ92" s="750">
        <v>0</v>
      </c>
      <c r="AR92" s="750">
        <v>0</v>
      </c>
      <c r="AS92" s="750">
        <v>0</v>
      </c>
      <c r="AT92" s="750">
        <v>0</v>
      </c>
      <c r="AU92" s="750">
        <v>0</v>
      </c>
      <c r="AV92" s="750">
        <v>0</v>
      </c>
      <c r="AW92" s="750">
        <v>0</v>
      </c>
      <c r="AX92" s="750">
        <v>0</v>
      </c>
    </row>
    <row r="93" ht="15" customHeight="1" spans="2:50">
      <c r="B93" s="767" t="s">
        <v>1538</v>
      </c>
      <c r="C93" s="784" t="s">
        <v>1534</v>
      </c>
      <c r="D93" s="784"/>
      <c r="E93" s="784" t="s">
        <v>1534</v>
      </c>
      <c r="F93" s="784"/>
      <c r="G93" s="784"/>
      <c r="H93" s="784"/>
      <c r="I93" s="784" t="s">
        <v>1534</v>
      </c>
      <c r="J93" s="770"/>
      <c r="K93" s="769" t="s">
        <v>1464</v>
      </c>
      <c r="L93" s="769" t="s">
        <v>199</v>
      </c>
      <c r="M93" s="769" t="s">
        <v>199</v>
      </c>
      <c r="N93" s="750">
        <v>0</v>
      </c>
      <c r="O93" s="750">
        <v>0</v>
      </c>
      <c r="P93" s="750">
        <v>0</v>
      </c>
      <c r="Q93" s="750">
        <v>0</v>
      </c>
      <c r="R93" s="750">
        <v>0</v>
      </c>
      <c r="S93" s="750">
        <v>0</v>
      </c>
      <c r="T93" s="750">
        <v>0</v>
      </c>
      <c r="U93" s="750">
        <v>0</v>
      </c>
      <c r="V93" s="750">
        <v>0</v>
      </c>
      <c r="W93" s="750">
        <v>0</v>
      </c>
      <c r="X93" s="750">
        <v>0</v>
      </c>
      <c r="Y93" s="750">
        <v>0</v>
      </c>
      <c r="Z93" s="750"/>
      <c r="AA93" s="750">
        <v>0</v>
      </c>
      <c r="AB93" s="750">
        <v>0</v>
      </c>
      <c r="AC93" s="750">
        <v>0</v>
      </c>
      <c r="AD93" s="750">
        <v>0</v>
      </c>
      <c r="AE93" s="750">
        <v>0</v>
      </c>
      <c r="AF93" s="750">
        <v>0</v>
      </c>
      <c r="AG93" s="750">
        <v>0</v>
      </c>
      <c r="AH93" s="750">
        <v>0</v>
      </c>
      <c r="AI93" s="750">
        <v>0</v>
      </c>
      <c r="AJ93" s="750">
        <v>0</v>
      </c>
      <c r="AK93" s="750">
        <v>0</v>
      </c>
      <c r="AL93" s="750">
        <v>0</v>
      </c>
      <c r="AM93" s="750">
        <v>0</v>
      </c>
      <c r="AN93" s="750">
        <v>0</v>
      </c>
      <c r="AO93" s="750">
        <v>0</v>
      </c>
      <c r="AP93" s="750">
        <v>0</v>
      </c>
      <c r="AQ93" s="750">
        <v>0</v>
      </c>
      <c r="AR93" s="750">
        <v>0</v>
      </c>
      <c r="AS93" s="750">
        <v>0</v>
      </c>
      <c r="AT93" s="750">
        <v>0</v>
      </c>
      <c r="AU93" s="750">
        <v>0</v>
      </c>
      <c r="AV93" s="750">
        <v>0</v>
      </c>
      <c r="AW93" s="750">
        <v>0</v>
      </c>
      <c r="AX93" s="750">
        <v>0</v>
      </c>
    </row>
    <row r="94" ht="15" customHeight="1" spans="2:50">
      <c r="B94" s="767" t="s">
        <v>1539</v>
      </c>
      <c r="C94" s="784" t="s">
        <v>1534</v>
      </c>
      <c r="D94" s="784"/>
      <c r="E94" s="784" t="s">
        <v>1534</v>
      </c>
      <c r="F94" s="784"/>
      <c r="G94" s="784"/>
      <c r="H94" s="784"/>
      <c r="I94" s="784" t="s">
        <v>1534</v>
      </c>
      <c r="J94" s="770"/>
      <c r="K94" s="769" t="s">
        <v>1464</v>
      </c>
      <c r="L94" s="769" t="s">
        <v>199</v>
      </c>
      <c r="M94" s="769" t="s">
        <v>199</v>
      </c>
      <c r="N94" s="750">
        <v>0</v>
      </c>
      <c r="O94" s="750">
        <v>0</v>
      </c>
      <c r="P94" s="750">
        <v>0</v>
      </c>
      <c r="Q94" s="750">
        <v>0</v>
      </c>
      <c r="R94" s="750">
        <v>0</v>
      </c>
      <c r="S94" s="750">
        <v>0</v>
      </c>
      <c r="T94" s="750">
        <v>0</v>
      </c>
      <c r="U94" s="750">
        <v>0</v>
      </c>
      <c r="V94" s="750">
        <v>0</v>
      </c>
      <c r="W94" s="750">
        <v>0</v>
      </c>
      <c r="X94" s="750">
        <v>0</v>
      </c>
      <c r="Y94" s="750">
        <v>0</v>
      </c>
      <c r="Z94" s="750"/>
      <c r="AA94" s="750">
        <v>0</v>
      </c>
      <c r="AB94" s="750">
        <v>0</v>
      </c>
      <c r="AC94" s="750">
        <v>0</v>
      </c>
      <c r="AD94" s="750">
        <v>0</v>
      </c>
      <c r="AE94" s="750">
        <v>0</v>
      </c>
      <c r="AF94" s="750">
        <v>0</v>
      </c>
      <c r="AG94" s="750">
        <v>0</v>
      </c>
      <c r="AH94" s="750">
        <v>0</v>
      </c>
      <c r="AI94" s="750">
        <v>0</v>
      </c>
      <c r="AJ94" s="750">
        <v>0</v>
      </c>
      <c r="AK94" s="750">
        <v>0</v>
      </c>
      <c r="AL94" s="750">
        <v>0</v>
      </c>
      <c r="AM94" s="750">
        <v>0</v>
      </c>
      <c r="AN94" s="750">
        <v>0</v>
      </c>
      <c r="AO94" s="750">
        <v>0</v>
      </c>
      <c r="AP94" s="750">
        <v>0</v>
      </c>
      <c r="AQ94" s="750">
        <v>0</v>
      </c>
      <c r="AR94" s="750">
        <v>0</v>
      </c>
      <c r="AS94" s="750">
        <v>0</v>
      </c>
      <c r="AT94" s="750">
        <v>0</v>
      </c>
      <c r="AU94" s="750">
        <v>0</v>
      </c>
      <c r="AV94" s="750">
        <v>0</v>
      </c>
      <c r="AW94" s="750">
        <v>0</v>
      </c>
      <c r="AX94" s="750">
        <v>0</v>
      </c>
    </row>
    <row r="95" ht="15" customHeight="1" spans="2:50">
      <c r="B95" s="767" t="s">
        <v>1540</v>
      </c>
      <c r="C95" s="784" t="s">
        <v>1534</v>
      </c>
      <c r="D95" s="784"/>
      <c r="E95" s="784" t="s">
        <v>1534</v>
      </c>
      <c r="F95" s="784"/>
      <c r="G95" s="784"/>
      <c r="H95" s="784"/>
      <c r="I95" s="784" t="s">
        <v>1534</v>
      </c>
      <c r="J95" s="770"/>
      <c r="K95" s="769" t="s">
        <v>1464</v>
      </c>
      <c r="L95" s="769" t="s">
        <v>199</v>
      </c>
      <c r="M95" s="769" t="s">
        <v>199</v>
      </c>
      <c r="N95" s="750">
        <v>0</v>
      </c>
      <c r="O95" s="750">
        <v>0</v>
      </c>
      <c r="P95" s="750">
        <v>0</v>
      </c>
      <c r="Q95" s="750">
        <v>0</v>
      </c>
      <c r="R95" s="750">
        <v>0</v>
      </c>
      <c r="S95" s="750">
        <v>0</v>
      </c>
      <c r="T95" s="750">
        <v>0</v>
      </c>
      <c r="U95" s="750">
        <v>0</v>
      </c>
      <c r="V95" s="750">
        <v>0</v>
      </c>
      <c r="W95" s="750">
        <v>0</v>
      </c>
      <c r="X95" s="750">
        <v>0</v>
      </c>
      <c r="Y95" s="750">
        <v>0</v>
      </c>
      <c r="Z95" s="750"/>
      <c r="AA95" s="750">
        <v>0</v>
      </c>
      <c r="AB95" s="750">
        <v>0</v>
      </c>
      <c r="AC95" s="750">
        <v>0</v>
      </c>
      <c r="AD95" s="750">
        <v>0</v>
      </c>
      <c r="AE95" s="750">
        <v>0</v>
      </c>
      <c r="AF95" s="750">
        <v>0</v>
      </c>
      <c r="AG95" s="750">
        <v>0</v>
      </c>
      <c r="AH95" s="750">
        <v>0</v>
      </c>
      <c r="AI95" s="750">
        <v>0</v>
      </c>
      <c r="AJ95" s="750">
        <v>0</v>
      </c>
      <c r="AK95" s="750">
        <v>0</v>
      </c>
      <c r="AL95" s="750">
        <v>0</v>
      </c>
      <c r="AM95" s="750">
        <v>0</v>
      </c>
      <c r="AN95" s="750">
        <v>0</v>
      </c>
      <c r="AO95" s="750">
        <v>0</v>
      </c>
      <c r="AP95" s="750">
        <v>0</v>
      </c>
      <c r="AQ95" s="750">
        <v>0</v>
      </c>
      <c r="AR95" s="750">
        <v>0</v>
      </c>
      <c r="AS95" s="750">
        <v>0</v>
      </c>
      <c r="AT95" s="750">
        <v>0</v>
      </c>
      <c r="AU95" s="750">
        <v>0</v>
      </c>
      <c r="AV95" s="750">
        <v>0</v>
      </c>
      <c r="AW95" s="750">
        <v>0</v>
      </c>
      <c r="AX95" s="750">
        <v>0</v>
      </c>
    </row>
    <row r="96" ht="15" customHeight="1" spans="2:50">
      <c r="B96" s="767" t="s">
        <v>1541</v>
      </c>
      <c r="C96" s="784" t="s">
        <v>1534</v>
      </c>
      <c r="D96" s="784"/>
      <c r="E96" s="784" t="s">
        <v>1534</v>
      </c>
      <c r="F96" s="784"/>
      <c r="G96" s="784"/>
      <c r="H96" s="784"/>
      <c r="I96" s="784" t="s">
        <v>1534</v>
      </c>
      <c r="J96" s="770"/>
      <c r="K96" s="769" t="s">
        <v>1464</v>
      </c>
      <c r="L96" s="769" t="s">
        <v>199</v>
      </c>
      <c r="M96" s="769" t="s">
        <v>199</v>
      </c>
      <c r="N96" s="750">
        <v>0</v>
      </c>
      <c r="O96" s="750">
        <v>0</v>
      </c>
      <c r="P96" s="750">
        <v>0</v>
      </c>
      <c r="Q96" s="750">
        <v>0</v>
      </c>
      <c r="R96" s="750">
        <v>0</v>
      </c>
      <c r="S96" s="750">
        <v>0</v>
      </c>
      <c r="T96" s="750">
        <v>0</v>
      </c>
      <c r="U96" s="750">
        <v>0</v>
      </c>
      <c r="V96" s="750">
        <v>0</v>
      </c>
      <c r="W96" s="750">
        <v>0</v>
      </c>
      <c r="X96" s="750">
        <v>0</v>
      </c>
      <c r="Y96" s="750">
        <v>0</v>
      </c>
      <c r="Z96" s="750"/>
      <c r="AA96" s="750">
        <v>0</v>
      </c>
      <c r="AB96" s="750">
        <v>0</v>
      </c>
      <c r="AC96" s="750">
        <v>0</v>
      </c>
      <c r="AD96" s="750">
        <v>0</v>
      </c>
      <c r="AE96" s="750">
        <v>0</v>
      </c>
      <c r="AF96" s="750">
        <v>0</v>
      </c>
      <c r="AG96" s="750">
        <v>0</v>
      </c>
      <c r="AH96" s="750">
        <v>0</v>
      </c>
      <c r="AI96" s="750">
        <v>0</v>
      </c>
      <c r="AJ96" s="750">
        <v>0</v>
      </c>
      <c r="AK96" s="750">
        <v>0</v>
      </c>
      <c r="AL96" s="750">
        <v>0</v>
      </c>
      <c r="AM96" s="750">
        <v>0</v>
      </c>
      <c r="AN96" s="750">
        <v>0</v>
      </c>
      <c r="AO96" s="750">
        <v>0</v>
      </c>
      <c r="AP96" s="750">
        <v>0</v>
      </c>
      <c r="AQ96" s="750">
        <v>0</v>
      </c>
      <c r="AR96" s="750">
        <v>0</v>
      </c>
      <c r="AS96" s="750">
        <v>0</v>
      </c>
      <c r="AT96" s="750">
        <v>0</v>
      </c>
      <c r="AU96" s="750">
        <v>0</v>
      </c>
      <c r="AV96" s="750">
        <v>0</v>
      </c>
      <c r="AW96" s="750">
        <v>0</v>
      </c>
      <c r="AX96" s="750">
        <v>0</v>
      </c>
    </row>
    <row r="97" ht="15" customHeight="1" spans="2:50">
      <c r="B97" s="767" t="s">
        <v>1542</v>
      </c>
      <c r="C97" s="784" t="s">
        <v>1534</v>
      </c>
      <c r="D97" s="784"/>
      <c r="E97" s="784" t="s">
        <v>1534</v>
      </c>
      <c r="F97" s="784"/>
      <c r="G97" s="784"/>
      <c r="H97" s="784"/>
      <c r="I97" s="784" t="s">
        <v>1534</v>
      </c>
      <c r="J97" s="770"/>
      <c r="K97" s="769" t="s">
        <v>1464</v>
      </c>
      <c r="L97" s="769" t="s">
        <v>199</v>
      </c>
      <c r="M97" s="769" t="s">
        <v>199</v>
      </c>
      <c r="N97" s="750">
        <v>0</v>
      </c>
      <c r="O97" s="750">
        <v>0</v>
      </c>
      <c r="P97" s="750">
        <v>0</v>
      </c>
      <c r="Q97" s="750">
        <v>0</v>
      </c>
      <c r="R97" s="750">
        <v>0</v>
      </c>
      <c r="S97" s="750">
        <v>0</v>
      </c>
      <c r="T97" s="750">
        <v>0</v>
      </c>
      <c r="U97" s="750">
        <v>0</v>
      </c>
      <c r="V97" s="750">
        <v>0</v>
      </c>
      <c r="W97" s="750">
        <v>0</v>
      </c>
      <c r="X97" s="750">
        <v>0</v>
      </c>
      <c r="Y97" s="750">
        <v>0</v>
      </c>
      <c r="Z97" s="750"/>
      <c r="AA97" s="750">
        <v>0</v>
      </c>
      <c r="AB97" s="750">
        <v>0</v>
      </c>
      <c r="AC97" s="750">
        <v>0</v>
      </c>
      <c r="AD97" s="750">
        <v>0</v>
      </c>
      <c r="AE97" s="750">
        <v>0</v>
      </c>
      <c r="AF97" s="750">
        <v>0</v>
      </c>
      <c r="AG97" s="750">
        <v>0</v>
      </c>
      <c r="AH97" s="750">
        <v>0</v>
      </c>
      <c r="AI97" s="750">
        <v>0</v>
      </c>
      <c r="AJ97" s="750">
        <v>0</v>
      </c>
      <c r="AK97" s="750">
        <v>0</v>
      </c>
      <c r="AL97" s="750">
        <v>0</v>
      </c>
      <c r="AM97" s="750">
        <v>0</v>
      </c>
      <c r="AN97" s="750">
        <v>0</v>
      </c>
      <c r="AO97" s="750">
        <v>0</v>
      </c>
      <c r="AP97" s="750">
        <v>0</v>
      </c>
      <c r="AQ97" s="750">
        <v>0</v>
      </c>
      <c r="AR97" s="750">
        <v>0</v>
      </c>
      <c r="AS97" s="750">
        <v>0</v>
      </c>
      <c r="AT97" s="750">
        <v>0</v>
      </c>
      <c r="AU97" s="750">
        <v>0</v>
      </c>
      <c r="AV97" s="750">
        <v>0</v>
      </c>
      <c r="AW97" s="750">
        <v>0</v>
      </c>
      <c r="AX97" s="750">
        <v>0</v>
      </c>
    </row>
    <row r="98" ht="15" customHeight="1" spans="2:50">
      <c r="B98" s="767" t="s">
        <v>1543</v>
      </c>
      <c r="C98" s="784" t="s">
        <v>1534</v>
      </c>
      <c r="D98" s="784"/>
      <c r="E98" s="784" t="s">
        <v>1534</v>
      </c>
      <c r="F98" s="784"/>
      <c r="G98" s="784"/>
      <c r="H98" s="784"/>
      <c r="I98" s="784" t="s">
        <v>1534</v>
      </c>
      <c r="J98" s="770"/>
      <c r="K98" s="769" t="s">
        <v>1464</v>
      </c>
      <c r="L98" s="769" t="s">
        <v>199</v>
      </c>
      <c r="M98" s="769" t="s">
        <v>199</v>
      </c>
      <c r="N98" s="750">
        <v>0</v>
      </c>
      <c r="O98" s="750">
        <v>0</v>
      </c>
      <c r="P98" s="750">
        <v>0</v>
      </c>
      <c r="Q98" s="750">
        <v>0</v>
      </c>
      <c r="R98" s="750">
        <v>0</v>
      </c>
      <c r="S98" s="750">
        <v>0</v>
      </c>
      <c r="T98" s="750">
        <v>0</v>
      </c>
      <c r="U98" s="750">
        <v>0</v>
      </c>
      <c r="V98" s="750">
        <v>0</v>
      </c>
      <c r="W98" s="750">
        <v>0</v>
      </c>
      <c r="X98" s="750">
        <v>0</v>
      </c>
      <c r="Y98" s="750">
        <v>0</v>
      </c>
      <c r="Z98" s="750"/>
      <c r="AA98" s="750">
        <v>0</v>
      </c>
      <c r="AB98" s="750">
        <v>0</v>
      </c>
      <c r="AC98" s="750">
        <v>0</v>
      </c>
      <c r="AD98" s="750">
        <v>0</v>
      </c>
      <c r="AE98" s="750">
        <v>0</v>
      </c>
      <c r="AF98" s="750">
        <v>0</v>
      </c>
      <c r="AG98" s="750">
        <v>0</v>
      </c>
      <c r="AH98" s="750">
        <v>0</v>
      </c>
      <c r="AI98" s="750">
        <v>0</v>
      </c>
      <c r="AJ98" s="750">
        <v>0</v>
      </c>
      <c r="AK98" s="750">
        <v>0</v>
      </c>
      <c r="AL98" s="750">
        <v>0</v>
      </c>
      <c r="AM98" s="750">
        <v>0</v>
      </c>
      <c r="AN98" s="750">
        <v>0</v>
      </c>
      <c r="AO98" s="750">
        <v>0</v>
      </c>
      <c r="AP98" s="750">
        <v>0</v>
      </c>
      <c r="AQ98" s="750">
        <v>0</v>
      </c>
      <c r="AR98" s="750">
        <v>0</v>
      </c>
      <c r="AS98" s="750">
        <v>0</v>
      </c>
      <c r="AT98" s="750">
        <v>0</v>
      </c>
      <c r="AU98" s="750">
        <v>0</v>
      </c>
      <c r="AV98" s="750">
        <v>0</v>
      </c>
      <c r="AW98" s="750">
        <v>0</v>
      </c>
      <c r="AX98" s="750">
        <v>0</v>
      </c>
    </row>
    <row r="99" ht="15" customHeight="1" spans="2:50">
      <c r="B99" s="767" t="s">
        <v>1544</v>
      </c>
      <c r="C99" s="784" t="s">
        <v>1534</v>
      </c>
      <c r="D99" s="784"/>
      <c r="E99" s="784" t="s">
        <v>1534</v>
      </c>
      <c r="F99" s="784"/>
      <c r="G99" s="784"/>
      <c r="H99" s="784"/>
      <c r="I99" s="784" t="s">
        <v>1534</v>
      </c>
      <c r="J99" s="770"/>
      <c r="K99" s="769" t="s">
        <v>1464</v>
      </c>
      <c r="L99" s="769" t="s">
        <v>199</v>
      </c>
      <c r="M99" s="769" t="s">
        <v>199</v>
      </c>
      <c r="N99" s="750">
        <v>0</v>
      </c>
      <c r="O99" s="750">
        <v>0</v>
      </c>
      <c r="P99" s="750">
        <v>0</v>
      </c>
      <c r="Q99" s="750">
        <v>0</v>
      </c>
      <c r="R99" s="750">
        <v>0</v>
      </c>
      <c r="S99" s="750">
        <v>0</v>
      </c>
      <c r="T99" s="750">
        <v>0</v>
      </c>
      <c r="U99" s="750">
        <v>0</v>
      </c>
      <c r="V99" s="750">
        <v>0</v>
      </c>
      <c r="W99" s="750">
        <v>0</v>
      </c>
      <c r="X99" s="750">
        <v>0</v>
      </c>
      <c r="Y99" s="750">
        <v>0</v>
      </c>
      <c r="Z99" s="750"/>
      <c r="AA99" s="750">
        <v>0</v>
      </c>
      <c r="AB99" s="750">
        <v>0</v>
      </c>
      <c r="AC99" s="750">
        <v>0</v>
      </c>
      <c r="AD99" s="750">
        <v>0</v>
      </c>
      <c r="AE99" s="750">
        <v>0</v>
      </c>
      <c r="AF99" s="750">
        <v>0</v>
      </c>
      <c r="AG99" s="750">
        <v>0</v>
      </c>
      <c r="AH99" s="750">
        <v>0</v>
      </c>
      <c r="AI99" s="750">
        <v>0</v>
      </c>
      <c r="AJ99" s="750">
        <v>0</v>
      </c>
      <c r="AK99" s="750">
        <v>0</v>
      </c>
      <c r="AL99" s="750">
        <v>0</v>
      </c>
      <c r="AM99" s="750">
        <v>0</v>
      </c>
      <c r="AN99" s="750">
        <v>0</v>
      </c>
      <c r="AO99" s="750">
        <v>0</v>
      </c>
      <c r="AP99" s="750">
        <v>0</v>
      </c>
      <c r="AQ99" s="750">
        <v>0</v>
      </c>
      <c r="AR99" s="750">
        <v>0</v>
      </c>
      <c r="AS99" s="750">
        <v>0</v>
      </c>
      <c r="AT99" s="750">
        <v>0</v>
      </c>
      <c r="AU99" s="750">
        <v>0</v>
      </c>
      <c r="AV99" s="750">
        <v>0</v>
      </c>
      <c r="AW99" s="750">
        <v>0</v>
      </c>
      <c r="AX99" s="750">
        <v>0</v>
      </c>
    </row>
    <row r="100" ht="15" customHeight="1" spans="2:50">
      <c r="B100" s="767" t="s">
        <v>1545</v>
      </c>
      <c r="C100" s="784" t="s">
        <v>1534</v>
      </c>
      <c r="D100" s="784"/>
      <c r="E100" s="784" t="s">
        <v>1534</v>
      </c>
      <c r="F100" s="784"/>
      <c r="G100" s="784"/>
      <c r="H100" s="784"/>
      <c r="I100" s="784" t="s">
        <v>1534</v>
      </c>
      <c r="J100" s="770"/>
      <c r="K100" s="769" t="s">
        <v>1464</v>
      </c>
      <c r="L100" s="769" t="s">
        <v>199</v>
      </c>
      <c r="M100" s="769" t="s">
        <v>199</v>
      </c>
      <c r="N100" s="750">
        <v>0</v>
      </c>
      <c r="O100" s="750">
        <v>0</v>
      </c>
      <c r="P100" s="750">
        <v>0</v>
      </c>
      <c r="Q100" s="750">
        <v>0</v>
      </c>
      <c r="R100" s="750">
        <v>0</v>
      </c>
      <c r="S100" s="750">
        <v>0</v>
      </c>
      <c r="T100" s="750">
        <v>0</v>
      </c>
      <c r="U100" s="750">
        <v>0</v>
      </c>
      <c r="V100" s="750">
        <v>0</v>
      </c>
      <c r="W100" s="750">
        <v>0</v>
      </c>
      <c r="X100" s="750">
        <v>0</v>
      </c>
      <c r="Y100" s="750">
        <v>0</v>
      </c>
      <c r="Z100" s="750"/>
      <c r="AA100" s="750">
        <v>0</v>
      </c>
      <c r="AB100" s="750">
        <v>0</v>
      </c>
      <c r="AC100" s="750">
        <v>0</v>
      </c>
      <c r="AD100" s="750">
        <v>0</v>
      </c>
      <c r="AE100" s="750">
        <v>0</v>
      </c>
      <c r="AF100" s="750">
        <v>0</v>
      </c>
      <c r="AG100" s="750">
        <v>0</v>
      </c>
      <c r="AH100" s="750">
        <v>0</v>
      </c>
      <c r="AI100" s="750">
        <v>0</v>
      </c>
      <c r="AJ100" s="750">
        <v>0</v>
      </c>
      <c r="AK100" s="750">
        <v>0</v>
      </c>
      <c r="AL100" s="750">
        <v>0</v>
      </c>
      <c r="AM100" s="750">
        <v>0</v>
      </c>
      <c r="AN100" s="750">
        <v>0</v>
      </c>
      <c r="AO100" s="750">
        <v>0</v>
      </c>
      <c r="AP100" s="750">
        <v>0</v>
      </c>
      <c r="AQ100" s="750">
        <v>0</v>
      </c>
      <c r="AR100" s="750">
        <v>0</v>
      </c>
      <c r="AS100" s="750">
        <v>0</v>
      </c>
      <c r="AT100" s="750">
        <v>0</v>
      </c>
      <c r="AU100" s="750">
        <v>0</v>
      </c>
      <c r="AV100" s="750">
        <v>0</v>
      </c>
      <c r="AW100" s="750">
        <v>0</v>
      </c>
      <c r="AX100" s="750">
        <v>0</v>
      </c>
    </row>
    <row r="101" ht="15" customHeight="1" spans="2:50">
      <c r="B101" s="767" t="s">
        <v>1546</v>
      </c>
      <c r="C101" s="784" t="s">
        <v>1534</v>
      </c>
      <c r="D101" s="784"/>
      <c r="E101" s="784" t="s">
        <v>1534</v>
      </c>
      <c r="F101" s="784"/>
      <c r="G101" s="784"/>
      <c r="H101" s="784"/>
      <c r="I101" s="784" t="s">
        <v>1534</v>
      </c>
      <c r="J101" s="770"/>
      <c r="K101" s="769" t="s">
        <v>1464</v>
      </c>
      <c r="L101" s="769" t="s">
        <v>199</v>
      </c>
      <c r="M101" s="769" t="s">
        <v>199</v>
      </c>
      <c r="N101" s="750">
        <v>0</v>
      </c>
      <c r="O101" s="750">
        <v>0</v>
      </c>
      <c r="P101" s="750">
        <v>0</v>
      </c>
      <c r="Q101" s="750">
        <v>0</v>
      </c>
      <c r="R101" s="750">
        <v>0</v>
      </c>
      <c r="S101" s="750">
        <v>0</v>
      </c>
      <c r="T101" s="750">
        <v>0</v>
      </c>
      <c r="U101" s="750">
        <v>0</v>
      </c>
      <c r="V101" s="750">
        <v>0</v>
      </c>
      <c r="W101" s="750">
        <v>0</v>
      </c>
      <c r="X101" s="750">
        <v>0</v>
      </c>
      <c r="Y101" s="750">
        <v>0</v>
      </c>
      <c r="Z101" s="750"/>
      <c r="AA101" s="750">
        <v>0</v>
      </c>
      <c r="AB101" s="750">
        <v>0</v>
      </c>
      <c r="AC101" s="750">
        <v>0</v>
      </c>
      <c r="AD101" s="750">
        <v>0</v>
      </c>
      <c r="AE101" s="750">
        <v>0</v>
      </c>
      <c r="AF101" s="750">
        <v>0</v>
      </c>
      <c r="AG101" s="750">
        <v>0</v>
      </c>
      <c r="AH101" s="750">
        <v>0</v>
      </c>
      <c r="AI101" s="750">
        <v>0</v>
      </c>
      <c r="AJ101" s="750">
        <v>0</v>
      </c>
      <c r="AK101" s="750">
        <v>0</v>
      </c>
      <c r="AL101" s="750">
        <v>0</v>
      </c>
      <c r="AM101" s="750">
        <v>0</v>
      </c>
      <c r="AN101" s="750">
        <v>0</v>
      </c>
      <c r="AO101" s="750">
        <v>0</v>
      </c>
      <c r="AP101" s="750">
        <v>0</v>
      </c>
      <c r="AQ101" s="750">
        <v>0</v>
      </c>
      <c r="AR101" s="750">
        <v>0</v>
      </c>
      <c r="AS101" s="750">
        <v>0</v>
      </c>
      <c r="AT101" s="750">
        <v>0</v>
      </c>
      <c r="AU101" s="750">
        <v>0</v>
      </c>
      <c r="AV101" s="750">
        <v>0</v>
      </c>
      <c r="AW101" s="750">
        <v>0</v>
      </c>
      <c r="AX101" s="750">
        <v>0</v>
      </c>
    </row>
    <row r="102" ht="15" customHeight="1" spans="2:50">
      <c r="B102" s="767" t="s">
        <v>1547</v>
      </c>
      <c r="C102" s="784" t="s">
        <v>1534</v>
      </c>
      <c r="D102" s="784"/>
      <c r="E102" s="784" t="s">
        <v>1534</v>
      </c>
      <c r="F102" s="784"/>
      <c r="G102" s="784"/>
      <c r="H102" s="784"/>
      <c r="I102" s="784" t="s">
        <v>1534</v>
      </c>
      <c r="J102" s="770"/>
      <c r="K102" s="769" t="s">
        <v>1464</v>
      </c>
      <c r="L102" s="769" t="s">
        <v>199</v>
      </c>
      <c r="M102" s="769" t="s">
        <v>199</v>
      </c>
      <c r="N102" s="750">
        <v>0</v>
      </c>
      <c r="O102" s="750">
        <v>0</v>
      </c>
      <c r="P102" s="750">
        <v>0</v>
      </c>
      <c r="Q102" s="750">
        <v>0</v>
      </c>
      <c r="R102" s="750">
        <v>0</v>
      </c>
      <c r="S102" s="750">
        <v>0</v>
      </c>
      <c r="T102" s="750">
        <v>0</v>
      </c>
      <c r="U102" s="750">
        <v>0</v>
      </c>
      <c r="V102" s="750">
        <v>0</v>
      </c>
      <c r="W102" s="750">
        <v>0</v>
      </c>
      <c r="X102" s="750">
        <v>0</v>
      </c>
      <c r="Y102" s="750">
        <v>0</v>
      </c>
      <c r="Z102" s="750"/>
      <c r="AA102" s="750">
        <v>0</v>
      </c>
      <c r="AB102" s="750">
        <v>0</v>
      </c>
      <c r="AC102" s="750">
        <v>0</v>
      </c>
      <c r="AD102" s="750">
        <v>0</v>
      </c>
      <c r="AE102" s="750">
        <v>0</v>
      </c>
      <c r="AF102" s="750">
        <v>0</v>
      </c>
      <c r="AG102" s="750">
        <v>0</v>
      </c>
      <c r="AH102" s="750">
        <v>0</v>
      </c>
      <c r="AI102" s="750">
        <v>0</v>
      </c>
      <c r="AJ102" s="750">
        <v>0</v>
      </c>
      <c r="AK102" s="750">
        <v>0</v>
      </c>
      <c r="AL102" s="750">
        <v>0</v>
      </c>
      <c r="AM102" s="750">
        <v>0</v>
      </c>
      <c r="AN102" s="750">
        <v>0</v>
      </c>
      <c r="AO102" s="750">
        <v>0</v>
      </c>
      <c r="AP102" s="750">
        <v>0</v>
      </c>
      <c r="AQ102" s="750">
        <v>0</v>
      </c>
      <c r="AR102" s="750">
        <v>0</v>
      </c>
      <c r="AS102" s="750">
        <v>0</v>
      </c>
      <c r="AT102" s="750">
        <v>0</v>
      </c>
      <c r="AU102" s="750">
        <v>0</v>
      </c>
      <c r="AV102" s="750">
        <v>0</v>
      </c>
      <c r="AW102" s="750">
        <v>0</v>
      </c>
      <c r="AX102" s="750">
        <v>0</v>
      </c>
    </row>
    <row r="103" ht="15" customHeight="1" spans="2:50">
      <c r="B103" s="767" t="s">
        <v>1548</v>
      </c>
      <c r="C103" s="784" t="s">
        <v>1534</v>
      </c>
      <c r="D103" s="784"/>
      <c r="E103" s="784" t="s">
        <v>1534</v>
      </c>
      <c r="F103" s="784"/>
      <c r="G103" s="784"/>
      <c r="H103" s="784"/>
      <c r="I103" s="784" t="s">
        <v>1534</v>
      </c>
      <c r="J103" s="770"/>
      <c r="K103" s="769" t="s">
        <v>1464</v>
      </c>
      <c r="L103" s="769" t="s">
        <v>199</v>
      </c>
      <c r="M103" s="769" t="s">
        <v>199</v>
      </c>
      <c r="N103" s="750">
        <v>0</v>
      </c>
      <c r="O103" s="750">
        <v>0</v>
      </c>
      <c r="P103" s="750">
        <v>0</v>
      </c>
      <c r="Q103" s="750">
        <v>0</v>
      </c>
      <c r="R103" s="750">
        <v>0</v>
      </c>
      <c r="S103" s="750">
        <v>0</v>
      </c>
      <c r="T103" s="750">
        <v>0</v>
      </c>
      <c r="U103" s="750">
        <v>0</v>
      </c>
      <c r="V103" s="750">
        <v>0</v>
      </c>
      <c r="W103" s="750">
        <v>0</v>
      </c>
      <c r="X103" s="750">
        <v>0</v>
      </c>
      <c r="Y103" s="750">
        <v>0</v>
      </c>
      <c r="Z103" s="750"/>
      <c r="AA103" s="750">
        <v>0</v>
      </c>
      <c r="AB103" s="750">
        <v>0</v>
      </c>
      <c r="AC103" s="750">
        <v>0</v>
      </c>
      <c r="AD103" s="750">
        <v>0</v>
      </c>
      <c r="AE103" s="750">
        <v>0</v>
      </c>
      <c r="AF103" s="750">
        <v>0</v>
      </c>
      <c r="AG103" s="750">
        <v>0</v>
      </c>
      <c r="AH103" s="750">
        <v>0</v>
      </c>
      <c r="AI103" s="750">
        <v>0</v>
      </c>
      <c r="AJ103" s="750">
        <v>0</v>
      </c>
      <c r="AK103" s="750">
        <v>0</v>
      </c>
      <c r="AL103" s="750">
        <v>0</v>
      </c>
      <c r="AM103" s="750">
        <v>0</v>
      </c>
      <c r="AN103" s="750">
        <v>0</v>
      </c>
      <c r="AO103" s="750">
        <v>0</v>
      </c>
      <c r="AP103" s="750">
        <v>0</v>
      </c>
      <c r="AQ103" s="750">
        <v>0</v>
      </c>
      <c r="AR103" s="750">
        <v>0</v>
      </c>
      <c r="AS103" s="750">
        <v>0</v>
      </c>
      <c r="AT103" s="750">
        <v>0</v>
      </c>
      <c r="AU103" s="750">
        <v>0</v>
      </c>
      <c r="AV103" s="750">
        <v>0</v>
      </c>
      <c r="AW103" s="750">
        <v>0</v>
      </c>
      <c r="AX103" s="750">
        <v>0</v>
      </c>
    </row>
    <row r="104" ht="15" customHeight="1" spans="2:50">
      <c r="B104" s="767" t="s">
        <v>1549</v>
      </c>
      <c r="C104" s="784" t="s">
        <v>1534</v>
      </c>
      <c r="D104" s="784"/>
      <c r="E104" s="784" t="s">
        <v>1534</v>
      </c>
      <c r="F104" s="784"/>
      <c r="G104" s="784"/>
      <c r="H104" s="784"/>
      <c r="I104" s="784" t="s">
        <v>1534</v>
      </c>
      <c r="J104" s="770"/>
      <c r="K104" s="769" t="s">
        <v>1464</v>
      </c>
      <c r="L104" s="769" t="s">
        <v>199</v>
      </c>
      <c r="M104" s="769" t="s">
        <v>199</v>
      </c>
      <c r="N104" s="750">
        <v>0</v>
      </c>
      <c r="O104" s="750">
        <v>0</v>
      </c>
      <c r="P104" s="750">
        <v>0</v>
      </c>
      <c r="Q104" s="750">
        <v>0</v>
      </c>
      <c r="R104" s="750">
        <v>0</v>
      </c>
      <c r="S104" s="750">
        <v>0</v>
      </c>
      <c r="T104" s="750">
        <v>0</v>
      </c>
      <c r="U104" s="750">
        <v>0</v>
      </c>
      <c r="V104" s="750">
        <v>0</v>
      </c>
      <c r="W104" s="750">
        <v>0</v>
      </c>
      <c r="X104" s="750">
        <v>0</v>
      </c>
      <c r="Y104" s="750">
        <v>0</v>
      </c>
      <c r="Z104" s="750"/>
      <c r="AA104" s="750">
        <v>0</v>
      </c>
      <c r="AB104" s="750">
        <v>0</v>
      </c>
      <c r="AC104" s="750">
        <v>0</v>
      </c>
      <c r="AD104" s="750">
        <v>0</v>
      </c>
      <c r="AE104" s="750">
        <v>0</v>
      </c>
      <c r="AF104" s="750">
        <v>0</v>
      </c>
      <c r="AG104" s="750">
        <v>0</v>
      </c>
      <c r="AH104" s="750">
        <v>0</v>
      </c>
      <c r="AI104" s="750">
        <v>0</v>
      </c>
      <c r="AJ104" s="750">
        <v>0</v>
      </c>
      <c r="AK104" s="750">
        <v>0</v>
      </c>
      <c r="AL104" s="750">
        <v>0</v>
      </c>
      <c r="AM104" s="750">
        <v>0</v>
      </c>
      <c r="AN104" s="750">
        <v>0</v>
      </c>
      <c r="AO104" s="750">
        <v>0</v>
      </c>
      <c r="AP104" s="750">
        <v>0</v>
      </c>
      <c r="AQ104" s="750">
        <v>0</v>
      </c>
      <c r="AR104" s="750">
        <v>0</v>
      </c>
      <c r="AS104" s="750">
        <v>0</v>
      </c>
      <c r="AT104" s="750">
        <v>0</v>
      </c>
      <c r="AU104" s="750">
        <v>0</v>
      </c>
      <c r="AV104" s="750">
        <v>0</v>
      </c>
      <c r="AW104" s="750">
        <v>0</v>
      </c>
      <c r="AX104" s="750">
        <v>0</v>
      </c>
    </row>
    <row r="105" ht="15" customHeight="1" spans="2:50">
      <c r="B105" s="767" t="s">
        <v>1550</v>
      </c>
      <c r="C105" s="784" t="s">
        <v>1534</v>
      </c>
      <c r="D105" s="784"/>
      <c r="E105" s="784" t="s">
        <v>1534</v>
      </c>
      <c r="F105" s="784"/>
      <c r="G105" s="784"/>
      <c r="H105" s="784"/>
      <c r="I105" s="784" t="s">
        <v>1534</v>
      </c>
      <c r="J105" s="770"/>
      <c r="K105" s="769" t="s">
        <v>1464</v>
      </c>
      <c r="L105" s="769" t="s">
        <v>199</v>
      </c>
      <c r="M105" s="769" t="s">
        <v>199</v>
      </c>
      <c r="N105" s="750">
        <v>0</v>
      </c>
      <c r="O105" s="750">
        <v>0</v>
      </c>
      <c r="P105" s="750">
        <v>0</v>
      </c>
      <c r="Q105" s="750">
        <v>0</v>
      </c>
      <c r="R105" s="750">
        <v>0</v>
      </c>
      <c r="S105" s="750">
        <v>0</v>
      </c>
      <c r="T105" s="750">
        <v>0</v>
      </c>
      <c r="U105" s="750">
        <v>0</v>
      </c>
      <c r="V105" s="750">
        <v>0</v>
      </c>
      <c r="W105" s="750">
        <v>0</v>
      </c>
      <c r="X105" s="750">
        <v>0</v>
      </c>
      <c r="Y105" s="750">
        <v>0</v>
      </c>
      <c r="Z105" s="750"/>
      <c r="AA105" s="750">
        <v>0</v>
      </c>
      <c r="AB105" s="750">
        <v>0</v>
      </c>
      <c r="AC105" s="750">
        <v>0</v>
      </c>
      <c r="AD105" s="750">
        <v>0</v>
      </c>
      <c r="AE105" s="750">
        <v>0</v>
      </c>
      <c r="AF105" s="750">
        <v>0</v>
      </c>
      <c r="AG105" s="750">
        <v>0</v>
      </c>
      <c r="AH105" s="750">
        <v>0</v>
      </c>
      <c r="AI105" s="750">
        <v>0</v>
      </c>
      <c r="AJ105" s="750">
        <v>0</v>
      </c>
      <c r="AK105" s="750">
        <v>0</v>
      </c>
      <c r="AL105" s="750">
        <v>0</v>
      </c>
      <c r="AM105" s="750">
        <v>0</v>
      </c>
      <c r="AN105" s="750">
        <v>0</v>
      </c>
      <c r="AO105" s="750">
        <v>0</v>
      </c>
      <c r="AP105" s="750">
        <v>0</v>
      </c>
      <c r="AQ105" s="750">
        <v>0</v>
      </c>
      <c r="AR105" s="750">
        <v>0</v>
      </c>
      <c r="AS105" s="750">
        <v>0</v>
      </c>
      <c r="AT105" s="750">
        <v>0</v>
      </c>
      <c r="AU105" s="750">
        <v>0</v>
      </c>
      <c r="AV105" s="750">
        <v>0</v>
      </c>
      <c r="AW105" s="750">
        <v>0</v>
      </c>
      <c r="AX105" s="750">
        <v>0</v>
      </c>
    </row>
    <row r="106" ht="15" customHeight="1" spans="2:50">
      <c r="B106" s="767" t="s">
        <v>1551</v>
      </c>
      <c r="C106" s="784" t="s">
        <v>1534</v>
      </c>
      <c r="D106" s="784"/>
      <c r="E106" s="784" t="s">
        <v>1534</v>
      </c>
      <c r="F106" s="784"/>
      <c r="G106" s="784"/>
      <c r="H106" s="784"/>
      <c r="I106" s="784" t="s">
        <v>1534</v>
      </c>
      <c r="J106" s="770"/>
      <c r="K106" s="769" t="s">
        <v>1464</v>
      </c>
      <c r="L106" s="769" t="s">
        <v>199</v>
      </c>
      <c r="M106" s="769" t="s">
        <v>199</v>
      </c>
      <c r="N106" s="750">
        <v>0</v>
      </c>
      <c r="O106" s="750">
        <v>0</v>
      </c>
      <c r="P106" s="750">
        <v>0</v>
      </c>
      <c r="Q106" s="750">
        <v>0</v>
      </c>
      <c r="R106" s="750">
        <v>0</v>
      </c>
      <c r="S106" s="750">
        <v>0</v>
      </c>
      <c r="T106" s="750">
        <v>0</v>
      </c>
      <c r="U106" s="750">
        <v>0</v>
      </c>
      <c r="V106" s="750">
        <v>0</v>
      </c>
      <c r="W106" s="750">
        <v>0</v>
      </c>
      <c r="X106" s="750">
        <v>0</v>
      </c>
      <c r="Y106" s="750">
        <v>0</v>
      </c>
      <c r="Z106" s="750"/>
      <c r="AA106" s="750">
        <v>0</v>
      </c>
      <c r="AB106" s="750">
        <v>0</v>
      </c>
      <c r="AC106" s="750">
        <v>0</v>
      </c>
      <c r="AD106" s="750">
        <v>0</v>
      </c>
      <c r="AE106" s="750">
        <v>0</v>
      </c>
      <c r="AF106" s="750">
        <v>0</v>
      </c>
      <c r="AG106" s="750">
        <v>0</v>
      </c>
      <c r="AH106" s="750">
        <v>0</v>
      </c>
      <c r="AI106" s="750">
        <v>0</v>
      </c>
      <c r="AJ106" s="750">
        <v>0</v>
      </c>
      <c r="AK106" s="750">
        <v>0</v>
      </c>
      <c r="AL106" s="750">
        <v>0</v>
      </c>
      <c r="AM106" s="750">
        <v>0</v>
      </c>
      <c r="AN106" s="750">
        <v>0</v>
      </c>
      <c r="AO106" s="750">
        <v>0</v>
      </c>
      <c r="AP106" s="750">
        <v>0</v>
      </c>
      <c r="AQ106" s="750">
        <v>0</v>
      </c>
      <c r="AR106" s="750">
        <v>0</v>
      </c>
      <c r="AS106" s="750">
        <v>0</v>
      </c>
      <c r="AT106" s="750">
        <v>0</v>
      </c>
      <c r="AU106" s="750">
        <v>0</v>
      </c>
      <c r="AV106" s="750">
        <v>0</v>
      </c>
      <c r="AW106" s="750">
        <v>0</v>
      </c>
      <c r="AX106" s="750">
        <v>0</v>
      </c>
    </row>
    <row r="107" ht="15" customHeight="1" spans="2:50">
      <c r="B107" s="767" t="s">
        <v>1552</v>
      </c>
      <c r="C107" s="784" t="s">
        <v>1534</v>
      </c>
      <c r="D107" s="784"/>
      <c r="E107" s="784" t="s">
        <v>1534</v>
      </c>
      <c r="F107" s="784"/>
      <c r="G107" s="784"/>
      <c r="H107" s="784"/>
      <c r="I107" s="784" t="s">
        <v>1534</v>
      </c>
      <c r="J107" s="770"/>
      <c r="K107" s="769" t="s">
        <v>1464</v>
      </c>
      <c r="L107" s="769" t="s">
        <v>199</v>
      </c>
      <c r="M107" s="769" t="s">
        <v>199</v>
      </c>
      <c r="N107" s="750">
        <v>0</v>
      </c>
      <c r="O107" s="750">
        <v>0</v>
      </c>
      <c r="P107" s="750">
        <v>0</v>
      </c>
      <c r="Q107" s="750">
        <v>0</v>
      </c>
      <c r="R107" s="750">
        <v>0</v>
      </c>
      <c r="S107" s="750">
        <v>0</v>
      </c>
      <c r="T107" s="750">
        <v>0</v>
      </c>
      <c r="U107" s="750">
        <v>0</v>
      </c>
      <c r="V107" s="750">
        <v>0</v>
      </c>
      <c r="W107" s="750">
        <v>0</v>
      </c>
      <c r="X107" s="750">
        <v>0</v>
      </c>
      <c r="Y107" s="750">
        <v>0</v>
      </c>
      <c r="Z107" s="750"/>
      <c r="AA107" s="750">
        <v>0</v>
      </c>
      <c r="AB107" s="750">
        <v>0</v>
      </c>
      <c r="AC107" s="750">
        <v>0</v>
      </c>
      <c r="AD107" s="750">
        <v>0</v>
      </c>
      <c r="AE107" s="750">
        <v>0</v>
      </c>
      <c r="AF107" s="750">
        <v>0</v>
      </c>
      <c r="AG107" s="750">
        <v>0</v>
      </c>
      <c r="AH107" s="750">
        <v>0</v>
      </c>
      <c r="AI107" s="750">
        <v>0</v>
      </c>
      <c r="AJ107" s="750">
        <v>0</v>
      </c>
      <c r="AK107" s="750">
        <v>0</v>
      </c>
      <c r="AL107" s="750">
        <v>0</v>
      </c>
      <c r="AM107" s="750">
        <v>0</v>
      </c>
      <c r="AN107" s="750">
        <v>0</v>
      </c>
      <c r="AO107" s="750">
        <v>0</v>
      </c>
      <c r="AP107" s="750">
        <v>0</v>
      </c>
      <c r="AQ107" s="750">
        <v>0</v>
      </c>
      <c r="AR107" s="750">
        <v>0</v>
      </c>
      <c r="AS107" s="750">
        <v>0</v>
      </c>
      <c r="AT107" s="750">
        <v>0</v>
      </c>
      <c r="AU107" s="750">
        <v>0</v>
      </c>
      <c r="AV107" s="750">
        <v>0</v>
      </c>
      <c r="AW107" s="750">
        <v>0</v>
      </c>
      <c r="AX107" s="750">
        <v>0</v>
      </c>
    </row>
    <row r="108" ht="15" customHeight="1" spans="2:50">
      <c r="B108" s="767" t="s">
        <v>1553</v>
      </c>
      <c r="C108" s="784" t="s">
        <v>1534</v>
      </c>
      <c r="D108" s="784"/>
      <c r="E108" s="784" t="s">
        <v>1534</v>
      </c>
      <c r="F108" s="784"/>
      <c r="G108" s="784"/>
      <c r="H108" s="784"/>
      <c r="I108" s="784" t="s">
        <v>1534</v>
      </c>
      <c r="J108" s="770"/>
      <c r="K108" s="769" t="s">
        <v>1464</v>
      </c>
      <c r="L108" s="769" t="s">
        <v>199</v>
      </c>
      <c r="M108" s="769" t="s">
        <v>199</v>
      </c>
      <c r="N108" s="750">
        <v>0</v>
      </c>
      <c r="O108" s="750">
        <v>0</v>
      </c>
      <c r="P108" s="750">
        <v>0</v>
      </c>
      <c r="Q108" s="750">
        <v>0</v>
      </c>
      <c r="R108" s="750">
        <v>0</v>
      </c>
      <c r="S108" s="750">
        <v>0</v>
      </c>
      <c r="T108" s="750">
        <v>0</v>
      </c>
      <c r="U108" s="750">
        <v>0</v>
      </c>
      <c r="V108" s="750">
        <v>0</v>
      </c>
      <c r="W108" s="750">
        <v>0</v>
      </c>
      <c r="X108" s="750">
        <v>0</v>
      </c>
      <c r="Y108" s="750">
        <v>0</v>
      </c>
      <c r="Z108" s="750"/>
      <c r="AA108" s="750">
        <v>0</v>
      </c>
      <c r="AB108" s="750">
        <v>0</v>
      </c>
      <c r="AC108" s="750">
        <v>0</v>
      </c>
      <c r="AD108" s="750">
        <v>0</v>
      </c>
      <c r="AE108" s="750">
        <v>0</v>
      </c>
      <c r="AF108" s="750">
        <v>0</v>
      </c>
      <c r="AG108" s="750">
        <v>0</v>
      </c>
      <c r="AH108" s="750">
        <v>0</v>
      </c>
      <c r="AI108" s="750">
        <v>0</v>
      </c>
      <c r="AJ108" s="750">
        <v>0</v>
      </c>
      <c r="AK108" s="750">
        <v>0</v>
      </c>
      <c r="AL108" s="750">
        <v>0</v>
      </c>
      <c r="AM108" s="750">
        <v>0</v>
      </c>
      <c r="AN108" s="750">
        <v>0</v>
      </c>
      <c r="AO108" s="750">
        <v>0</v>
      </c>
      <c r="AP108" s="750">
        <v>0</v>
      </c>
      <c r="AQ108" s="750">
        <v>0</v>
      </c>
      <c r="AR108" s="750">
        <v>0</v>
      </c>
      <c r="AS108" s="750">
        <v>0</v>
      </c>
      <c r="AT108" s="750">
        <v>0</v>
      </c>
      <c r="AU108" s="750">
        <v>0</v>
      </c>
      <c r="AV108" s="750">
        <v>0</v>
      </c>
      <c r="AW108" s="750">
        <v>0</v>
      </c>
      <c r="AX108" s="750">
        <v>0</v>
      </c>
    </row>
    <row r="109" ht="15" customHeight="1" spans="2:50">
      <c r="B109" s="767" t="s">
        <v>1554</v>
      </c>
      <c r="C109" s="784" t="s">
        <v>1534</v>
      </c>
      <c r="D109" s="784"/>
      <c r="E109" s="784" t="s">
        <v>1534</v>
      </c>
      <c r="F109" s="784"/>
      <c r="G109" s="784"/>
      <c r="H109" s="784"/>
      <c r="I109" s="784" t="s">
        <v>1534</v>
      </c>
      <c r="J109" s="770"/>
      <c r="K109" s="769" t="s">
        <v>1464</v>
      </c>
      <c r="L109" s="769" t="s">
        <v>199</v>
      </c>
      <c r="M109" s="769" t="s">
        <v>199</v>
      </c>
      <c r="N109" s="750">
        <v>0</v>
      </c>
      <c r="O109" s="750">
        <v>0</v>
      </c>
      <c r="P109" s="750">
        <v>0</v>
      </c>
      <c r="Q109" s="750">
        <v>0</v>
      </c>
      <c r="R109" s="750">
        <v>0</v>
      </c>
      <c r="S109" s="750">
        <v>0</v>
      </c>
      <c r="T109" s="750">
        <v>0</v>
      </c>
      <c r="U109" s="750">
        <v>0</v>
      </c>
      <c r="V109" s="750">
        <v>0</v>
      </c>
      <c r="W109" s="750">
        <v>0</v>
      </c>
      <c r="X109" s="750">
        <v>0</v>
      </c>
      <c r="Y109" s="750">
        <v>0</v>
      </c>
      <c r="Z109" s="750"/>
      <c r="AA109" s="750">
        <v>0</v>
      </c>
      <c r="AB109" s="750">
        <v>0</v>
      </c>
      <c r="AC109" s="750">
        <v>0</v>
      </c>
      <c r="AD109" s="750">
        <v>0</v>
      </c>
      <c r="AE109" s="750">
        <v>0</v>
      </c>
      <c r="AF109" s="750">
        <v>0</v>
      </c>
      <c r="AG109" s="750">
        <v>0</v>
      </c>
      <c r="AH109" s="750">
        <v>0</v>
      </c>
      <c r="AI109" s="750">
        <v>0</v>
      </c>
      <c r="AJ109" s="750">
        <v>0</v>
      </c>
      <c r="AK109" s="750">
        <v>0</v>
      </c>
      <c r="AL109" s="750">
        <v>0</v>
      </c>
      <c r="AM109" s="750">
        <v>0</v>
      </c>
      <c r="AN109" s="750">
        <v>0</v>
      </c>
      <c r="AO109" s="750">
        <v>0</v>
      </c>
      <c r="AP109" s="750">
        <v>0</v>
      </c>
      <c r="AQ109" s="750">
        <v>0</v>
      </c>
      <c r="AR109" s="750">
        <v>0</v>
      </c>
      <c r="AS109" s="750">
        <v>0</v>
      </c>
      <c r="AT109" s="750">
        <v>0</v>
      </c>
      <c r="AU109" s="750">
        <v>0</v>
      </c>
      <c r="AV109" s="750">
        <v>0</v>
      </c>
      <c r="AW109" s="750">
        <v>0</v>
      </c>
      <c r="AX109" s="750">
        <v>0</v>
      </c>
    </row>
    <row r="110" ht="15" customHeight="1" spans="2:50">
      <c r="B110" s="767" t="s">
        <v>1555</v>
      </c>
      <c r="C110" s="784" t="s">
        <v>1534</v>
      </c>
      <c r="D110" s="784"/>
      <c r="E110" s="784" t="s">
        <v>1534</v>
      </c>
      <c r="F110" s="784"/>
      <c r="G110" s="784"/>
      <c r="H110" s="784"/>
      <c r="I110" s="784" t="s">
        <v>1534</v>
      </c>
      <c r="J110" s="770"/>
      <c r="K110" s="769" t="s">
        <v>1464</v>
      </c>
      <c r="L110" s="769" t="s">
        <v>199</v>
      </c>
      <c r="M110" s="769" t="s">
        <v>199</v>
      </c>
      <c r="N110" s="750">
        <v>0</v>
      </c>
      <c r="O110" s="750">
        <v>0</v>
      </c>
      <c r="P110" s="750">
        <v>0</v>
      </c>
      <c r="Q110" s="750">
        <v>0</v>
      </c>
      <c r="R110" s="750">
        <v>0</v>
      </c>
      <c r="S110" s="750">
        <v>0</v>
      </c>
      <c r="T110" s="750">
        <v>0</v>
      </c>
      <c r="U110" s="750">
        <v>0</v>
      </c>
      <c r="V110" s="750">
        <v>0</v>
      </c>
      <c r="W110" s="750">
        <v>0</v>
      </c>
      <c r="X110" s="750">
        <v>0</v>
      </c>
      <c r="Y110" s="750">
        <v>0</v>
      </c>
      <c r="Z110" s="750"/>
      <c r="AA110" s="750">
        <v>0</v>
      </c>
      <c r="AB110" s="750">
        <v>0</v>
      </c>
      <c r="AC110" s="750">
        <v>0</v>
      </c>
      <c r="AD110" s="750">
        <v>0</v>
      </c>
      <c r="AE110" s="750">
        <v>0</v>
      </c>
      <c r="AF110" s="750">
        <v>0</v>
      </c>
      <c r="AG110" s="750">
        <v>0</v>
      </c>
      <c r="AH110" s="750">
        <v>0</v>
      </c>
      <c r="AI110" s="750">
        <v>0</v>
      </c>
      <c r="AJ110" s="750">
        <v>0</v>
      </c>
      <c r="AK110" s="750">
        <v>0</v>
      </c>
      <c r="AL110" s="750">
        <v>0</v>
      </c>
      <c r="AM110" s="750">
        <v>0</v>
      </c>
      <c r="AN110" s="750">
        <v>0</v>
      </c>
      <c r="AO110" s="750">
        <v>0</v>
      </c>
      <c r="AP110" s="750">
        <v>0</v>
      </c>
      <c r="AQ110" s="750">
        <v>0</v>
      </c>
      <c r="AR110" s="750">
        <v>0</v>
      </c>
      <c r="AS110" s="750">
        <v>0</v>
      </c>
      <c r="AT110" s="750">
        <v>0</v>
      </c>
      <c r="AU110" s="750">
        <v>0</v>
      </c>
      <c r="AV110" s="750">
        <v>0</v>
      </c>
      <c r="AW110" s="750">
        <v>0</v>
      </c>
      <c r="AX110" s="750">
        <v>0</v>
      </c>
    </row>
    <row r="111" ht="15" customHeight="1" spans="2:50">
      <c r="B111" s="767" t="s">
        <v>1556</v>
      </c>
      <c r="C111" s="784" t="s">
        <v>1534</v>
      </c>
      <c r="D111" s="784"/>
      <c r="E111" s="784" t="s">
        <v>1534</v>
      </c>
      <c r="F111" s="784"/>
      <c r="G111" s="784"/>
      <c r="H111" s="784"/>
      <c r="I111" s="784" t="s">
        <v>1534</v>
      </c>
      <c r="J111" s="770"/>
      <c r="K111" s="769" t="s">
        <v>1464</v>
      </c>
      <c r="L111" s="769" t="s">
        <v>199</v>
      </c>
      <c r="M111" s="769" t="s">
        <v>199</v>
      </c>
      <c r="N111" s="750">
        <v>0</v>
      </c>
      <c r="O111" s="750">
        <v>0</v>
      </c>
      <c r="P111" s="750">
        <v>0</v>
      </c>
      <c r="Q111" s="750">
        <v>0</v>
      </c>
      <c r="R111" s="750">
        <v>0</v>
      </c>
      <c r="S111" s="750">
        <v>0</v>
      </c>
      <c r="T111" s="750">
        <v>0</v>
      </c>
      <c r="U111" s="750">
        <v>0</v>
      </c>
      <c r="V111" s="750">
        <v>0</v>
      </c>
      <c r="W111" s="750">
        <v>0</v>
      </c>
      <c r="X111" s="750">
        <v>0</v>
      </c>
      <c r="Y111" s="750">
        <v>0</v>
      </c>
      <c r="Z111" s="750"/>
      <c r="AA111" s="750">
        <v>0</v>
      </c>
      <c r="AB111" s="750">
        <v>0</v>
      </c>
      <c r="AC111" s="750">
        <v>0</v>
      </c>
      <c r="AD111" s="750">
        <v>0</v>
      </c>
      <c r="AE111" s="750">
        <v>0</v>
      </c>
      <c r="AF111" s="750">
        <v>0</v>
      </c>
      <c r="AG111" s="750">
        <v>0</v>
      </c>
      <c r="AH111" s="750">
        <v>0</v>
      </c>
      <c r="AI111" s="750">
        <v>0</v>
      </c>
      <c r="AJ111" s="750">
        <v>0</v>
      </c>
      <c r="AK111" s="750">
        <v>0</v>
      </c>
      <c r="AL111" s="750">
        <v>0</v>
      </c>
      <c r="AM111" s="750">
        <v>0</v>
      </c>
      <c r="AN111" s="750">
        <v>0</v>
      </c>
      <c r="AO111" s="750">
        <v>0</v>
      </c>
      <c r="AP111" s="750">
        <v>0</v>
      </c>
      <c r="AQ111" s="750">
        <v>0</v>
      </c>
      <c r="AR111" s="750">
        <v>0</v>
      </c>
      <c r="AS111" s="750">
        <v>0</v>
      </c>
      <c r="AT111" s="750">
        <v>0</v>
      </c>
      <c r="AU111" s="750">
        <v>0</v>
      </c>
      <c r="AV111" s="750">
        <v>0</v>
      </c>
      <c r="AW111" s="750">
        <v>0</v>
      </c>
      <c r="AX111" s="750">
        <v>0</v>
      </c>
    </row>
    <row r="112" ht="15" customHeight="1" spans="2:50">
      <c r="B112" s="767" t="s">
        <v>1557</v>
      </c>
      <c r="C112" s="784" t="s">
        <v>1534</v>
      </c>
      <c r="D112" s="784"/>
      <c r="E112" s="784" t="s">
        <v>1534</v>
      </c>
      <c r="F112" s="784"/>
      <c r="G112" s="784"/>
      <c r="H112" s="784"/>
      <c r="I112" s="784" t="s">
        <v>1534</v>
      </c>
      <c r="J112" s="770"/>
      <c r="K112" s="769" t="s">
        <v>1464</v>
      </c>
      <c r="L112" s="769" t="s">
        <v>199</v>
      </c>
      <c r="M112" s="769" t="s">
        <v>199</v>
      </c>
      <c r="N112" s="750">
        <v>0</v>
      </c>
      <c r="O112" s="750">
        <v>0</v>
      </c>
      <c r="P112" s="750">
        <v>0</v>
      </c>
      <c r="Q112" s="750">
        <v>0</v>
      </c>
      <c r="R112" s="750">
        <v>0</v>
      </c>
      <c r="S112" s="750">
        <v>0</v>
      </c>
      <c r="T112" s="750">
        <v>0</v>
      </c>
      <c r="U112" s="750">
        <v>0</v>
      </c>
      <c r="V112" s="750">
        <v>0</v>
      </c>
      <c r="W112" s="750">
        <v>0</v>
      </c>
      <c r="X112" s="750">
        <v>0</v>
      </c>
      <c r="Y112" s="750">
        <v>0</v>
      </c>
      <c r="Z112" s="750"/>
      <c r="AA112" s="750">
        <v>0</v>
      </c>
      <c r="AB112" s="750">
        <v>0</v>
      </c>
      <c r="AC112" s="750">
        <v>0</v>
      </c>
      <c r="AD112" s="750">
        <v>0</v>
      </c>
      <c r="AE112" s="750">
        <v>0</v>
      </c>
      <c r="AF112" s="750">
        <v>0</v>
      </c>
      <c r="AG112" s="750">
        <v>0</v>
      </c>
      <c r="AH112" s="750">
        <v>0</v>
      </c>
      <c r="AI112" s="750">
        <v>0</v>
      </c>
      <c r="AJ112" s="750">
        <v>0</v>
      </c>
      <c r="AK112" s="750">
        <v>0</v>
      </c>
      <c r="AL112" s="750">
        <v>0</v>
      </c>
      <c r="AM112" s="750">
        <v>0</v>
      </c>
      <c r="AN112" s="750">
        <v>0</v>
      </c>
      <c r="AO112" s="750">
        <v>0</v>
      </c>
      <c r="AP112" s="750">
        <v>0</v>
      </c>
      <c r="AQ112" s="750">
        <v>0</v>
      </c>
      <c r="AR112" s="750">
        <v>0</v>
      </c>
      <c r="AS112" s="750">
        <v>0</v>
      </c>
      <c r="AT112" s="750">
        <v>0</v>
      </c>
      <c r="AU112" s="750">
        <v>0</v>
      </c>
      <c r="AV112" s="750">
        <v>0</v>
      </c>
      <c r="AW112" s="750">
        <v>0</v>
      </c>
      <c r="AX112" s="750">
        <v>0</v>
      </c>
    </row>
    <row r="113" ht="15" customHeight="1" spans="2:50">
      <c r="B113" s="767" t="s">
        <v>1558</v>
      </c>
      <c r="C113" s="784" t="s">
        <v>1534</v>
      </c>
      <c r="D113" s="784"/>
      <c r="E113" s="784" t="s">
        <v>1534</v>
      </c>
      <c r="F113" s="784"/>
      <c r="G113" s="784"/>
      <c r="H113" s="784"/>
      <c r="I113" s="784" t="s">
        <v>1534</v>
      </c>
      <c r="J113" s="770"/>
      <c r="K113" s="769" t="s">
        <v>1464</v>
      </c>
      <c r="L113" s="769" t="s">
        <v>199</v>
      </c>
      <c r="M113" s="769" t="s">
        <v>199</v>
      </c>
      <c r="N113" s="750">
        <v>0</v>
      </c>
      <c r="O113" s="750">
        <v>0</v>
      </c>
      <c r="P113" s="750">
        <v>0</v>
      </c>
      <c r="Q113" s="750">
        <v>0</v>
      </c>
      <c r="R113" s="750">
        <v>0</v>
      </c>
      <c r="S113" s="750">
        <v>0</v>
      </c>
      <c r="T113" s="750">
        <v>0</v>
      </c>
      <c r="U113" s="750">
        <v>0</v>
      </c>
      <c r="V113" s="750">
        <v>0</v>
      </c>
      <c r="W113" s="750">
        <v>0</v>
      </c>
      <c r="X113" s="750">
        <v>0</v>
      </c>
      <c r="Y113" s="750">
        <v>0</v>
      </c>
      <c r="Z113" s="750"/>
      <c r="AA113" s="750">
        <v>0</v>
      </c>
      <c r="AB113" s="750">
        <v>0</v>
      </c>
      <c r="AC113" s="750">
        <v>0</v>
      </c>
      <c r="AD113" s="750">
        <v>0</v>
      </c>
      <c r="AE113" s="750">
        <v>0</v>
      </c>
      <c r="AF113" s="750">
        <v>0</v>
      </c>
      <c r="AG113" s="750">
        <v>0</v>
      </c>
      <c r="AH113" s="750">
        <v>0</v>
      </c>
      <c r="AI113" s="750">
        <v>0</v>
      </c>
      <c r="AJ113" s="750">
        <v>0</v>
      </c>
      <c r="AK113" s="750">
        <v>0</v>
      </c>
      <c r="AL113" s="750">
        <v>0</v>
      </c>
      <c r="AM113" s="750">
        <v>0</v>
      </c>
      <c r="AN113" s="750">
        <v>0</v>
      </c>
      <c r="AO113" s="750">
        <v>0</v>
      </c>
      <c r="AP113" s="750">
        <v>0</v>
      </c>
      <c r="AQ113" s="750">
        <v>0</v>
      </c>
      <c r="AR113" s="750">
        <v>0</v>
      </c>
      <c r="AS113" s="750">
        <v>0</v>
      </c>
      <c r="AT113" s="750">
        <v>0</v>
      </c>
      <c r="AU113" s="750">
        <v>0</v>
      </c>
      <c r="AV113" s="750">
        <v>0</v>
      </c>
      <c r="AW113" s="750">
        <v>0</v>
      </c>
      <c r="AX113" s="750">
        <v>0</v>
      </c>
    </row>
    <row r="114" ht="15" customHeight="1" spans="2:50">
      <c r="B114" s="767" t="s">
        <v>1559</v>
      </c>
      <c r="C114" s="784" t="s">
        <v>1534</v>
      </c>
      <c r="D114" s="784"/>
      <c r="E114" s="784" t="s">
        <v>1534</v>
      </c>
      <c r="F114" s="784"/>
      <c r="G114" s="784"/>
      <c r="H114" s="784"/>
      <c r="I114" s="784" t="s">
        <v>1534</v>
      </c>
      <c r="J114" s="770"/>
      <c r="K114" s="769" t="s">
        <v>1464</v>
      </c>
      <c r="L114" s="769" t="s">
        <v>199</v>
      </c>
      <c r="M114" s="769" t="s">
        <v>199</v>
      </c>
      <c r="N114" s="750">
        <v>0</v>
      </c>
      <c r="O114" s="750">
        <v>0</v>
      </c>
      <c r="P114" s="750">
        <v>0</v>
      </c>
      <c r="Q114" s="750">
        <v>0</v>
      </c>
      <c r="R114" s="750">
        <v>0</v>
      </c>
      <c r="S114" s="750">
        <v>0</v>
      </c>
      <c r="T114" s="750">
        <v>0</v>
      </c>
      <c r="U114" s="750">
        <v>0</v>
      </c>
      <c r="V114" s="750">
        <v>0</v>
      </c>
      <c r="W114" s="750">
        <v>0</v>
      </c>
      <c r="X114" s="750">
        <v>0</v>
      </c>
      <c r="Y114" s="750">
        <v>0</v>
      </c>
      <c r="Z114" s="750"/>
      <c r="AA114" s="750">
        <v>0</v>
      </c>
      <c r="AB114" s="750">
        <v>0</v>
      </c>
      <c r="AC114" s="750">
        <v>0</v>
      </c>
      <c r="AD114" s="750">
        <v>0</v>
      </c>
      <c r="AE114" s="750">
        <v>0</v>
      </c>
      <c r="AF114" s="750">
        <v>0</v>
      </c>
      <c r="AG114" s="750">
        <v>0</v>
      </c>
      <c r="AH114" s="750">
        <v>0</v>
      </c>
      <c r="AI114" s="750">
        <v>0</v>
      </c>
      <c r="AJ114" s="750">
        <v>0</v>
      </c>
      <c r="AK114" s="750">
        <v>0</v>
      </c>
      <c r="AL114" s="750">
        <v>0</v>
      </c>
      <c r="AM114" s="750">
        <v>0</v>
      </c>
      <c r="AN114" s="750">
        <v>0</v>
      </c>
      <c r="AO114" s="750">
        <v>0</v>
      </c>
      <c r="AP114" s="750">
        <v>0</v>
      </c>
      <c r="AQ114" s="750">
        <v>0</v>
      </c>
      <c r="AR114" s="750">
        <v>0</v>
      </c>
      <c r="AS114" s="750">
        <v>0</v>
      </c>
      <c r="AT114" s="750">
        <v>0</v>
      </c>
      <c r="AU114" s="750">
        <v>0</v>
      </c>
      <c r="AV114" s="750">
        <v>0</v>
      </c>
      <c r="AW114" s="750">
        <v>0</v>
      </c>
      <c r="AX114" s="750">
        <v>0</v>
      </c>
    </row>
    <row r="115" ht="15" customHeight="1" spans="2:50">
      <c r="B115" s="767" t="s">
        <v>1560</v>
      </c>
      <c r="C115" s="784" t="s">
        <v>1534</v>
      </c>
      <c r="D115" s="784"/>
      <c r="E115" s="784" t="s">
        <v>1534</v>
      </c>
      <c r="F115" s="784"/>
      <c r="G115" s="784"/>
      <c r="H115" s="784"/>
      <c r="I115" s="784" t="s">
        <v>1534</v>
      </c>
      <c r="J115" s="770"/>
      <c r="K115" s="769" t="s">
        <v>1464</v>
      </c>
      <c r="L115" s="769" t="s">
        <v>199</v>
      </c>
      <c r="M115" s="769" t="s">
        <v>199</v>
      </c>
      <c r="N115" s="750">
        <v>0</v>
      </c>
      <c r="O115" s="750">
        <v>0</v>
      </c>
      <c r="P115" s="750">
        <v>0</v>
      </c>
      <c r="Q115" s="750">
        <v>0</v>
      </c>
      <c r="R115" s="750">
        <v>0</v>
      </c>
      <c r="S115" s="750">
        <v>0</v>
      </c>
      <c r="T115" s="750">
        <v>0</v>
      </c>
      <c r="U115" s="750">
        <v>0</v>
      </c>
      <c r="V115" s="750">
        <v>0</v>
      </c>
      <c r="W115" s="750">
        <v>0</v>
      </c>
      <c r="X115" s="750">
        <v>0</v>
      </c>
      <c r="Y115" s="750">
        <v>0</v>
      </c>
      <c r="Z115" s="750"/>
      <c r="AA115" s="750">
        <v>0</v>
      </c>
      <c r="AB115" s="750">
        <v>0</v>
      </c>
      <c r="AC115" s="750">
        <v>0</v>
      </c>
      <c r="AD115" s="750">
        <v>0</v>
      </c>
      <c r="AE115" s="750">
        <v>0</v>
      </c>
      <c r="AF115" s="750">
        <v>0</v>
      </c>
      <c r="AG115" s="750">
        <v>0</v>
      </c>
      <c r="AH115" s="750">
        <v>0</v>
      </c>
      <c r="AI115" s="750">
        <v>0</v>
      </c>
      <c r="AJ115" s="750">
        <v>0</v>
      </c>
      <c r="AK115" s="750">
        <v>0</v>
      </c>
      <c r="AL115" s="750">
        <v>0</v>
      </c>
      <c r="AM115" s="750">
        <v>0</v>
      </c>
      <c r="AN115" s="750">
        <v>0</v>
      </c>
      <c r="AO115" s="750">
        <v>0</v>
      </c>
      <c r="AP115" s="750">
        <v>0</v>
      </c>
      <c r="AQ115" s="750">
        <v>0</v>
      </c>
      <c r="AR115" s="750">
        <v>0</v>
      </c>
      <c r="AS115" s="750">
        <v>0</v>
      </c>
      <c r="AT115" s="750">
        <v>0</v>
      </c>
      <c r="AU115" s="750">
        <v>0</v>
      </c>
      <c r="AV115" s="750">
        <v>0</v>
      </c>
      <c r="AW115" s="750">
        <v>0</v>
      </c>
      <c r="AX115" s="750">
        <v>0</v>
      </c>
    </row>
    <row r="116" ht="15" customHeight="1" spans="2:50">
      <c r="B116" s="767" t="s">
        <v>1561</v>
      </c>
      <c r="C116" s="784" t="s">
        <v>1534</v>
      </c>
      <c r="D116" s="784"/>
      <c r="E116" s="784" t="s">
        <v>1534</v>
      </c>
      <c r="F116" s="784"/>
      <c r="G116" s="784"/>
      <c r="H116" s="784"/>
      <c r="I116" s="784" t="s">
        <v>1534</v>
      </c>
      <c r="J116" s="770"/>
      <c r="K116" s="769" t="s">
        <v>1464</v>
      </c>
      <c r="L116" s="769" t="s">
        <v>199</v>
      </c>
      <c r="M116" s="769" t="s">
        <v>199</v>
      </c>
      <c r="N116" s="750">
        <v>0</v>
      </c>
      <c r="O116" s="750">
        <v>0</v>
      </c>
      <c r="P116" s="750">
        <v>0</v>
      </c>
      <c r="Q116" s="750">
        <v>0</v>
      </c>
      <c r="R116" s="750">
        <v>0</v>
      </c>
      <c r="S116" s="750">
        <v>0</v>
      </c>
      <c r="T116" s="750">
        <v>0</v>
      </c>
      <c r="U116" s="750">
        <v>0</v>
      </c>
      <c r="V116" s="750">
        <v>0</v>
      </c>
      <c r="W116" s="750">
        <v>0</v>
      </c>
      <c r="X116" s="750">
        <v>0</v>
      </c>
      <c r="Y116" s="750">
        <v>0</v>
      </c>
      <c r="Z116" s="750"/>
      <c r="AA116" s="750">
        <v>0</v>
      </c>
      <c r="AB116" s="750">
        <v>0</v>
      </c>
      <c r="AC116" s="750">
        <v>0</v>
      </c>
      <c r="AD116" s="750">
        <v>0</v>
      </c>
      <c r="AE116" s="750">
        <v>0</v>
      </c>
      <c r="AF116" s="750">
        <v>0</v>
      </c>
      <c r="AG116" s="750">
        <v>0</v>
      </c>
      <c r="AH116" s="750">
        <v>0</v>
      </c>
      <c r="AI116" s="750">
        <v>0</v>
      </c>
      <c r="AJ116" s="750">
        <v>0</v>
      </c>
      <c r="AK116" s="750">
        <v>0</v>
      </c>
      <c r="AL116" s="750">
        <v>0</v>
      </c>
      <c r="AM116" s="750">
        <v>0</v>
      </c>
      <c r="AN116" s="750">
        <v>0</v>
      </c>
      <c r="AO116" s="750">
        <v>0</v>
      </c>
      <c r="AP116" s="750">
        <v>0</v>
      </c>
      <c r="AQ116" s="750">
        <v>0</v>
      </c>
      <c r="AR116" s="750">
        <v>0</v>
      </c>
      <c r="AS116" s="750">
        <v>0</v>
      </c>
      <c r="AT116" s="750">
        <v>0</v>
      </c>
      <c r="AU116" s="750">
        <v>0</v>
      </c>
      <c r="AV116" s="750">
        <v>0</v>
      </c>
      <c r="AW116" s="750">
        <v>0</v>
      </c>
      <c r="AX116" s="750">
        <v>0</v>
      </c>
    </row>
    <row r="117" ht="15" customHeight="1" spans="2:50">
      <c r="B117" s="767" t="s">
        <v>1562</v>
      </c>
      <c r="C117" s="784" t="s">
        <v>1534</v>
      </c>
      <c r="D117" s="784"/>
      <c r="E117" s="784" t="s">
        <v>1534</v>
      </c>
      <c r="F117" s="784"/>
      <c r="G117" s="784"/>
      <c r="H117" s="784"/>
      <c r="I117" s="784" t="s">
        <v>1534</v>
      </c>
      <c r="J117" s="770"/>
      <c r="K117" s="769" t="s">
        <v>1464</v>
      </c>
      <c r="L117" s="769" t="s">
        <v>199</v>
      </c>
      <c r="M117" s="769" t="s">
        <v>199</v>
      </c>
      <c r="N117" s="750">
        <v>0</v>
      </c>
      <c r="O117" s="750">
        <v>0</v>
      </c>
      <c r="P117" s="750">
        <v>0</v>
      </c>
      <c r="Q117" s="750">
        <v>0</v>
      </c>
      <c r="R117" s="750">
        <v>0</v>
      </c>
      <c r="S117" s="750">
        <v>0</v>
      </c>
      <c r="T117" s="750">
        <v>0</v>
      </c>
      <c r="U117" s="750">
        <v>0</v>
      </c>
      <c r="V117" s="750">
        <v>0</v>
      </c>
      <c r="W117" s="750">
        <v>0</v>
      </c>
      <c r="X117" s="750">
        <v>0</v>
      </c>
      <c r="Y117" s="750">
        <v>0</v>
      </c>
      <c r="Z117" s="750"/>
      <c r="AA117" s="750">
        <v>0</v>
      </c>
      <c r="AB117" s="750">
        <v>0</v>
      </c>
      <c r="AC117" s="750">
        <v>0</v>
      </c>
      <c r="AD117" s="750">
        <v>0</v>
      </c>
      <c r="AE117" s="750">
        <v>0</v>
      </c>
      <c r="AF117" s="750">
        <v>0</v>
      </c>
      <c r="AG117" s="750">
        <v>0</v>
      </c>
      <c r="AH117" s="750">
        <v>0</v>
      </c>
      <c r="AI117" s="750">
        <v>0</v>
      </c>
      <c r="AJ117" s="750">
        <v>0</v>
      </c>
      <c r="AK117" s="750">
        <v>0</v>
      </c>
      <c r="AL117" s="750">
        <v>0</v>
      </c>
      <c r="AM117" s="750">
        <v>0</v>
      </c>
      <c r="AN117" s="750">
        <v>0</v>
      </c>
      <c r="AO117" s="750">
        <v>0</v>
      </c>
      <c r="AP117" s="750">
        <v>0</v>
      </c>
      <c r="AQ117" s="750">
        <v>0</v>
      </c>
      <c r="AR117" s="750">
        <v>0</v>
      </c>
      <c r="AS117" s="750">
        <v>0</v>
      </c>
      <c r="AT117" s="750">
        <v>0</v>
      </c>
      <c r="AU117" s="750">
        <v>0</v>
      </c>
      <c r="AV117" s="750">
        <v>0</v>
      </c>
      <c r="AW117" s="750">
        <v>0</v>
      </c>
      <c r="AX117" s="750">
        <v>0</v>
      </c>
    </row>
    <row r="118" ht="15" customHeight="1" spans="2:50">
      <c r="B118" s="767" t="s">
        <v>1563</v>
      </c>
      <c r="C118" s="784" t="s">
        <v>1534</v>
      </c>
      <c r="D118" s="784"/>
      <c r="E118" s="784" t="s">
        <v>1534</v>
      </c>
      <c r="F118" s="784"/>
      <c r="G118" s="784"/>
      <c r="H118" s="784"/>
      <c r="I118" s="784" t="s">
        <v>1534</v>
      </c>
      <c r="J118" s="770"/>
      <c r="K118" s="769" t="s">
        <v>1464</v>
      </c>
      <c r="L118" s="769" t="s">
        <v>199</v>
      </c>
      <c r="M118" s="769" t="s">
        <v>199</v>
      </c>
      <c r="N118" s="750">
        <v>0</v>
      </c>
      <c r="O118" s="750">
        <v>0</v>
      </c>
      <c r="P118" s="750">
        <v>0</v>
      </c>
      <c r="Q118" s="750">
        <v>0</v>
      </c>
      <c r="R118" s="750">
        <v>0</v>
      </c>
      <c r="S118" s="750">
        <v>0</v>
      </c>
      <c r="T118" s="750">
        <v>0</v>
      </c>
      <c r="U118" s="750">
        <v>0</v>
      </c>
      <c r="V118" s="750">
        <v>0</v>
      </c>
      <c r="W118" s="750">
        <v>0</v>
      </c>
      <c r="X118" s="750">
        <v>0</v>
      </c>
      <c r="Y118" s="750">
        <v>0</v>
      </c>
      <c r="Z118" s="750"/>
      <c r="AA118" s="750">
        <v>0</v>
      </c>
      <c r="AB118" s="750">
        <v>0</v>
      </c>
      <c r="AC118" s="750">
        <v>0</v>
      </c>
      <c r="AD118" s="750">
        <v>0</v>
      </c>
      <c r="AE118" s="750">
        <v>0</v>
      </c>
      <c r="AF118" s="750">
        <v>0</v>
      </c>
      <c r="AG118" s="750">
        <v>0</v>
      </c>
      <c r="AH118" s="750">
        <v>0</v>
      </c>
      <c r="AI118" s="750">
        <v>0</v>
      </c>
      <c r="AJ118" s="750">
        <v>0</v>
      </c>
      <c r="AK118" s="750">
        <v>0</v>
      </c>
      <c r="AL118" s="750">
        <v>0</v>
      </c>
      <c r="AM118" s="750">
        <v>0</v>
      </c>
      <c r="AN118" s="750">
        <v>0</v>
      </c>
      <c r="AO118" s="750">
        <v>0</v>
      </c>
      <c r="AP118" s="750">
        <v>0</v>
      </c>
      <c r="AQ118" s="750">
        <v>0</v>
      </c>
      <c r="AR118" s="750">
        <v>0</v>
      </c>
      <c r="AS118" s="750">
        <v>0</v>
      </c>
      <c r="AT118" s="750">
        <v>0</v>
      </c>
      <c r="AU118" s="750">
        <v>0</v>
      </c>
      <c r="AV118" s="750">
        <v>0</v>
      </c>
      <c r="AW118" s="750">
        <v>0</v>
      </c>
      <c r="AX118" s="750">
        <v>0</v>
      </c>
    </row>
    <row r="119" ht="15" customHeight="1" spans="2:50">
      <c r="B119" s="767" t="s">
        <v>1564</v>
      </c>
      <c r="C119" s="784" t="s">
        <v>1534</v>
      </c>
      <c r="D119" s="784"/>
      <c r="E119" s="784" t="s">
        <v>1534</v>
      </c>
      <c r="F119" s="784"/>
      <c r="G119" s="784"/>
      <c r="H119" s="784"/>
      <c r="I119" s="784" t="s">
        <v>1534</v>
      </c>
      <c r="J119" s="770"/>
      <c r="K119" s="769" t="s">
        <v>1464</v>
      </c>
      <c r="L119" s="769" t="s">
        <v>199</v>
      </c>
      <c r="M119" s="769" t="s">
        <v>199</v>
      </c>
      <c r="N119" s="750">
        <v>0</v>
      </c>
      <c r="O119" s="750">
        <v>0</v>
      </c>
      <c r="P119" s="750">
        <v>0</v>
      </c>
      <c r="Q119" s="750">
        <v>0</v>
      </c>
      <c r="R119" s="750">
        <v>0</v>
      </c>
      <c r="S119" s="750">
        <v>0</v>
      </c>
      <c r="T119" s="750">
        <v>0</v>
      </c>
      <c r="U119" s="750">
        <v>0</v>
      </c>
      <c r="V119" s="750">
        <v>0</v>
      </c>
      <c r="W119" s="750">
        <v>0</v>
      </c>
      <c r="X119" s="750">
        <v>0</v>
      </c>
      <c r="Y119" s="750">
        <v>0</v>
      </c>
      <c r="Z119" s="750"/>
      <c r="AA119" s="750">
        <v>0</v>
      </c>
      <c r="AB119" s="750">
        <v>0</v>
      </c>
      <c r="AC119" s="750">
        <v>0</v>
      </c>
      <c r="AD119" s="750">
        <v>0</v>
      </c>
      <c r="AE119" s="750">
        <v>0</v>
      </c>
      <c r="AF119" s="750">
        <v>0</v>
      </c>
      <c r="AG119" s="750">
        <v>0</v>
      </c>
      <c r="AH119" s="750">
        <v>0</v>
      </c>
      <c r="AI119" s="750">
        <v>0</v>
      </c>
      <c r="AJ119" s="750">
        <v>0</v>
      </c>
      <c r="AK119" s="750">
        <v>0</v>
      </c>
      <c r="AL119" s="750">
        <v>0</v>
      </c>
      <c r="AM119" s="750">
        <v>0</v>
      </c>
      <c r="AN119" s="750">
        <v>0</v>
      </c>
      <c r="AO119" s="750">
        <v>0</v>
      </c>
      <c r="AP119" s="750">
        <v>0</v>
      </c>
      <c r="AQ119" s="750">
        <v>0</v>
      </c>
      <c r="AR119" s="750">
        <v>0</v>
      </c>
      <c r="AS119" s="750">
        <v>0</v>
      </c>
      <c r="AT119" s="750">
        <v>0</v>
      </c>
      <c r="AU119" s="750">
        <v>0</v>
      </c>
      <c r="AV119" s="750">
        <v>0</v>
      </c>
      <c r="AW119" s="750">
        <v>0</v>
      </c>
      <c r="AX119" s="750">
        <v>0</v>
      </c>
    </row>
  </sheetData>
  <mergeCells count="19">
    <mergeCell ref="N21:Z21"/>
    <mergeCell ref="AA21:AL21"/>
    <mergeCell ref="AM21:AX21"/>
    <mergeCell ref="B21:B22"/>
    <mergeCell ref="C21:C22"/>
    <mergeCell ref="D21:D22"/>
    <mergeCell ref="E21:E22"/>
    <mergeCell ref="F17:F18"/>
    <mergeCell ref="F21:F22"/>
    <mergeCell ref="G17:G18"/>
    <mergeCell ref="G21:G22"/>
    <mergeCell ref="H21:H22"/>
    <mergeCell ref="I21:I22"/>
    <mergeCell ref="J21:J22"/>
    <mergeCell ref="K21:K22"/>
    <mergeCell ref="L21:L22"/>
    <mergeCell ref="M21:M22"/>
    <mergeCell ref="B11:E14"/>
    <mergeCell ref="B15:E16"/>
  </mergeCells>
  <hyperlinks>
    <hyperlink ref="A1" location="目录!A1" display="← 返回目录"/>
  </hyperlinks>
  <pageMargins left="0.7" right="0.7" top="0.75" bottom="0.75" header="0.3" footer="0.3"/>
  <pageSetup paperSize="1" orientation="portrait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2">
    <tabColor rgb="FF00B0F0"/>
  </sheetPr>
  <dimension ref="A1:AV119"/>
  <sheetViews>
    <sheetView showGridLines="0" showZeros="0" zoomScale="80" zoomScaleNormal="80" workbookViewId="0">
      <selection activeCell="O46" sqref="O46"/>
    </sheetView>
  </sheetViews>
  <sheetFormatPr defaultColWidth="8.725" defaultRowHeight="11.25"/>
  <cols>
    <col min="1" max="1" width="20" style="1" customWidth="1"/>
    <col min="2" max="2" width="6.63333333333333" style="1" customWidth="1"/>
    <col min="3" max="3" width="12.6333333333333" style="1" customWidth="1"/>
    <col min="4" max="4" width="12.725" style="1" customWidth="1"/>
    <col min="5" max="5" width="15.6333333333333" style="1" customWidth="1"/>
    <col min="6" max="6" width="11.6333333333333" style="1" customWidth="1"/>
    <col min="7" max="7" width="10.0916666666667" style="1" customWidth="1"/>
    <col min="8" max="8" width="12.0916666666667" style="1" customWidth="1"/>
    <col min="9" max="9" width="11.6333333333333" style="1" customWidth="1"/>
    <col min="10" max="11" width="12.6333333333333" style="1" customWidth="1"/>
    <col min="12" max="13" width="11.1833333333333" style="1" customWidth="1"/>
    <col min="14" max="24" width="9.725" style="1" customWidth="1"/>
    <col min="25" max="25" width="12.6333333333333" style="1" customWidth="1"/>
    <col min="26" max="26" width="15.3666666666667" style="1" customWidth="1"/>
    <col min="27" max="36" width="11.1833333333333" style="1" customWidth="1"/>
    <col min="37" max="37" width="9.725" style="1" customWidth="1"/>
    <col min="38" max="38" width="14.5416666666667" style="1" customWidth="1"/>
    <col min="39" max="69" width="8.725" style="1" customWidth="1"/>
    <col min="70" max="16384" width="8.725" style="1"/>
  </cols>
  <sheetData>
    <row r="1" ht="16.5" customHeight="1" spans="1:30">
      <c r="A1" s="202" t="s">
        <v>185</v>
      </c>
      <c r="B1" s="1" t="s">
        <v>1435</v>
      </c>
      <c r="C1" s="1" t="s">
        <v>1436</v>
      </c>
    </row>
    <row r="2" ht="16.5" customHeight="1" spans="1:30">
      <c r="B2" s="754" t="s">
        <v>1437</v>
      </c>
      <c r="C2" s="1" t="s">
        <v>1438</v>
      </c>
    </row>
    <row r="3" ht="16.5" customHeight="1" spans="1:30">
      <c r="B3" s="754" t="s">
        <v>1439</v>
      </c>
      <c r="C3" s="1" t="s">
        <v>340</v>
      </c>
    </row>
    <row r="4" ht="16.5" customHeight="1" spans="1:30">
      <c r="B4" s="754" t="s">
        <v>1440</v>
      </c>
      <c r="C4" s="1" t="s">
        <v>1441</v>
      </c>
    </row>
    <row r="5" ht="16.5" customHeight="1" spans="1:30">
      <c r="B5" s="754" t="s">
        <v>1442</v>
      </c>
      <c r="C5" s="1" t="s">
        <v>1443</v>
      </c>
    </row>
    <row r="6" ht="16.5" customHeight="1" spans="1:30">
      <c r="B6" s="754" t="s">
        <v>333</v>
      </c>
      <c r="C6" s="1" t="s">
        <v>1444</v>
      </c>
    </row>
    <row r="7" ht="16.5" customHeight="1" spans="1:30">
      <c r="B7" s="754" t="s">
        <v>1445</v>
      </c>
      <c r="C7" s="1" t="s">
        <v>1446</v>
      </c>
    </row>
    <row r="8" ht="9" customHeight="1" spans="1:30">
      <c r="B8" s="754"/>
    </row>
    <row r="9" ht="9" customHeight="1"/>
    <row r="10" ht="3.5" customHeight="1" spans="1:30">
      <c r="B10" s="755"/>
      <c r="E10" s="756"/>
      <c r="F10" s="756"/>
    </row>
    <row r="11" ht="13" customHeight="1" spans="1:30">
      <c r="B11" s="492" t="s">
        <v>1565</v>
      </c>
      <c r="C11" s="492"/>
      <c r="D11" s="492"/>
      <c r="E11" s="492"/>
      <c r="F11" s="7" t="s">
        <v>1404</v>
      </c>
      <c r="G11" s="8" t="s">
        <v>1405</v>
      </c>
      <c r="H11" s="8"/>
      <c r="I11" s="8"/>
      <c r="J11" s="8"/>
      <c r="K11" s="70"/>
      <c r="Y11" s="8"/>
      <c r="Z11" s="8"/>
      <c r="AA11" s="8"/>
      <c r="AB11" s="8"/>
      <c r="AC11" s="8"/>
      <c r="AD11" s="70"/>
    </row>
    <row r="12" ht="13" customHeight="1" spans="1:30">
      <c r="B12" s="492"/>
      <c r="C12" s="492"/>
      <c r="D12" s="492"/>
      <c r="E12" s="492"/>
      <c r="F12" s="12"/>
      <c r="G12" s="13" t="s">
        <v>1571</v>
      </c>
      <c r="H12" s="13"/>
      <c r="I12" s="13"/>
      <c r="J12" s="13"/>
      <c r="K12" s="71"/>
      <c r="Y12" s="13"/>
      <c r="Z12" s="14"/>
      <c r="AA12" s="14"/>
      <c r="AB12" s="14"/>
      <c r="AC12" s="14"/>
      <c r="AD12" s="71"/>
    </row>
    <row r="13" customHeight="1" spans="1:30">
      <c r="B13" s="492"/>
      <c r="C13" s="492"/>
      <c r="D13" s="492"/>
      <c r="E13" s="492"/>
      <c r="F13" s="12"/>
      <c r="G13" s="13" t="s">
        <v>1566</v>
      </c>
      <c r="H13" s="13"/>
      <c r="I13" s="13"/>
      <c r="J13" s="13"/>
      <c r="K13" s="71"/>
      <c r="Y13" s="13"/>
      <c r="Z13" s="15"/>
      <c r="AA13" s="15"/>
      <c r="AB13" s="15"/>
      <c r="AC13" s="14"/>
      <c r="AD13" s="71"/>
    </row>
    <row r="14" customHeight="1" spans="1:30">
      <c r="B14" s="492"/>
      <c r="C14" s="492"/>
      <c r="D14" s="492"/>
      <c r="E14" s="492"/>
      <c r="F14" s="12"/>
      <c r="G14" s="13" t="s">
        <v>1408</v>
      </c>
      <c r="H14" s="13"/>
      <c r="I14" s="13"/>
      <c r="J14" s="13"/>
      <c r="K14" s="71"/>
      <c r="Y14" s="13"/>
      <c r="Z14" s="15"/>
      <c r="AA14" s="15"/>
      <c r="AB14" s="15"/>
      <c r="AC14" s="14"/>
      <c r="AD14" s="71"/>
    </row>
    <row r="15" customHeight="1" spans="1:30">
      <c r="B15" s="292" t="s">
        <v>1451</v>
      </c>
      <c r="C15" s="292"/>
      <c r="D15" s="292"/>
      <c r="E15" s="292"/>
      <c r="F15" s="12"/>
      <c r="G15" s="22"/>
      <c r="H15" s="22"/>
      <c r="I15" s="13"/>
      <c r="J15" s="13"/>
      <c r="K15" s="71"/>
      <c r="Y15" s="13"/>
      <c r="Z15" s="15"/>
      <c r="AA15" s="15"/>
      <c r="AB15" s="15"/>
      <c r="AC15" s="14"/>
      <c r="AD15" s="71"/>
    </row>
    <row r="16" customHeight="1" spans="1:30">
      <c r="B16" s="292"/>
      <c r="C16" s="292"/>
      <c r="D16" s="292"/>
      <c r="E16" s="292"/>
      <c r="F16" s="26" t="s">
        <v>1567</v>
      </c>
      <c r="G16" s="27"/>
      <c r="H16" s="27"/>
      <c r="I16" s="28"/>
      <c r="J16" s="28"/>
      <c r="K16" s="325"/>
      <c r="Y16" s="28"/>
      <c r="Z16" s="29"/>
      <c r="AA16" s="29"/>
      <c r="AB16" s="29"/>
      <c r="AC16" s="30"/>
      <c r="AD16" s="72"/>
    </row>
    <row r="17" ht="4.5" customHeight="1" spans="2:48">
      <c r="F17" s="31"/>
      <c r="G17" s="32">
        <v>0</v>
      </c>
      <c r="H17" s="32"/>
      <c r="Y17" s="33"/>
      <c r="Z17" s="34"/>
      <c r="AA17" s="34"/>
      <c r="AB17" s="34"/>
    </row>
    <row r="18" ht="10.5" customHeight="1" spans="2:48">
      <c r="F18" s="35"/>
      <c r="G18" s="32"/>
      <c r="H18" s="32"/>
      <c r="AN18" s="1" t="s">
        <v>1453</v>
      </c>
    </row>
    <row r="19" ht="15" customHeight="1" spans="2:48">
      <c r="B19" s="36" t="s">
        <v>1411</v>
      </c>
      <c r="C19" s="37" t="s">
        <v>1412</v>
      </c>
      <c r="D19" s="36" t="s">
        <v>188</v>
      </c>
      <c r="E19" s="37" t="s">
        <v>1413</v>
      </c>
      <c r="F19" s="36" t="s">
        <v>1364</v>
      </c>
      <c r="G19" s="37" t="s">
        <v>1396</v>
      </c>
      <c r="H19" s="36" t="s">
        <v>1414</v>
      </c>
      <c r="I19" s="38" t="s">
        <v>1359</v>
      </c>
    </row>
    <row r="20" ht="15.5" customHeight="1"/>
    <row r="21" s="753" customFormat="1" ht="22.5" customHeight="1" spans="2:48">
      <c r="B21" s="759" t="s">
        <v>1455</v>
      </c>
      <c r="C21" s="759" t="s">
        <v>1366</v>
      </c>
      <c r="D21" s="794" t="s">
        <v>1367</v>
      </c>
      <c r="E21" s="759" t="s">
        <v>489</v>
      </c>
      <c r="F21" s="759" t="s">
        <v>1369</v>
      </c>
      <c r="G21" s="794" t="s">
        <v>493</v>
      </c>
      <c r="H21" s="759" t="s">
        <v>1572</v>
      </c>
      <c r="I21" s="759" t="s">
        <v>1573</v>
      </c>
      <c r="J21" s="759" t="s">
        <v>1460</v>
      </c>
      <c r="K21" s="759" t="s">
        <v>1461</v>
      </c>
      <c r="L21" s="795" t="s">
        <v>1427</v>
      </c>
      <c r="M21" s="796"/>
      <c r="N21" s="796"/>
      <c r="O21" s="796"/>
      <c r="P21" s="796"/>
      <c r="Q21" s="796"/>
      <c r="R21" s="796"/>
      <c r="S21" s="796"/>
      <c r="T21" s="796"/>
      <c r="U21" s="796"/>
      <c r="V21" s="796"/>
      <c r="W21" s="796"/>
      <c r="X21" s="797"/>
      <c r="Y21" s="761" t="s">
        <v>1574</v>
      </c>
      <c r="Z21" s="762"/>
      <c r="AA21" s="762"/>
      <c r="AB21" s="762"/>
      <c r="AC21" s="762"/>
      <c r="AD21" s="762"/>
      <c r="AE21" s="762"/>
      <c r="AF21" s="762"/>
      <c r="AG21" s="762"/>
      <c r="AH21" s="762"/>
      <c r="AI21" s="762"/>
      <c r="AJ21" s="802"/>
      <c r="AK21" s="761" t="s">
        <v>287</v>
      </c>
      <c r="AL21" s="762"/>
      <c r="AM21" s="762"/>
      <c r="AN21" s="762"/>
      <c r="AO21" s="762"/>
      <c r="AP21" s="762"/>
      <c r="AQ21" s="762"/>
      <c r="AR21" s="762"/>
      <c r="AS21" s="762"/>
      <c r="AT21" s="762"/>
      <c r="AU21" s="762"/>
      <c r="AV21" s="802"/>
    </row>
    <row r="22" s="753" customFormat="1" ht="22.5" customHeight="1" spans="2:48">
      <c r="B22" s="764"/>
      <c r="C22" s="764"/>
      <c r="D22" s="798"/>
      <c r="E22" s="764"/>
      <c r="F22" s="764"/>
      <c r="G22" s="798"/>
      <c r="H22" s="764"/>
      <c r="I22" s="764"/>
      <c r="J22" s="764"/>
      <c r="K22" s="764"/>
      <c r="L22" s="732" t="s">
        <v>304</v>
      </c>
      <c r="M22" s="732" t="s">
        <v>305</v>
      </c>
      <c r="N22" s="732" t="s">
        <v>306</v>
      </c>
      <c r="O22" s="732" t="s">
        <v>307</v>
      </c>
      <c r="P22" s="732" t="s">
        <v>308</v>
      </c>
      <c r="Q22" s="732" t="s">
        <v>309</v>
      </c>
      <c r="R22" s="732" t="s">
        <v>310</v>
      </c>
      <c r="S22" s="732" t="s">
        <v>311</v>
      </c>
      <c r="T22" s="732" t="s">
        <v>312</v>
      </c>
      <c r="U22" s="732" t="s">
        <v>313</v>
      </c>
      <c r="V22" s="732" t="s">
        <v>314</v>
      </c>
      <c r="W22" s="732" t="s">
        <v>315</v>
      </c>
      <c r="X22" s="732" t="s">
        <v>1462</v>
      </c>
      <c r="Y22" s="766" t="s">
        <v>304</v>
      </c>
      <c r="Z22" s="766" t="s">
        <v>305</v>
      </c>
      <c r="AA22" s="766" t="s">
        <v>306</v>
      </c>
      <c r="AB22" s="766" t="s">
        <v>307</v>
      </c>
      <c r="AC22" s="766" t="s">
        <v>308</v>
      </c>
      <c r="AD22" s="766" t="s">
        <v>309</v>
      </c>
      <c r="AE22" s="766" t="s">
        <v>310</v>
      </c>
      <c r="AF22" s="766" t="s">
        <v>311</v>
      </c>
      <c r="AG22" s="766" t="s">
        <v>312</v>
      </c>
      <c r="AH22" s="766" t="s">
        <v>313</v>
      </c>
      <c r="AI22" s="766" t="s">
        <v>314</v>
      </c>
      <c r="AJ22" s="766" t="s">
        <v>315</v>
      </c>
      <c r="AK22" s="766" t="s">
        <v>304</v>
      </c>
      <c r="AL22" s="766" t="s">
        <v>305</v>
      </c>
      <c r="AM22" s="766" t="s">
        <v>306</v>
      </c>
      <c r="AN22" s="766" t="s">
        <v>307</v>
      </c>
      <c r="AO22" s="766" t="s">
        <v>308</v>
      </c>
      <c r="AP22" s="766" t="s">
        <v>309</v>
      </c>
      <c r="AQ22" s="766" t="s">
        <v>310</v>
      </c>
      <c r="AR22" s="766" t="s">
        <v>311</v>
      </c>
      <c r="AS22" s="766" t="s">
        <v>312</v>
      </c>
      <c r="AT22" s="766" t="s">
        <v>313</v>
      </c>
      <c r="AU22" s="766" t="s">
        <v>314</v>
      </c>
      <c r="AV22" s="766" t="s">
        <v>315</v>
      </c>
    </row>
    <row r="23" s="753" customFormat="1" ht="22.5" customHeight="1" spans="2:48">
      <c r="B23" s="763"/>
      <c r="C23" s="763" t="s">
        <v>1421</v>
      </c>
      <c r="D23" s="744" t="s">
        <v>1463</v>
      </c>
      <c r="E23" s="763" t="s">
        <v>1421</v>
      </c>
      <c r="F23" s="763" t="s">
        <v>1421</v>
      </c>
      <c r="G23" s="744" t="s">
        <v>1463</v>
      </c>
      <c r="H23" s="763" t="s">
        <v>1421</v>
      </c>
      <c r="I23" s="763" t="s">
        <v>1464</v>
      </c>
      <c r="J23" s="763" t="s">
        <v>199</v>
      </c>
      <c r="K23" s="763" t="s">
        <v>199</v>
      </c>
      <c r="L23" s="746" t="s">
        <v>1465</v>
      </c>
      <c r="M23" s="746" t="s">
        <v>1465</v>
      </c>
      <c r="N23" s="746" t="s">
        <v>1465</v>
      </c>
      <c r="O23" s="746" t="s">
        <v>1465</v>
      </c>
      <c r="P23" s="746" t="s">
        <v>1465</v>
      </c>
      <c r="Q23" s="746" t="s">
        <v>1465</v>
      </c>
      <c r="R23" s="746" t="s">
        <v>1465</v>
      </c>
      <c r="S23" s="746" t="s">
        <v>1465</v>
      </c>
      <c r="T23" s="746" t="s">
        <v>1465</v>
      </c>
      <c r="U23" s="746" t="s">
        <v>1465</v>
      </c>
      <c r="V23" s="746" t="s">
        <v>1465</v>
      </c>
      <c r="W23" s="746" t="s">
        <v>1465</v>
      </c>
      <c r="X23" s="746" t="s">
        <v>1465</v>
      </c>
      <c r="Y23" s="766" t="s">
        <v>1421</v>
      </c>
      <c r="Z23" s="766" t="s">
        <v>1421</v>
      </c>
      <c r="AA23" s="766" t="s">
        <v>1421</v>
      </c>
      <c r="AB23" s="766" t="s">
        <v>1421</v>
      </c>
      <c r="AC23" s="766" t="s">
        <v>1421</v>
      </c>
      <c r="AD23" s="766" t="s">
        <v>1421</v>
      </c>
      <c r="AE23" s="766" t="s">
        <v>1421</v>
      </c>
      <c r="AF23" s="766" t="s">
        <v>1421</v>
      </c>
      <c r="AG23" s="766" t="s">
        <v>1421</v>
      </c>
      <c r="AH23" s="766" t="s">
        <v>1421</v>
      </c>
      <c r="AI23" s="766" t="s">
        <v>1421</v>
      </c>
      <c r="AJ23" s="766" t="s">
        <v>1421</v>
      </c>
      <c r="AK23" s="766" t="s">
        <v>199</v>
      </c>
      <c r="AL23" s="766" t="s">
        <v>199</v>
      </c>
      <c r="AM23" s="766" t="s">
        <v>199</v>
      </c>
      <c r="AN23" s="766" t="s">
        <v>199</v>
      </c>
      <c r="AO23" s="766" t="s">
        <v>199</v>
      </c>
      <c r="AP23" s="766" t="s">
        <v>199</v>
      </c>
      <c r="AQ23" s="766" t="s">
        <v>199</v>
      </c>
      <c r="AR23" s="766" t="s">
        <v>199</v>
      </c>
      <c r="AS23" s="766" t="s">
        <v>199</v>
      </c>
      <c r="AT23" s="766" t="s">
        <v>199</v>
      </c>
      <c r="AU23" s="766" t="s">
        <v>199</v>
      </c>
      <c r="AV23" s="766" t="s">
        <v>199</v>
      </c>
    </row>
    <row r="24" ht="20.5" customHeight="1" spans="2:48">
      <c r="B24" s="767" t="s">
        <v>281</v>
      </c>
      <c r="C24" s="768" t="s">
        <v>1466</v>
      </c>
      <c r="D24" s="768" t="s">
        <v>1466</v>
      </c>
      <c r="E24" s="768" t="s">
        <v>1466</v>
      </c>
      <c r="F24" s="768" t="s">
        <v>1466</v>
      </c>
      <c r="G24" s="768" t="s">
        <v>1466</v>
      </c>
      <c r="H24" s="768"/>
      <c r="I24" s="769" t="s">
        <v>1464</v>
      </c>
      <c r="J24" s="769" t="s">
        <v>199</v>
      </c>
      <c r="K24" s="769" t="s">
        <v>199</v>
      </c>
      <c r="L24" s="769" t="s">
        <v>1464</v>
      </c>
      <c r="M24" s="769" t="s">
        <v>1464</v>
      </c>
      <c r="N24" s="769" t="s">
        <v>1464</v>
      </c>
      <c r="O24" s="769" t="s">
        <v>1464</v>
      </c>
      <c r="P24" s="769" t="s">
        <v>1464</v>
      </c>
      <c r="Q24" s="769" t="s">
        <v>1464</v>
      </c>
      <c r="R24" s="769" t="s">
        <v>1464</v>
      </c>
      <c r="S24" s="769" t="s">
        <v>1464</v>
      </c>
      <c r="T24" s="769" t="s">
        <v>1464</v>
      </c>
      <c r="U24" s="769" t="s">
        <v>1464</v>
      </c>
      <c r="V24" s="769" t="s">
        <v>1464</v>
      </c>
      <c r="W24" s="769" t="s">
        <v>1464</v>
      </c>
      <c r="X24" s="769"/>
      <c r="Y24" s="769" t="s">
        <v>1464</v>
      </c>
      <c r="Z24" s="769" t="s">
        <v>1464</v>
      </c>
      <c r="AA24" s="769" t="s">
        <v>1464</v>
      </c>
      <c r="AB24" s="769" t="s">
        <v>1464</v>
      </c>
      <c r="AC24" s="769" t="s">
        <v>1464</v>
      </c>
      <c r="AD24" s="769" t="s">
        <v>1464</v>
      </c>
      <c r="AE24" s="769" t="s">
        <v>1464</v>
      </c>
      <c r="AF24" s="769" t="s">
        <v>1464</v>
      </c>
      <c r="AG24" s="769" t="s">
        <v>1464</v>
      </c>
      <c r="AH24" s="769" t="s">
        <v>1464</v>
      </c>
      <c r="AI24" s="769" t="s">
        <v>1464</v>
      </c>
      <c r="AJ24" s="769" t="s">
        <v>1464</v>
      </c>
      <c r="AK24" s="769" t="s">
        <v>1464</v>
      </c>
      <c r="AL24" s="769" t="s">
        <v>1464</v>
      </c>
      <c r="AM24" s="769" t="s">
        <v>1464</v>
      </c>
      <c r="AN24" s="769" t="s">
        <v>1464</v>
      </c>
      <c r="AO24" s="769" t="s">
        <v>1464</v>
      </c>
      <c r="AP24" s="769" t="s">
        <v>1464</v>
      </c>
      <c r="AQ24" s="769" t="s">
        <v>1464</v>
      </c>
      <c r="AR24" s="769" t="s">
        <v>1464</v>
      </c>
      <c r="AS24" s="769" t="s">
        <v>1464</v>
      </c>
      <c r="AT24" s="769" t="s">
        <v>1464</v>
      </c>
      <c r="AU24" s="769" t="s">
        <v>1464</v>
      </c>
      <c r="AV24" s="769" t="s">
        <v>1464</v>
      </c>
    </row>
    <row r="25" ht="15" customHeight="1" spans="2:48">
      <c r="B25" s="767" t="s">
        <v>1467</v>
      </c>
      <c r="C25" s="770"/>
      <c r="D25" s="770"/>
      <c r="E25" s="770" t="s">
        <v>1424</v>
      </c>
      <c r="F25" s="770"/>
      <c r="G25" s="770" t="s">
        <v>1425</v>
      </c>
      <c r="H25" s="770"/>
      <c r="I25" s="769" t="s">
        <v>1464</v>
      </c>
      <c r="J25" s="769" t="s">
        <v>199</v>
      </c>
      <c r="K25" s="769" t="s">
        <v>199</v>
      </c>
      <c r="L25" s="748"/>
      <c r="M25" s="800"/>
      <c r="N25" s="800"/>
      <c r="O25" s="800"/>
      <c r="P25" s="800"/>
      <c r="Q25" s="800"/>
      <c r="R25" s="800"/>
      <c r="S25" s="800"/>
      <c r="T25" s="800"/>
      <c r="U25" s="800"/>
      <c r="V25" s="748"/>
      <c r="W25" s="748"/>
      <c r="X25" s="748"/>
      <c r="Y25" s="748"/>
      <c r="Z25" s="800"/>
      <c r="AA25" s="800"/>
      <c r="AB25" s="800"/>
      <c r="AC25" s="800"/>
      <c r="AD25" s="800"/>
      <c r="AE25" s="800"/>
      <c r="AF25" s="800"/>
      <c r="AG25" s="800"/>
      <c r="AH25" s="800"/>
      <c r="AI25" s="748"/>
      <c r="AJ25" s="748"/>
      <c r="AK25" s="748"/>
      <c r="AL25" s="800"/>
      <c r="AM25" s="800"/>
      <c r="AN25" s="800"/>
      <c r="AO25" s="800"/>
      <c r="AP25" s="800"/>
      <c r="AQ25" s="800"/>
      <c r="AR25" s="800"/>
      <c r="AS25" s="800"/>
      <c r="AT25" s="800"/>
      <c r="AU25" s="748"/>
      <c r="AV25" s="748"/>
    </row>
    <row r="26" ht="15" customHeight="1" spans="2:48">
      <c r="B26" s="767" t="s">
        <v>1469</v>
      </c>
      <c r="C26" s="770"/>
      <c r="D26" s="770"/>
      <c r="E26" s="770"/>
      <c r="F26" s="770"/>
      <c r="G26" s="770" t="s">
        <v>1426</v>
      </c>
      <c r="H26" s="770"/>
      <c r="I26" s="769" t="s">
        <v>1464</v>
      </c>
      <c r="J26" s="769" t="s">
        <v>199</v>
      </c>
      <c r="K26" s="769" t="s">
        <v>199</v>
      </c>
      <c r="L26" s="748"/>
      <c r="M26" s="748"/>
      <c r="N26" s="748"/>
      <c r="O26" s="748"/>
      <c r="P26" s="800"/>
      <c r="Q26" s="800"/>
      <c r="R26" s="800"/>
      <c r="S26" s="800"/>
      <c r="T26" s="800"/>
      <c r="U26" s="800"/>
      <c r="V26" s="748"/>
      <c r="W26" s="748"/>
      <c r="X26" s="748"/>
      <c r="Y26" s="748"/>
      <c r="Z26" s="748"/>
      <c r="AA26" s="748"/>
      <c r="AB26" s="748"/>
      <c r="AC26" s="800"/>
      <c r="AD26" s="800"/>
      <c r="AE26" s="800"/>
      <c r="AF26" s="800"/>
      <c r="AG26" s="800"/>
      <c r="AH26" s="800"/>
      <c r="AI26" s="748"/>
      <c r="AJ26" s="748"/>
      <c r="AK26" s="748"/>
      <c r="AL26" s="748"/>
      <c r="AM26" s="748"/>
      <c r="AN26" s="748"/>
      <c r="AO26" s="800"/>
      <c r="AP26" s="800"/>
      <c r="AQ26" s="800"/>
      <c r="AR26" s="800"/>
      <c r="AS26" s="800"/>
      <c r="AT26" s="800"/>
      <c r="AU26" s="748"/>
      <c r="AV26" s="748"/>
    </row>
    <row r="27" ht="15" customHeight="1" spans="2:48">
      <c r="B27" s="767" t="s">
        <v>1471</v>
      </c>
      <c r="C27" s="770"/>
      <c r="D27" s="770"/>
      <c r="E27" s="770" t="s">
        <v>1568</v>
      </c>
      <c r="F27" s="770"/>
      <c r="G27" s="770"/>
      <c r="H27" s="770"/>
      <c r="I27" s="769" t="s">
        <v>1464</v>
      </c>
      <c r="J27" s="769" t="s">
        <v>199</v>
      </c>
      <c r="K27" s="769" t="s">
        <v>199</v>
      </c>
      <c r="L27" s="800"/>
      <c r="M27" s="800"/>
      <c r="N27" s="800"/>
      <c r="O27" s="800"/>
      <c r="P27" s="800"/>
      <c r="Q27" s="800"/>
      <c r="R27" s="800"/>
      <c r="S27" s="800"/>
      <c r="T27" s="800"/>
      <c r="U27" s="800"/>
      <c r="V27" s="748"/>
      <c r="W27" s="748"/>
      <c r="X27" s="748"/>
      <c r="Y27" s="800"/>
      <c r="Z27" s="800"/>
      <c r="AA27" s="800"/>
      <c r="AB27" s="800"/>
      <c r="AC27" s="800"/>
      <c r="AD27" s="800"/>
      <c r="AE27" s="800"/>
      <c r="AF27" s="800"/>
      <c r="AG27" s="800"/>
      <c r="AH27" s="800"/>
      <c r="AI27" s="748"/>
      <c r="AJ27" s="748"/>
      <c r="AK27" s="800"/>
      <c r="AL27" s="800"/>
      <c r="AM27" s="800"/>
      <c r="AN27" s="800"/>
      <c r="AO27" s="800"/>
      <c r="AP27" s="800"/>
      <c r="AQ27" s="800"/>
      <c r="AR27" s="800"/>
      <c r="AS27" s="800"/>
      <c r="AT27" s="800"/>
      <c r="AU27" s="748"/>
      <c r="AV27" s="748"/>
    </row>
    <row r="28" ht="15" customHeight="1" spans="2:48">
      <c r="B28" s="767" t="s">
        <v>1472</v>
      </c>
      <c r="C28" s="770"/>
      <c r="D28" s="770"/>
      <c r="E28" s="770"/>
      <c r="F28" s="770"/>
      <c r="G28" s="770"/>
      <c r="H28" s="770"/>
      <c r="I28" s="769" t="s">
        <v>1464</v>
      </c>
      <c r="J28" s="769" t="s">
        <v>199</v>
      </c>
      <c r="K28" s="769" t="s">
        <v>199</v>
      </c>
      <c r="L28" s="800"/>
      <c r="M28" s="800"/>
      <c r="N28" s="800"/>
      <c r="O28" s="800"/>
      <c r="P28" s="800"/>
      <c r="Q28" s="800"/>
      <c r="R28" s="800"/>
      <c r="S28" s="748"/>
      <c r="T28" s="800"/>
      <c r="U28" s="748"/>
      <c r="V28" s="748"/>
      <c r="W28" s="748"/>
      <c r="X28" s="748"/>
      <c r="Y28" s="800"/>
      <c r="Z28" s="800"/>
      <c r="AA28" s="800"/>
      <c r="AB28" s="800"/>
      <c r="AC28" s="800"/>
      <c r="AD28" s="800"/>
      <c r="AE28" s="800"/>
      <c r="AF28" s="748"/>
      <c r="AG28" s="800"/>
      <c r="AH28" s="748"/>
      <c r="AI28" s="748"/>
      <c r="AJ28" s="748"/>
      <c r="AK28" s="800"/>
      <c r="AL28" s="800"/>
      <c r="AM28" s="800"/>
      <c r="AN28" s="800"/>
      <c r="AO28" s="800"/>
      <c r="AP28" s="800"/>
      <c r="AQ28" s="800"/>
      <c r="AR28" s="748"/>
      <c r="AS28" s="800"/>
      <c r="AT28" s="748"/>
      <c r="AU28" s="748"/>
      <c r="AV28" s="748"/>
    </row>
    <row r="29" ht="15" customHeight="1" spans="2:48">
      <c r="B29" s="767" t="s">
        <v>1473</v>
      </c>
      <c r="C29" s="770"/>
      <c r="D29" s="770"/>
      <c r="E29" s="770"/>
      <c r="F29" s="770"/>
      <c r="G29" s="770"/>
      <c r="H29" s="770"/>
      <c r="I29" s="769" t="s">
        <v>1464</v>
      </c>
      <c r="J29" s="769" t="s">
        <v>199</v>
      </c>
      <c r="K29" s="769" t="s">
        <v>199</v>
      </c>
      <c r="L29" s="748"/>
      <c r="M29" s="748"/>
      <c r="N29" s="748"/>
      <c r="O29" s="748"/>
      <c r="P29" s="748"/>
      <c r="Q29" s="748"/>
      <c r="R29" s="748"/>
      <c r="S29" s="748"/>
      <c r="T29" s="800"/>
      <c r="U29" s="800"/>
      <c r="V29" s="749"/>
      <c r="W29" s="749"/>
      <c r="X29" s="749"/>
      <c r="Y29" s="748"/>
      <c r="Z29" s="748"/>
      <c r="AA29" s="748"/>
      <c r="AB29" s="748"/>
      <c r="AC29" s="748"/>
      <c r="AD29" s="748"/>
      <c r="AE29" s="748"/>
      <c r="AF29" s="748"/>
      <c r="AG29" s="800"/>
      <c r="AH29" s="800"/>
      <c r="AI29" s="749"/>
      <c r="AJ29" s="749"/>
      <c r="AK29" s="748"/>
      <c r="AL29" s="748"/>
      <c r="AM29" s="748"/>
      <c r="AN29" s="748"/>
      <c r="AO29" s="748"/>
      <c r="AP29" s="748"/>
      <c r="AQ29" s="748"/>
      <c r="AR29" s="748"/>
      <c r="AS29" s="800"/>
      <c r="AT29" s="800"/>
      <c r="AU29" s="749"/>
      <c r="AV29" s="749"/>
    </row>
    <row r="30" ht="15" customHeight="1" spans="2:48">
      <c r="B30" s="767" t="s">
        <v>1474</v>
      </c>
      <c r="C30" s="770"/>
      <c r="D30" s="770"/>
      <c r="E30" s="770"/>
      <c r="F30" s="770"/>
      <c r="G30" s="770"/>
      <c r="H30" s="770"/>
      <c r="I30" s="769" t="s">
        <v>1464</v>
      </c>
      <c r="J30" s="769" t="s">
        <v>199</v>
      </c>
      <c r="K30" s="769" t="s">
        <v>199</v>
      </c>
      <c r="L30" s="800"/>
      <c r="M30" s="800"/>
      <c r="N30" s="800"/>
      <c r="O30" s="800"/>
      <c r="P30" s="800"/>
      <c r="Q30" s="800"/>
      <c r="R30" s="800"/>
      <c r="S30" s="800"/>
      <c r="T30" s="800"/>
      <c r="U30" s="800"/>
      <c r="V30" s="749"/>
      <c r="W30" s="749"/>
      <c r="X30" s="749"/>
      <c r="Y30" s="800"/>
      <c r="Z30" s="800"/>
      <c r="AA30" s="800"/>
      <c r="AB30" s="800"/>
      <c r="AC30" s="800"/>
      <c r="AD30" s="800"/>
      <c r="AE30" s="800"/>
      <c r="AF30" s="800"/>
      <c r="AG30" s="800"/>
      <c r="AH30" s="800"/>
      <c r="AI30" s="749"/>
      <c r="AJ30" s="749"/>
      <c r="AK30" s="800"/>
      <c r="AL30" s="800"/>
      <c r="AM30" s="800"/>
      <c r="AN30" s="800"/>
      <c r="AO30" s="800"/>
      <c r="AP30" s="800"/>
      <c r="AQ30" s="800"/>
      <c r="AR30" s="800"/>
      <c r="AS30" s="800"/>
      <c r="AT30" s="800"/>
      <c r="AU30" s="749"/>
      <c r="AV30" s="749"/>
    </row>
    <row r="31" ht="15" customHeight="1" spans="2:48">
      <c r="B31" s="767" t="s">
        <v>1475</v>
      </c>
      <c r="C31" s="770"/>
      <c r="D31" s="770"/>
      <c r="E31" s="770"/>
      <c r="F31" s="770"/>
      <c r="G31" s="770"/>
      <c r="H31" s="770"/>
      <c r="I31" s="769" t="s">
        <v>1464</v>
      </c>
      <c r="J31" s="769" t="s">
        <v>199</v>
      </c>
      <c r="K31" s="769" t="s">
        <v>199</v>
      </c>
      <c r="L31" s="750"/>
      <c r="M31" s="750"/>
      <c r="N31" s="750"/>
      <c r="O31" s="750"/>
      <c r="P31" s="750"/>
      <c r="Q31" s="750"/>
      <c r="R31" s="750"/>
      <c r="S31" s="750"/>
      <c r="T31" s="750"/>
      <c r="U31" s="750"/>
      <c r="V31" s="750"/>
      <c r="W31" s="750"/>
      <c r="X31" s="750"/>
      <c r="Y31" s="750"/>
      <c r="Z31" s="750"/>
      <c r="AA31" s="750"/>
      <c r="AB31" s="750"/>
      <c r="AC31" s="750"/>
      <c r="AD31" s="750"/>
      <c r="AE31" s="750"/>
      <c r="AF31" s="750"/>
      <c r="AG31" s="750"/>
      <c r="AH31" s="750"/>
      <c r="AI31" s="750"/>
      <c r="AJ31" s="750"/>
      <c r="AK31" s="750"/>
      <c r="AL31" s="750"/>
      <c r="AM31" s="750"/>
      <c r="AN31" s="750"/>
      <c r="AO31" s="750"/>
      <c r="AP31" s="750"/>
      <c r="AQ31" s="750"/>
      <c r="AR31" s="750"/>
      <c r="AS31" s="750"/>
      <c r="AT31" s="750"/>
      <c r="AU31" s="750"/>
      <c r="AV31" s="750"/>
    </row>
    <row r="32" ht="15" customHeight="1" spans="2:48">
      <c r="B32" s="767" t="s">
        <v>1476</v>
      </c>
      <c r="C32" s="770"/>
      <c r="D32" s="770"/>
      <c r="E32" s="770"/>
      <c r="F32" s="770"/>
      <c r="G32" s="770"/>
      <c r="H32" s="770"/>
      <c r="I32" s="769" t="s">
        <v>1464</v>
      </c>
      <c r="J32" s="769" t="s">
        <v>199</v>
      </c>
      <c r="K32" s="769" t="s">
        <v>199</v>
      </c>
      <c r="L32" s="750"/>
      <c r="M32" s="750"/>
      <c r="N32" s="750"/>
      <c r="O32" s="750"/>
      <c r="P32" s="750"/>
      <c r="Q32" s="750"/>
      <c r="R32" s="750"/>
      <c r="S32" s="750"/>
      <c r="T32" s="750"/>
      <c r="U32" s="750"/>
      <c r="V32" s="750"/>
      <c r="W32" s="750"/>
      <c r="X32" s="750"/>
      <c r="Y32" s="750"/>
      <c r="Z32" s="750"/>
      <c r="AA32" s="750"/>
      <c r="AB32" s="750"/>
      <c r="AC32" s="750"/>
      <c r="AD32" s="750"/>
      <c r="AE32" s="750"/>
      <c r="AF32" s="750"/>
      <c r="AG32" s="750"/>
      <c r="AH32" s="750"/>
      <c r="AI32" s="750"/>
      <c r="AJ32" s="750"/>
      <c r="AK32" s="750"/>
      <c r="AL32" s="750"/>
      <c r="AM32" s="750"/>
      <c r="AN32" s="750"/>
      <c r="AO32" s="750"/>
      <c r="AP32" s="750"/>
      <c r="AQ32" s="750"/>
      <c r="AR32" s="750"/>
      <c r="AS32" s="750"/>
      <c r="AT32" s="750"/>
      <c r="AU32" s="750"/>
      <c r="AV32" s="750"/>
    </row>
    <row r="33" ht="15" customHeight="1" spans="2:48">
      <c r="B33" s="767" t="s">
        <v>1477</v>
      </c>
      <c r="C33" s="784"/>
      <c r="D33" s="785"/>
      <c r="E33" s="785"/>
      <c r="F33" s="785"/>
      <c r="G33" s="784"/>
      <c r="H33" s="770"/>
      <c r="I33" s="769" t="s">
        <v>1464</v>
      </c>
      <c r="J33" s="769" t="s">
        <v>199</v>
      </c>
      <c r="K33" s="769" t="s">
        <v>199</v>
      </c>
      <c r="L33" s="750"/>
      <c r="M33" s="750"/>
      <c r="N33" s="750"/>
      <c r="O33" s="750"/>
      <c r="P33" s="750"/>
      <c r="Q33" s="750"/>
      <c r="R33" s="750"/>
      <c r="S33" s="750"/>
      <c r="T33" s="750"/>
      <c r="U33" s="750"/>
      <c r="V33" s="750"/>
      <c r="W33" s="750"/>
      <c r="X33" s="750"/>
      <c r="Y33" s="750"/>
      <c r="Z33" s="750"/>
      <c r="AA33" s="750"/>
      <c r="AB33" s="750"/>
      <c r="AC33" s="750"/>
      <c r="AD33" s="750"/>
      <c r="AE33" s="750"/>
      <c r="AF33" s="750"/>
      <c r="AG33" s="750"/>
      <c r="AH33" s="750"/>
      <c r="AI33" s="750"/>
      <c r="AJ33" s="750"/>
      <c r="AK33" s="750"/>
      <c r="AL33" s="750"/>
      <c r="AM33" s="750"/>
      <c r="AN33" s="750"/>
      <c r="AO33" s="750"/>
      <c r="AP33" s="750"/>
      <c r="AQ33" s="750"/>
      <c r="AR33" s="750"/>
      <c r="AS33" s="750"/>
      <c r="AT33" s="750"/>
      <c r="AU33" s="750"/>
      <c r="AV33" s="750"/>
    </row>
    <row r="34" ht="15" customHeight="1" spans="2:48">
      <c r="B34" s="767" t="s">
        <v>1478</v>
      </c>
      <c r="C34" s="784"/>
      <c r="D34" s="785"/>
      <c r="E34" s="785"/>
      <c r="F34" s="785"/>
      <c r="G34" s="784"/>
      <c r="H34" s="770"/>
      <c r="I34" s="769" t="s">
        <v>1464</v>
      </c>
      <c r="J34" s="769" t="s">
        <v>199</v>
      </c>
      <c r="K34" s="769" t="s">
        <v>199</v>
      </c>
      <c r="L34" s="750"/>
      <c r="M34" s="750"/>
      <c r="N34" s="750"/>
      <c r="O34" s="750"/>
      <c r="P34" s="750"/>
      <c r="Q34" s="750"/>
      <c r="R34" s="750"/>
      <c r="S34" s="750"/>
      <c r="T34" s="750"/>
      <c r="U34" s="750"/>
      <c r="V34" s="750"/>
      <c r="W34" s="750"/>
      <c r="X34" s="750"/>
      <c r="Y34" s="750"/>
      <c r="Z34" s="750"/>
      <c r="AA34" s="750"/>
      <c r="AB34" s="750"/>
      <c r="AC34" s="750"/>
      <c r="AD34" s="750"/>
      <c r="AE34" s="750"/>
      <c r="AF34" s="750"/>
      <c r="AG34" s="750"/>
      <c r="AH34" s="750"/>
      <c r="AI34" s="750"/>
      <c r="AJ34" s="750"/>
      <c r="AK34" s="750"/>
      <c r="AL34" s="750"/>
      <c r="AM34" s="750"/>
      <c r="AN34" s="750"/>
      <c r="AO34" s="750"/>
      <c r="AP34" s="750"/>
      <c r="AQ34" s="750"/>
      <c r="AR34" s="750"/>
      <c r="AS34" s="750"/>
      <c r="AT34" s="750"/>
      <c r="AU34" s="750"/>
      <c r="AV34" s="750"/>
    </row>
    <row r="35" ht="15" customHeight="1" spans="2:48">
      <c r="B35" s="767" t="s">
        <v>1479</v>
      </c>
      <c r="C35" s="784"/>
      <c r="D35" s="785"/>
      <c r="E35" s="785"/>
      <c r="F35" s="785"/>
      <c r="G35" s="784"/>
      <c r="H35" s="770"/>
      <c r="I35" s="769" t="s">
        <v>1464</v>
      </c>
      <c r="J35" s="769" t="s">
        <v>199</v>
      </c>
      <c r="K35" s="769" t="s">
        <v>199</v>
      </c>
      <c r="L35" s="750"/>
      <c r="M35" s="750"/>
      <c r="N35" s="750"/>
      <c r="O35" s="750"/>
      <c r="P35" s="750"/>
      <c r="Q35" s="750"/>
      <c r="R35" s="750"/>
      <c r="S35" s="750"/>
      <c r="T35" s="750"/>
      <c r="U35" s="750"/>
      <c r="V35" s="750"/>
      <c r="W35" s="750"/>
      <c r="X35" s="750"/>
      <c r="Y35" s="750"/>
      <c r="Z35" s="750"/>
      <c r="AA35" s="750"/>
      <c r="AB35" s="750"/>
      <c r="AC35" s="750"/>
      <c r="AD35" s="750"/>
      <c r="AE35" s="750"/>
      <c r="AF35" s="750"/>
      <c r="AG35" s="750"/>
      <c r="AH35" s="750"/>
      <c r="AI35" s="750"/>
      <c r="AJ35" s="750"/>
      <c r="AK35" s="750"/>
      <c r="AL35" s="750"/>
      <c r="AM35" s="750"/>
      <c r="AN35" s="750"/>
      <c r="AO35" s="750"/>
      <c r="AP35" s="750"/>
      <c r="AQ35" s="750"/>
      <c r="AR35" s="750"/>
      <c r="AS35" s="750"/>
      <c r="AT35" s="750"/>
      <c r="AU35" s="750"/>
      <c r="AV35" s="750"/>
    </row>
    <row r="36" ht="15" customHeight="1" spans="2:48">
      <c r="B36" s="767" t="s">
        <v>1480</v>
      </c>
      <c r="C36" s="784"/>
      <c r="D36" s="785"/>
      <c r="E36" s="785"/>
      <c r="F36" s="785"/>
      <c r="G36" s="784"/>
      <c r="H36" s="770"/>
      <c r="I36" s="769" t="s">
        <v>1464</v>
      </c>
      <c r="J36" s="769" t="s">
        <v>199</v>
      </c>
      <c r="K36" s="769" t="s">
        <v>199</v>
      </c>
      <c r="L36" s="750"/>
      <c r="M36" s="750"/>
      <c r="N36" s="750"/>
      <c r="O36" s="750"/>
      <c r="P36" s="750"/>
      <c r="Q36" s="750"/>
      <c r="R36" s="750"/>
      <c r="S36" s="750"/>
      <c r="T36" s="750"/>
      <c r="U36" s="750"/>
      <c r="V36" s="750"/>
      <c r="W36" s="750"/>
      <c r="X36" s="750"/>
      <c r="Y36" s="750"/>
      <c r="Z36" s="750"/>
      <c r="AA36" s="750"/>
      <c r="AB36" s="750"/>
      <c r="AC36" s="750"/>
      <c r="AD36" s="750"/>
      <c r="AE36" s="750"/>
      <c r="AF36" s="750"/>
      <c r="AG36" s="750"/>
      <c r="AH36" s="750"/>
      <c r="AI36" s="750"/>
      <c r="AJ36" s="750"/>
      <c r="AK36" s="750"/>
      <c r="AL36" s="750"/>
      <c r="AM36" s="750"/>
      <c r="AN36" s="750"/>
      <c r="AO36" s="750"/>
      <c r="AP36" s="750"/>
      <c r="AQ36" s="750"/>
      <c r="AR36" s="750"/>
      <c r="AS36" s="750"/>
      <c r="AT36" s="750"/>
      <c r="AU36" s="750"/>
      <c r="AV36" s="750"/>
    </row>
    <row r="37" ht="15" customHeight="1" spans="2:48">
      <c r="B37" s="767" t="s">
        <v>1481</v>
      </c>
      <c r="C37" s="784"/>
      <c r="D37" s="784"/>
      <c r="E37" s="784"/>
      <c r="F37" s="784"/>
      <c r="G37" s="784"/>
      <c r="H37" s="770"/>
      <c r="I37" s="769" t="s">
        <v>1464</v>
      </c>
      <c r="J37" s="769" t="s">
        <v>199</v>
      </c>
      <c r="K37" s="769" t="s">
        <v>199</v>
      </c>
      <c r="L37" s="750"/>
      <c r="M37" s="750"/>
      <c r="N37" s="750"/>
      <c r="O37" s="750"/>
      <c r="P37" s="750"/>
      <c r="Q37" s="750"/>
      <c r="R37" s="750"/>
      <c r="S37" s="750"/>
      <c r="T37" s="750"/>
      <c r="U37" s="750"/>
      <c r="V37" s="750"/>
      <c r="W37" s="750"/>
      <c r="X37" s="750"/>
      <c r="Y37" s="750"/>
      <c r="Z37" s="750"/>
      <c r="AA37" s="750"/>
      <c r="AB37" s="750"/>
      <c r="AC37" s="750"/>
      <c r="AD37" s="750"/>
      <c r="AE37" s="750"/>
      <c r="AF37" s="750"/>
      <c r="AG37" s="750"/>
      <c r="AH37" s="750"/>
      <c r="AI37" s="750"/>
      <c r="AJ37" s="750"/>
      <c r="AK37" s="750"/>
      <c r="AL37" s="750"/>
      <c r="AM37" s="750"/>
      <c r="AN37" s="750"/>
      <c r="AO37" s="750"/>
      <c r="AP37" s="750"/>
      <c r="AQ37" s="750"/>
      <c r="AR37" s="750"/>
      <c r="AS37" s="750"/>
      <c r="AT37" s="750"/>
      <c r="AU37" s="750"/>
      <c r="AV37" s="750"/>
    </row>
    <row r="38" ht="15" customHeight="1" spans="2:48">
      <c r="B38" s="767" t="s">
        <v>1482</v>
      </c>
      <c r="C38" s="784"/>
      <c r="D38" s="784"/>
      <c r="E38" s="784"/>
      <c r="F38" s="784"/>
      <c r="G38" s="784"/>
      <c r="H38" s="770"/>
      <c r="I38" s="769" t="s">
        <v>1464</v>
      </c>
      <c r="J38" s="769" t="s">
        <v>199</v>
      </c>
      <c r="K38" s="769" t="s">
        <v>199</v>
      </c>
      <c r="L38" s="750"/>
      <c r="M38" s="750"/>
      <c r="N38" s="750"/>
      <c r="O38" s="750"/>
      <c r="P38" s="750"/>
      <c r="Q38" s="750"/>
      <c r="R38" s="750"/>
      <c r="S38" s="750"/>
      <c r="T38" s="750"/>
      <c r="U38" s="750"/>
      <c r="V38" s="750"/>
      <c r="W38" s="750"/>
      <c r="X38" s="750"/>
      <c r="Y38" s="750"/>
      <c r="Z38" s="750"/>
      <c r="AA38" s="750"/>
      <c r="AB38" s="750"/>
      <c r="AC38" s="750"/>
      <c r="AD38" s="750"/>
      <c r="AE38" s="750"/>
      <c r="AF38" s="750"/>
      <c r="AG38" s="750"/>
      <c r="AH38" s="750"/>
      <c r="AI38" s="750"/>
      <c r="AJ38" s="750"/>
      <c r="AK38" s="750"/>
      <c r="AL38" s="750"/>
      <c r="AM38" s="750"/>
      <c r="AN38" s="750"/>
      <c r="AO38" s="750"/>
      <c r="AP38" s="750"/>
      <c r="AQ38" s="750"/>
      <c r="AR38" s="750"/>
      <c r="AS38" s="750"/>
      <c r="AT38" s="750"/>
      <c r="AU38" s="750"/>
      <c r="AV38" s="750"/>
    </row>
    <row r="39" ht="15" customHeight="1" spans="2:48">
      <c r="B39" s="767" t="s">
        <v>1483</v>
      </c>
      <c r="C39" s="784"/>
      <c r="D39" s="784"/>
      <c r="E39" s="784"/>
      <c r="F39" s="784"/>
      <c r="G39" s="784"/>
      <c r="H39" s="770"/>
      <c r="I39" s="769" t="s">
        <v>1464</v>
      </c>
      <c r="J39" s="769" t="s">
        <v>199</v>
      </c>
      <c r="K39" s="769" t="s">
        <v>199</v>
      </c>
      <c r="L39" s="750"/>
      <c r="M39" s="750"/>
      <c r="N39" s="750"/>
      <c r="O39" s="750"/>
      <c r="P39" s="750"/>
      <c r="Q39" s="750"/>
      <c r="R39" s="750"/>
      <c r="S39" s="750"/>
      <c r="T39" s="750"/>
      <c r="U39" s="750"/>
      <c r="V39" s="750"/>
      <c r="W39" s="750"/>
      <c r="X39" s="750"/>
      <c r="Y39" s="750"/>
      <c r="Z39" s="750"/>
      <c r="AA39" s="750"/>
      <c r="AB39" s="750"/>
      <c r="AC39" s="750"/>
      <c r="AD39" s="750"/>
      <c r="AE39" s="750"/>
      <c r="AF39" s="750"/>
      <c r="AG39" s="750"/>
      <c r="AH39" s="750"/>
      <c r="AI39" s="750"/>
      <c r="AJ39" s="750"/>
      <c r="AK39" s="750"/>
      <c r="AL39" s="750"/>
      <c r="AM39" s="750"/>
      <c r="AN39" s="750"/>
      <c r="AO39" s="750"/>
      <c r="AP39" s="750"/>
      <c r="AQ39" s="750"/>
      <c r="AR39" s="750"/>
      <c r="AS39" s="750"/>
      <c r="AT39" s="750"/>
      <c r="AU39" s="750"/>
      <c r="AV39" s="750"/>
    </row>
    <row r="40" ht="15" customHeight="1" spans="2:48">
      <c r="B40" s="767" t="s">
        <v>1484</v>
      </c>
      <c r="C40" s="784"/>
      <c r="D40" s="784"/>
      <c r="E40" s="784"/>
      <c r="F40" s="784"/>
      <c r="G40" s="784"/>
      <c r="H40" s="770"/>
      <c r="I40" s="769" t="s">
        <v>1464</v>
      </c>
      <c r="J40" s="769" t="s">
        <v>199</v>
      </c>
      <c r="K40" s="769" t="s">
        <v>199</v>
      </c>
      <c r="L40" s="750"/>
      <c r="M40" s="750"/>
      <c r="N40" s="750"/>
      <c r="O40" s="750"/>
      <c r="P40" s="750"/>
      <c r="Q40" s="750"/>
      <c r="R40" s="750"/>
      <c r="S40" s="750"/>
      <c r="T40" s="750"/>
      <c r="U40" s="750"/>
      <c r="V40" s="750"/>
      <c r="W40" s="750"/>
      <c r="X40" s="750"/>
      <c r="Y40" s="750"/>
      <c r="Z40" s="750"/>
      <c r="AA40" s="750"/>
      <c r="AB40" s="750"/>
      <c r="AC40" s="750"/>
      <c r="AD40" s="750"/>
      <c r="AE40" s="750"/>
      <c r="AF40" s="750"/>
      <c r="AG40" s="750"/>
      <c r="AH40" s="750"/>
      <c r="AI40" s="750"/>
      <c r="AJ40" s="750"/>
      <c r="AK40" s="750"/>
      <c r="AL40" s="750"/>
      <c r="AM40" s="750"/>
      <c r="AN40" s="750"/>
      <c r="AO40" s="750"/>
      <c r="AP40" s="750"/>
      <c r="AQ40" s="750"/>
      <c r="AR40" s="750"/>
      <c r="AS40" s="750"/>
      <c r="AT40" s="750"/>
      <c r="AU40" s="750"/>
      <c r="AV40" s="750"/>
    </row>
    <row r="41" ht="15" customHeight="1" spans="2:48">
      <c r="B41" s="767" t="s">
        <v>1485</v>
      </c>
      <c r="C41" s="784"/>
      <c r="D41" s="784"/>
      <c r="E41" s="784"/>
      <c r="F41" s="784"/>
      <c r="G41" s="784"/>
      <c r="H41" s="770"/>
      <c r="I41" s="769" t="s">
        <v>1464</v>
      </c>
      <c r="J41" s="769" t="s">
        <v>199</v>
      </c>
      <c r="K41" s="769" t="s">
        <v>199</v>
      </c>
      <c r="L41" s="750"/>
      <c r="M41" s="750"/>
      <c r="N41" s="750"/>
      <c r="O41" s="750"/>
      <c r="P41" s="750"/>
      <c r="Q41" s="750"/>
      <c r="R41" s="750"/>
      <c r="S41" s="750"/>
      <c r="T41" s="750"/>
      <c r="U41" s="750"/>
      <c r="V41" s="750"/>
      <c r="W41" s="750"/>
      <c r="X41" s="750"/>
      <c r="Y41" s="750"/>
      <c r="Z41" s="750"/>
      <c r="AA41" s="750"/>
      <c r="AB41" s="750"/>
      <c r="AC41" s="750"/>
      <c r="AD41" s="750"/>
      <c r="AE41" s="750"/>
      <c r="AF41" s="750"/>
      <c r="AG41" s="750"/>
      <c r="AH41" s="750"/>
      <c r="AI41" s="750"/>
      <c r="AJ41" s="750"/>
      <c r="AK41" s="750"/>
      <c r="AL41" s="750"/>
      <c r="AM41" s="750"/>
      <c r="AN41" s="750"/>
      <c r="AO41" s="750"/>
      <c r="AP41" s="750"/>
      <c r="AQ41" s="750"/>
      <c r="AR41" s="750"/>
      <c r="AS41" s="750"/>
      <c r="AT41" s="750"/>
      <c r="AU41" s="750"/>
      <c r="AV41" s="750"/>
    </row>
    <row r="42" ht="15" customHeight="1" spans="2:48">
      <c r="B42" s="767" t="s">
        <v>1486</v>
      </c>
      <c r="C42" s="784"/>
      <c r="D42" s="784"/>
      <c r="E42" s="784"/>
      <c r="F42" s="784"/>
      <c r="G42" s="784"/>
      <c r="H42" s="770"/>
      <c r="I42" s="769" t="s">
        <v>1464</v>
      </c>
      <c r="J42" s="769" t="s">
        <v>199</v>
      </c>
      <c r="K42" s="769" t="s">
        <v>199</v>
      </c>
      <c r="L42" s="750"/>
      <c r="M42" s="750"/>
      <c r="N42" s="750"/>
      <c r="O42" s="750"/>
      <c r="P42" s="750"/>
      <c r="Q42" s="750"/>
      <c r="R42" s="750"/>
      <c r="S42" s="750"/>
      <c r="T42" s="750"/>
      <c r="U42" s="750"/>
      <c r="V42" s="750"/>
      <c r="W42" s="750"/>
      <c r="X42" s="750"/>
      <c r="Y42" s="750"/>
      <c r="Z42" s="750"/>
      <c r="AA42" s="750"/>
      <c r="AB42" s="750"/>
      <c r="AC42" s="750"/>
      <c r="AD42" s="750"/>
      <c r="AE42" s="750"/>
      <c r="AF42" s="750"/>
      <c r="AG42" s="750"/>
      <c r="AH42" s="750"/>
      <c r="AI42" s="750"/>
      <c r="AJ42" s="750"/>
      <c r="AK42" s="750"/>
      <c r="AL42" s="750"/>
      <c r="AM42" s="750"/>
      <c r="AN42" s="750"/>
      <c r="AO42" s="750"/>
      <c r="AP42" s="750"/>
      <c r="AQ42" s="750"/>
      <c r="AR42" s="750"/>
      <c r="AS42" s="750"/>
      <c r="AT42" s="750"/>
      <c r="AU42" s="750"/>
      <c r="AV42" s="750"/>
    </row>
    <row r="43" ht="15" customHeight="1" spans="2:48">
      <c r="B43" s="767" t="s">
        <v>1487</v>
      </c>
      <c r="C43" s="784"/>
      <c r="D43" s="784"/>
      <c r="E43" s="784"/>
      <c r="F43" s="784"/>
      <c r="G43" s="784"/>
      <c r="H43" s="770"/>
      <c r="I43" s="769" t="s">
        <v>1464</v>
      </c>
      <c r="J43" s="769" t="s">
        <v>199</v>
      </c>
      <c r="K43" s="769" t="s">
        <v>199</v>
      </c>
      <c r="L43" s="750"/>
      <c r="M43" s="750"/>
      <c r="N43" s="750"/>
      <c r="O43" s="750"/>
      <c r="P43" s="750"/>
      <c r="Q43" s="750"/>
      <c r="R43" s="750"/>
      <c r="S43" s="750"/>
      <c r="T43" s="750"/>
      <c r="U43" s="750"/>
      <c r="V43" s="750"/>
      <c r="W43" s="750"/>
      <c r="X43" s="750"/>
      <c r="Y43" s="750"/>
      <c r="Z43" s="750"/>
      <c r="AA43" s="750"/>
      <c r="AB43" s="750"/>
      <c r="AC43" s="750"/>
      <c r="AD43" s="750"/>
      <c r="AE43" s="750"/>
      <c r="AF43" s="750"/>
      <c r="AG43" s="750"/>
      <c r="AH43" s="750"/>
      <c r="AI43" s="750"/>
      <c r="AJ43" s="750"/>
      <c r="AK43" s="750"/>
      <c r="AL43" s="750"/>
      <c r="AM43" s="750"/>
      <c r="AN43" s="750"/>
      <c r="AO43" s="750"/>
      <c r="AP43" s="750"/>
      <c r="AQ43" s="750"/>
      <c r="AR43" s="750"/>
      <c r="AS43" s="750"/>
      <c r="AT43" s="750"/>
      <c r="AU43" s="750"/>
      <c r="AV43" s="750"/>
    </row>
    <row r="44" ht="15" customHeight="1" spans="2:48">
      <c r="B44" s="767" t="s">
        <v>1488</v>
      </c>
      <c r="C44" s="784"/>
      <c r="D44" s="784"/>
      <c r="E44" s="784"/>
      <c r="F44" s="784"/>
      <c r="G44" s="784"/>
      <c r="H44" s="770"/>
      <c r="I44" s="769" t="s">
        <v>1464</v>
      </c>
      <c r="J44" s="769" t="s">
        <v>199</v>
      </c>
      <c r="K44" s="769" t="s">
        <v>199</v>
      </c>
      <c r="L44" s="750"/>
      <c r="M44" s="750"/>
      <c r="N44" s="750"/>
      <c r="O44" s="750"/>
      <c r="P44" s="750"/>
      <c r="Q44" s="750"/>
      <c r="R44" s="750"/>
      <c r="S44" s="750"/>
      <c r="T44" s="750"/>
      <c r="U44" s="750"/>
      <c r="V44" s="750"/>
      <c r="W44" s="750"/>
      <c r="X44" s="750"/>
      <c r="Y44" s="750"/>
      <c r="Z44" s="750"/>
      <c r="AA44" s="750"/>
      <c r="AB44" s="750"/>
      <c r="AC44" s="750"/>
      <c r="AD44" s="750"/>
      <c r="AE44" s="750"/>
      <c r="AF44" s="750"/>
      <c r="AG44" s="750"/>
      <c r="AH44" s="750"/>
      <c r="AI44" s="750"/>
      <c r="AJ44" s="750"/>
      <c r="AK44" s="750"/>
      <c r="AL44" s="750"/>
      <c r="AM44" s="750"/>
      <c r="AN44" s="750"/>
      <c r="AO44" s="750"/>
      <c r="AP44" s="750"/>
      <c r="AQ44" s="750"/>
      <c r="AR44" s="750"/>
      <c r="AS44" s="750"/>
      <c r="AT44" s="750"/>
      <c r="AU44" s="750"/>
      <c r="AV44" s="750"/>
    </row>
    <row r="45" ht="15" customHeight="1" spans="2:48">
      <c r="B45" s="767" t="s">
        <v>1489</v>
      </c>
      <c r="C45" s="784"/>
      <c r="D45" s="784"/>
      <c r="E45" s="784"/>
      <c r="F45" s="784"/>
      <c r="G45" s="784"/>
      <c r="H45" s="770"/>
      <c r="I45" s="769" t="s">
        <v>1464</v>
      </c>
      <c r="J45" s="769" t="s">
        <v>199</v>
      </c>
      <c r="K45" s="769" t="s">
        <v>199</v>
      </c>
      <c r="L45" s="750"/>
      <c r="M45" s="750"/>
      <c r="N45" s="750"/>
      <c r="O45" s="750"/>
      <c r="P45" s="750"/>
      <c r="Q45" s="750"/>
      <c r="R45" s="750"/>
      <c r="S45" s="750"/>
      <c r="T45" s="750"/>
      <c r="U45" s="750"/>
      <c r="V45" s="750"/>
      <c r="W45" s="750"/>
      <c r="X45" s="750"/>
      <c r="Y45" s="750"/>
      <c r="Z45" s="750"/>
      <c r="AA45" s="750"/>
      <c r="AB45" s="750"/>
      <c r="AC45" s="750"/>
      <c r="AD45" s="750"/>
      <c r="AE45" s="750"/>
      <c r="AF45" s="750"/>
      <c r="AG45" s="750"/>
      <c r="AH45" s="750"/>
      <c r="AI45" s="750"/>
      <c r="AJ45" s="750"/>
      <c r="AK45" s="750"/>
      <c r="AL45" s="750"/>
      <c r="AM45" s="750"/>
      <c r="AN45" s="750"/>
      <c r="AO45" s="750"/>
      <c r="AP45" s="750"/>
      <c r="AQ45" s="750"/>
      <c r="AR45" s="750"/>
      <c r="AS45" s="750"/>
      <c r="AT45" s="750"/>
      <c r="AU45" s="750"/>
      <c r="AV45" s="750"/>
    </row>
    <row r="46" ht="15" customHeight="1" spans="2:48">
      <c r="B46" s="767" t="s">
        <v>1490</v>
      </c>
      <c r="C46" s="786"/>
      <c r="D46" s="786"/>
      <c r="E46" s="786"/>
      <c r="F46" s="786"/>
      <c r="G46" s="784"/>
      <c r="H46" s="770"/>
      <c r="I46" s="769" t="s">
        <v>1464</v>
      </c>
      <c r="J46" s="769" t="s">
        <v>199</v>
      </c>
      <c r="K46" s="769" t="s">
        <v>199</v>
      </c>
      <c r="L46" s="750"/>
      <c r="M46" s="750"/>
      <c r="N46" s="750"/>
      <c r="O46" s="750"/>
      <c r="P46" s="750"/>
      <c r="Q46" s="750"/>
      <c r="R46" s="750"/>
      <c r="S46" s="750"/>
      <c r="T46" s="750"/>
      <c r="U46" s="750"/>
      <c r="V46" s="750"/>
      <c r="W46" s="750"/>
      <c r="X46" s="750"/>
      <c r="Y46" s="750"/>
      <c r="Z46" s="750"/>
      <c r="AA46" s="750"/>
      <c r="AB46" s="750"/>
      <c r="AC46" s="750"/>
      <c r="AD46" s="750"/>
      <c r="AE46" s="750"/>
      <c r="AF46" s="750"/>
      <c r="AG46" s="750"/>
      <c r="AH46" s="750"/>
      <c r="AI46" s="750"/>
      <c r="AJ46" s="750"/>
      <c r="AK46" s="750"/>
      <c r="AL46" s="750"/>
      <c r="AM46" s="750"/>
      <c r="AN46" s="750"/>
      <c r="AO46" s="750"/>
      <c r="AP46" s="750"/>
      <c r="AQ46" s="750"/>
      <c r="AR46" s="750"/>
      <c r="AS46" s="750"/>
      <c r="AT46" s="750"/>
      <c r="AU46" s="750"/>
      <c r="AV46" s="750"/>
    </row>
    <row r="47" ht="15" customHeight="1" spans="2:48">
      <c r="B47" s="767" t="s">
        <v>1491</v>
      </c>
      <c r="C47" s="786"/>
      <c r="D47" s="786"/>
      <c r="E47" s="786"/>
      <c r="F47" s="786"/>
      <c r="G47" s="784"/>
      <c r="H47" s="770"/>
      <c r="I47" s="769" t="s">
        <v>1464</v>
      </c>
      <c r="J47" s="769" t="s">
        <v>199</v>
      </c>
      <c r="K47" s="769" t="s">
        <v>199</v>
      </c>
      <c r="L47" s="750"/>
      <c r="M47" s="750"/>
      <c r="N47" s="750"/>
      <c r="O47" s="750"/>
      <c r="P47" s="750"/>
      <c r="Q47" s="750"/>
      <c r="R47" s="750"/>
      <c r="S47" s="750"/>
      <c r="T47" s="750"/>
      <c r="U47" s="750"/>
      <c r="V47" s="750"/>
      <c r="W47" s="750"/>
      <c r="X47" s="750"/>
      <c r="Y47" s="750"/>
      <c r="Z47" s="750"/>
      <c r="AA47" s="750"/>
      <c r="AB47" s="750"/>
      <c r="AC47" s="750"/>
      <c r="AD47" s="750"/>
      <c r="AE47" s="750"/>
      <c r="AF47" s="750"/>
      <c r="AG47" s="750"/>
      <c r="AH47" s="750"/>
      <c r="AI47" s="750"/>
      <c r="AJ47" s="750"/>
      <c r="AK47" s="750"/>
      <c r="AL47" s="750"/>
      <c r="AM47" s="750"/>
      <c r="AN47" s="750"/>
      <c r="AO47" s="750"/>
      <c r="AP47" s="750"/>
      <c r="AQ47" s="750"/>
      <c r="AR47" s="750"/>
      <c r="AS47" s="750"/>
      <c r="AT47" s="750"/>
      <c r="AU47" s="750"/>
      <c r="AV47" s="750"/>
    </row>
    <row r="48" ht="15" customHeight="1" spans="2:48">
      <c r="B48" s="767" t="s">
        <v>1492</v>
      </c>
      <c r="C48" s="786"/>
      <c r="D48" s="786"/>
      <c r="E48" s="786"/>
      <c r="F48" s="786"/>
      <c r="G48" s="784"/>
      <c r="H48" s="770"/>
      <c r="I48" s="769" t="s">
        <v>1464</v>
      </c>
      <c r="J48" s="769" t="s">
        <v>199</v>
      </c>
      <c r="K48" s="769" t="s">
        <v>199</v>
      </c>
      <c r="L48" s="750"/>
      <c r="M48" s="750"/>
      <c r="N48" s="750"/>
      <c r="O48" s="750"/>
      <c r="P48" s="750"/>
      <c r="Q48" s="750"/>
      <c r="R48" s="750"/>
      <c r="S48" s="750"/>
      <c r="T48" s="750"/>
      <c r="U48" s="750"/>
      <c r="V48" s="750"/>
      <c r="W48" s="750"/>
      <c r="X48" s="750"/>
      <c r="Y48" s="750"/>
      <c r="Z48" s="750"/>
      <c r="AA48" s="750"/>
      <c r="AB48" s="750"/>
      <c r="AC48" s="750"/>
      <c r="AD48" s="750"/>
      <c r="AE48" s="750"/>
      <c r="AF48" s="750"/>
      <c r="AG48" s="750"/>
      <c r="AH48" s="750"/>
      <c r="AI48" s="750"/>
      <c r="AJ48" s="750"/>
      <c r="AK48" s="750"/>
      <c r="AL48" s="750"/>
      <c r="AM48" s="750"/>
      <c r="AN48" s="750"/>
      <c r="AO48" s="750"/>
      <c r="AP48" s="750"/>
      <c r="AQ48" s="750"/>
      <c r="AR48" s="750"/>
      <c r="AS48" s="750"/>
      <c r="AT48" s="750"/>
      <c r="AU48" s="750"/>
      <c r="AV48" s="750"/>
    </row>
    <row r="49" ht="15" customHeight="1" spans="2:48">
      <c r="B49" s="767" t="s">
        <v>1493</v>
      </c>
      <c r="C49" s="786"/>
      <c r="D49" s="786"/>
      <c r="E49" s="786"/>
      <c r="F49" s="786"/>
      <c r="G49" s="784"/>
      <c r="H49" s="770"/>
      <c r="I49" s="769" t="s">
        <v>1464</v>
      </c>
      <c r="J49" s="769" t="s">
        <v>199</v>
      </c>
      <c r="K49" s="769" t="s">
        <v>199</v>
      </c>
      <c r="L49" s="750"/>
      <c r="M49" s="750"/>
      <c r="N49" s="750"/>
      <c r="O49" s="750"/>
      <c r="P49" s="750"/>
      <c r="Q49" s="750"/>
      <c r="R49" s="750"/>
      <c r="S49" s="750"/>
      <c r="T49" s="750"/>
      <c r="U49" s="750"/>
      <c r="V49" s="750"/>
      <c r="W49" s="750"/>
      <c r="X49" s="750"/>
      <c r="Y49" s="750"/>
      <c r="Z49" s="750"/>
      <c r="AA49" s="750"/>
      <c r="AB49" s="750"/>
      <c r="AC49" s="750"/>
      <c r="AD49" s="750"/>
      <c r="AE49" s="750"/>
      <c r="AF49" s="750"/>
      <c r="AG49" s="750"/>
      <c r="AH49" s="750"/>
      <c r="AI49" s="750"/>
      <c r="AJ49" s="750"/>
      <c r="AK49" s="750"/>
      <c r="AL49" s="750"/>
      <c r="AM49" s="750"/>
      <c r="AN49" s="750"/>
      <c r="AO49" s="750"/>
      <c r="AP49" s="750"/>
      <c r="AQ49" s="750"/>
      <c r="AR49" s="750"/>
      <c r="AS49" s="750"/>
      <c r="AT49" s="750"/>
      <c r="AU49" s="750"/>
      <c r="AV49" s="750"/>
    </row>
    <row r="50" ht="15" customHeight="1" spans="2:48">
      <c r="B50" s="767" t="s">
        <v>1494</v>
      </c>
      <c r="C50" s="784"/>
      <c r="D50" s="784"/>
      <c r="E50" s="784"/>
      <c r="F50" s="784"/>
      <c r="G50" s="784"/>
      <c r="H50" s="770"/>
      <c r="I50" s="769" t="s">
        <v>1464</v>
      </c>
      <c r="J50" s="769" t="s">
        <v>199</v>
      </c>
      <c r="K50" s="769" t="s">
        <v>199</v>
      </c>
      <c r="L50" s="750"/>
      <c r="M50" s="750"/>
      <c r="N50" s="750"/>
      <c r="O50" s="750"/>
      <c r="P50" s="750"/>
      <c r="Q50" s="750"/>
      <c r="R50" s="750"/>
      <c r="S50" s="750"/>
      <c r="T50" s="750"/>
      <c r="U50" s="750"/>
      <c r="V50" s="750"/>
      <c r="W50" s="750"/>
      <c r="X50" s="750"/>
      <c r="Y50" s="750"/>
      <c r="Z50" s="750"/>
      <c r="AA50" s="750"/>
      <c r="AB50" s="750"/>
      <c r="AC50" s="750"/>
      <c r="AD50" s="750"/>
      <c r="AE50" s="750"/>
      <c r="AF50" s="750"/>
      <c r="AG50" s="750"/>
      <c r="AH50" s="750"/>
      <c r="AI50" s="750"/>
      <c r="AJ50" s="750"/>
      <c r="AK50" s="750"/>
      <c r="AL50" s="750"/>
      <c r="AM50" s="750"/>
      <c r="AN50" s="750"/>
      <c r="AO50" s="750"/>
      <c r="AP50" s="750"/>
      <c r="AQ50" s="750"/>
      <c r="AR50" s="750"/>
      <c r="AS50" s="750"/>
      <c r="AT50" s="750"/>
      <c r="AU50" s="750"/>
      <c r="AV50" s="750"/>
    </row>
    <row r="51" ht="15" customHeight="1" spans="2:48">
      <c r="B51" s="767" t="s">
        <v>1495</v>
      </c>
      <c r="C51" s="784"/>
      <c r="D51" s="784"/>
      <c r="E51" s="784"/>
      <c r="F51" s="784"/>
      <c r="G51" s="784"/>
      <c r="H51" s="770"/>
      <c r="I51" s="769" t="s">
        <v>1464</v>
      </c>
      <c r="J51" s="769" t="s">
        <v>199</v>
      </c>
      <c r="K51" s="769" t="s">
        <v>199</v>
      </c>
      <c r="L51" s="750"/>
      <c r="M51" s="750"/>
      <c r="N51" s="750"/>
      <c r="O51" s="750"/>
      <c r="P51" s="750"/>
      <c r="Q51" s="750"/>
      <c r="R51" s="750"/>
      <c r="S51" s="750"/>
      <c r="T51" s="750"/>
      <c r="U51" s="750"/>
      <c r="V51" s="750"/>
      <c r="W51" s="750"/>
      <c r="X51" s="750"/>
      <c r="Y51" s="750"/>
      <c r="Z51" s="750"/>
      <c r="AA51" s="750"/>
      <c r="AB51" s="750"/>
      <c r="AC51" s="750"/>
      <c r="AD51" s="750"/>
      <c r="AE51" s="750"/>
      <c r="AF51" s="750"/>
      <c r="AG51" s="750"/>
      <c r="AH51" s="750"/>
      <c r="AI51" s="750"/>
      <c r="AJ51" s="750"/>
      <c r="AK51" s="750"/>
      <c r="AL51" s="750"/>
      <c r="AM51" s="750"/>
      <c r="AN51" s="750"/>
      <c r="AO51" s="750"/>
      <c r="AP51" s="750"/>
      <c r="AQ51" s="750"/>
      <c r="AR51" s="750"/>
      <c r="AS51" s="750"/>
      <c r="AT51" s="750"/>
      <c r="AU51" s="750"/>
      <c r="AV51" s="750"/>
    </row>
    <row r="52" ht="15" customHeight="1" spans="2:48">
      <c r="B52" s="767" t="s">
        <v>1496</v>
      </c>
      <c r="C52" s="784"/>
      <c r="D52" s="784"/>
      <c r="E52" s="784"/>
      <c r="F52" s="784"/>
      <c r="G52" s="784"/>
      <c r="H52" s="770"/>
      <c r="I52" s="769" t="s">
        <v>1464</v>
      </c>
      <c r="J52" s="769" t="s">
        <v>199</v>
      </c>
      <c r="K52" s="769" t="s">
        <v>199</v>
      </c>
      <c r="L52" s="750"/>
      <c r="M52" s="750"/>
      <c r="N52" s="750"/>
      <c r="O52" s="750"/>
      <c r="P52" s="750"/>
      <c r="Q52" s="750"/>
      <c r="R52" s="750"/>
      <c r="S52" s="750"/>
      <c r="T52" s="750"/>
      <c r="U52" s="750"/>
      <c r="V52" s="750"/>
      <c r="W52" s="750"/>
      <c r="X52" s="750"/>
      <c r="Y52" s="750"/>
      <c r="Z52" s="750"/>
      <c r="AA52" s="750"/>
      <c r="AB52" s="750"/>
      <c r="AC52" s="750"/>
      <c r="AD52" s="750"/>
      <c r="AE52" s="750"/>
      <c r="AF52" s="750"/>
      <c r="AG52" s="750"/>
      <c r="AH52" s="750"/>
      <c r="AI52" s="750"/>
      <c r="AJ52" s="750"/>
      <c r="AK52" s="750"/>
      <c r="AL52" s="750"/>
      <c r="AM52" s="750"/>
      <c r="AN52" s="750"/>
      <c r="AO52" s="750"/>
      <c r="AP52" s="750"/>
      <c r="AQ52" s="750"/>
      <c r="AR52" s="750"/>
      <c r="AS52" s="750"/>
      <c r="AT52" s="750"/>
      <c r="AU52" s="750"/>
      <c r="AV52" s="750"/>
    </row>
    <row r="53" ht="15" customHeight="1" spans="2:48">
      <c r="B53" s="767" t="s">
        <v>1497</v>
      </c>
      <c r="C53" s="784"/>
      <c r="D53" s="784"/>
      <c r="E53" s="784"/>
      <c r="F53" s="784"/>
      <c r="G53" s="784"/>
      <c r="H53" s="770"/>
      <c r="I53" s="769" t="s">
        <v>1464</v>
      </c>
      <c r="J53" s="769" t="s">
        <v>199</v>
      </c>
      <c r="K53" s="769" t="s">
        <v>199</v>
      </c>
      <c r="L53" s="750"/>
      <c r="M53" s="750"/>
      <c r="N53" s="750"/>
      <c r="O53" s="750"/>
      <c r="P53" s="750"/>
      <c r="Q53" s="750"/>
      <c r="R53" s="750"/>
      <c r="S53" s="750"/>
      <c r="T53" s="750"/>
      <c r="U53" s="750"/>
      <c r="V53" s="750"/>
      <c r="W53" s="750"/>
      <c r="X53" s="750"/>
      <c r="Y53" s="750"/>
      <c r="Z53" s="750"/>
      <c r="AA53" s="750"/>
      <c r="AB53" s="750"/>
      <c r="AC53" s="750"/>
      <c r="AD53" s="750"/>
      <c r="AE53" s="750"/>
      <c r="AF53" s="750"/>
      <c r="AG53" s="750"/>
      <c r="AH53" s="750"/>
      <c r="AI53" s="750"/>
      <c r="AJ53" s="750"/>
      <c r="AK53" s="750"/>
      <c r="AL53" s="750"/>
      <c r="AM53" s="750"/>
      <c r="AN53" s="750"/>
      <c r="AO53" s="750"/>
      <c r="AP53" s="750"/>
      <c r="AQ53" s="750"/>
      <c r="AR53" s="750"/>
      <c r="AS53" s="750"/>
      <c r="AT53" s="750"/>
      <c r="AU53" s="750"/>
      <c r="AV53" s="750"/>
    </row>
    <row r="54" ht="15" customHeight="1" spans="2:48">
      <c r="B54" s="767" t="s">
        <v>1498</v>
      </c>
      <c r="C54" s="784"/>
      <c r="D54" s="784"/>
      <c r="E54" s="784"/>
      <c r="F54" s="784"/>
      <c r="G54" s="784"/>
      <c r="H54" s="770"/>
      <c r="I54" s="769" t="s">
        <v>1464</v>
      </c>
      <c r="J54" s="769" t="s">
        <v>199</v>
      </c>
      <c r="K54" s="769" t="s">
        <v>199</v>
      </c>
      <c r="L54" s="750"/>
      <c r="M54" s="750"/>
      <c r="N54" s="750"/>
      <c r="O54" s="750"/>
      <c r="P54" s="750"/>
      <c r="Q54" s="750"/>
      <c r="R54" s="750"/>
      <c r="S54" s="750"/>
      <c r="T54" s="788"/>
      <c r="U54" s="750"/>
      <c r="V54" s="750"/>
      <c r="W54" s="750"/>
      <c r="X54" s="750"/>
      <c r="Y54" s="750"/>
      <c r="Z54" s="750"/>
      <c r="AA54" s="750"/>
      <c r="AB54" s="750"/>
      <c r="AC54" s="750"/>
      <c r="AD54" s="750"/>
      <c r="AE54" s="750"/>
      <c r="AF54" s="750"/>
      <c r="AG54" s="788"/>
      <c r="AH54" s="750"/>
      <c r="AI54" s="750"/>
      <c r="AJ54" s="750"/>
      <c r="AK54" s="750"/>
      <c r="AL54" s="750"/>
      <c r="AM54" s="750"/>
      <c r="AN54" s="750"/>
      <c r="AO54" s="750"/>
      <c r="AP54" s="750"/>
      <c r="AQ54" s="750"/>
      <c r="AR54" s="750"/>
      <c r="AS54" s="788"/>
      <c r="AT54" s="750"/>
      <c r="AU54" s="750"/>
      <c r="AV54" s="750"/>
    </row>
    <row r="55" ht="15" customHeight="1" spans="2:48">
      <c r="B55" s="767" t="s">
        <v>1499</v>
      </c>
      <c r="C55" s="784"/>
      <c r="D55" s="784"/>
      <c r="E55" s="784"/>
      <c r="F55" s="784"/>
      <c r="G55" s="784"/>
      <c r="H55" s="770"/>
      <c r="I55" s="769" t="s">
        <v>1464</v>
      </c>
      <c r="J55" s="769" t="s">
        <v>199</v>
      </c>
      <c r="K55" s="769" t="s">
        <v>199</v>
      </c>
      <c r="L55" s="750"/>
      <c r="M55" s="750"/>
      <c r="N55" s="750"/>
      <c r="O55" s="750"/>
      <c r="P55" s="750"/>
      <c r="Q55" s="750"/>
      <c r="R55" s="750"/>
      <c r="S55" s="750"/>
      <c r="T55" s="750"/>
      <c r="U55" s="750"/>
      <c r="V55" s="750"/>
      <c r="W55" s="750"/>
      <c r="X55" s="750"/>
      <c r="Y55" s="750"/>
      <c r="Z55" s="750"/>
      <c r="AA55" s="750"/>
      <c r="AB55" s="750"/>
      <c r="AC55" s="750"/>
      <c r="AD55" s="750"/>
      <c r="AE55" s="750"/>
      <c r="AF55" s="750"/>
      <c r="AG55" s="750"/>
      <c r="AH55" s="750"/>
      <c r="AI55" s="750"/>
      <c r="AJ55" s="750"/>
      <c r="AK55" s="750"/>
      <c r="AL55" s="750"/>
      <c r="AM55" s="750"/>
      <c r="AN55" s="750"/>
      <c r="AO55" s="750"/>
      <c r="AP55" s="750"/>
      <c r="AQ55" s="750"/>
      <c r="AR55" s="750"/>
      <c r="AS55" s="750"/>
      <c r="AT55" s="750"/>
      <c r="AU55" s="750"/>
      <c r="AV55" s="750"/>
    </row>
    <row r="56" ht="15" customHeight="1" spans="2:48">
      <c r="B56" s="767" t="s">
        <v>1500</v>
      </c>
      <c r="C56" s="784"/>
      <c r="D56" s="784"/>
      <c r="E56" s="784"/>
      <c r="F56" s="784"/>
      <c r="G56" s="784"/>
      <c r="H56" s="770"/>
      <c r="I56" s="769" t="s">
        <v>1464</v>
      </c>
      <c r="J56" s="769" t="s">
        <v>199</v>
      </c>
      <c r="K56" s="769" t="s">
        <v>199</v>
      </c>
      <c r="L56" s="750"/>
      <c r="M56" s="750"/>
      <c r="N56" s="750"/>
      <c r="O56" s="750"/>
      <c r="P56" s="750"/>
      <c r="Q56" s="750"/>
      <c r="R56" s="750"/>
      <c r="S56" s="750"/>
      <c r="T56" s="750"/>
      <c r="U56" s="750"/>
      <c r="V56" s="750"/>
      <c r="W56" s="750"/>
      <c r="X56" s="750"/>
      <c r="Y56" s="750"/>
      <c r="Z56" s="750"/>
      <c r="AA56" s="750"/>
      <c r="AB56" s="750"/>
      <c r="AC56" s="750"/>
      <c r="AD56" s="750"/>
      <c r="AE56" s="750"/>
      <c r="AF56" s="750"/>
      <c r="AG56" s="750"/>
      <c r="AH56" s="750"/>
      <c r="AI56" s="750"/>
      <c r="AJ56" s="750"/>
      <c r="AK56" s="750"/>
      <c r="AL56" s="750"/>
      <c r="AM56" s="750"/>
      <c r="AN56" s="750"/>
      <c r="AO56" s="750"/>
      <c r="AP56" s="750"/>
      <c r="AQ56" s="750"/>
      <c r="AR56" s="750"/>
      <c r="AS56" s="750"/>
      <c r="AT56" s="750"/>
      <c r="AU56" s="750"/>
      <c r="AV56" s="750"/>
    </row>
    <row r="57" ht="15" customHeight="1" spans="2:48">
      <c r="B57" s="767" t="s">
        <v>1501</v>
      </c>
      <c r="C57" s="784"/>
      <c r="D57" s="784"/>
      <c r="E57" s="784"/>
      <c r="F57" s="784"/>
      <c r="G57" s="784"/>
      <c r="H57" s="770"/>
      <c r="I57" s="769" t="s">
        <v>1464</v>
      </c>
      <c r="J57" s="769" t="s">
        <v>199</v>
      </c>
      <c r="K57" s="769" t="s">
        <v>199</v>
      </c>
      <c r="L57" s="750"/>
      <c r="M57" s="750"/>
      <c r="N57" s="750"/>
      <c r="O57" s="750"/>
      <c r="P57" s="750"/>
      <c r="Q57" s="750"/>
      <c r="R57" s="750"/>
      <c r="S57" s="750"/>
      <c r="T57" s="750"/>
      <c r="U57" s="750"/>
      <c r="V57" s="750"/>
      <c r="W57" s="750"/>
      <c r="X57" s="750"/>
      <c r="Y57" s="750"/>
      <c r="Z57" s="750"/>
      <c r="AA57" s="750"/>
      <c r="AB57" s="750"/>
      <c r="AC57" s="750"/>
      <c r="AD57" s="750"/>
      <c r="AE57" s="750"/>
      <c r="AF57" s="750"/>
      <c r="AG57" s="750"/>
      <c r="AH57" s="750"/>
      <c r="AI57" s="750"/>
      <c r="AJ57" s="750"/>
      <c r="AK57" s="750"/>
      <c r="AL57" s="750"/>
      <c r="AM57" s="750"/>
      <c r="AN57" s="750"/>
      <c r="AO57" s="750"/>
      <c r="AP57" s="750"/>
      <c r="AQ57" s="750"/>
      <c r="AR57" s="750"/>
      <c r="AS57" s="750"/>
      <c r="AT57" s="750"/>
      <c r="AU57" s="750"/>
      <c r="AV57" s="750"/>
    </row>
    <row r="58" ht="15" customHeight="1" spans="2:48">
      <c r="B58" s="767" t="s">
        <v>1502</v>
      </c>
      <c r="C58" s="784"/>
      <c r="D58" s="784"/>
      <c r="E58" s="784"/>
      <c r="F58" s="784"/>
      <c r="G58" s="784"/>
      <c r="H58" s="770"/>
      <c r="I58" s="769" t="s">
        <v>1464</v>
      </c>
      <c r="J58" s="769" t="s">
        <v>199</v>
      </c>
      <c r="K58" s="769" t="s">
        <v>199</v>
      </c>
      <c r="L58" s="750"/>
      <c r="M58" s="750"/>
      <c r="N58" s="750"/>
      <c r="O58" s="750"/>
      <c r="P58" s="750"/>
      <c r="Q58" s="750"/>
      <c r="R58" s="750"/>
      <c r="S58" s="750"/>
      <c r="T58" s="750"/>
      <c r="U58" s="750"/>
      <c r="V58" s="750"/>
      <c r="W58" s="750"/>
      <c r="X58" s="750"/>
      <c r="Y58" s="750"/>
      <c r="Z58" s="750"/>
      <c r="AA58" s="750"/>
      <c r="AB58" s="750"/>
      <c r="AC58" s="750"/>
      <c r="AD58" s="750"/>
      <c r="AE58" s="750"/>
      <c r="AF58" s="750"/>
      <c r="AG58" s="750"/>
      <c r="AH58" s="750"/>
      <c r="AI58" s="750"/>
      <c r="AJ58" s="750"/>
      <c r="AK58" s="750"/>
      <c r="AL58" s="750"/>
      <c r="AM58" s="750"/>
      <c r="AN58" s="750"/>
      <c r="AO58" s="750"/>
      <c r="AP58" s="750"/>
      <c r="AQ58" s="750"/>
      <c r="AR58" s="750"/>
      <c r="AS58" s="750"/>
      <c r="AT58" s="750"/>
      <c r="AU58" s="750"/>
      <c r="AV58" s="750"/>
    </row>
    <row r="59" ht="15" customHeight="1" spans="2:48">
      <c r="B59" s="767" t="s">
        <v>1503</v>
      </c>
      <c r="C59" s="784"/>
      <c r="D59" s="784"/>
      <c r="E59" s="784"/>
      <c r="F59" s="784"/>
      <c r="G59" s="784"/>
      <c r="H59" s="770"/>
      <c r="I59" s="769" t="s">
        <v>1464</v>
      </c>
      <c r="J59" s="769" t="s">
        <v>199</v>
      </c>
      <c r="K59" s="769" t="s">
        <v>199</v>
      </c>
      <c r="L59" s="750"/>
      <c r="M59" s="750"/>
      <c r="N59" s="750"/>
      <c r="O59" s="750"/>
      <c r="P59" s="750"/>
      <c r="Q59" s="750"/>
      <c r="R59" s="750"/>
      <c r="S59" s="750"/>
      <c r="T59" s="750"/>
      <c r="U59" s="750"/>
      <c r="V59" s="750"/>
      <c r="W59" s="750"/>
      <c r="X59" s="750"/>
      <c r="Y59" s="750"/>
      <c r="Z59" s="750"/>
      <c r="AA59" s="750"/>
      <c r="AB59" s="750"/>
      <c r="AC59" s="750"/>
      <c r="AD59" s="750"/>
      <c r="AE59" s="750"/>
      <c r="AF59" s="750"/>
      <c r="AG59" s="750"/>
      <c r="AH59" s="750"/>
      <c r="AI59" s="750"/>
      <c r="AJ59" s="750"/>
      <c r="AK59" s="750"/>
      <c r="AL59" s="750"/>
      <c r="AM59" s="750"/>
      <c r="AN59" s="750"/>
      <c r="AO59" s="750"/>
      <c r="AP59" s="750"/>
      <c r="AQ59" s="750"/>
      <c r="AR59" s="750"/>
      <c r="AS59" s="750"/>
      <c r="AT59" s="750"/>
      <c r="AU59" s="750"/>
      <c r="AV59" s="750"/>
    </row>
    <row r="60" ht="15" customHeight="1" spans="2:48">
      <c r="B60" s="767" t="s">
        <v>1504</v>
      </c>
      <c r="C60" s="784"/>
      <c r="D60" s="784"/>
      <c r="E60" s="784"/>
      <c r="F60" s="784"/>
      <c r="G60" s="784"/>
      <c r="H60" s="770"/>
      <c r="I60" s="769" t="s">
        <v>1464</v>
      </c>
      <c r="J60" s="769" t="s">
        <v>199</v>
      </c>
      <c r="K60" s="769" t="s">
        <v>199</v>
      </c>
      <c r="L60" s="750"/>
      <c r="M60" s="750"/>
      <c r="N60" s="750"/>
      <c r="O60" s="750"/>
      <c r="P60" s="750"/>
      <c r="Q60" s="750"/>
      <c r="R60" s="750"/>
      <c r="S60" s="750"/>
      <c r="T60" s="750"/>
      <c r="U60" s="750"/>
      <c r="V60" s="750"/>
      <c r="W60" s="750"/>
      <c r="X60" s="750"/>
      <c r="Y60" s="750"/>
      <c r="Z60" s="750"/>
      <c r="AA60" s="750"/>
      <c r="AB60" s="750"/>
      <c r="AC60" s="750"/>
      <c r="AD60" s="750"/>
      <c r="AE60" s="750"/>
      <c r="AF60" s="750"/>
      <c r="AG60" s="750"/>
      <c r="AH60" s="750"/>
      <c r="AI60" s="750"/>
      <c r="AJ60" s="750"/>
      <c r="AK60" s="750"/>
      <c r="AL60" s="750"/>
      <c r="AM60" s="750"/>
      <c r="AN60" s="750"/>
      <c r="AO60" s="750"/>
      <c r="AP60" s="750"/>
      <c r="AQ60" s="750"/>
      <c r="AR60" s="750"/>
      <c r="AS60" s="750"/>
      <c r="AT60" s="750"/>
      <c r="AU60" s="750"/>
      <c r="AV60" s="750"/>
    </row>
    <row r="61" ht="15" customHeight="1" spans="2:48">
      <c r="B61" s="767" t="s">
        <v>1505</v>
      </c>
      <c r="C61" s="784"/>
      <c r="D61" s="784"/>
      <c r="E61" s="784"/>
      <c r="F61" s="784"/>
      <c r="G61" s="784"/>
      <c r="H61" s="770"/>
      <c r="I61" s="769" t="s">
        <v>1464</v>
      </c>
      <c r="J61" s="769" t="s">
        <v>199</v>
      </c>
      <c r="K61" s="769" t="s">
        <v>199</v>
      </c>
      <c r="L61" s="750"/>
      <c r="M61" s="750"/>
      <c r="N61" s="750"/>
      <c r="O61" s="750"/>
      <c r="P61" s="750"/>
      <c r="Q61" s="750"/>
      <c r="R61" s="750"/>
      <c r="S61" s="750"/>
      <c r="T61" s="750"/>
      <c r="U61" s="750"/>
      <c r="V61" s="750"/>
      <c r="W61" s="750"/>
      <c r="X61" s="750"/>
      <c r="Y61" s="750"/>
      <c r="Z61" s="750"/>
      <c r="AA61" s="750"/>
      <c r="AB61" s="750"/>
      <c r="AC61" s="750"/>
      <c r="AD61" s="750"/>
      <c r="AE61" s="750"/>
      <c r="AF61" s="750"/>
      <c r="AG61" s="750"/>
      <c r="AH61" s="750"/>
      <c r="AI61" s="750"/>
      <c r="AJ61" s="750"/>
      <c r="AK61" s="750"/>
      <c r="AL61" s="750"/>
      <c r="AM61" s="750"/>
      <c r="AN61" s="750"/>
      <c r="AO61" s="750"/>
      <c r="AP61" s="750"/>
      <c r="AQ61" s="750"/>
      <c r="AR61" s="750"/>
      <c r="AS61" s="750"/>
      <c r="AT61" s="750"/>
      <c r="AU61" s="750"/>
      <c r="AV61" s="750"/>
    </row>
    <row r="62" ht="15" customHeight="1" spans="2:48">
      <c r="B62" s="767" t="s">
        <v>1506</v>
      </c>
      <c r="C62" s="784"/>
      <c r="D62" s="784"/>
      <c r="E62" s="784"/>
      <c r="F62" s="784"/>
      <c r="G62" s="784"/>
      <c r="H62" s="770"/>
      <c r="I62" s="769" t="s">
        <v>1464</v>
      </c>
      <c r="J62" s="769" t="s">
        <v>199</v>
      </c>
      <c r="K62" s="769" t="s">
        <v>199</v>
      </c>
      <c r="L62" s="750"/>
      <c r="M62" s="750"/>
      <c r="N62" s="750"/>
      <c r="O62" s="750"/>
      <c r="P62" s="750"/>
      <c r="Q62" s="750"/>
      <c r="R62" s="750"/>
      <c r="S62" s="750"/>
      <c r="T62" s="750"/>
      <c r="U62" s="750"/>
      <c r="V62" s="750"/>
      <c r="W62" s="750"/>
      <c r="X62" s="750"/>
      <c r="Y62" s="750"/>
      <c r="Z62" s="750"/>
      <c r="AA62" s="750"/>
      <c r="AB62" s="750"/>
      <c r="AC62" s="750"/>
      <c r="AD62" s="750"/>
      <c r="AE62" s="750"/>
      <c r="AF62" s="750"/>
      <c r="AG62" s="750"/>
      <c r="AH62" s="750"/>
      <c r="AI62" s="750"/>
      <c r="AJ62" s="750"/>
      <c r="AK62" s="750"/>
      <c r="AL62" s="750"/>
      <c r="AM62" s="750"/>
      <c r="AN62" s="750"/>
      <c r="AO62" s="750"/>
      <c r="AP62" s="750"/>
      <c r="AQ62" s="750"/>
      <c r="AR62" s="750"/>
      <c r="AS62" s="750"/>
      <c r="AT62" s="750"/>
      <c r="AU62" s="750"/>
      <c r="AV62" s="750"/>
    </row>
    <row r="63" ht="15" customHeight="1" spans="2:48">
      <c r="B63" s="767" t="s">
        <v>1507</v>
      </c>
      <c r="C63" s="784"/>
      <c r="D63" s="784"/>
      <c r="E63" s="784"/>
      <c r="F63" s="784"/>
      <c r="G63" s="784"/>
      <c r="H63" s="770"/>
      <c r="I63" s="769" t="s">
        <v>1464</v>
      </c>
      <c r="J63" s="769" t="s">
        <v>199</v>
      </c>
      <c r="K63" s="769" t="s">
        <v>199</v>
      </c>
      <c r="L63" s="750"/>
      <c r="M63" s="750"/>
      <c r="N63" s="750"/>
      <c r="O63" s="750"/>
      <c r="P63" s="750"/>
      <c r="Q63" s="750"/>
      <c r="R63" s="750"/>
      <c r="S63" s="750"/>
      <c r="T63" s="750"/>
      <c r="U63" s="750"/>
      <c r="V63" s="750"/>
      <c r="W63" s="750"/>
      <c r="X63" s="750"/>
      <c r="Y63" s="750"/>
      <c r="Z63" s="750"/>
      <c r="AA63" s="750"/>
      <c r="AB63" s="750"/>
      <c r="AC63" s="750"/>
      <c r="AD63" s="750"/>
      <c r="AE63" s="750"/>
      <c r="AF63" s="750"/>
      <c r="AG63" s="750"/>
      <c r="AH63" s="750"/>
      <c r="AI63" s="750"/>
      <c r="AJ63" s="750"/>
      <c r="AK63" s="750"/>
      <c r="AL63" s="750"/>
      <c r="AM63" s="750"/>
      <c r="AN63" s="750"/>
      <c r="AO63" s="750"/>
      <c r="AP63" s="750"/>
      <c r="AQ63" s="750"/>
      <c r="AR63" s="750"/>
      <c r="AS63" s="750"/>
      <c r="AT63" s="750"/>
      <c r="AU63" s="750"/>
      <c r="AV63" s="750"/>
    </row>
    <row r="64" ht="15" customHeight="1" spans="2:48">
      <c r="B64" s="767" t="s">
        <v>1508</v>
      </c>
      <c r="C64" s="784"/>
      <c r="D64" s="784"/>
      <c r="E64" s="784"/>
      <c r="F64" s="784"/>
      <c r="G64" s="784"/>
      <c r="H64" s="770"/>
      <c r="I64" s="769" t="s">
        <v>1464</v>
      </c>
      <c r="J64" s="769" t="s">
        <v>199</v>
      </c>
      <c r="K64" s="769" t="s">
        <v>199</v>
      </c>
      <c r="L64" s="750"/>
      <c r="M64" s="750"/>
      <c r="N64" s="750"/>
      <c r="O64" s="750"/>
      <c r="P64" s="750"/>
      <c r="Q64" s="750"/>
      <c r="R64" s="750"/>
      <c r="S64" s="750"/>
      <c r="T64" s="750"/>
      <c r="U64" s="750"/>
      <c r="V64" s="750"/>
      <c r="W64" s="750"/>
      <c r="X64" s="750"/>
      <c r="Y64" s="750"/>
      <c r="Z64" s="750"/>
      <c r="AA64" s="750"/>
      <c r="AB64" s="750"/>
      <c r="AC64" s="750"/>
      <c r="AD64" s="750"/>
      <c r="AE64" s="750"/>
      <c r="AF64" s="750"/>
      <c r="AG64" s="750"/>
      <c r="AH64" s="750"/>
      <c r="AI64" s="750"/>
      <c r="AJ64" s="750"/>
      <c r="AK64" s="750"/>
      <c r="AL64" s="750"/>
      <c r="AM64" s="750"/>
      <c r="AN64" s="750"/>
      <c r="AO64" s="750"/>
      <c r="AP64" s="750"/>
      <c r="AQ64" s="750"/>
      <c r="AR64" s="750"/>
      <c r="AS64" s="750"/>
      <c r="AT64" s="750"/>
      <c r="AU64" s="750"/>
      <c r="AV64" s="750"/>
    </row>
    <row r="65" ht="15" customHeight="1" spans="2:48">
      <c r="B65" s="767" t="s">
        <v>1509</v>
      </c>
      <c r="C65" s="784"/>
      <c r="D65" s="784"/>
      <c r="E65" s="784"/>
      <c r="F65" s="784"/>
      <c r="G65" s="784"/>
      <c r="H65" s="770"/>
      <c r="I65" s="769" t="s">
        <v>1464</v>
      </c>
      <c r="J65" s="769" t="s">
        <v>199</v>
      </c>
      <c r="K65" s="769" t="s">
        <v>199</v>
      </c>
      <c r="L65" s="750"/>
      <c r="M65" s="750"/>
      <c r="N65" s="750"/>
      <c r="O65" s="750"/>
      <c r="P65" s="750"/>
      <c r="Q65" s="750"/>
      <c r="R65" s="750"/>
      <c r="S65" s="750"/>
      <c r="T65" s="750"/>
      <c r="U65" s="750"/>
      <c r="V65" s="750"/>
      <c r="W65" s="750"/>
      <c r="X65" s="750"/>
      <c r="Y65" s="750"/>
      <c r="Z65" s="750"/>
      <c r="AA65" s="750"/>
      <c r="AB65" s="750"/>
      <c r="AC65" s="750"/>
      <c r="AD65" s="750"/>
      <c r="AE65" s="750"/>
      <c r="AF65" s="750"/>
      <c r="AG65" s="750"/>
      <c r="AH65" s="750"/>
      <c r="AI65" s="750"/>
      <c r="AJ65" s="750"/>
      <c r="AK65" s="750"/>
      <c r="AL65" s="750"/>
      <c r="AM65" s="750"/>
      <c r="AN65" s="750"/>
      <c r="AO65" s="750"/>
      <c r="AP65" s="750"/>
      <c r="AQ65" s="750"/>
      <c r="AR65" s="750"/>
      <c r="AS65" s="750"/>
      <c r="AT65" s="750"/>
      <c r="AU65" s="750"/>
      <c r="AV65" s="750"/>
    </row>
    <row r="66" ht="15" customHeight="1" spans="2:48">
      <c r="B66" s="767" t="s">
        <v>1510</v>
      </c>
      <c r="C66" s="784"/>
      <c r="D66" s="786"/>
      <c r="E66" s="786"/>
      <c r="F66" s="786"/>
      <c r="G66" s="784"/>
      <c r="H66" s="770"/>
      <c r="I66" s="769" t="s">
        <v>1464</v>
      </c>
      <c r="J66" s="769" t="s">
        <v>199</v>
      </c>
      <c r="K66" s="769" t="s">
        <v>199</v>
      </c>
      <c r="L66" s="750"/>
      <c r="M66" s="750"/>
      <c r="N66" s="750"/>
      <c r="O66" s="750"/>
      <c r="P66" s="750"/>
      <c r="Q66" s="750"/>
      <c r="R66" s="750"/>
      <c r="S66" s="750"/>
      <c r="T66" s="750"/>
      <c r="U66" s="750"/>
      <c r="V66" s="750"/>
      <c r="W66" s="750"/>
      <c r="X66" s="750"/>
      <c r="Y66" s="750"/>
      <c r="Z66" s="750"/>
      <c r="AA66" s="750"/>
      <c r="AB66" s="750"/>
      <c r="AC66" s="750"/>
      <c r="AD66" s="750"/>
      <c r="AE66" s="750"/>
      <c r="AF66" s="750"/>
      <c r="AG66" s="750"/>
      <c r="AH66" s="750"/>
      <c r="AI66" s="750"/>
      <c r="AJ66" s="750"/>
      <c r="AK66" s="750"/>
      <c r="AL66" s="750"/>
      <c r="AM66" s="750"/>
      <c r="AN66" s="750"/>
      <c r="AO66" s="750"/>
      <c r="AP66" s="750"/>
      <c r="AQ66" s="750"/>
      <c r="AR66" s="750"/>
      <c r="AS66" s="750"/>
      <c r="AT66" s="750"/>
      <c r="AU66" s="750"/>
      <c r="AV66" s="750"/>
    </row>
    <row r="67" ht="15" customHeight="1" spans="2:48">
      <c r="B67" s="767" t="s">
        <v>1511</v>
      </c>
      <c r="C67" s="784"/>
      <c r="D67" s="784"/>
      <c r="E67" s="784"/>
      <c r="F67" s="784"/>
      <c r="G67" s="784"/>
      <c r="H67" s="770"/>
      <c r="I67" s="769" t="s">
        <v>1464</v>
      </c>
      <c r="J67" s="769" t="s">
        <v>199</v>
      </c>
      <c r="K67" s="769" t="s">
        <v>199</v>
      </c>
      <c r="L67" s="750"/>
      <c r="M67" s="750"/>
      <c r="N67" s="750"/>
      <c r="O67" s="750"/>
      <c r="P67" s="750"/>
      <c r="Q67" s="750"/>
      <c r="R67" s="750"/>
      <c r="S67" s="750"/>
      <c r="T67" s="750"/>
      <c r="U67" s="750"/>
      <c r="V67" s="750"/>
      <c r="W67" s="750"/>
      <c r="X67" s="750"/>
      <c r="Y67" s="750"/>
      <c r="Z67" s="750"/>
      <c r="AA67" s="750"/>
      <c r="AB67" s="750"/>
      <c r="AC67" s="750"/>
      <c r="AD67" s="750"/>
      <c r="AE67" s="750"/>
      <c r="AF67" s="750"/>
      <c r="AG67" s="750"/>
      <c r="AH67" s="750"/>
      <c r="AI67" s="750"/>
      <c r="AJ67" s="750"/>
      <c r="AK67" s="750"/>
      <c r="AL67" s="750"/>
      <c r="AM67" s="750"/>
      <c r="AN67" s="750"/>
      <c r="AO67" s="750"/>
      <c r="AP67" s="750"/>
      <c r="AQ67" s="750"/>
      <c r="AR67" s="750"/>
      <c r="AS67" s="750"/>
      <c r="AT67" s="750"/>
      <c r="AU67" s="750"/>
      <c r="AV67" s="750"/>
    </row>
    <row r="68" ht="15" customHeight="1" spans="2:48">
      <c r="B68" s="767" t="s">
        <v>1512</v>
      </c>
      <c r="C68" s="784"/>
      <c r="D68" s="784"/>
      <c r="E68" s="784"/>
      <c r="F68" s="784"/>
      <c r="G68" s="784"/>
      <c r="H68" s="770"/>
      <c r="I68" s="769" t="s">
        <v>1464</v>
      </c>
      <c r="J68" s="769" t="s">
        <v>199</v>
      </c>
      <c r="K68" s="769" t="s">
        <v>199</v>
      </c>
      <c r="L68" s="750"/>
      <c r="M68" s="750"/>
      <c r="N68" s="750"/>
      <c r="O68" s="750"/>
      <c r="P68" s="750"/>
      <c r="Q68" s="750"/>
      <c r="R68" s="750"/>
      <c r="S68" s="750"/>
      <c r="T68" s="750"/>
      <c r="U68" s="750"/>
      <c r="V68" s="750"/>
      <c r="W68" s="750"/>
      <c r="X68" s="750"/>
      <c r="Y68" s="750"/>
      <c r="Z68" s="750"/>
      <c r="AA68" s="750"/>
      <c r="AB68" s="750"/>
      <c r="AC68" s="750"/>
      <c r="AD68" s="750"/>
      <c r="AE68" s="750"/>
      <c r="AF68" s="750"/>
      <c r="AG68" s="750"/>
      <c r="AH68" s="750"/>
      <c r="AI68" s="750"/>
      <c r="AJ68" s="750"/>
      <c r="AK68" s="750"/>
      <c r="AL68" s="750"/>
      <c r="AM68" s="750"/>
      <c r="AN68" s="750"/>
      <c r="AO68" s="750"/>
      <c r="AP68" s="750"/>
      <c r="AQ68" s="750"/>
      <c r="AR68" s="750"/>
      <c r="AS68" s="750"/>
      <c r="AT68" s="750"/>
      <c r="AU68" s="750"/>
      <c r="AV68" s="750"/>
    </row>
    <row r="69" ht="15" customHeight="1" spans="2:48">
      <c r="B69" s="767" t="s">
        <v>1513</v>
      </c>
      <c r="C69" s="784"/>
      <c r="D69" s="784"/>
      <c r="E69" s="784"/>
      <c r="F69" s="784"/>
      <c r="G69" s="784"/>
      <c r="H69" s="770"/>
      <c r="I69" s="769" t="s">
        <v>1464</v>
      </c>
      <c r="J69" s="769" t="s">
        <v>199</v>
      </c>
      <c r="K69" s="769" t="s">
        <v>199</v>
      </c>
      <c r="L69" s="750"/>
      <c r="M69" s="750"/>
      <c r="N69" s="750"/>
      <c r="O69" s="750"/>
      <c r="P69" s="750"/>
      <c r="Q69" s="750"/>
      <c r="R69" s="750"/>
      <c r="S69" s="750"/>
      <c r="T69" s="750"/>
      <c r="U69" s="750"/>
      <c r="V69" s="750"/>
      <c r="W69" s="750"/>
      <c r="X69" s="750"/>
      <c r="Y69" s="750"/>
      <c r="Z69" s="750"/>
      <c r="AA69" s="750"/>
      <c r="AB69" s="750"/>
      <c r="AC69" s="750"/>
      <c r="AD69" s="750"/>
      <c r="AE69" s="750"/>
      <c r="AF69" s="750"/>
      <c r="AG69" s="750"/>
      <c r="AH69" s="750"/>
      <c r="AI69" s="750"/>
      <c r="AJ69" s="750"/>
      <c r="AK69" s="750"/>
      <c r="AL69" s="750"/>
      <c r="AM69" s="750"/>
      <c r="AN69" s="750"/>
      <c r="AO69" s="750"/>
      <c r="AP69" s="750"/>
      <c r="AQ69" s="750"/>
      <c r="AR69" s="750"/>
      <c r="AS69" s="750"/>
      <c r="AT69" s="750"/>
      <c r="AU69" s="750"/>
      <c r="AV69" s="750"/>
    </row>
    <row r="70" ht="15" customHeight="1" spans="2:48">
      <c r="B70" s="767" t="s">
        <v>1514</v>
      </c>
      <c r="C70" s="784"/>
      <c r="D70" s="784"/>
      <c r="E70" s="784"/>
      <c r="F70" s="784"/>
      <c r="G70" s="784"/>
      <c r="H70" s="770"/>
      <c r="I70" s="769" t="s">
        <v>1464</v>
      </c>
      <c r="J70" s="769" t="s">
        <v>199</v>
      </c>
      <c r="K70" s="769" t="s">
        <v>199</v>
      </c>
      <c r="L70" s="750"/>
      <c r="M70" s="750"/>
      <c r="N70" s="750"/>
      <c r="O70" s="750"/>
      <c r="P70" s="750"/>
      <c r="Q70" s="750"/>
      <c r="R70" s="750"/>
      <c r="S70" s="750"/>
      <c r="T70" s="750"/>
      <c r="U70" s="750"/>
      <c r="V70" s="750"/>
      <c r="W70" s="750"/>
      <c r="X70" s="750"/>
      <c r="Y70" s="750"/>
      <c r="Z70" s="750"/>
      <c r="AA70" s="750"/>
      <c r="AB70" s="750"/>
      <c r="AC70" s="750"/>
      <c r="AD70" s="750"/>
      <c r="AE70" s="750"/>
      <c r="AF70" s="750"/>
      <c r="AG70" s="750"/>
      <c r="AH70" s="750"/>
      <c r="AI70" s="750"/>
      <c r="AJ70" s="750"/>
      <c r="AK70" s="750"/>
      <c r="AL70" s="750"/>
      <c r="AM70" s="750"/>
      <c r="AN70" s="750"/>
      <c r="AO70" s="750"/>
      <c r="AP70" s="750"/>
      <c r="AQ70" s="750"/>
      <c r="AR70" s="750"/>
      <c r="AS70" s="750"/>
      <c r="AT70" s="750"/>
      <c r="AU70" s="750"/>
      <c r="AV70" s="750"/>
    </row>
    <row r="71" ht="15" customHeight="1" spans="2:48">
      <c r="B71" s="767" t="s">
        <v>1515</v>
      </c>
      <c r="C71" s="785"/>
      <c r="D71" s="785"/>
      <c r="E71" s="785"/>
      <c r="F71" s="785"/>
      <c r="G71" s="789"/>
      <c r="H71" s="770"/>
      <c r="I71" s="769" t="s">
        <v>1464</v>
      </c>
      <c r="J71" s="769" t="s">
        <v>199</v>
      </c>
      <c r="K71" s="769" t="s">
        <v>199</v>
      </c>
      <c r="L71" s="751"/>
      <c r="M71" s="751"/>
      <c r="N71" s="751"/>
      <c r="O71" s="751"/>
      <c r="P71" s="751"/>
      <c r="Q71" s="751"/>
      <c r="R71" s="751"/>
      <c r="S71" s="751"/>
      <c r="T71" s="751"/>
      <c r="U71" s="751"/>
      <c r="V71" s="751"/>
      <c r="W71" s="751"/>
      <c r="X71" s="751"/>
      <c r="Y71" s="751"/>
      <c r="Z71" s="751"/>
      <c r="AA71" s="751"/>
      <c r="AB71" s="751"/>
      <c r="AC71" s="751"/>
      <c r="AD71" s="751"/>
      <c r="AE71" s="751"/>
      <c r="AF71" s="751"/>
      <c r="AG71" s="751"/>
      <c r="AH71" s="751"/>
      <c r="AI71" s="751"/>
      <c r="AJ71" s="751"/>
      <c r="AK71" s="751"/>
      <c r="AL71" s="751"/>
      <c r="AM71" s="751"/>
      <c r="AN71" s="751"/>
      <c r="AO71" s="751"/>
      <c r="AP71" s="751"/>
      <c r="AQ71" s="751"/>
      <c r="AR71" s="751"/>
      <c r="AS71" s="751"/>
      <c r="AT71" s="751"/>
      <c r="AU71" s="751"/>
      <c r="AV71" s="751"/>
    </row>
    <row r="72" ht="15" customHeight="1" spans="2:48">
      <c r="B72" s="767" t="s">
        <v>1516</v>
      </c>
      <c r="C72" s="785"/>
      <c r="D72" s="785"/>
      <c r="E72" s="785"/>
      <c r="F72" s="785"/>
      <c r="G72" s="789"/>
      <c r="H72" s="770"/>
      <c r="I72" s="769" t="s">
        <v>1464</v>
      </c>
      <c r="J72" s="769" t="s">
        <v>199</v>
      </c>
      <c r="K72" s="769" t="s">
        <v>199</v>
      </c>
      <c r="L72" s="751"/>
      <c r="M72" s="751"/>
      <c r="N72" s="751"/>
      <c r="O72" s="751"/>
      <c r="P72" s="751"/>
      <c r="Q72" s="751"/>
      <c r="R72" s="751"/>
      <c r="S72" s="751"/>
      <c r="T72" s="751"/>
      <c r="U72" s="751"/>
      <c r="V72" s="751"/>
      <c r="W72" s="751"/>
      <c r="X72" s="751"/>
      <c r="Y72" s="751"/>
      <c r="Z72" s="751"/>
      <c r="AA72" s="751"/>
      <c r="AB72" s="751"/>
      <c r="AC72" s="751"/>
      <c r="AD72" s="751"/>
      <c r="AE72" s="751"/>
      <c r="AF72" s="751"/>
      <c r="AG72" s="751"/>
      <c r="AH72" s="751"/>
      <c r="AI72" s="751"/>
      <c r="AJ72" s="751"/>
      <c r="AK72" s="751"/>
      <c r="AL72" s="751"/>
      <c r="AM72" s="751"/>
      <c r="AN72" s="751"/>
      <c r="AO72" s="751"/>
      <c r="AP72" s="751"/>
      <c r="AQ72" s="751"/>
      <c r="AR72" s="751"/>
      <c r="AS72" s="751"/>
      <c r="AT72" s="751"/>
      <c r="AU72" s="751"/>
      <c r="AV72" s="751"/>
    </row>
    <row r="73" ht="15" customHeight="1" spans="2:48">
      <c r="B73" s="767" t="s">
        <v>1517</v>
      </c>
      <c r="C73" s="785"/>
      <c r="D73" s="785"/>
      <c r="E73" s="785"/>
      <c r="F73" s="785"/>
      <c r="G73" s="789"/>
      <c r="H73" s="792"/>
      <c r="I73" s="769" t="s">
        <v>1464</v>
      </c>
      <c r="J73" s="769" t="s">
        <v>199</v>
      </c>
      <c r="K73" s="769" t="s">
        <v>199</v>
      </c>
      <c r="L73" s="751"/>
      <c r="M73" s="751"/>
      <c r="N73" s="751"/>
      <c r="O73" s="751"/>
      <c r="P73" s="751"/>
      <c r="Q73" s="751"/>
      <c r="R73" s="751"/>
      <c r="S73" s="751"/>
      <c r="T73" s="751"/>
      <c r="U73" s="751"/>
      <c r="V73" s="751"/>
      <c r="W73" s="751"/>
      <c r="X73" s="751"/>
      <c r="Y73" s="751"/>
      <c r="Z73" s="751"/>
      <c r="AA73" s="751"/>
      <c r="AB73" s="751"/>
      <c r="AC73" s="751"/>
      <c r="AD73" s="751"/>
      <c r="AE73" s="751"/>
      <c r="AF73" s="751"/>
      <c r="AG73" s="751"/>
      <c r="AH73" s="751"/>
      <c r="AI73" s="751"/>
      <c r="AJ73" s="751"/>
      <c r="AK73" s="751"/>
      <c r="AL73" s="751"/>
      <c r="AM73" s="751"/>
      <c r="AN73" s="751"/>
      <c r="AO73" s="751"/>
      <c r="AP73" s="751"/>
      <c r="AQ73" s="751"/>
      <c r="AR73" s="751"/>
      <c r="AS73" s="751"/>
      <c r="AT73" s="751"/>
      <c r="AU73" s="751"/>
      <c r="AV73" s="751"/>
    </row>
    <row r="74" ht="15" customHeight="1" spans="2:48">
      <c r="B74" s="767" t="s">
        <v>1518</v>
      </c>
      <c r="C74" s="785"/>
      <c r="D74" s="785"/>
      <c r="E74" s="785"/>
      <c r="F74" s="785"/>
      <c r="G74" s="793"/>
      <c r="H74" s="793"/>
      <c r="I74" s="769" t="s">
        <v>1464</v>
      </c>
      <c r="J74" s="769" t="s">
        <v>199</v>
      </c>
      <c r="K74" s="769" t="s">
        <v>199</v>
      </c>
      <c r="L74" s="751"/>
      <c r="M74" s="751"/>
      <c r="N74" s="751"/>
      <c r="O74" s="751"/>
      <c r="P74" s="751"/>
      <c r="Q74" s="751"/>
      <c r="R74" s="751"/>
      <c r="S74" s="751"/>
      <c r="T74" s="751"/>
      <c r="U74" s="751"/>
      <c r="V74" s="751"/>
      <c r="W74" s="751"/>
      <c r="X74" s="751"/>
      <c r="Y74" s="751"/>
      <c r="Z74" s="751"/>
      <c r="AA74" s="751"/>
      <c r="AB74" s="751"/>
      <c r="AC74" s="751"/>
      <c r="AD74" s="751"/>
      <c r="AE74" s="751"/>
      <c r="AF74" s="751"/>
      <c r="AG74" s="751"/>
      <c r="AH74" s="751"/>
      <c r="AI74" s="751"/>
      <c r="AJ74" s="751"/>
      <c r="AK74" s="751"/>
      <c r="AL74" s="751"/>
      <c r="AM74" s="751"/>
      <c r="AN74" s="751"/>
      <c r="AO74" s="751"/>
      <c r="AP74" s="751"/>
      <c r="AQ74" s="751"/>
      <c r="AR74" s="751"/>
      <c r="AS74" s="751"/>
      <c r="AT74" s="751"/>
      <c r="AU74" s="751"/>
      <c r="AV74" s="751"/>
    </row>
    <row r="75" ht="15" customHeight="1" spans="2:48">
      <c r="B75" s="767" t="s">
        <v>1519</v>
      </c>
      <c r="C75" s="785"/>
      <c r="D75" s="785"/>
      <c r="E75" s="785"/>
      <c r="F75" s="785"/>
      <c r="G75" s="789"/>
      <c r="H75" s="793"/>
      <c r="I75" s="769" t="s">
        <v>1464</v>
      </c>
      <c r="J75" s="769" t="s">
        <v>199</v>
      </c>
      <c r="K75" s="769" t="s">
        <v>199</v>
      </c>
      <c r="L75" s="751"/>
      <c r="M75" s="751"/>
      <c r="N75" s="751"/>
      <c r="O75" s="751"/>
      <c r="P75" s="751"/>
      <c r="Q75" s="751"/>
      <c r="R75" s="751"/>
      <c r="S75" s="751"/>
      <c r="T75" s="751"/>
      <c r="U75" s="751"/>
      <c r="V75" s="751"/>
      <c r="W75" s="751"/>
      <c r="X75" s="751"/>
      <c r="Y75" s="751"/>
      <c r="Z75" s="751"/>
      <c r="AA75" s="751"/>
      <c r="AB75" s="751"/>
      <c r="AC75" s="751"/>
      <c r="AD75" s="751"/>
      <c r="AE75" s="751"/>
      <c r="AF75" s="751"/>
      <c r="AG75" s="751"/>
      <c r="AH75" s="751"/>
      <c r="AI75" s="751"/>
      <c r="AJ75" s="751"/>
      <c r="AK75" s="751"/>
      <c r="AL75" s="751"/>
      <c r="AM75" s="751"/>
      <c r="AN75" s="751"/>
      <c r="AO75" s="751"/>
      <c r="AP75" s="751"/>
      <c r="AQ75" s="751"/>
      <c r="AR75" s="751"/>
      <c r="AS75" s="751"/>
      <c r="AT75" s="751"/>
      <c r="AU75" s="751"/>
      <c r="AV75" s="751"/>
    </row>
    <row r="76" ht="15" customHeight="1" spans="2:48">
      <c r="B76" s="767" t="s">
        <v>1520</v>
      </c>
      <c r="C76" s="785"/>
      <c r="D76" s="785"/>
      <c r="E76" s="785"/>
      <c r="F76" s="785"/>
      <c r="G76" s="793"/>
      <c r="H76" s="793"/>
      <c r="I76" s="769" t="s">
        <v>1464</v>
      </c>
      <c r="J76" s="769" t="s">
        <v>199</v>
      </c>
      <c r="K76" s="769" t="s">
        <v>199</v>
      </c>
      <c r="L76" s="751"/>
      <c r="M76" s="751"/>
      <c r="N76" s="751"/>
      <c r="O76" s="751"/>
      <c r="P76" s="751"/>
      <c r="Q76" s="751"/>
      <c r="R76" s="751"/>
      <c r="S76" s="751"/>
      <c r="T76" s="751"/>
      <c r="U76" s="751"/>
      <c r="V76" s="751"/>
      <c r="W76" s="751"/>
      <c r="X76" s="751"/>
      <c r="Y76" s="751"/>
      <c r="Z76" s="751"/>
      <c r="AA76" s="751"/>
      <c r="AB76" s="751"/>
      <c r="AC76" s="751"/>
      <c r="AD76" s="751"/>
      <c r="AE76" s="751"/>
      <c r="AF76" s="751"/>
      <c r="AG76" s="751"/>
      <c r="AH76" s="751"/>
      <c r="AI76" s="751"/>
      <c r="AJ76" s="751"/>
      <c r="AK76" s="751"/>
      <c r="AL76" s="751"/>
      <c r="AM76" s="751"/>
      <c r="AN76" s="751"/>
      <c r="AO76" s="751"/>
      <c r="AP76" s="751"/>
      <c r="AQ76" s="751"/>
      <c r="AR76" s="751"/>
      <c r="AS76" s="751"/>
      <c r="AT76" s="751"/>
      <c r="AU76" s="751"/>
      <c r="AV76" s="751"/>
    </row>
    <row r="77" ht="15" customHeight="1" spans="2:48">
      <c r="B77" s="767" t="s">
        <v>1521</v>
      </c>
      <c r="C77" s="785"/>
      <c r="D77" s="785"/>
      <c r="E77" s="785"/>
      <c r="F77" s="785"/>
      <c r="G77" s="789"/>
      <c r="H77" s="793"/>
      <c r="I77" s="769" t="s">
        <v>1464</v>
      </c>
      <c r="J77" s="769" t="s">
        <v>199</v>
      </c>
      <c r="K77" s="769" t="s">
        <v>199</v>
      </c>
      <c r="L77" s="751"/>
      <c r="M77" s="751"/>
      <c r="N77" s="751"/>
      <c r="O77" s="751"/>
      <c r="P77" s="751"/>
      <c r="Q77" s="751"/>
      <c r="R77" s="751"/>
      <c r="S77" s="751"/>
      <c r="T77" s="751"/>
      <c r="U77" s="751"/>
      <c r="V77" s="751"/>
      <c r="W77" s="751"/>
      <c r="X77" s="751"/>
      <c r="Y77" s="751"/>
      <c r="Z77" s="751"/>
      <c r="AA77" s="751"/>
      <c r="AB77" s="751"/>
      <c r="AC77" s="751"/>
      <c r="AD77" s="751"/>
      <c r="AE77" s="751"/>
      <c r="AF77" s="751"/>
      <c r="AG77" s="751"/>
      <c r="AH77" s="751"/>
      <c r="AI77" s="751"/>
      <c r="AJ77" s="751"/>
      <c r="AK77" s="751"/>
      <c r="AL77" s="751"/>
      <c r="AM77" s="751"/>
      <c r="AN77" s="751"/>
      <c r="AO77" s="751"/>
      <c r="AP77" s="751"/>
      <c r="AQ77" s="751"/>
      <c r="AR77" s="751"/>
      <c r="AS77" s="751"/>
      <c r="AT77" s="751"/>
      <c r="AU77" s="751"/>
      <c r="AV77" s="751"/>
    </row>
    <row r="78" ht="15" customHeight="1" spans="2:48">
      <c r="B78" s="767" t="s">
        <v>1522</v>
      </c>
      <c r="C78" s="785"/>
      <c r="D78" s="785"/>
      <c r="E78" s="785"/>
      <c r="F78" s="785"/>
      <c r="G78" s="789"/>
      <c r="H78" s="793"/>
      <c r="I78" s="769" t="s">
        <v>1464</v>
      </c>
      <c r="J78" s="769" t="s">
        <v>199</v>
      </c>
      <c r="K78" s="769" t="s">
        <v>199</v>
      </c>
      <c r="L78" s="751"/>
      <c r="M78" s="751"/>
      <c r="N78" s="751"/>
      <c r="O78" s="751"/>
      <c r="P78" s="751"/>
      <c r="Q78" s="751"/>
      <c r="R78" s="751"/>
      <c r="S78" s="751"/>
      <c r="T78" s="751"/>
      <c r="U78" s="751"/>
      <c r="V78" s="751"/>
      <c r="W78" s="751"/>
      <c r="X78" s="751"/>
      <c r="Y78" s="751"/>
      <c r="Z78" s="751"/>
      <c r="AA78" s="751"/>
      <c r="AB78" s="751"/>
      <c r="AC78" s="751"/>
      <c r="AD78" s="751"/>
      <c r="AE78" s="751"/>
      <c r="AF78" s="751"/>
      <c r="AG78" s="751"/>
      <c r="AH78" s="751"/>
      <c r="AI78" s="751"/>
      <c r="AJ78" s="751"/>
      <c r="AK78" s="751"/>
      <c r="AL78" s="751"/>
      <c r="AM78" s="751"/>
      <c r="AN78" s="751"/>
      <c r="AO78" s="751"/>
      <c r="AP78" s="751"/>
      <c r="AQ78" s="751"/>
      <c r="AR78" s="751"/>
      <c r="AS78" s="751"/>
      <c r="AT78" s="751"/>
      <c r="AU78" s="751"/>
      <c r="AV78" s="751"/>
    </row>
    <row r="79" ht="15" customHeight="1" spans="2:48">
      <c r="B79" s="767" t="s">
        <v>1523</v>
      </c>
      <c r="C79" s="785"/>
      <c r="D79" s="785"/>
      <c r="E79" s="785"/>
      <c r="F79" s="785"/>
      <c r="G79" s="793"/>
      <c r="H79" s="793"/>
      <c r="I79" s="769" t="s">
        <v>1464</v>
      </c>
      <c r="J79" s="769" t="s">
        <v>199</v>
      </c>
      <c r="K79" s="769" t="s">
        <v>199</v>
      </c>
      <c r="L79" s="751"/>
      <c r="M79" s="751"/>
      <c r="N79" s="751"/>
      <c r="O79" s="751"/>
      <c r="P79" s="751"/>
      <c r="Q79" s="751"/>
      <c r="R79" s="751"/>
      <c r="S79" s="751"/>
      <c r="T79" s="751"/>
      <c r="U79" s="751"/>
      <c r="V79" s="751"/>
      <c r="W79" s="751"/>
      <c r="X79" s="751"/>
      <c r="Y79" s="751"/>
      <c r="Z79" s="751"/>
      <c r="AA79" s="751"/>
      <c r="AB79" s="751"/>
      <c r="AC79" s="751"/>
      <c r="AD79" s="751"/>
      <c r="AE79" s="751"/>
      <c r="AF79" s="751"/>
      <c r="AG79" s="751"/>
      <c r="AH79" s="751"/>
      <c r="AI79" s="751"/>
      <c r="AJ79" s="751"/>
      <c r="AK79" s="751"/>
      <c r="AL79" s="751"/>
      <c r="AM79" s="751"/>
      <c r="AN79" s="751"/>
      <c r="AO79" s="751"/>
      <c r="AP79" s="751"/>
      <c r="AQ79" s="751"/>
      <c r="AR79" s="751"/>
      <c r="AS79" s="751"/>
      <c r="AT79" s="751"/>
      <c r="AU79" s="751"/>
      <c r="AV79" s="751"/>
    </row>
    <row r="80" ht="15" customHeight="1" spans="2:48">
      <c r="B80" s="767" t="s">
        <v>1524</v>
      </c>
      <c r="C80" s="785"/>
      <c r="D80" s="785"/>
      <c r="E80" s="785"/>
      <c r="F80" s="785"/>
      <c r="G80" s="793"/>
      <c r="H80" s="793"/>
      <c r="I80" s="769" t="s">
        <v>1464</v>
      </c>
      <c r="J80" s="769" t="s">
        <v>199</v>
      </c>
      <c r="K80" s="769" t="s">
        <v>199</v>
      </c>
      <c r="L80" s="751"/>
      <c r="M80" s="751"/>
      <c r="N80" s="751"/>
      <c r="O80" s="751"/>
      <c r="P80" s="751"/>
      <c r="Q80" s="751"/>
      <c r="R80" s="751"/>
      <c r="S80" s="751"/>
      <c r="T80" s="751"/>
      <c r="U80" s="751"/>
      <c r="V80" s="751"/>
      <c r="W80" s="751"/>
      <c r="X80" s="751"/>
      <c r="Y80" s="751"/>
      <c r="Z80" s="751"/>
      <c r="AA80" s="751"/>
      <c r="AB80" s="751"/>
      <c r="AC80" s="751"/>
      <c r="AD80" s="751"/>
      <c r="AE80" s="751"/>
      <c r="AF80" s="751"/>
      <c r="AG80" s="751"/>
      <c r="AH80" s="751"/>
      <c r="AI80" s="751"/>
      <c r="AJ80" s="751"/>
      <c r="AK80" s="751"/>
      <c r="AL80" s="751"/>
      <c r="AM80" s="751"/>
      <c r="AN80" s="751"/>
      <c r="AO80" s="751"/>
      <c r="AP80" s="751"/>
      <c r="AQ80" s="751"/>
      <c r="AR80" s="751"/>
      <c r="AS80" s="751"/>
      <c r="AT80" s="751"/>
      <c r="AU80" s="751"/>
      <c r="AV80" s="751"/>
    </row>
    <row r="81" ht="15" customHeight="1" spans="2:48">
      <c r="B81" s="767" t="s">
        <v>1525</v>
      </c>
      <c r="C81" s="785"/>
      <c r="D81" s="785"/>
      <c r="E81" s="785"/>
      <c r="F81" s="785"/>
      <c r="G81" s="793"/>
      <c r="H81" s="793"/>
      <c r="I81" s="769" t="s">
        <v>1464</v>
      </c>
      <c r="J81" s="769" t="s">
        <v>199</v>
      </c>
      <c r="K81" s="769" t="s">
        <v>199</v>
      </c>
      <c r="L81" s="751"/>
      <c r="M81" s="751"/>
      <c r="N81" s="751"/>
      <c r="O81" s="751"/>
      <c r="P81" s="751"/>
      <c r="Q81" s="751"/>
      <c r="R81" s="751"/>
      <c r="S81" s="751"/>
      <c r="T81" s="751"/>
      <c r="U81" s="751"/>
      <c r="V81" s="751"/>
      <c r="W81" s="751"/>
      <c r="X81" s="751"/>
      <c r="Y81" s="751"/>
      <c r="Z81" s="751"/>
      <c r="AA81" s="751"/>
      <c r="AB81" s="751"/>
      <c r="AC81" s="751"/>
      <c r="AD81" s="751"/>
      <c r="AE81" s="751"/>
      <c r="AF81" s="751"/>
      <c r="AG81" s="751"/>
      <c r="AH81" s="751"/>
      <c r="AI81" s="751"/>
      <c r="AJ81" s="751"/>
      <c r="AK81" s="751"/>
      <c r="AL81" s="751"/>
      <c r="AM81" s="751"/>
      <c r="AN81" s="751"/>
      <c r="AO81" s="751"/>
      <c r="AP81" s="751"/>
      <c r="AQ81" s="751"/>
      <c r="AR81" s="751"/>
      <c r="AS81" s="751"/>
      <c r="AT81" s="751"/>
      <c r="AU81" s="751"/>
      <c r="AV81" s="751"/>
    </row>
    <row r="82" ht="15" customHeight="1" spans="2:48">
      <c r="B82" s="767" t="s">
        <v>1526</v>
      </c>
      <c r="C82" s="785"/>
      <c r="D82" s="785"/>
      <c r="E82" s="785"/>
      <c r="F82" s="785"/>
      <c r="G82" s="789"/>
      <c r="H82" s="770"/>
      <c r="I82" s="769" t="s">
        <v>1464</v>
      </c>
      <c r="J82" s="769" t="s">
        <v>199</v>
      </c>
      <c r="K82" s="769" t="s">
        <v>199</v>
      </c>
      <c r="L82" s="751"/>
      <c r="M82" s="751"/>
      <c r="N82" s="751"/>
      <c r="O82" s="751"/>
      <c r="P82" s="751"/>
      <c r="Q82" s="751"/>
      <c r="R82" s="751"/>
      <c r="S82" s="751"/>
      <c r="T82" s="751"/>
      <c r="U82" s="751"/>
      <c r="V82" s="751"/>
      <c r="W82" s="751"/>
      <c r="X82" s="751"/>
      <c r="Y82" s="751"/>
      <c r="Z82" s="751"/>
      <c r="AA82" s="751"/>
      <c r="AB82" s="751"/>
      <c r="AC82" s="751"/>
      <c r="AD82" s="751"/>
      <c r="AE82" s="751"/>
      <c r="AF82" s="751"/>
      <c r="AG82" s="751"/>
      <c r="AH82" s="751"/>
      <c r="AI82" s="751"/>
      <c r="AJ82" s="751"/>
      <c r="AK82" s="751"/>
      <c r="AL82" s="751"/>
      <c r="AM82" s="751"/>
      <c r="AN82" s="751"/>
      <c r="AO82" s="751"/>
      <c r="AP82" s="751"/>
      <c r="AQ82" s="751"/>
      <c r="AR82" s="751"/>
      <c r="AS82" s="751"/>
      <c r="AT82" s="751"/>
      <c r="AU82" s="751"/>
      <c r="AV82" s="751"/>
    </row>
    <row r="83" ht="15" customHeight="1" spans="2:48">
      <c r="B83" s="767" t="s">
        <v>1527</v>
      </c>
      <c r="C83" s="785"/>
      <c r="D83" s="785"/>
      <c r="E83" s="785"/>
      <c r="F83" s="785"/>
      <c r="G83" s="789"/>
      <c r="H83" s="770"/>
      <c r="I83" s="769" t="s">
        <v>1464</v>
      </c>
      <c r="J83" s="769" t="s">
        <v>199</v>
      </c>
      <c r="K83" s="769" t="s">
        <v>199</v>
      </c>
      <c r="L83" s="751"/>
      <c r="M83" s="751"/>
      <c r="N83" s="751"/>
      <c r="O83" s="751"/>
      <c r="P83" s="751"/>
      <c r="Q83" s="751"/>
      <c r="R83" s="751"/>
      <c r="S83" s="751"/>
      <c r="T83" s="751"/>
      <c r="U83" s="751"/>
      <c r="V83" s="751"/>
      <c r="W83" s="751"/>
      <c r="X83" s="751"/>
      <c r="Y83" s="751"/>
      <c r="Z83" s="751"/>
      <c r="AA83" s="751"/>
      <c r="AB83" s="751"/>
      <c r="AC83" s="751"/>
      <c r="AD83" s="751"/>
      <c r="AE83" s="751"/>
      <c r="AF83" s="751"/>
      <c r="AG83" s="751"/>
      <c r="AH83" s="751"/>
      <c r="AI83" s="751"/>
      <c r="AJ83" s="751"/>
      <c r="AK83" s="751"/>
      <c r="AL83" s="751"/>
      <c r="AM83" s="751"/>
      <c r="AN83" s="751"/>
      <c r="AO83" s="751"/>
      <c r="AP83" s="751"/>
      <c r="AQ83" s="751"/>
      <c r="AR83" s="751"/>
      <c r="AS83" s="751"/>
      <c r="AT83" s="751"/>
      <c r="AU83" s="751"/>
      <c r="AV83" s="751"/>
    </row>
    <row r="84" ht="15" customHeight="1" spans="2:48">
      <c r="B84" s="767" t="s">
        <v>1528</v>
      </c>
      <c r="C84" s="785"/>
      <c r="D84" s="785"/>
      <c r="E84" s="785"/>
      <c r="F84" s="785"/>
      <c r="G84" s="789"/>
      <c r="H84" s="770"/>
      <c r="I84" s="769" t="s">
        <v>1464</v>
      </c>
      <c r="J84" s="769" t="s">
        <v>199</v>
      </c>
      <c r="K84" s="769" t="s">
        <v>199</v>
      </c>
      <c r="L84" s="751"/>
      <c r="M84" s="751"/>
      <c r="N84" s="751"/>
      <c r="O84" s="751"/>
      <c r="P84" s="751"/>
      <c r="Q84" s="751"/>
      <c r="R84" s="751"/>
      <c r="S84" s="751"/>
      <c r="T84" s="751"/>
      <c r="U84" s="751"/>
      <c r="V84" s="751"/>
      <c r="W84" s="751"/>
      <c r="X84" s="751"/>
      <c r="Y84" s="751"/>
      <c r="Z84" s="751"/>
      <c r="AA84" s="751"/>
      <c r="AB84" s="751"/>
      <c r="AC84" s="751"/>
      <c r="AD84" s="751"/>
      <c r="AE84" s="751"/>
      <c r="AF84" s="751"/>
      <c r="AG84" s="751"/>
      <c r="AH84" s="751"/>
      <c r="AI84" s="751"/>
      <c r="AJ84" s="751"/>
      <c r="AK84" s="751"/>
      <c r="AL84" s="751"/>
      <c r="AM84" s="751"/>
      <c r="AN84" s="751"/>
      <c r="AO84" s="751"/>
      <c r="AP84" s="751"/>
      <c r="AQ84" s="751"/>
      <c r="AR84" s="751"/>
      <c r="AS84" s="751"/>
      <c r="AT84" s="751"/>
      <c r="AU84" s="751"/>
      <c r="AV84" s="751"/>
    </row>
    <row r="85" ht="15" customHeight="1" spans="2:48">
      <c r="B85" s="767" t="s">
        <v>1529</v>
      </c>
      <c r="C85" s="784"/>
      <c r="D85" s="784"/>
      <c r="E85" s="784"/>
      <c r="F85" s="784"/>
      <c r="G85" s="784"/>
      <c r="H85" s="770"/>
      <c r="I85" s="769" t="s">
        <v>1464</v>
      </c>
      <c r="J85" s="769" t="s">
        <v>199</v>
      </c>
      <c r="K85" s="769" t="s">
        <v>199</v>
      </c>
      <c r="L85" s="750"/>
      <c r="M85" s="750"/>
      <c r="N85" s="750"/>
      <c r="O85" s="750"/>
      <c r="P85" s="750"/>
      <c r="Q85" s="750"/>
      <c r="R85" s="750"/>
      <c r="S85" s="750"/>
      <c r="T85" s="750"/>
      <c r="U85" s="750"/>
      <c r="V85" s="750"/>
      <c r="W85" s="750"/>
      <c r="X85" s="750"/>
      <c r="Y85" s="750"/>
      <c r="Z85" s="750"/>
      <c r="AA85" s="750"/>
      <c r="AB85" s="750"/>
      <c r="AC85" s="750"/>
      <c r="AD85" s="750"/>
      <c r="AE85" s="750"/>
      <c r="AF85" s="750"/>
      <c r="AG85" s="750"/>
      <c r="AH85" s="750"/>
      <c r="AI85" s="750"/>
      <c r="AJ85" s="750"/>
      <c r="AK85" s="750"/>
      <c r="AL85" s="750"/>
      <c r="AM85" s="750"/>
      <c r="AN85" s="750"/>
      <c r="AO85" s="750"/>
      <c r="AP85" s="750"/>
      <c r="AQ85" s="750"/>
      <c r="AR85" s="750"/>
      <c r="AS85" s="750"/>
      <c r="AT85" s="750"/>
      <c r="AU85" s="750"/>
      <c r="AV85" s="750"/>
    </row>
    <row r="86" ht="15" customHeight="1" spans="2:48">
      <c r="B86" s="767" t="s">
        <v>1530</v>
      </c>
      <c r="C86" s="784"/>
      <c r="D86" s="784"/>
      <c r="E86" s="784"/>
      <c r="F86" s="784"/>
      <c r="G86" s="784"/>
      <c r="H86" s="770"/>
      <c r="I86" s="769" t="s">
        <v>1464</v>
      </c>
      <c r="J86" s="769" t="s">
        <v>199</v>
      </c>
      <c r="K86" s="769" t="s">
        <v>199</v>
      </c>
      <c r="L86" s="750"/>
      <c r="M86" s="750"/>
      <c r="N86" s="750"/>
      <c r="O86" s="750"/>
      <c r="P86" s="750"/>
      <c r="Q86" s="750"/>
      <c r="R86" s="750"/>
      <c r="S86" s="750"/>
      <c r="T86" s="750"/>
      <c r="U86" s="750"/>
      <c r="V86" s="750"/>
      <c r="W86" s="750"/>
      <c r="X86" s="750"/>
      <c r="Y86" s="750"/>
      <c r="Z86" s="750"/>
      <c r="AA86" s="750"/>
      <c r="AB86" s="750"/>
      <c r="AC86" s="750"/>
      <c r="AD86" s="750"/>
      <c r="AE86" s="750"/>
      <c r="AF86" s="750"/>
      <c r="AG86" s="750"/>
      <c r="AH86" s="750"/>
      <c r="AI86" s="750"/>
      <c r="AJ86" s="750"/>
      <c r="AK86" s="750"/>
      <c r="AL86" s="750"/>
      <c r="AM86" s="750"/>
      <c r="AN86" s="750"/>
      <c r="AO86" s="750"/>
      <c r="AP86" s="750"/>
      <c r="AQ86" s="750"/>
      <c r="AR86" s="750"/>
      <c r="AS86" s="750"/>
      <c r="AT86" s="750"/>
      <c r="AU86" s="750"/>
      <c r="AV86" s="750"/>
    </row>
    <row r="87" ht="15" customHeight="1" spans="2:48">
      <c r="B87" s="767" t="s">
        <v>1531</v>
      </c>
      <c r="C87" s="784"/>
      <c r="D87" s="784"/>
      <c r="E87" s="784"/>
      <c r="F87" s="784"/>
      <c r="G87" s="784"/>
      <c r="H87" s="770"/>
      <c r="I87" s="769" t="s">
        <v>1464</v>
      </c>
      <c r="J87" s="769" t="s">
        <v>199</v>
      </c>
      <c r="K87" s="769" t="s">
        <v>199</v>
      </c>
      <c r="L87" s="750"/>
      <c r="M87" s="750"/>
      <c r="N87" s="750"/>
      <c r="O87" s="750"/>
      <c r="P87" s="750"/>
      <c r="Q87" s="750"/>
      <c r="R87" s="750"/>
      <c r="S87" s="750"/>
      <c r="T87" s="750"/>
      <c r="U87" s="750"/>
      <c r="V87" s="750"/>
      <c r="W87" s="750"/>
      <c r="X87" s="750"/>
      <c r="Y87" s="750"/>
      <c r="Z87" s="750"/>
      <c r="AA87" s="750"/>
      <c r="AB87" s="750"/>
      <c r="AC87" s="750"/>
      <c r="AD87" s="750"/>
      <c r="AE87" s="750"/>
      <c r="AF87" s="750"/>
      <c r="AG87" s="750"/>
      <c r="AH87" s="750"/>
      <c r="AI87" s="750"/>
      <c r="AJ87" s="750"/>
      <c r="AK87" s="750"/>
      <c r="AL87" s="750"/>
      <c r="AM87" s="750"/>
      <c r="AN87" s="750"/>
      <c r="AO87" s="750"/>
      <c r="AP87" s="750"/>
      <c r="AQ87" s="750"/>
      <c r="AR87" s="750"/>
      <c r="AS87" s="750"/>
      <c r="AT87" s="750"/>
      <c r="AU87" s="750"/>
      <c r="AV87" s="750"/>
    </row>
    <row r="88" ht="15" customHeight="1" spans="2:48">
      <c r="B88" s="767" t="s">
        <v>1532</v>
      </c>
      <c r="C88" s="784"/>
      <c r="D88" s="784"/>
      <c r="E88" s="784"/>
      <c r="F88" s="784"/>
      <c r="G88" s="784"/>
      <c r="H88" s="770"/>
      <c r="I88" s="769" t="s">
        <v>1464</v>
      </c>
      <c r="J88" s="769" t="s">
        <v>199</v>
      </c>
      <c r="K88" s="769" t="s">
        <v>199</v>
      </c>
      <c r="L88" s="750">
        <v>0</v>
      </c>
      <c r="M88" s="750">
        <v>0</v>
      </c>
      <c r="N88" s="750">
        <v>0</v>
      </c>
      <c r="O88" s="750">
        <v>0</v>
      </c>
      <c r="P88" s="750">
        <v>0</v>
      </c>
      <c r="Q88" s="750">
        <v>0</v>
      </c>
      <c r="R88" s="750">
        <v>0</v>
      </c>
      <c r="S88" s="750">
        <v>0</v>
      </c>
      <c r="T88" s="750">
        <v>0</v>
      </c>
      <c r="U88" s="750">
        <v>0</v>
      </c>
      <c r="V88" s="750">
        <v>0</v>
      </c>
      <c r="W88" s="750">
        <v>0</v>
      </c>
      <c r="X88" s="750"/>
      <c r="Y88" s="750">
        <v>0</v>
      </c>
      <c r="Z88" s="750">
        <v>0</v>
      </c>
      <c r="AA88" s="750">
        <v>0</v>
      </c>
      <c r="AB88" s="750">
        <v>0</v>
      </c>
      <c r="AC88" s="750">
        <v>0</v>
      </c>
      <c r="AD88" s="750">
        <v>0</v>
      </c>
      <c r="AE88" s="750">
        <v>0</v>
      </c>
      <c r="AF88" s="750">
        <v>0</v>
      </c>
      <c r="AG88" s="750">
        <v>0</v>
      </c>
      <c r="AH88" s="750">
        <v>0</v>
      </c>
      <c r="AI88" s="750">
        <v>0</v>
      </c>
      <c r="AJ88" s="750">
        <v>0</v>
      </c>
      <c r="AK88" s="750">
        <v>0</v>
      </c>
      <c r="AL88" s="750">
        <v>0</v>
      </c>
      <c r="AM88" s="750">
        <v>0</v>
      </c>
      <c r="AN88" s="750">
        <v>0</v>
      </c>
      <c r="AO88" s="750">
        <v>0</v>
      </c>
      <c r="AP88" s="750">
        <v>0</v>
      </c>
      <c r="AQ88" s="750">
        <v>0</v>
      </c>
      <c r="AR88" s="750">
        <v>0</v>
      </c>
      <c r="AS88" s="750">
        <v>0</v>
      </c>
      <c r="AT88" s="750">
        <v>0</v>
      </c>
      <c r="AU88" s="750">
        <v>0</v>
      </c>
      <c r="AV88" s="750">
        <v>0</v>
      </c>
    </row>
    <row r="89" ht="15" customHeight="1" spans="2:48">
      <c r="B89" s="767" t="s">
        <v>1533</v>
      </c>
      <c r="C89" s="784"/>
      <c r="D89" s="784"/>
      <c r="E89" s="784"/>
      <c r="F89" s="784"/>
      <c r="G89" s="784" t="s">
        <v>1534</v>
      </c>
      <c r="H89" s="770"/>
      <c r="I89" s="769" t="s">
        <v>1464</v>
      </c>
      <c r="J89" s="769" t="s">
        <v>199</v>
      </c>
      <c r="K89" s="769" t="s">
        <v>199</v>
      </c>
      <c r="L89" s="750">
        <v>0</v>
      </c>
      <c r="M89" s="750">
        <v>0</v>
      </c>
      <c r="N89" s="750">
        <v>0</v>
      </c>
      <c r="O89" s="750">
        <v>0</v>
      </c>
      <c r="P89" s="750">
        <v>0</v>
      </c>
      <c r="Q89" s="750">
        <v>0</v>
      </c>
      <c r="R89" s="750">
        <v>0</v>
      </c>
      <c r="S89" s="750">
        <v>0</v>
      </c>
      <c r="T89" s="750">
        <v>0</v>
      </c>
      <c r="U89" s="750">
        <v>0</v>
      </c>
      <c r="V89" s="750">
        <v>0</v>
      </c>
      <c r="W89" s="750">
        <v>0</v>
      </c>
      <c r="X89" s="750"/>
      <c r="Y89" s="750">
        <v>0</v>
      </c>
      <c r="Z89" s="750">
        <v>0</v>
      </c>
      <c r="AA89" s="750">
        <v>0</v>
      </c>
      <c r="AB89" s="750">
        <v>0</v>
      </c>
      <c r="AC89" s="750">
        <v>0</v>
      </c>
      <c r="AD89" s="750">
        <v>0</v>
      </c>
      <c r="AE89" s="750">
        <v>0</v>
      </c>
      <c r="AF89" s="750">
        <v>0</v>
      </c>
      <c r="AG89" s="750">
        <v>0</v>
      </c>
      <c r="AH89" s="750">
        <v>0</v>
      </c>
      <c r="AI89" s="750">
        <v>0</v>
      </c>
      <c r="AJ89" s="750">
        <v>0</v>
      </c>
      <c r="AK89" s="750">
        <v>0</v>
      </c>
      <c r="AL89" s="750">
        <v>0</v>
      </c>
      <c r="AM89" s="750">
        <v>0</v>
      </c>
      <c r="AN89" s="750">
        <v>0</v>
      </c>
      <c r="AO89" s="750">
        <v>0</v>
      </c>
      <c r="AP89" s="750">
        <v>0</v>
      </c>
      <c r="AQ89" s="750">
        <v>0</v>
      </c>
      <c r="AR89" s="750">
        <v>0</v>
      </c>
      <c r="AS89" s="750">
        <v>0</v>
      </c>
      <c r="AT89" s="750">
        <v>0</v>
      </c>
      <c r="AU89" s="750">
        <v>0</v>
      </c>
      <c r="AV89" s="750">
        <v>0</v>
      </c>
    </row>
    <row r="90" ht="15" customHeight="1" spans="2:48">
      <c r="B90" s="767" t="s">
        <v>1535</v>
      </c>
      <c r="C90" s="784"/>
      <c r="D90" s="784" t="s">
        <v>1534</v>
      </c>
      <c r="E90" s="784"/>
      <c r="F90" s="784"/>
      <c r="G90" s="784" t="s">
        <v>1534</v>
      </c>
      <c r="H90" s="770"/>
      <c r="I90" s="769" t="s">
        <v>1464</v>
      </c>
      <c r="J90" s="769" t="s">
        <v>199</v>
      </c>
      <c r="K90" s="769" t="s">
        <v>199</v>
      </c>
      <c r="L90" s="750">
        <v>0</v>
      </c>
      <c r="M90" s="750">
        <v>0</v>
      </c>
      <c r="N90" s="750">
        <v>0</v>
      </c>
      <c r="O90" s="750">
        <v>0</v>
      </c>
      <c r="P90" s="750">
        <v>0</v>
      </c>
      <c r="Q90" s="750">
        <v>0</v>
      </c>
      <c r="R90" s="750">
        <v>0</v>
      </c>
      <c r="S90" s="750">
        <v>0</v>
      </c>
      <c r="T90" s="750">
        <v>0</v>
      </c>
      <c r="U90" s="750">
        <v>0</v>
      </c>
      <c r="V90" s="750">
        <v>0</v>
      </c>
      <c r="W90" s="750">
        <v>0</v>
      </c>
      <c r="X90" s="750"/>
      <c r="Y90" s="750">
        <v>0</v>
      </c>
      <c r="Z90" s="750">
        <v>0</v>
      </c>
      <c r="AA90" s="750">
        <v>0</v>
      </c>
      <c r="AB90" s="750">
        <v>0</v>
      </c>
      <c r="AC90" s="750">
        <v>0</v>
      </c>
      <c r="AD90" s="750">
        <v>0</v>
      </c>
      <c r="AE90" s="750">
        <v>0</v>
      </c>
      <c r="AF90" s="750">
        <v>0</v>
      </c>
      <c r="AG90" s="750">
        <v>0</v>
      </c>
      <c r="AH90" s="750">
        <v>0</v>
      </c>
      <c r="AI90" s="750">
        <v>0</v>
      </c>
      <c r="AJ90" s="750">
        <v>0</v>
      </c>
      <c r="AK90" s="750">
        <v>0</v>
      </c>
      <c r="AL90" s="750">
        <v>0</v>
      </c>
      <c r="AM90" s="750">
        <v>0</v>
      </c>
      <c r="AN90" s="750">
        <v>0</v>
      </c>
      <c r="AO90" s="750">
        <v>0</v>
      </c>
      <c r="AP90" s="750">
        <v>0</v>
      </c>
      <c r="AQ90" s="750">
        <v>0</v>
      </c>
      <c r="AR90" s="750">
        <v>0</v>
      </c>
      <c r="AS90" s="750">
        <v>0</v>
      </c>
      <c r="AT90" s="750">
        <v>0</v>
      </c>
      <c r="AU90" s="750">
        <v>0</v>
      </c>
      <c r="AV90" s="750">
        <v>0</v>
      </c>
    </row>
    <row r="91" ht="15" customHeight="1" spans="2:48">
      <c r="B91" s="767" t="s">
        <v>1536</v>
      </c>
      <c r="C91" s="784"/>
      <c r="D91" s="784" t="s">
        <v>1534</v>
      </c>
      <c r="E91" s="784"/>
      <c r="F91" s="784"/>
      <c r="G91" s="784" t="s">
        <v>1534</v>
      </c>
      <c r="H91" s="770"/>
      <c r="I91" s="769" t="s">
        <v>1464</v>
      </c>
      <c r="J91" s="769" t="s">
        <v>199</v>
      </c>
      <c r="K91" s="769" t="s">
        <v>199</v>
      </c>
      <c r="L91" s="750">
        <v>0</v>
      </c>
      <c r="M91" s="750">
        <v>0</v>
      </c>
      <c r="N91" s="750">
        <v>0</v>
      </c>
      <c r="O91" s="750">
        <v>0</v>
      </c>
      <c r="P91" s="750">
        <v>0</v>
      </c>
      <c r="Q91" s="750">
        <v>0</v>
      </c>
      <c r="R91" s="750">
        <v>0</v>
      </c>
      <c r="S91" s="750">
        <v>0</v>
      </c>
      <c r="T91" s="750">
        <v>0</v>
      </c>
      <c r="U91" s="750">
        <v>0</v>
      </c>
      <c r="V91" s="750">
        <v>0</v>
      </c>
      <c r="W91" s="750">
        <v>0</v>
      </c>
      <c r="X91" s="750"/>
      <c r="Y91" s="750">
        <v>0</v>
      </c>
      <c r="Z91" s="750">
        <v>0</v>
      </c>
      <c r="AA91" s="750">
        <v>0</v>
      </c>
      <c r="AB91" s="750">
        <v>0</v>
      </c>
      <c r="AC91" s="750">
        <v>0</v>
      </c>
      <c r="AD91" s="750">
        <v>0</v>
      </c>
      <c r="AE91" s="750">
        <v>0</v>
      </c>
      <c r="AF91" s="750">
        <v>0</v>
      </c>
      <c r="AG91" s="750">
        <v>0</v>
      </c>
      <c r="AH91" s="750">
        <v>0</v>
      </c>
      <c r="AI91" s="750">
        <v>0</v>
      </c>
      <c r="AJ91" s="750">
        <v>0</v>
      </c>
      <c r="AK91" s="750">
        <v>0</v>
      </c>
      <c r="AL91" s="750">
        <v>0</v>
      </c>
      <c r="AM91" s="750">
        <v>0</v>
      </c>
      <c r="AN91" s="750">
        <v>0</v>
      </c>
      <c r="AO91" s="750">
        <v>0</v>
      </c>
      <c r="AP91" s="750">
        <v>0</v>
      </c>
      <c r="AQ91" s="750">
        <v>0</v>
      </c>
      <c r="AR91" s="750">
        <v>0</v>
      </c>
      <c r="AS91" s="750">
        <v>0</v>
      </c>
      <c r="AT91" s="750">
        <v>0</v>
      </c>
      <c r="AU91" s="750">
        <v>0</v>
      </c>
      <c r="AV91" s="750">
        <v>0</v>
      </c>
    </row>
    <row r="92" ht="15" customHeight="1" spans="2:48">
      <c r="B92" s="767" t="s">
        <v>1537</v>
      </c>
      <c r="C92" s="784"/>
      <c r="D92" s="784" t="s">
        <v>1534</v>
      </c>
      <c r="E92" s="784"/>
      <c r="F92" s="784"/>
      <c r="G92" s="784" t="s">
        <v>1534</v>
      </c>
      <c r="H92" s="770"/>
      <c r="I92" s="769" t="s">
        <v>1464</v>
      </c>
      <c r="J92" s="769" t="s">
        <v>199</v>
      </c>
      <c r="K92" s="769" t="s">
        <v>199</v>
      </c>
      <c r="L92" s="750">
        <v>0</v>
      </c>
      <c r="M92" s="750">
        <v>0</v>
      </c>
      <c r="N92" s="750">
        <v>0</v>
      </c>
      <c r="O92" s="750">
        <v>0</v>
      </c>
      <c r="P92" s="750">
        <v>0</v>
      </c>
      <c r="Q92" s="750">
        <v>0</v>
      </c>
      <c r="R92" s="750">
        <v>0</v>
      </c>
      <c r="S92" s="750">
        <v>0</v>
      </c>
      <c r="T92" s="750">
        <v>0</v>
      </c>
      <c r="U92" s="750">
        <v>0</v>
      </c>
      <c r="V92" s="750">
        <v>0</v>
      </c>
      <c r="W92" s="750">
        <v>0</v>
      </c>
      <c r="X92" s="750"/>
      <c r="Y92" s="750">
        <v>0</v>
      </c>
      <c r="Z92" s="750">
        <v>0</v>
      </c>
      <c r="AA92" s="750">
        <v>0</v>
      </c>
      <c r="AB92" s="750">
        <v>0</v>
      </c>
      <c r="AC92" s="750">
        <v>0</v>
      </c>
      <c r="AD92" s="750">
        <v>0</v>
      </c>
      <c r="AE92" s="750">
        <v>0</v>
      </c>
      <c r="AF92" s="750">
        <v>0</v>
      </c>
      <c r="AG92" s="750">
        <v>0</v>
      </c>
      <c r="AH92" s="750">
        <v>0</v>
      </c>
      <c r="AI92" s="750">
        <v>0</v>
      </c>
      <c r="AJ92" s="750">
        <v>0</v>
      </c>
      <c r="AK92" s="750">
        <v>0</v>
      </c>
      <c r="AL92" s="750">
        <v>0</v>
      </c>
      <c r="AM92" s="750">
        <v>0</v>
      </c>
      <c r="AN92" s="750">
        <v>0</v>
      </c>
      <c r="AO92" s="750">
        <v>0</v>
      </c>
      <c r="AP92" s="750">
        <v>0</v>
      </c>
      <c r="AQ92" s="750">
        <v>0</v>
      </c>
      <c r="AR92" s="750">
        <v>0</v>
      </c>
      <c r="AS92" s="750">
        <v>0</v>
      </c>
      <c r="AT92" s="750">
        <v>0</v>
      </c>
      <c r="AU92" s="750">
        <v>0</v>
      </c>
      <c r="AV92" s="750">
        <v>0</v>
      </c>
    </row>
    <row r="93" ht="15" customHeight="1" spans="2:48">
      <c r="B93" s="767" t="s">
        <v>1538</v>
      </c>
      <c r="C93" s="784"/>
      <c r="D93" s="784" t="s">
        <v>1534</v>
      </c>
      <c r="E93" s="784"/>
      <c r="F93" s="784"/>
      <c r="G93" s="784" t="s">
        <v>1534</v>
      </c>
      <c r="H93" s="770"/>
      <c r="I93" s="769" t="s">
        <v>1464</v>
      </c>
      <c r="J93" s="769" t="s">
        <v>199</v>
      </c>
      <c r="K93" s="769" t="s">
        <v>199</v>
      </c>
      <c r="L93" s="750">
        <v>0</v>
      </c>
      <c r="M93" s="750">
        <v>0</v>
      </c>
      <c r="N93" s="750">
        <v>0</v>
      </c>
      <c r="O93" s="750">
        <v>0</v>
      </c>
      <c r="P93" s="750">
        <v>0</v>
      </c>
      <c r="Q93" s="750">
        <v>0</v>
      </c>
      <c r="R93" s="750">
        <v>0</v>
      </c>
      <c r="S93" s="750">
        <v>0</v>
      </c>
      <c r="T93" s="750">
        <v>0</v>
      </c>
      <c r="U93" s="750">
        <v>0</v>
      </c>
      <c r="V93" s="750">
        <v>0</v>
      </c>
      <c r="W93" s="750">
        <v>0</v>
      </c>
      <c r="X93" s="750"/>
      <c r="Y93" s="750">
        <v>0</v>
      </c>
      <c r="Z93" s="750">
        <v>0</v>
      </c>
      <c r="AA93" s="750">
        <v>0</v>
      </c>
      <c r="AB93" s="750">
        <v>0</v>
      </c>
      <c r="AC93" s="750">
        <v>0</v>
      </c>
      <c r="AD93" s="750">
        <v>0</v>
      </c>
      <c r="AE93" s="750">
        <v>0</v>
      </c>
      <c r="AF93" s="750">
        <v>0</v>
      </c>
      <c r="AG93" s="750">
        <v>0</v>
      </c>
      <c r="AH93" s="750">
        <v>0</v>
      </c>
      <c r="AI93" s="750">
        <v>0</v>
      </c>
      <c r="AJ93" s="750">
        <v>0</v>
      </c>
      <c r="AK93" s="750">
        <v>0</v>
      </c>
      <c r="AL93" s="750">
        <v>0</v>
      </c>
      <c r="AM93" s="750">
        <v>0</v>
      </c>
      <c r="AN93" s="750">
        <v>0</v>
      </c>
      <c r="AO93" s="750">
        <v>0</v>
      </c>
      <c r="AP93" s="750">
        <v>0</v>
      </c>
      <c r="AQ93" s="750">
        <v>0</v>
      </c>
      <c r="AR93" s="750">
        <v>0</v>
      </c>
      <c r="AS93" s="750">
        <v>0</v>
      </c>
      <c r="AT93" s="750">
        <v>0</v>
      </c>
      <c r="AU93" s="750">
        <v>0</v>
      </c>
      <c r="AV93" s="750">
        <v>0</v>
      </c>
    </row>
    <row r="94" ht="15" customHeight="1" spans="2:48">
      <c r="B94" s="767" t="s">
        <v>1539</v>
      </c>
      <c r="C94" s="784"/>
      <c r="D94" s="784" t="s">
        <v>1534</v>
      </c>
      <c r="E94" s="784"/>
      <c r="F94" s="784"/>
      <c r="G94" s="784" t="s">
        <v>1534</v>
      </c>
      <c r="H94" s="770"/>
      <c r="I94" s="769" t="s">
        <v>1464</v>
      </c>
      <c r="J94" s="769" t="s">
        <v>199</v>
      </c>
      <c r="K94" s="769" t="s">
        <v>199</v>
      </c>
      <c r="L94" s="750">
        <v>0</v>
      </c>
      <c r="M94" s="750">
        <v>0</v>
      </c>
      <c r="N94" s="750">
        <v>0</v>
      </c>
      <c r="O94" s="750">
        <v>0</v>
      </c>
      <c r="P94" s="750">
        <v>0</v>
      </c>
      <c r="Q94" s="750">
        <v>0</v>
      </c>
      <c r="R94" s="750">
        <v>0</v>
      </c>
      <c r="S94" s="750">
        <v>0</v>
      </c>
      <c r="T94" s="750">
        <v>0</v>
      </c>
      <c r="U94" s="750">
        <v>0</v>
      </c>
      <c r="V94" s="750">
        <v>0</v>
      </c>
      <c r="W94" s="750">
        <v>0</v>
      </c>
      <c r="X94" s="750"/>
      <c r="Y94" s="750">
        <v>0</v>
      </c>
      <c r="Z94" s="750">
        <v>0</v>
      </c>
      <c r="AA94" s="750">
        <v>0</v>
      </c>
      <c r="AB94" s="750">
        <v>0</v>
      </c>
      <c r="AC94" s="750">
        <v>0</v>
      </c>
      <c r="AD94" s="750">
        <v>0</v>
      </c>
      <c r="AE94" s="750">
        <v>0</v>
      </c>
      <c r="AF94" s="750">
        <v>0</v>
      </c>
      <c r="AG94" s="750">
        <v>0</v>
      </c>
      <c r="AH94" s="750">
        <v>0</v>
      </c>
      <c r="AI94" s="750">
        <v>0</v>
      </c>
      <c r="AJ94" s="750">
        <v>0</v>
      </c>
      <c r="AK94" s="750">
        <v>0</v>
      </c>
      <c r="AL94" s="750">
        <v>0</v>
      </c>
      <c r="AM94" s="750">
        <v>0</v>
      </c>
      <c r="AN94" s="750">
        <v>0</v>
      </c>
      <c r="AO94" s="750">
        <v>0</v>
      </c>
      <c r="AP94" s="750">
        <v>0</v>
      </c>
      <c r="AQ94" s="750">
        <v>0</v>
      </c>
      <c r="AR94" s="750">
        <v>0</v>
      </c>
      <c r="AS94" s="750">
        <v>0</v>
      </c>
      <c r="AT94" s="750">
        <v>0</v>
      </c>
      <c r="AU94" s="750">
        <v>0</v>
      </c>
      <c r="AV94" s="750">
        <v>0</v>
      </c>
    </row>
    <row r="95" ht="15" customHeight="1" spans="2:48">
      <c r="B95" s="767" t="s">
        <v>1540</v>
      </c>
      <c r="C95" s="784"/>
      <c r="D95" s="784" t="s">
        <v>1534</v>
      </c>
      <c r="E95" s="784"/>
      <c r="F95" s="784"/>
      <c r="G95" s="784" t="s">
        <v>1534</v>
      </c>
      <c r="H95" s="770"/>
      <c r="I95" s="769" t="s">
        <v>1464</v>
      </c>
      <c r="J95" s="769" t="s">
        <v>199</v>
      </c>
      <c r="K95" s="769" t="s">
        <v>199</v>
      </c>
      <c r="L95" s="750">
        <v>0</v>
      </c>
      <c r="M95" s="750">
        <v>0</v>
      </c>
      <c r="N95" s="750">
        <v>0</v>
      </c>
      <c r="O95" s="750">
        <v>0</v>
      </c>
      <c r="P95" s="750">
        <v>0</v>
      </c>
      <c r="Q95" s="750">
        <v>0</v>
      </c>
      <c r="R95" s="750">
        <v>0</v>
      </c>
      <c r="S95" s="750">
        <v>0</v>
      </c>
      <c r="T95" s="750">
        <v>0</v>
      </c>
      <c r="U95" s="750">
        <v>0</v>
      </c>
      <c r="V95" s="750">
        <v>0</v>
      </c>
      <c r="W95" s="750">
        <v>0</v>
      </c>
      <c r="X95" s="750"/>
      <c r="Y95" s="750">
        <v>0</v>
      </c>
      <c r="Z95" s="750">
        <v>0</v>
      </c>
      <c r="AA95" s="750">
        <v>0</v>
      </c>
      <c r="AB95" s="750">
        <v>0</v>
      </c>
      <c r="AC95" s="750">
        <v>0</v>
      </c>
      <c r="AD95" s="750">
        <v>0</v>
      </c>
      <c r="AE95" s="750">
        <v>0</v>
      </c>
      <c r="AF95" s="750">
        <v>0</v>
      </c>
      <c r="AG95" s="750">
        <v>0</v>
      </c>
      <c r="AH95" s="750">
        <v>0</v>
      </c>
      <c r="AI95" s="750">
        <v>0</v>
      </c>
      <c r="AJ95" s="750">
        <v>0</v>
      </c>
      <c r="AK95" s="750">
        <v>0</v>
      </c>
      <c r="AL95" s="750">
        <v>0</v>
      </c>
      <c r="AM95" s="750">
        <v>0</v>
      </c>
      <c r="AN95" s="750">
        <v>0</v>
      </c>
      <c r="AO95" s="750">
        <v>0</v>
      </c>
      <c r="AP95" s="750">
        <v>0</v>
      </c>
      <c r="AQ95" s="750">
        <v>0</v>
      </c>
      <c r="AR95" s="750">
        <v>0</v>
      </c>
      <c r="AS95" s="750">
        <v>0</v>
      </c>
      <c r="AT95" s="750">
        <v>0</v>
      </c>
      <c r="AU95" s="750">
        <v>0</v>
      </c>
      <c r="AV95" s="750">
        <v>0</v>
      </c>
    </row>
    <row r="96" ht="15" customHeight="1" spans="2:48">
      <c r="B96" s="767" t="s">
        <v>1541</v>
      </c>
      <c r="C96" s="784"/>
      <c r="D96" s="784" t="s">
        <v>1534</v>
      </c>
      <c r="E96" s="784"/>
      <c r="F96" s="784"/>
      <c r="G96" s="784" t="s">
        <v>1534</v>
      </c>
      <c r="H96" s="770"/>
      <c r="I96" s="769" t="s">
        <v>1464</v>
      </c>
      <c r="J96" s="769" t="s">
        <v>199</v>
      </c>
      <c r="K96" s="769" t="s">
        <v>199</v>
      </c>
      <c r="L96" s="750">
        <v>0</v>
      </c>
      <c r="M96" s="750">
        <v>0</v>
      </c>
      <c r="N96" s="750">
        <v>0</v>
      </c>
      <c r="O96" s="750">
        <v>0</v>
      </c>
      <c r="P96" s="750">
        <v>0</v>
      </c>
      <c r="Q96" s="750">
        <v>0</v>
      </c>
      <c r="R96" s="750">
        <v>0</v>
      </c>
      <c r="S96" s="750">
        <v>0</v>
      </c>
      <c r="T96" s="750">
        <v>0</v>
      </c>
      <c r="U96" s="750">
        <v>0</v>
      </c>
      <c r="V96" s="750">
        <v>0</v>
      </c>
      <c r="W96" s="750">
        <v>0</v>
      </c>
      <c r="X96" s="750"/>
      <c r="Y96" s="750">
        <v>0</v>
      </c>
      <c r="Z96" s="750">
        <v>0</v>
      </c>
      <c r="AA96" s="750">
        <v>0</v>
      </c>
      <c r="AB96" s="750">
        <v>0</v>
      </c>
      <c r="AC96" s="750">
        <v>0</v>
      </c>
      <c r="AD96" s="750">
        <v>0</v>
      </c>
      <c r="AE96" s="750">
        <v>0</v>
      </c>
      <c r="AF96" s="750">
        <v>0</v>
      </c>
      <c r="AG96" s="750">
        <v>0</v>
      </c>
      <c r="AH96" s="750">
        <v>0</v>
      </c>
      <c r="AI96" s="750">
        <v>0</v>
      </c>
      <c r="AJ96" s="750">
        <v>0</v>
      </c>
      <c r="AK96" s="750">
        <v>0</v>
      </c>
      <c r="AL96" s="750">
        <v>0</v>
      </c>
      <c r="AM96" s="750">
        <v>0</v>
      </c>
      <c r="AN96" s="750">
        <v>0</v>
      </c>
      <c r="AO96" s="750">
        <v>0</v>
      </c>
      <c r="AP96" s="750">
        <v>0</v>
      </c>
      <c r="AQ96" s="750">
        <v>0</v>
      </c>
      <c r="AR96" s="750">
        <v>0</v>
      </c>
      <c r="AS96" s="750">
        <v>0</v>
      </c>
      <c r="AT96" s="750">
        <v>0</v>
      </c>
      <c r="AU96" s="750">
        <v>0</v>
      </c>
      <c r="AV96" s="750">
        <v>0</v>
      </c>
    </row>
    <row r="97" ht="15" customHeight="1" spans="2:48">
      <c r="B97" s="767" t="s">
        <v>1542</v>
      </c>
      <c r="C97" s="784"/>
      <c r="D97" s="784" t="s">
        <v>1534</v>
      </c>
      <c r="E97" s="784"/>
      <c r="F97" s="784"/>
      <c r="G97" s="784" t="s">
        <v>1534</v>
      </c>
      <c r="H97" s="770"/>
      <c r="I97" s="769" t="s">
        <v>1464</v>
      </c>
      <c r="J97" s="769" t="s">
        <v>199</v>
      </c>
      <c r="K97" s="769" t="s">
        <v>199</v>
      </c>
      <c r="L97" s="750">
        <v>0</v>
      </c>
      <c r="M97" s="750">
        <v>0</v>
      </c>
      <c r="N97" s="750">
        <v>0</v>
      </c>
      <c r="O97" s="750">
        <v>0</v>
      </c>
      <c r="P97" s="750">
        <v>0</v>
      </c>
      <c r="Q97" s="750">
        <v>0</v>
      </c>
      <c r="R97" s="750">
        <v>0</v>
      </c>
      <c r="S97" s="750">
        <v>0</v>
      </c>
      <c r="T97" s="750">
        <v>0</v>
      </c>
      <c r="U97" s="750">
        <v>0</v>
      </c>
      <c r="V97" s="750">
        <v>0</v>
      </c>
      <c r="W97" s="750">
        <v>0</v>
      </c>
      <c r="X97" s="750"/>
      <c r="Y97" s="750">
        <v>0</v>
      </c>
      <c r="Z97" s="750">
        <v>0</v>
      </c>
      <c r="AA97" s="750">
        <v>0</v>
      </c>
      <c r="AB97" s="750">
        <v>0</v>
      </c>
      <c r="AC97" s="750">
        <v>0</v>
      </c>
      <c r="AD97" s="750">
        <v>0</v>
      </c>
      <c r="AE97" s="750">
        <v>0</v>
      </c>
      <c r="AF97" s="750">
        <v>0</v>
      </c>
      <c r="AG97" s="750">
        <v>0</v>
      </c>
      <c r="AH97" s="750">
        <v>0</v>
      </c>
      <c r="AI97" s="750">
        <v>0</v>
      </c>
      <c r="AJ97" s="750">
        <v>0</v>
      </c>
      <c r="AK97" s="750">
        <v>0</v>
      </c>
      <c r="AL97" s="750">
        <v>0</v>
      </c>
      <c r="AM97" s="750">
        <v>0</v>
      </c>
      <c r="AN97" s="750">
        <v>0</v>
      </c>
      <c r="AO97" s="750">
        <v>0</v>
      </c>
      <c r="AP97" s="750">
        <v>0</v>
      </c>
      <c r="AQ97" s="750">
        <v>0</v>
      </c>
      <c r="AR97" s="750">
        <v>0</v>
      </c>
      <c r="AS97" s="750">
        <v>0</v>
      </c>
      <c r="AT97" s="750">
        <v>0</v>
      </c>
      <c r="AU97" s="750">
        <v>0</v>
      </c>
      <c r="AV97" s="750">
        <v>0</v>
      </c>
    </row>
    <row r="98" ht="15" customHeight="1" spans="2:48">
      <c r="B98" s="767" t="s">
        <v>1543</v>
      </c>
      <c r="C98" s="784"/>
      <c r="D98" s="784" t="s">
        <v>1534</v>
      </c>
      <c r="E98" s="784"/>
      <c r="F98" s="784"/>
      <c r="G98" s="784" t="s">
        <v>1534</v>
      </c>
      <c r="H98" s="770"/>
      <c r="I98" s="769" t="s">
        <v>1464</v>
      </c>
      <c r="J98" s="769" t="s">
        <v>199</v>
      </c>
      <c r="K98" s="769" t="s">
        <v>199</v>
      </c>
      <c r="L98" s="750">
        <v>0</v>
      </c>
      <c r="M98" s="750">
        <v>0</v>
      </c>
      <c r="N98" s="750">
        <v>0</v>
      </c>
      <c r="O98" s="750">
        <v>0</v>
      </c>
      <c r="P98" s="750">
        <v>0</v>
      </c>
      <c r="Q98" s="750">
        <v>0</v>
      </c>
      <c r="R98" s="750">
        <v>0</v>
      </c>
      <c r="S98" s="750">
        <v>0</v>
      </c>
      <c r="T98" s="750">
        <v>0</v>
      </c>
      <c r="U98" s="750">
        <v>0</v>
      </c>
      <c r="V98" s="750">
        <v>0</v>
      </c>
      <c r="W98" s="750">
        <v>0</v>
      </c>
      <c r="X98" s="750"/>
      <c r="Y98" s="750">
        <v>0</v>
      </c>
      <c r="Z98" s="750">
        <v>0</v>
      </c>
      <c r="AA98" s="750">
        <v>0</v>
      </c>
      <c r="AB98" s="750">
        <v>0</v>
      </c>
      <c r="AC98" s="750">
        <v>0</v>
      </c>
      <c r="AD98" s="750">
        <v>0</v>
      </c>
      <c r="AE98" s="750">
        <v>0</v>
      </c>
      <c r="AF98" s="750">
        <v>0</v>
      </c>
      <c r="AG98" s="750">
        <v>0</v>
      </c>
      <c r="AH98" s="750">
        <v>0</v>
      </c>
      <c r="AI98" s="750">
        <v>0</v>
      </c>
      <c r="AJ98" s="750">
        <v>0</v>
      </c>
      <c r="AK98" s="750">
        <v>0</v>
      </c>
      <c r="AL98" s="750">
        <v>0</v>
      </c>
      <c r="AM98" s="750">
        <v>0</v>
      </c>
      <c r="AN98" s="750">
        <v>0</v>
      </c>
      <c r="AO98" s="750">
        <v>0</v>
      </c>
      <c r="AP98" s="750">
        <v>0</v>
      </c>
      <c r="AQ98" s="750">
        <v>0</v>
      </c>
      <c r="AR98" s="750">
        <v>0</v>
      </c>
      <c r="AS98" s="750">
        <v>0</v>
      </c>
      <c r="AT98" s="750">
        <v>0</v>
      </c>
      <c r="AU98" s="750">
        <v>0</v>
      </c>
      <c r="AV98" s="750">
        <v>0</v>
      </c>
    </row>
    <row r="99" ht="15" customHeight="1" spans="2:48">
      <c r="B99" s="767" t="s">
        <v>1544</v>
      </c>
      <c r="C99" s="784"/>
      <c r="D99" s="784" t="s">
        <v>1534</v>
      </c>
      <c r="E99" s="784"/>
      <c r="F99" s="784"/>
      <c r="G99" s="784" t="s">
        <v>1534</v>
      </c>
      <c r="H99" s="770"/>
      <c r="I99" s="769" t="s">
        <v>1464</v>
      </c>
      <c r="J99" s="769" t="s">
        <v>199</v>
      </c>
      <c r="K99" s="769" t="s">
        <v>199</v>
      </c>
      <c r="L99" s="750">
        <v>0</v>
      </c>
      <c r="M99" s="750">
        <v>0</v>
      </c>
      <c r="N99" s="750">
        <v>0</v>
      </c>
      <c r="O99" s="750">
        <v>0</v>
      </c>
      <c r="P99" s="750">
        <v>0</v>
      </c>
      <c r="Q99" s="750">
        <v>0</v>
      </c>
      <c r="R99" s="750">
        <v>0</v>
      </c>
      <c r="S99" s="750">
        <v>0</v>
      </c>
      <c r="T99" s="750">
        <v>0</v>
      </c>
      <c r="U99" s="750">
        <v>0</v>
      </c>
      <c r="V99" s="750">
        <v>0</v>
      </c>
      <c r="W99" s="750">
        <v>0</v>
      </c>
      <c r="X99" s="750"/>
      <c r="Y99" s="750">
        <v>0</v>
      </c>
      <c r="Z99" s="750">
        <v>0</v>
      </c>
      <c r="AA99" s="750">
        <v>0</v>
      </c>
      <c r="AB99" s="750">
        <v>0</v>
      </c>
      <c r="AC99" s="750">
        <v>0</v>
      </c>
      <c r="AD99" s="750">
        <v>0</v>
      </c>
      <c r="AE99" s="750">
        <v>0</v>
      </c>
      <c r="AF99" s="750">
        <v>0</v>
      </c>
      <c r="AG99" s="750">
        <v>0</v>
      </c>
      <c r="AH99" s="750">
        <v>0</v>
      </c>
      <c r="AI99" s="750">
        <v>0</v>
      </c>
      <c r="AJ99" s="750">
        <v>0</v>
      </c>
      <c r="AK99" s="750">
        <v>0</v>
      </c>
      <c r="AL99" s="750">
        <v>0</v>
      </c>
      <c r="AM99" s="750">
        <v>0</v>
      </c>
      <c r="AN99" s="750">
        <v>0</v>
      </c>
      <c r="AO99" s="750">
        <v>0</v>
      </c>
      <c r="AP99" s="750">
        <v>0</v>
      </c>
      <c r="AQ99" s="750">
        <v>0</v>
      </c>
      <c r="AR99" s="750">
        <v>0</v>
      </c>
      <c r="AS99" s="750">
        <v>0</v>
      </c>
      <c r="AT99" s="750">
        <v>0</v>
      </c>
      <c r="AU99" s="750">
        <v>0</v>
      </c>
      <c r="AV99" s="750">
        <v>0</v>
      </c>
    </row>
    <row r="100" ht="15" customHeight="1" spans="2:48">
      <c r="B100" s="767" t="s">
        <v>1545</v>
      </c>
      <c r="C100" s="784"/>
      <c r="D100" s="784" t="s">
        <v>1534</v>
      </c>
      <c r="E100" s="784"/>
      <c r="F100" s="784"/>
      <c r="G100" s="784" t="s">
        <v>1534</v>
      </c>
      <c r="H100" s="770"/>
      <c r="I100" s="769" t="s">
        <v>1464</v>
      </c>
      <c r="J100" s="769" t="s">
        <v>199</v>
      </c>
      <c r="K100" s="769" t="s">
        <v>199</v>
      </c>
      <c r="L100" s="750">
        <v>0</v>
      </c>
      <c r="M100" s="750">
        <v>0</v>
      </c>
      <c r="N100" s="750">
        <v>0</v>
      </c>
      <c r="O100" s="750">
        <v>0</v>
      </c>
      <c r="P100" s="750">
        <v>0</v>
      </c>
      <c r="Q100" s="750">
        <v>0</v>
      </c>
      <c r="R100" s="750">
        <v>0</v>
      </c>
      <c r="S100" s="750">
        <v>0</v>
      </c>
      <c r="T100" s="750">
        <v>0</v>
      </c>
      <c r="U100" s="750">
        <v>0</v>
      </c>
      <c r="V100" s="750">
        <v>0</v>
      </c>
      <c r="W100" s="750">
        <v>0</v>
      </c>
      <c r="X100" s="750"/>
      <c r="Y100" s="750">
        <v>0</v>
      </c>
      <c r="Z100" s="750">
        <v>0</v>
      </c>
      <c r="AA100" s="750">
        <v>0</v>
      </c>
      <c r="AB100" s="750">
        <v>0</v>
      </c>
      <c r="AC100" s="750">
        <v>0</v>
      </c>
      <c r="AD100" s="750">
        <v>0</v>
      </c>
      <c r="AE100" s="750">
        <v>0</v>
      </c>
      <c r="AF100" s="750">
        <v>0</v>
      </c>
      <c r="AG100" s="750">
        <v>0</v>
      </c>
      <c r="AH100" s="750">
        <v>0</v>
      </c>
      <c r="AI100" s="750">
        <v>0</v>
      </c>
      <c r="AJ100" s="750">
        <v>0</v>
      </c>
      <c r="AK100" s="750">
        <v>0</v>
      </c>
      <c r="AL100" s="750">
        <v>0</v>
      </c>
      <c r="AM100" s="750">
        <v>0</v>
      </c>
      <c r="AN100" s="750">
        <v>0</v>
      </c>
      <c r="AO100" s="750">
        <v>0</v>
      </c>
      <c r="AP100" s="750">
        <v>0</v>
      </c>
      <c r="AQ100" s="750">
        <v>0</v>
      </c>
      <c r="AR100" s="750">
        <v>0</v>
      </c>
      <c r="AS100" s="750">
        <v>0</v>
      </c>
      <c r="AT100" s="750">
        <v>0</v>
      </c>
      <c r="AU100" s="750">
        <v>0</v>
      </c>
      <c r="AV100" s="750">
        <v>0</v>
      </c>
    </row>
    <row r="101" ht="15" customHeight="1" spans="2:48">
      <c r="B101" s="767" t="s">
        <v>1546</v>
      </c>
      <c r="C101" s="784"/>
      <c r="D101" s="784" t="s">
        <v>1534</v>
      </c>
      <c r="E101" s="784"/>
      <c r="F101" s="784"/>
      <c r="G101" s="784" t="s">
        <v>1534</v>
      </c>
      <c r="H101" s="770"/>
      <c r="I101" s="769" t="s">
        <v>1464</v>
      </c>
      <c r="J101" s="769" t="s">
        <v>199</v>
      </c>
      <c r="K101" s="769" t="s">
        <v>199</v>
      </c>
      <c r="L101" s="750">
        <v>0</v>
      </c>
      <c r="M101" s="750">
        <v>0</v>
      </c>
      <c r="N101" s="750">
        <v>0</v>
      </c>
      <c r="O101" s="750">
        <v>0</v>
      </c>
      <c r="P101" s="750">
        <v>0</v>
      </c>
      <c r="Q101" s="750">
        <v>0</v>
      </c>
      <c r="R101" s="750">
        <v>0</v>
      </c>
      <c r="S101" s="750">
        <v>0</v>
      </c>
      <c r="T101" s="750">
        <v>0</v>
      </c>
      <c r="U101" s="750">
        <v>0</v>
      </c>
      <c r="V101" s="750">
        <v>0</v>
      </c>
      <c r="W101" s="750">
        <v>0</v>
      </c>
      <c r="X101" s="750"/>
      <c r="Y101" s="750">
        <v>0</v>
      </c>
      <c r="Z101" s="750">
        <v>0</v>
      </c>
      <c r="AA101" s="750">
        <v>0</v>
      </c>
      <c r="AB101" s="750">
        <v>0</v>
      </c>
      <c r="AC101" s="750">
        <v>0</v>
      </c>
      <c r="AD101" s="750">
        <v>0</v>
      </c>
      <c r="AE101" s="750">
        <v>0</v>
      </c>
      <c r="AF101" s="750">
        <v>0</v>
      </c>
      <c r="AG101" s="750">
        <v>0</v>
      </c>
      <c r="AH101" s="750">
        <v>0</v>
      </c>
      <c r="AI101" s="750">
        <v>0</v>
      </c>
      <c r="AJ101" s="750">
        <v>0</v>
      </c>
      <c r="AK101" s="750">
        <v>0</v>
      </c>
      <c r="AL101" s="750">
        <v>0</v>
      </c>
      <c r="AM101" s="750">
        <v>0</v>
      </c>
      <c r="AN101" s="750">
        <v>0</v>
      </c>
      <c r="AO101" s="750">
        <v>0</v>
      </c>
      <c r="AP101" s="750">
        <v>0</v>
      </c>
      <c r="AQ101" s="750">
        <v>0</v>
      </c>
      <c r="AR101" s="750">
        <v>0</v>
      </c>
      <c r="AS101" s="750">
        <v>0</v>
      </c>
      <c r="AT101" s="750">
        <v>0</v>
      </c>
      <c r="AU101" s="750">
        <v>0</v>
      </c>
      <c r="AV101" s="750">
        <v>0</v>
      </c>
    </row>
    <row r="102" ht="15" customHeight="1" spans="2:48">
      <c r="B102" s="767" t="s">
        <v>1547</v>
      </c>
      <c r="C102" s="784"/>
      <c r="D102" s="784" t="s">
        <v>1534</v>
      </c>
      <c r="E102" s="784"/>
      <c r="F102" s="784"/>
      <c r="G102" s="784" t="s">
        <v>1534</v>
      </c>
      <c r="H102" s="770"/>
      <c r="I102" s="769" t="s">
        <v>1464</v>
      </c>
      <c r="J102" s="769" t="s">
        <v>199</v>
      </c>
      <c r="K102" s="769" t="s">
        <v>199</v>
      </c>
      <c r="L102" s="750">
        <v>0</v>
      </c>
      <c r="M102" s="750">
        <v>0</v>
      </c>
      <c r="N102" s="750">
        <v>0</v>
      </c>
      <c r="O102" s="750">
        <v>0</v>
      </c>
      <c r="P102" s="750">
        <v>0</v>
      </c>
      <c r="Q102" s="750">
        <v>0</v>
      </c>
      <c r="R102" s="750">
        <v>0</v>
      </c>
      <c r="S102" s="750">
        <v>0</v>
      </c>
      <c r="T102" s="750">
        <v>0</v>
      </c>
      <c r="U102" s="750">
        <v>0</v>
      </c>
      <c r="V102" s="750">
        <v>0</v>
      </c>
      <c r="W102" s="750">
        <v>0</v>
      </c>
      <c r="X102" s="750"/>
      <c r="Y102" s="750">
        <v>0</v>
      </c>
      <c r="Z102" s="750">
        <v>0</v>
      </c>
      <c r="AA102" s="750">
        <v>0</v>
      </c>
      <c r="AB102" s="750">
        <v>0</v>
      </c>
      <c r="AC102" s="750">
        <v>0</v>
      </c>
      <c r="AD102" s="750">
        <v>0</v>
      </c>
      <c r="AE102" s="750">
        <v>0</v>
      </c>
      <c r="AF102" s="750">
        <v>0</v>
      </c>
      <c r="AG102" s="750">
        <v>0</v>
      </c>
      <c r="AH102" s="750">
        <v>0</v>
      </c>
      <c r="AI102" s="750">
        <v>0</v>
      </c>
      <c r="AJ102" s="750">
        <v>0</v>
      </c>
      <c r="AK102" s="750">
        <v>0</v>
      </c>
      <c r="AL102" s="750">
        <v>0</v>
      </c>
      <c r="AM102" s="750">
        <v>0</v>
      </c>
      <c r="AN102" s="750">
        <v>0</v>
      </c>
      <c r="AO102" s="750">
        <v>0</v>
      </c>
      <c r="AP102" s="750">
        <v>0</v>
      </c>
      <c r="AQ102" s="750">
        <v>0</v>
      </c>
      <c r="AR102" s="750">
        <v>0</v>
      </c>
      <c r="AS102" s="750">
        <v>0</v>
      </c>
      <c r="AT102" s="750">
        <v>0</v>
      </c>
      <c r="AU102" s="750">
        <v>0</v>
      </c>
      <c r="AV102" s="750">
        <v>0</v>
      </c>
    </row>
    <row r="103" ht="15" customHeight="1" spans="2:48">
      <c r="B103" s="767" t="s">
        <v>1548</v>
      </c>
      <c r="C103" s="784"/>
      <c r="D103" s="784" t="s">
        <v>1534</v>
      </c>
      <c r="E103" s="784"/>
      <c r="F103" s="784"/>
      <c r="G103" s="784" t="s">
        <v>1534</v>
      </c>
      <c r="H103" s="770"/>
      <c r="I103" s="769" t="s">
        <v>1464</v>
      </c>
      <c r="J103" s="769" t="s">
        <v>199</v>
      </c>
      <c r="K103" s="769" t="s">
        <v>199</v>
      </c>
      <c r="L103" s="750">
        <v>0</v>
      </c>
      <c r="M103" s="750">
        <v>0</v>
      </c>
      <c r="N103" s="750">
        <v>0</v>
      </c>
      <c r="O103" s="750">
        <v>0</v>
      </c>
      <c r="P103" s="750">
        <v>0</v>
      </c>
      <c r="Q103" s="750">
        <v>0</v>
      </c>
      <c r="R103" s="750">
        <v>0</v>
      </c>
      <c r="S103" s="750">
        <v>0</v>
      </c>
      <c r="T103" s="750">
        <v>0</v>
      </c>
      <c r="U103" s="750">
        <v>0</v>
      </c>
      <c r="V103" s="750">
        <v>0</v>
      </c>
      <c r="W103" s="750">
        <v>0</v>
      </c>
      <c r="X103" s="750"/>
      <c r="Y103" s="750">
        <v>0</v>
      </c>
      <c r="Z103" s="750">
        <v>0</v>
      </c>
      <c r="AA103" s="750">
        <v>0</v>
      </c>
      <c r="AB103" s="750">
        <v>0</v>
      </c>
      <c r="AC103" s="750">
        <v>0</v>
      </c>
      <c r="AD103" s="750">
        <v>0</v>
      </c>
      <c r="AE103" s="750">
        <v>0</v>
      </c>
      <c r="AF103" s="750">
        <v>0</v>
      </c>
      <c r="AG103" s="750">
        <v>0</v>
      </c>
      <c r="AH103" s="750">
        <v>0</v>
      </c>
      <c r="AI103" s="750">
        <v>0</v>
      </c>
      <c r="AJ103" s="750">
        <v>0</v>
      </c>
      <c r="AK103" s="750">
        <v>0</v>
      </c>
      <c r="AL103" s="750">
        <v>0</v>
      </c>
      <c r="AM103" s="750">
        <v>0</v>
      </c>
      <c r="AN103" s="750">
        <v>0</v>
      </c>
      <c r="AO103" s="750">
        <v>0</v>
      </c>
      <c r="AP103" s="750">
        <v>0</v>
      </c>
      <c r="AQ103" s="750">
        <v>0</v>
      </c>
      <c r="AR103" s="750">
        <v>0</v>
      </c>
      <c r="AS103" s="750">
        <v>0</v>
      </c>
      <c r="AT103" s="750">
        <v>0</v>
      </c>
      <c r="AU103" s="750">
        <v>0</v>
      </c>
      <c r="AV103" s="750">
        <v>0</v>
      </c>
    </row>
    <row r="104" ht="15" customHeight="1" spans="2:48">
      <c r="B104" s="767" t="s">
        <v>1549</v>
      </c>
      <c r="C104" s="784"/>
      <c r="D104" s="784" t="s">
        <v>1534</v>
      </c>
      <c r="E104" s="784"/>
      <c r="F104" s="784"/>
      <c r="G104" s="784" t="s">
        <v>1534</v>
      </c>
      <c r="H104" s="770"/>
      <c r="I104" s="769" t="s">
        <v>1464</v>
      </c>
      <c r="J104" s="769" t="s">
        <v>199</v>
      </c>
      <c r="K104" s="769" t="s">
        <v>199</v>
      </c>
      <c r="L104" s="750">
        <v>0</v>
      </c>
      <c r="M104" s="750">
        <v>0</v>
      </c>
      <c r="N104" s="750">
        <v>0</v>
      </c>
      <c r="O104" s="750">
        <v>0</v>
      </c>
      <c r="P104" s="750">
        <v>0</v>
      </c>
      <c r="Q104" s="750">
        <v>0</v>
      </c>
      <c r="R104" s="750">
        <v>0</v>
      </c>
      <c r="S104" s="750">
        <v>0</v>
      </c>
      <c r="T104" s="750">
        <v>0</v>
      </c>
      <c r="U104" s="750">
        <v>0</v>
      </c>
      <c r="V104" s="750">
        <v>0</v>
      </c>
      <c r="W104" s="750">
        <v>0</v>
      </c>
      <c r="X104" s="750"/>
      <c r="Y104" s="750">
        <v>0</v>
      </c>
      <c r="Z104" s="750">
        <v>0</v>
      </c>
      <c r="AA104" s="750">
        <v>0</v>
      </c>
      <c r="AB104" s="750">
        <v>0</v>
      </c>
      <c r="AC104" s="750">
        <v>0</v>
      </c>
      <c r="AD104" s="750">
        <v>0</v>
      </c>
      <c r="AE104" s="750">
        <v>0</v>
      </c>
      <c r="AF104" s="750">
        <v>0</v>
      </c>
      <c r="AG104" s="750">
        <v>0</v>
      </c>
      <c r="AH104" s="750">
        <v>0</v>
      </c>
      <c r="AI104" s="750">
        <v>0</v>
      </c>
      <c r="AJ104" s="750">
        <v>0</v>
      </c>
      <c r="AK104" s="750">
        <v>0</v>
      </c>
      <c r="AL104" s="750">
        <v>0</v>
      </c>
      <c r="AM104" s="750">
        <v>0</v>
      </c>
      <c r="AN104" s="750">
        <v>0</v>
      </c>
      <c r="AO104" s="750">
        <v>0</v>
      </c>
      <c r="AP104" s="750">
        <v>0</v>
      </c>
      <c r="AQ104" s="750">
        <v>0</v>
      </c>
      <c r="AR104" s="750">
        <v>0</v>
      </c>
      <c r="AS104" s="750">
        <v>0</v>
      </c>
      <c r="AT104" s="750">
        <v>0</v>
      </c>
      <c r="AU104" s="750">
        <v>0</v>
      </c>
      <c r="AV104" s="750">
        <v>0</v>
      </c>
    </row>
    <row r="105" ht="15" customHeight="1" spans="2:48">
      <c r="B105" s="767" t="s">
        <v>1550</v>
      </c>
      <c r="C105" s="784"/>
      <c r="D105" s="784" t="s">
        <v>1534</v>
      </c>
      <c r="E105" s="784"/>
      <c r="F105" s="784"/>
      <c r="G105" s="784" t="s">
        <v>1534</v>
      </c>
      <c r="H105" s="770"/>
      <c r="I105" s="769" t="s">
        <v>1464</v>
      </c>
      <c r="J105" s="769" t="s">
        <v>199</v>
      </c>
      <c r="K105" s="769" t="s">
        <v>199</v>
      </c>
      <c r="L105" s="750">
        <v>0</v>
      </c>
      <c r="M105" s="750">
        <v>0</v>
      </c>
      <c r="N105" s="750">
        <v>0</v>
      </c>
      <c r="O105" s="750">
        <v>0</v>
      </c>
      <c r="P105" s="750">
        <v>0</v>
      </c>
      <c r="Q105" s="750">
        <v>0</v>
      </c>
      <c r="R105" s="750">
        <v>0</v>
      </c>
      <c r="S105" s="750">
        <v>0</v>
      </c>
      <c r="T105" s="750">
        <v>0</v>
      </c>
      <c r="U105" s="750">
        <v>0</v>
      </c>
      <c r="V105" s="750">
        <v>0</v>
      </c>
      <c r="W105" s="750">
        <v>0</v>
      </c>
      <c r="X105" s="750"/>
      <c r="Y105" s="750">
        <v>0</v>
      </c>
      <c r="Z105" s="750">
        <v>0</v>
      </c>
      <c r="AA105" s="750">
        <v>0</v>
      </c>
      <c r="AB105" s="750">
        <v>0</v>
      </c>
      <c r="AC105" s="750">
        <v>0</v>
      </c>
      <c r="AD105" s="750">
        <v>0</v>
      </c>
      <c r="AE105" s="750">
        <v>0</v>
      </c>
      <c r="AF105" s="750">
        <v>0</v>
      </c>
      <c r="AG105" s="750">
        <v>0</v>
      </c>
      <c r="AH105" s="750">
        <v>0</v>
      </c>
      <c r="AI105" s="750">
        <v>0</v>
      </c>
      <c r="AJ105" s="750">
        <v>0</v>
      </c>
      <c r="AK105" s="750">
        <v>0</v>
      </c>
      <c r="AL105" s="750">
        <v>0</v>
      </c>
      <c r="AM105" s="750">
        <v>0</v>
      </c>
      <c r="AN105" s="750">
        <v>0</v>
      </c>
      <c r="AO105" s="750">
        <v>0</v>
      </c>
      <c r="AP105" s="750">
        <v>0</v>
      </c>
      <c r="AQ105" s="750">
        <v>0</v>
      </c>
      <c r="AR105" s="750">
        <v>0</v>
      </c>
      <c r="AS105" s="750">
        <v>0</v>
      </c>
      <c r="AT105" s="750">
        <v>0</v>
      </c>
      <c r="AU105" s="750">
        <v>0</v>
      </c>
      <c r="AV105" s="750">
        <v>0</v>
      </c>
    </row>
    <row r="106" ht="15" customHeight="1" spans="2:48">
      <c r="B106" s="767" t="s">
        <v>1551</v>
      </c>
      <c r="C106" s="784"/>
      <c r="D106" s="784" t="s">
        <v>1534</v>
      </c>
      <c r="E106" s="784"/>
      <c r="F106" s="784"/>
      <c r="G106" s="784" t="s">
        <v>1534</v>
      </c>
      <c r="H106" s="770"/>
      <c r="I106" s="769" t="s">
        <v>1464</v>
      </c>
      <c r="J106" s="769" t="s">
        <v>199</v>
      </c>
      <c r="K106" s="769" t="s">
        <v>199</v>
      </c>
      <c r="L106" s="750">
        <v>0</v>
      </c>
      <c r="M106" s="750">
        <v>0</v>
      </c>
      <c r="N106" s="750">
        <v>0</v>
      </c>
      <c r="O106" s="750">
        <v>0</v>
      </c>
      <c r="P106" s="750">
        <v>0</v>
      </c>
      <c r="Q106" s="750">
        <v>0</v>
      </c>
      <c r="R106" s="750">
        <v>0</v>
      </c>
      <c r="S106" s="750">
        <v>0</v>
      </c>
      <c r="T106" s="750">
        <v>0</v>
      </c>
      <c r="U106" s="750">
        <v>0</v>
      </c>
      <c r="V106" s="750">
        <v>0</v>
      </c>
      <c r="W106" s="750">
        <v>0</v>
      </c>
      <c r="X106" s="750"/>
      <c r="Y106" s="750">
        <v>0</v>
      </c>
      <c r="Z106" s="750">
        <v>0</v>
      </c>
      <c r="AA106" s="750">
        <v>0</v>
      </c>
      <c r="AB106" s="750">
        <v>0</v>
      </c>
      <c r="AC106" s="750">
        <v>0</v>
      </c>
      <c r="AD106" s="750">
        <v>0</v>
      </c>
      <c r="AE106" s="750">
        <v>0</v>
      </c>
      <c r="AF106" s="750">
        <v>0</v>
      </c>
      <c r="AG106" s="750">
        <v>0</v>
      </c>
      <c r="AH106" s="750">
        <v>0</v>
      </c>
      <c r="AI106" s="750">
        <v>0</v>
      </c>
      <c r="AJ106" s="750">
        <v>0</v>
      </c>
      <c r="AK106" s="750">
        <v>0</v>
      </c>
      <c r="AL106" s="750">
        <v>0</v>
      </c>
      <c r="AM106" s="750">
        <v>0</v>
      </c>
      <c r="AN106" s="750">
        <v>0</v>
      </c>
      <c r="AO106" s="750">
        <v>0</v>
      </c>
      <c r="AP106" s="750">
        <v>0</v>
      </c>
      <c r="AQ106" s="750">
        <v>0</v>
      </c>
      <c r="AR106" s="750">
        <v>0</v>
      </c>
      <c r="AS106" s="750">
        <v>0</v>
      </c>
      <c r="AT106" s="750">
        <v>0</v>
      </c>
      <c r="AU106" s="750">
        <v>0</v>
      </c>
      <c r="AV106" s="750">
        <v>0</v>
      </c>
    </row>
    <row r="107" ht="15" customHeight="1" spans="2:48">
      <c r="B107" s="767" t="s">
        <v>1552</v>
      </c>
      <c r="C107" s="784"/>
      <c r="D107" s="784" t="s">
        <v>1534</v>
      </c>
      <c r="E107" s="784"/>
      <c r="F107" s="784"/>
      <c r="G107" s="784" t="s">
        <v>1534</v>
      </c>
      <c r="H107" s="770"/>
      <c r="I107" s="769" t="s">
        <v>1464</v>
      </c>
      <c r="J107" s="769" t="s">
        <v>199</v>
      </c>
      <c r="K107" s="769" t="s">
        <v>199</v>
      </c>
      <c r="L107" s="750">
        <v>0</v>
      </c>
      <c r="M107" s="750">
        <v>0</v>
      </c>
      <c r="N107" s="750">
        <v>0</v>
      </c>
      <c r="O107" s="750">
        <v>0</v>
      </c>
      <c r="P107" s="750">
        <v>0</v>
      </c>
      <c r="Q107" s="750">
        <v>0</v>
      </c>
      <c r="R107" s="750">
        <v>0</v>
      </c>
      <c r="S107" s="750">
        <v>0</v>
      </c>
      <c r="T107" s="750">
        <v>0</v>
      </c>
      <c r="U107" s="750">
        <v>0</v>
      </c>
      <c r="V107" s="750">
        <v>0</v>
      </c>
      <c r="W107" s="750">
        <v>0</v>
      </c>
      <c r="X107" s="750"/>
      <c r="Y107" s="750">
        <v>0</v>
      </c>
      <c r="Z107" s="750">
        <v>0</v>
      </c>
      <c r="AA107" s="750">
        <v>0</v>
      </c>
      <c r="AB107" s="750">
        <v>0</v>
      </c>
      <c r="AC107" s="750">
        <v>0</v>
      </c>
      <c r="AD107" s="750">
        <v>0</v>
      </c>
      <c r="AE107" s="750">
        <v>0</v>
      </c>
      <c r="AF107" s="750">
        <v>0</v>
      </c>
      <c r="AG107" s="750">
        <v>0</v>
      </c>
      <c r="AH107" s="750">
        <v>0</v>
      </c>
      <c r="AI107" s="750">
        <v>0</v>
      </c>
      <c r="AJ107" s="750">
        <v>0</v>
      </c>
      <c r="AK107" s="750">
        <v>0</v>
      </c>
      <c r="AL107" s="750">
        <v>0</v>
      </c>
      <c r="AM107" s="750">
        <v>0</v>
      </c>
      <c r="AN107" s="750">
        <v>0</v>
      </c>
      <c r="AO107" s="750">
        <v>0</v>
      </c>
      <c r="AP107" s="750">
        <v>0</v>
      </c>
      <c r="AQ107" s="750">
        <v>0</v>
      </c>
      <c r="AR107" s="750">
        <v>0</v>
      </c>
      <c r="AS107" s="750">
        <v>0</v>
      </c>
      <c r="AT107" s="750">
        <v>0</v>
      </c>
      <c r="AU107" s="750">
        <v>0</v>
      </c>
      <c r="AV107" s="750">
        <v>0</v>
      </c>
    </row>
    <row r="108" ht="15" customHeight="1" spans="2:48">
      <c r="B108" s="767" t="s">
        <v>1553</v>
      </c>
      <c r="C108" s="784"/>
      <c r="D108" s="784" t="s">
        <v>1534</v>
      </c>
      <c r="E108" s="784"/>
      <c r="F108" s="784"/>
      <c r="G108" s="784" t="s">
        <v>1534</v>
      </c>
      <c r="H108" s="770"/>
      <c r="I108" s="769" t="s">
        <v>1464</v>
      </c>
      <c r="J108" s="769" t="s">
        <v>199</v>
      </c>
      <c r="K108" s="769" t="s">
        <v>199</v>
      </c>
      <c r="L108" s="750">
        <v>0</v>
      </c>
      <c r="M108" s="750">
        <v>0</v>
      </c>
      <c r="N108" s="750">
        <v>0</v>
      </c>
      <c r="O108" s="750">
        <v>0</v>
      </c>
      <c r="P108" s="750">
        <v>0</v>
      </c>
      <c r="Q108" s="750">
        <v>0</v>
      </c>
      <c r="R108" s="750">
        <v>0</v>
      </c>
      <c r="S108" s="750">
        <v>0</v>
      </c>
      <c r="T108" s="750">
        <v>0</v>
      </c>
      <c r="U108" s="750">
        <v>0</v>
      </c>
      <c r="V108" s="750">
        <v>0</v>
      </c>
      <c r="W108" s="750">
        <v>0</v>
      </c>
      <c r="X108" s="750"/>
      <c r="Y108" s="750">
        <v>0</v>
      </c>
      <c r="Z108" s="750">
        <v>0</v>
      </c>
      <c r="AA108" s="750">
        <v>0</v>
      </c>
      <c r="AB108" s="750">
        <v>0</v>
      </c>
      <c r="AC108" s="750">
        <v>0</v>
      </c>
      <c r="AD108" s="750">
        <v>0</v>
      </c>
      <c r="AE108" s="750">
        <v>0</v>
      </c>
      <c r="AF108" s="750">
        <v>0</v>
      </c>
      <c r="AG108" s="750">
        <v>0</v>
      </c>
      <c r="AH108" s="750">
        <v>0</v>
      </c>
      <c r="AI108" s="750">
        <v>0</v>
      </c>
      <c r="AJ108" s="750">
        <v>0</v>
      </c>
      <c r="AK108" s="750">
        <v>0</v>
      </c>
      <c r="AL108" s="750">
        <v>0</v>
      </c>
      <c r="AM108" s="750">
        <v>0</v>
      </c>
      <c r="AN108" s="750">
        <v>0</v>
      </c>
      <c r="AO108" s="750">
        <v>0</v>
      </c>
      <c r="AP108" s="750">
        <v>0</v>
      </c>
      <c r="AQ108" s="750">
        <v>0</v>
      </c>
      <c r="AR108" s="750">
        <v>0</v>
      </c>
      <c r="AS108" s="750">
        <v>0</v>
      </c>
      <c r="AT108" s="750">
        <v>0</v>
      </c>
      <c r="AU108" s="750">
        <v>0</v>
      </c>
      <c r="AV108" s="750">
        <v>0</v>
      </c>
    </row>
    <row r="109" ht="15" customHeight="1" spans="2:48">
      <c r="B109" s="767" t="s">
        <v>1554</v>
      </c>
      <c r="C109" s="784"/>
      <c r="D109" s="784" t="s">
        <v>1534</v>
      </c>
      <c r="E109" s="784"/>
      <c r="F109" s="784"/>
      <c r="G109" s="784" t="s">
        <v>1534</v>
      </c>
      <c r="H109" s="770"/>
      <c r="I109" s="769" t="s">
        <v>1464</v>
      </c>
      <c r="J109" s="769" t="s">
        <v>199</v>
      </c>
      <c r="K109" s="769" t="s">
        <v>199</v>
      </c>
      <c r="L109" s="750">
        <v>0</v>
      </c>
      <c r="M109" s="750">
        <v>0</v>
      </c>
      <c r="N109" s="750">
        <v>0</v>
      </c>
      <c r="O109" s="750">
        <v>0</v>
      </c>
      <c r="P109" s="750">
        <v>0</v>
      </c>
      <c r="Q109" s="750">
        <v>0</v>
      </c>
      <c r="R109" s="750">
        <v>0</v>
      </c>
      <c r="S109" s="750">
        <v>0</v>
      </c>
      <c r="T109" s="750">
        <v>0</v>
      </c>
      <c r="U109" s="750">
        <v>0</v>
      </c>
      <c r="V109" s="750">
        <v>0</v>
      </c>
      <c r="W109" s="750">
        <v>0</v>
      </c>
      <c r="X109" s="750"/>
      <c r="Y109" s="750">
        <v>0</v>
      </c>
      <c r="Z109" s="750">
        <v>0</v>
      </c>
      <c r="AA109" s="750">
        <v>0</v>
      </c>
      <c r="AB109" s="750">
        <v>0</v>
      </c>
      <c r="AC109" s="750">
        <v>0</v>
      </c>
      <c r="AD109" s="750">
        <v>0</v>
      </c>
      <c r="AE109" s="750">
        <v>0</v>
      </c>
      <c r="AF109" s="750">
        <v>0</v>
      </c>
      <c r="AG109" s="750">
        <v>0</v>
      </c>
      <c r="AH109" s="750">
        <v>0</v>
      </c>
      <c r="AI109" s="750">
        <v>0</v>
      </c>
      <c r="AJ109" s="750">
        <v>0</v>
      </c>
      <c r="AK109" s="750">
        <v>0</v>
      </c>
      <c r="AL109" s="750">
        <v>0</v>
      </c>
      <c r="AM109" s="750">
        <v>0</v>
      </c>
      <c r="AN109" s="750">
        <v>0</v>
      </c>
      <c r="AO109" s="750">
        <v>0</v>
      </c>
      <c r="AP109" s="750">
        <v>0</v>
      </c>
      <c r="AQ109" s="750">
        <v>0</v>
      </c>
      <c r="AR109" s="750">
        <v>0</v>
      </c>
      <c r="AS109" s="750">
        <v>0</v>
      </c>
      <c r="AT109" s="750">
        <v>0</v>
      </c>
      <c r="AU109" s="750">
        <v>0</v>
      </c>
      <c r="AV109" s="750">
        <v>0</v>
      </c>
    </row>
    <row r="110" ht="15" customHeight="1" spans="2:48">
      <c r="B110" s="767" t="s">
        <v>1555</v>
      </c>
      <c r="C110" s="784"/>
      <c r="D110" s="784" t="s">
        <v>1534</v>
      </c>
      <c r="E110" s="784"/>
      <c r="F110" s="784"/>
      <c r="G110" s="784" t="s">
        <v>1534</v>
      </c>
      <c r="H110" s="770"/>
      <c r="I110" s="769" t="s">
        <v>1464</v>
      </c>
      <c r="J110" s="769" t="s">
        <v>199</v>
      </c>
      <c r="K110" s="769" t="s">
        <v>199</v>
      </c>
      <c r="L110" s="750">
        <v>0</v>
      </c>
      <c r="M110" s="750">
        <v>0</v>
      </c>
      <c r="N110" s="750">
        <v>0</v>
      </c>
      <c r="O110" s="750">
        <v>0</v>
      </c>
      <c r="P110" s="750">
        <v>0</v>
      </c>
      <c r="Q110" s="750">
        <v>0</v>
      </c>
      <c r="R110" s="750">
        <v>0</v>
      </c>
      <c r="S110" s="750">
        <v>0</v>
      </c>
      <c r="T110" s="750">
        <v>0</v>
      </c>
      <c r="U110" s="750">
        <v>0</v>
      </c>
      <c r="V110" s="750">
        <v>0</v>
      </c>
      <c r="W110" s="750">
        <v>0</v>
      </c>
      <c r="X110" s="750"/>
      <c r="Y110" s="750">
        <v>0</v>
      </c>
      <c r="Z110" s="750">
        <v>0</v>
      </c>
      <c r="AA110" s="750">
        <v>0</v>
      </c>
      <c r="AB110" s="750">
        <v>0</v>
      </c>
      <c r="AC110" s="750">
        <v>0</v>
      </c>
      <c r="AD110" s="750">
        <v>0</v>
      </c>
      <c r="AE110" s="750">
        <v>0</v>
      </c>
      <c r="AF110" s="750">
        <v>0</v>
      </c>
      <c r="AG110" s="750">
        <v>0</v>
      </c>
      <c r="AH110" s="750">
        <v>0</v>
      </c>
      <c r="AI110" s="750">
        <v>0</v>
      </c>
      <c r="AJ110" s="750">
        <v>0</v>
      </c>
      <c r="AK110" s="750">
        <v>0</v>
      </c>
      <c r="AL110" s="750">
        <v>0</v>
      </c>
      <c r="AM110" s="750">
        <v>0</v>
      </c>
      <c r="AN110" s="750">
        <v>0</v>
      </c>
      <c r="AO110" s="750">
        <v>0</v>
      </c>
      <c r="AP110" s="750">
        <v>0</v>
      </c>
      <c r="AQ110" s="750">
        <v>0</v>
      </c>
      <c r="AR110" s="750">
        <v>0</v>
      </c>
      <c r="AS110" s="750">
        <v>0</v>
      </c>
      <c r="AT110" s="750">
        <v>0</v>
      </c>
      <c r="AU110" s="750">
        <v>0</v>
      </c>
      <c r="AV110" s="750">
        <v>0</v>
      </c>
    </row>
    <row r="111" ht="15" customHeight="1" spans="2:48">
      <c r="B111" s="767" t="s">
        <v>1556</v>
      </c>
      <c r="C111" s="784"/>
      <c r="D111" s="784" t="s">
        <v>1534</v>
      </c>
      <c r="E111" s="784"/>
      <c r="F111" s="784"/>
      <c r="G111" s="784" t="s">
        <v>1534</v>
      </c>
      <c r="H111" s="770"/>
      <c r="I111" s="769" t="s">
        <v>1464</v>
      </c>
      <c r="J111" s="769" t="s">
        <v>199</v>
      </c>
      <c r="K111" s="769" t="s">
        <v>199</v>
      </c>
      <c r="L111" s="750">
        <v>0</v>
      </c>
      <c r="M111" s="750">
        <v>0</v>
      </c>
      <c r="N111" s="750">
        <v>0</v>
      </c>
      <c r="O111" s="750">
        <v>0</v>
      </c>
      <c r="P111" s="750">
        <v>0</v>
      </c>
      <c r="Q111" s="750">
        <v>0</v>
      </c>
      <c r="R111" s="750">
        <v>0</v>
      </c>
      <c r="S111" s="750">
        <v>0</v>
      </c>
      <c r="T111" s="750">
        <v>0</v>
      </c>
      <c r="U111" s="750">
        <v>0</v>
      </c>
      <c r="V111" s="750">
        <v>0</v>
      </c>
      <c r="W111" s="750">
        <v>0</v>
      </c>
      <c r="X111" s="750"/>
      <c r="Y111" s="750">
        <v>0</v>
      </c>
      <c r="Z111" s="750">
        <v>0</v>
      </c>
      <c r="AA111" s="750">
        <v>0</v>
      </c>
      <c r="AB111" s="750">
        <v>0</v>
      </c>
      <c r="AC111" s="750">
        <v>0</v>
      </c>
      <c r="AD111" s="750">
        <v>0</v>
      </c>
      <c r="AE111" s="750">
        <v>0</v>
      </c>
      <c r="AF111" s="750">
        <v>0</v>
      </c>
      <c r="AG111" s="750">
        <v>0</v>
      </c>
      <c r="AH111" s="750">
        <v>0</v>
      </c>
      <c r="AI111" s="750">
        <v>0</v>
      </c>
      <c r="AJ111" s="750">
        <v>0</v>
      </c>
      <c r="AK111" s="750">
        <v>0</v>
      </c>
      <c r="AL111" s="750">
        <v>0</v>
      </c>
      <c r="AM111" s="750">
        <v>0</v>
      </c>
      <c r="AN111" s="750">
        <v>0</v>
      </c>
      <c r="AO111" s="750">
        <v>0</v>
      </c>
      <c r="AP111" s="750">
        <v>0</v>
      </c>
      <c r="AQ111" s="750">
        <v>0</v>
      </c>
      <c r="AR111" s="750">
        <v>0</v>
      </c>
      <c r="AS111" s="750">
        <v>0</v>
      </c>
      <c r="AT111" s="750">
        <v>0</v>
      </c>
      <c r="AU111" s="750">
        <v>0</v>
      </c>
      <c r="AV111" s="750">
        <v>0</v>
      </c>
    </row>
    <row r="112" ht="15" customHeight="1" spans="2:48">
      <c r="B112" s="767" t="s">
        <v>1557</v>
      </c>
      <c r="C112" s="784"/>
      <c r="D112" s="784" t="s">
        <v>1534</v>
      </c>
      <c r="E112" s="784"/>
      <c r="F112" s="784"/>
      <c r="G112" s="784" t="s">
        <v>1534</v>
      </c>
      <c r="H112" s="770"/>
      <c r="I112" s="769" t="s">
        <v>1464</v>
      </c>
      <c r="J112" s="769" t="s">
        <v>199</v>
      </c>
      <c r="K112" s="769" t="s">
        <v>199</v>
      </c>
      <c r="L112" s="750">
        <v>0</v>
      </c>
      <c r="M112" s="750">
        <v>0</v>
      </c>
      <c r="N112" s="750">
        <v>0</v>
      </c>
      <c r="O112" s="750">
        <v>0</v>
      </c>
      <c r="P112" s="750">
        <v>0</v>
      </c>
      <c r="Q112" s="750">
        <v>0</v>
      </c>
      <c r="R112" s="750">
        <v>0</v>
      </c>
      <c r="S112" s="750">
        <v>0</v>
      </c>
      <c r="T112" s="750">
        <v>0</v>
      </c>
      <c r="U112" s="750">
        <v>0</v>
      </c>
      <c r="V112" s="750">
        <v>0</v>
      </c>
      <c r="W112" s="750">
        <v>0</v>
      </c>
      <c r="X112" s="750"/>
      <c r="Y112" s="750">
        <v>0</v>
      </c>
      <c r="Z112" s="750">
        <v>0</v>
      </c>
      <c r="AA112" s="750">
        <v>0</v>
      </c>
      <c r="AB112" s="750">
        <v>0</v>
      </c>
      <c r="AC112" s="750">
        <v>0</v>
      </c>
      <c r="AD112" s="750">
        <v>0</v>
      </c>
      <c r="AE112" s="750">
        <v>0</v>
      </c>
      <c r="AF112" s="750">
        <v>0</v>
      </c>
      <c r="AG112" s="750">
        <v>0</v>
      </c>
      <c r="AH112" s="750">
        <v>0</v>
      </c>
      <c r="AI112" s="750">
        <v>0</v>
      </c>
      <c r="AJ112" s="750">
        <v>0</v>
      </c>
      <c r="AK112" s="750">
        <v>0</v>
      </c>
      <c r="AL112" s="750">
        <v>0</v>
      </c>
      <c r="AM112" s="750">
        <v>0</v>
      </c>
      <c r="AN112" s="750">
        <v>0</v>
      </c>
      <c r="AO112" s="750">
        <v>0</v>
      </c>
      <c r="AP112" s="750">
        <v>0</v>
      </c>
      <c r="AQ112" s="750">
        <v>0</v>
      </c>
      <c r="AR112" s="750">
        <v>0</v>
      </c>
      <c r="AS112" s="750">
        <v>0</v>
      </c>
      <c r="AT112" s="750">
        <v>0</v>
      </c>
      <c r="AU112" s="750">
        <v>0</v>
      </c>
      <c r="AV112" s="750">
        <v>0</v>
      </c>
    </row>
    <row r="113" ht="15" customHeight="1" spans="2:48">
      <c r="B113" s="767" t="s">
        <v>1558</v>
      </c>
      <c r="C113" s="784"/>
      <c r="D113" s="784" t="s">
        <v>1534</v>
      </c>
      <c r="E113" s="784"/>
      <c r="F113" s="784"/>
      <c r="G113" s="784" t="s">
        <v>1534</v>
      </c>
      <c r="H113" s="770"/>
      <c r="I113" s="769" t="s">
        <v>1464</v>
      </c>
      <c r="J113" s="769" t="s">
        <v>199</v>
      </c>
      <c r="K113" s="769" t="s">
        <v>199</v>
      </c>
      <c r="L113" s="750">
        <v>0</v>
      </c>
      <c r="M113" s="750">
        <v>0</v>
      </c>
      <c r="N113" s="750">
        <v>0</v>
      </c>
      <c r="O113" s="750">
        <v>0</v>
      </c>
      <c r="P113" s="750">
        <v>0</v>
      </c>
      <c r="Q113" s="750">
        <v>0</v>
      </c>
      <c r="R113" s="750">
        <v>0</v>
      </c>
      <c r="S113" s="750">
        <v>0</v>
      </c>
      <c r="T113" s="750">
        <v>0</v>
      </c>
      <c r="U113" s="750">
        <v>0</v>
      </c>
      <c r="V113" s="750">
        <v>0</v>
      </c>
      <c r="W113" s="750">
        <v>0</v>
      </c>
      <c r="X113" s="750"/>
      <c r="Y113" s="750">
        <v>0</v>
      </c>
      <c r="Z113" s="750">
        <v>0</v>
      </c>
      <c r="AA113" s="750">
        <v>0</v>
      </c>
      <c r="AB113" s="750">
        <v>0</v>
      </c>
      <c r="AC113" s="750">
        <v>0</v>
      </c>
      <c r="AD113" s="750">
        <v>0</v>
      </c>
      <c r="AE113" s="750">
        <v>0</v>
      </c>
      <c r="AF113" s="750">
        <v>0</v>
      </c>
      <c r="AG113" s="750">
        <v>0</v>
      </c>
      <c r="AH113" s="750">
        <v>0</v>
      </c>
      <c r="AI113" s="750">
        <v>0</v>
      </c>
      <c r="AJ113" s="750">
        <v>0</v>
      </c>
      <c r="AK113" s="750">
        <v>0</v>
      </c>
      <c r="AL113" s="750">
        <v>0</v>
      </c>
      <c r="AM113" s="750">
        <v>0</v>
      </c>
      <c r="AN113" s="750">
        <v>0</v>
      </c>
      <c r="AO113" s="750">
        <v>0</v>
      </c>
      <c r="AP113" s="750">
        <v>0</v>
      </c>
      <c r="AQ113" s="750">
        <v>0</v>
      </c>
      <c r="AR113" s="750">
        <v>0</v>
      </c>
      <c r="AS113" s="750">
        <v>0</v>
      </c>
      <c r="AT113" s="750">
        <v>0</v>
      </c>
      <c r="AU113" s="750">
        <v>0</v>
      </c>
      <c r="AV113" s="750">
        <v>0</v>
      </c>
    </row>
    <row r="114" ht="15" customHeight="1" spans="2:48">
      <c r="B114" s="767" t="s">
        <v>1559</v>
      </c>
      <c r="C114" s="784"/>
      <c r="D114" s="784" t="s">
        <v>1534</v>
      </c>
      <c r="E114" s="784"/>
      <c r="F114" s="784"/>
      <c r="G114" s="784" t="s">
        <v>1534</v>
      </c>
      <c r="H114" s="770"/>
      <c r="I114" s="769" t="s">
        <v>1464</v>
      </c>
      <c r="J114" s="769" t="s">
        <v>199</v>
      </c>
      <c r="K114" s="769" t="s">
        <v>199</v>
      </c>
      <c r="L114" s="750">
        <v>0</v>
      </c>
      <c r="M114" s="750">
        <v>0</v>
      </c>
      <c r="N114" s="750">
        <v>0</v>
      </c>
      <c r="O114" s="750">
        <v>0</v>
      </c>
      <c r="P114" s="750">
        <v>0</v>
      </c>
      <c r="Q114" s="750">
        <v>0</v>
      </c>
      <c r="R114" s="750">
        <v>0</v>
      </c>
      <c r="S114" s="750">
        <v>0</v>
      </c>
      <c r="T114" s="750">
        <v>0</v>
      </c>
      <c r="U114" s="750">
        <v>0</v>
      </c>
      <c r="V114" s="750">
        <v>0</v>
      </c>
      <c r="W114" s="750">
        <v>0</v>
      </c>
      <c r="X114" s="750"/>
      <c r="Y114" s="750">
        <v>0</v>
      </c>
      <c r="Z114" s="750">
        <v>0</v>
      </c>
      <c r="AA114" s="750">
        <v>0</v>
      </c>
      <c r="AB114" s="750">
        <v>0</v>
      </c>
      <c r="AC114" s="750">
        <v>0</v>
      </c>
      <c r="AD114" s="750">
        <v>0</v>
      </c>
      <c r="AE114" s="750">
        <v>0</v>
      </c>
      <c r="AF114" s="750">
        <v>0</v>
      </c>
      <c r="AG114" s="750">
        <v>0</v>
      </c>
      <c r="AH114" s="750">
        <v>0</v>
      </c>
      <c r="AI114" s="750">
        <v>0</v>
      </c>
      <c r="AJ114" s="750">
        <v>0</v>
      </c>
      <c r="AK114" s="750">
        <v>0</v>
      </c>
      <c r="AL114" s="750">
        <v>0</v>
      </c>
      <c r="AM114" s="750">
        <v>0</v>
      </c>
      <c r="AN114" s="750">
        <v>0</v>
      </c>
      <c r="AO114" s="750">
        <v>0</v>
      </c>
      <c r="AP114" s="750">
        <v>0</v>
      </c>
      <c r="AQ114" s="750">
        <v>0</v>
      </c>
      <c r="AR114" s="750">
        <v>0</v>
      </c>
      <c r="AS114" s="750">
        <v>0</v>
      </c>
      <c r="AT114" s="750">
        <v>0</v>
      </c>
      <c r="AU114" s="750">
        <v>0</v>
      </c>
      <c r="AV114" s="750">
        <v>0</v>
      </c>
    </row>
    <row r="115" ht="15" customHeight="1" spans="2:48">
      <c r="B115" s="767" t="s">
        <v>1560</v>
      </c>
      <c r="C115" s="784"/>
      <c r="D115" s="784" t="s">
        <v>1534</v>
      </c>
      <c r="E115" s="784"/>
      <c r="F115" s="784"/>
      <c r="G115" s="784" t="s">
        <v>1534</v>
      </c>
      <c r="H115" s="770"/>
      <c r="I115" s="769" t="s">
        <v>1464</v>
      </c>
      <c r="J115" s="769" t="s">
        <v>199</v>
      </c>
      <c r="K115" s="769" t="s">
        <v>199</v>
      </c>
      <c r="L115" s="750">
        <v>0</v>
      </c>
      <c r="M115" s="750">
        <v>0</v>
      </c>
      <c r="N115" s="750">
        <v>0</v>
      </c>
      <c r="O115" s="750">
        <v>0</v>
      </c>
      <c r="P115" s="750">
        <v>0</v>
      </c>
      <c r="Q115" s="750">
        <v>0</v>
      </c>
      <c r="R115" s="750">
        <v>0</v>
      </c>
      <c r="S115" s="750">
        <v>0</v>
      </c>
      <c r="T115" s="750">
        <v>0</v>
      </c>
      <c r="U115" s="750">
        <v>0</v>
      </c>
      <c r="V115" s="750">
        <v>0</v>
      </c>
      <c r="W115" s="750">
        <v>0</v>
      </c>
      <c r="X115" s="750"/>
      <c r="Y115" s="750">
        <v>0</v>
      </c>
      <c r="Z115" s="750">
        <v>0</v>
      </c>
      <c r="AA115" s="750">
        <v>0</v>
      </c>
      <c r="AB115" s="750">
        <v>0</v>
      </c>
      <c r="AC115" s="750">
        <v>0</v>
      </c>
      <c r="AD115" s="750">
        <v>0</v>
      </c>
      <c r="AE115" s="750">
        <v>0</v>
      </c>
      <c r="AF115" s="750">
        <v>0</v>
      </c>
      <c r="AG115" s="750">
        <v>0</v>
      </c>
      <c r="AH115" s="750">
        <v>0</v>
      </c>
      <c r="AI115" s="750">
        <v>0</v>
      </c>
      <c r="AJ115" s="750">
        <v>0</v>
      </c>
      <c r="AK115" s="750">
        <v>0</v>
      </c>
      <c r="AL115" s="750">
        <v>0</v>
      </c>
      <c r="AM115" s="750">
        <v>0</v>
      </c>
      <c r="AN115" s="750">
        <v>0</v>
      </c>
      <c r="AO115" s="750">
        <v>0</v>
      </c>
      <c r="AP115" s="750">
        <v>0</v>
      </c>
      <c r="AQ115" s="750">
        <v>0</v>
      </c>
      <c r="AR115" s="750">
        <v>0</v>
      </c>
      <c r="AS115" s="750">
        <v>0</v>
      </c>
      <c r="AT115" s="750">
        <v>0</v>
      </c>
      <c r="AU115" s="750">
        <v>0</v>
      </c>
      <c r="AV115" s="750">
        <v>0</v>
      </c>
    </row>
    <row r="116" ht="15" customHeight="1" spans="2:48">
      <c r="B116" s="767" t="s">
        <v>1561</v>
      </c>
      <c r="C116" s="784"/>
      <c r="D116" s="784" t="s">
        <v>1534</v>
      </c>
      <c r="E116" s="784"/>
      <c r="F116" s="784"/>
      <c r="G116" s="784" t="s">
        <v>1534</v>
      </c>
      <c r="H116" s="770"/>
      <c r="I116" s="769" t="s">
        <v>1464</v>
      </c>
      <c r="J116" s="769" t="s">
        <v>199</v>
      </c>
      <c r="K116" s="769" t="s">
        <v>199</v>
      </c>
      <c r="L116" s="750">
        <v>0</v>
      </c>
      <c r="M116" s="750">
        <v>0</v>
      </c>
      <c r="N116" s="750">
        <v>0</v>
      </c>
      <c r="O116" s="750">
        <v>0</v>
      </c>
      <c r="P116" s="750">
        <v>0</v>
      </c>
      <c r="Q116" s="750">
        <v>0</v>
      </c>
      <c r="R116" s="750">
        <v>0</v>
      </c>
      <c r="S116" s="750">
        <v>0</v>
      </c>
      <c r="T116" s="750">
        <v>0</v>
      </c>
      <c r="U116" s="750">
        <v>0</v>
      </c>
      <c r="V116" s="750">
        <v>0</v>
      </c>
      <c r="W116" s="750">
        <v>0</v>
      </c>
      <c r="X116" s="750"/>
      <c r="Y116" s="750">
        <v>0</v>
      </c>
      <c r="Z116" s="750">
        <v>0</v>
      </c>
      <c r="AA116" s="750">
        <v>0</v>
      </c>
      <c r="AB116" s="750">
        <v>0</v>
      </c>
      <c r="AC116" s="750">
        <v>0</v>
      </c>
      <c r="AD116" s="750">
        <v>0</v>
      </c>
      <c r="AE116" s="750">
        <v>0</v>
      </c>
      <c r="AF116" s="750">
        <v>0</v>
      </c>
      <c r="AG116" s="750">
        <v>0</v>
      </c>
      <c r="AH116" s="750">
        <v>0</v>
      </c>
      <c r="AI116" s="750">
        <v>0</v>
      </c>
      <c r="AJ116" s="750">
        <v>0</v>
      </c>
      <c r="AK116" s="750">
        <v>0</v>
      </c>
      <c r="AL116" s="750">
        <v>0</v>
      </c>
      <c r="AM116" s="750">
        <v>0</v>
      </c>
      <c r="AN116" s="750">
        <v>0</v>
      </c>
      <c r="AO116" s="750">
        <v>0</v>
      </c>
      <c r="AP116" s="750">
        <v>0</v>
      </c>
      <c r="AQ116" s="750">
        <v>0</v>
      </c>
      <c r="AR116" s="750">
        <v>0</v>
      </c>
      <c r="AS116" s="750">
        <v>0</v>
      </c>
      <c r="AT116" s="750">
        <v>0</v>
      </c>
      <c r="AU116" s="750">
        <v>0</v>
      </c>
      <c r="AV116" s="750">
        <v>0</v>
      </c>
    </row>
    <row r="117" ht="15" customHeight="1" spans="2:48">
      <c r="B117" s="767" t="s">
        <v>1562</v>
      </c>
      <c r="C117" s="784"/>
      <c r="D117" s="784" t="s">
        <v>1534</v>
      </c>
      <c r="E117" s="784"/>
      <c r="F117" s="784"/>
      <c r="G117" s="784" t="s">
        <v>1534</v>
      </c>
      <c r="H117" s="770"/>
      <c r="I117" s="769" t="s">
        <v>1464</v>
      </c>
      <c r="J117" s="769" t="s">
        <v>199</v>
      </c>
      <c r="K117" s="769" t="s">
        <v>199</v>
      </c>
      <c r="L117" s="750">
        <v>0</v>
      </c>
      <c r="M117" s="750">
        <v>0</v>
      </c>
      <c r="N117" s="750">
        <v>0</v>
      </c>
      <c r="O117" s="750">
        <v>0</v>
      </c>
      <c r="P117" s="750">
        <v>0</v>
      </c>
      <c r="Q117" s="750">
        <v>0</v>
      </c>
      <c r="R117" s="750">
        <v>0</v>
      </c>
      <c r="S117" s="750">
        <v>0</v>
      </c>
      <c r="T117" s="750">
        <v>0</v>
      </c>
      <c r="U117" s="750">
        <v>0</v>
      </c>
      <c r="V117" s="750">
        <v>0</v>
      </c>
      <c r="W117" s="750">
        <v>0</v>
      </c>
      <c r="X117" s="750"/>
      <c r="Y117" s="750">
        <v>0</v>
      </c>
      <c r="Z117" s="750">
        <v>0</v>
      </c>
      <c r="AA117" s="750">
        <v>0</v>
      </c>
      <c r="AB117" s="750">
        <v>0</v>
      </c>
      <c r="AC117" s="750">
        <v>0</v>
      </c>
      <c r="AD117" s="750">
        <v>0</v>
      </c>
      <c r="AE117" s="750">
        <v>0</v>
      </c>
      <c r="AF117" s="750">
        <v>0</v>
      </c>
      <c r="AG117" s="750">
        <v>0</v>
      </c>
      <c r="AH117" s="750">
        <v>0</v>
      </c>
      <c r="AI117" s="750">
        <v>0</v>
      </c>
      <c r="AJ117" s="750">
        <v>0</v>
      </c>
      <c r="AK117" s="750">
        <v>0</v>
      </c>
      <c r="AL117" s="750">
        <v>0</v>
      </c>
      <c r="AM117" s="750">
        <v>0</v>
      </c>
      <c r="AN117" s="750">
        <v>0</v>
      </c>
      <c r="AO117" s="750">
        <v>0</v>
      </c>
      <c r="AP117" s="750">
        <v>0</v>
      </c>
      <c r="AQ117" s="750">
        <v>0</v>
      </c>
      <c r="AR117" s="750">
        <v>0</v>
      </c>
      <c r="AS117" s="750">
        <v>0</v>
      </c>
      <c r="AT117" s="750">
        <v>0</v>
      </c>
      <c r="AU117" s="750">
        <v>0</v>
      </c>
      <c r="AV117" s="750">
        <v>0</v>
      </c>
    </row>
    <row r="118" ht="15" customHeight="1" spans="2:48">
      <c r="B118" s="767" t="s">
        <v>1563</v>
      </c>
      <c r="C118" s="784"/>
      <c r="D118" s="784" t="s">
        <v>1534</v>
      </c>
      <c r="E118" s="784"/>
      <c r="F118" s="784"/>
      <c r="G118" s="784" t="s">
        <v>1534</v>
      </c>
      <c r="H118" s="770"/>
      <c r="I118" s="769" t="s">
        <v>1464</v>
      </c>
      <c r="J118" s="769" t="s">
        <v>199</v>
      </c>
      <c r="K118" s="769" t="s">
        <v>199</v>
      </c>
      <c r="L118" s="750">
        <v>0</v>
      </c>
      <c r="M118" s="750">
        <v>0</v>
      </c>
      <c r="N118" s="750">
        <v>0</v>
      </c>
      <c r="O118" s="750">
        <v>0</v>
      </c>
      <c r="P118" s="750">
        <v>0</v>
      </c>
      <c r="Q118" s="750">
        <v>0</v>
      </c>
      <c r="R118" s="750">
        <v>0</v>
      </c>
      <c r="S118" s="750">
        <v>0</v>
      </c>
      <c r="T118" s="750">
        <v>0</v>
      </c>
      <c r="U118" s="750">
        <v>0</v>
      </c>
      <c r="V118" s="750">
        <v>0</v>
      </c>
      <c r="W118" s="750">
        <v>0</v>
      </c>
      <c r="X118" s="750"/>
      <c r="Y118" s="750">
        <v>0</v>
      </c>
      <c r="Z118" s="750">
        <v>0</v>
      </c>
      <c r="AA118" s="750">
        <v>0</v>
      </c>
      <c r="AB118" s="750">
        <v>0</v>
      </c>
      <c r="AC118" s="750">
        <v>0</v>
      </c>
      <c r="AD118" s="750">
        <v>0</v>
      </c>
      <c r="AE118" s="750">
        <v>0</v>
      </c>
      <c r="AF118" s="750">
        <v>0</v>
      </c>
      <c r="AG118" s="750">
        <v>0</v>
      </c>
      <c r="AH118" s="750">
        <v>0</v>
      </c>
      <c r="AI118" s="750">
        <v>0</v>
      </c>
      <c r="AJ118" s="750">
        <v>0</v>
      </c>
      <c r="AK118" s="750">
        <v>0</v>
      </c>
      <c r="AL118" s="750">
        <v>0</v>
      </c>
      <c r="AM118" s="750">
        <v>0</v>
      </c>
      <c r="AN118" s="750">
        <v>0</v>
      </c>
      <c r="AO118" s="750">
        <v>0</v>
      </c>
      <c r="AP118" s="750">
        <v>0</v>
      </c>
      <c r="AQ118" s="750">
        <v>0</v>
      </c>
      <c r="AR118" s="750">
        <v>0</v>
      </c>
      <c r="AS118" s="750">
        <v>0</v>
      </c>
      <c r="AT118" s="750">
        <v>0</v>
      </c>
      <c r="AU118" s="750">
        <v>0</v>
      </c>
      <c r="AV118" s="750">
        <v>0</v>
      </c>
    </row>
    <row r="119" ht="15" customHeight="1" spans="2:48">
      <c r="B119" s="767" t="s">
        <v>1564</v>
      </c>
      <c r="C119" s="784"/>
      <c r="D119" s="784" t="s">
        <v>1534</v>
      </c>
      <c r="E119" s="784"/>
      <c r="F119" s="784"/>
      <c r="G119" s="784" t="s">
        <v>1534</v>
      </c>
      <c r="H119" s="770"/>
      <c r="I119" s="769" t="s">
        <v>1464</v>
      </c>
      <c r="J119" s="769" t="s">
        <v>199</v>
      </c>
      <c r="K119" s="769" t="s">
        <v>199</v>
      </c>
      <c r="L119" s="750">
        <v>0</v>
      </c>
      <c r="M119" s="750">
        <v>0</v>
      </c>
      <c r="N119" s="750">
        <v>0</v>
      </c>
      <c r="O119" s="750">
        <v>0</v>
      </c>
      <c r="P119" s="750">
        <v>0</v>
      </c>
      <c r="Q119" s="750">
        <v>0</v>
      </c>
      <c r="R119" s="750">
        <v>0</v>
      </c>
      <c r="S119" s="750">
        <v>0</v>
      </c>
      <c r="T119" s="750">
        <v>0</v>
      </c>
      <c r="U119" s="750">
        <v>0</v>
      </c>
      <c r="V119" s="750">
        <v>0</v>
      </c>
      <c r="W119" s="750">
        <v>0</v>
      </c>
      <c r="X119" s="750"/>
      <c r="Y119" s="750">
        <v>0</v>
      </c>
      <c r="Z119" s="750">
        <v>0</v>
      </c>
      <c r="AA119" s="750">
        <v>0</v>
      </c>
      <c r="AB119" s="750">
        <v>0</v>
      </c>
      <c r="AC119" s="750">
        <v>0</v>
      </c>
      <c r="AD119" s="750">
        <v>0</v>
      </c>
      <c r="AE119" s="750">
        <v>0</v>
      </c>
      <c r="AF119" s="750">
        <v>0</v>
      </c>
      <c r="AG119" s="750">
        <v>0</v>
      </c>
      <c r="AH119" s="750">
        <v>0</v>
      </c>
      <c r="AI119" s="750">
        <v>0</v>
      </c>
      <c r="AJ119" s="750">
        <v>0</v>
      </c>
      <c r="AK119" s="750">
        <v>0</v>
      </c>
      <c r="AL119" s="750">
        <v>0</v>
      </c>
      <c r="AM119" s="750">
        <v>0</v>
      </c>
      <c r="AN119" s="750">
        <v>0</v>
      </c>
      <c r="AO119" s="750">
        <v>0</v>
      </c>
      <c r="AP119" s="750">
        <v>0</v>
      </c>
      <c r="AQ119" s="750">
        <v>0</v>
      </c>
      <c r="AR119" s="750">
        <v>0</v>
      </c>
      <c r="AS119" s="750">
        <v>0</v>
      </c>
      <c r="AT119" s="750">
        <v>0</v>
      </c>
      <c r="AU119" s="750">
        <v>0</v>
      </c>
      <c r="AV119" s="750">
        <v>0</v>
      </c>
    </row>
  </sheetData>
  <mergeCells count="17">
    <mergeCell ref="L21:X21"/>
    <mergeCell ref="Y21:AJ21"/>
    <mergeCell ref="AK21:AV21"/>
    <mergeCell ref="B21:B22"/>
    <mergeCell ref="C21:C22"/>
    <mergeCell ref="D21:D22"/>
    <mergeCell ref="E21:E22"/>
    <mergeCell ref="F17:F18"/>
    <mergeCell ref="F21:F22"/>
    <mergeCell ref="G17:G18"/>
    <mergeCell ref="G21:G22"/>
    <mergeCell ref="H21:H22"/>
    <mergeCell ref="I21:I22"/>
    <mergeCell ref="J21:J22"/>
    <mergeCell ref="K21:K22"/>
    <mergeCell ref="B11:E14"/>
    <mergeCell ref="B15:E16"/>
  </mergeCells>
  <hyperlinks>
    <hyperlink ref="A1" location="目录!A1" display="← 返回目录"/>
  </hyperlinks>
  <pageMargins left="0.7" right="0.7" top="0.75" bottom="0.75" header="0.3" footer="0.3"/>
  <pageSetup paperSize="1" orientation="portrait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0">
    <tabColor rgb="FF00B0F0"/>
  </sheetPr>
  <dimension ref="A1:AV119"/>
  <sheetViews>
    <sheetView showGridLines="0" showZeros="0" zoomScale="85" zoomScaleNormal="85" workbookViewId="0">
      <pane xSplit="1" ySplit="24" topLeftCell="B25" activePane="bottomRight" state="frozen"/>
      <selection/>
      <selection pane="topRight"/>
      <selection pane="bottomLeft"/>
      <selection pane="bottomRight" activeCell="O46" sqref="O46"/>
    </sheetView>
  </sheetViews>
  <sheetFormatPr defaultColWidth="8.725" defaultRowHeight="11.25"/>
  <cols>
    <col min="1" max="1" width="1.63333333333333" style="1" customWidth="1"/>
    <col min="2" max="2" width="6.63333333333333" style="1" customWidth="1"/>
    <col min="3" max="3" width="12.6333333333333" style="1" customWidth="1"/>
    <col min="4" max="4" width="12.725" style="1" customWidth="1"/>
    <col min="5" max="5" width="15.6333333333333" style="1" customWidth="1"/>
    <col min="6" max="6" width="11.6333333333333" style="1" customWidth="1"/>
    <col min="7" max="7" width="10.0916666666667" style="1" customWidth="1"/>
    <col min="8" max="8" width="11" style="1" customWidth="1"/>
    <col min="9" max="9" width="10.8166666666667" style="1" customWidth="1"/>
    <col min="10" max="11" width="12.6333333333333" style="1" customWidth="1"/>
    <col min="12" max="13" width="11.1833333333333" style="1" customWidth="1"/>
    <col min="14" max="24" width="9.725" style="1" customWidth="1"/>
    <col min="25" max="25" width="12.6333333333333" style="1" customWidth="1"/>
    <col min="26" max="26" width="15.3666666666667" style="1" customWidth="1"/>
    <col min="27" max="36" width="11.1833333333333" style="1" customWidth="1"/>
    <col min="37" max="37" width="9.725" style="1" customWidth="1"/>
    <col min="38" max="38" width="14" style="1" customWidth="1"/>
    <col min="39" max="69" width="8.725" style="1" customWidth="1"/>
    <col min="70" max="16384" width="8.725" style="1"/>
  </cols>
  <sheetData>
    <row r="1" ht="16.5" customHeight="1" spans="1:30">
      <c r="A1" s="162" t="s">
        <v>185</v>
      </c>
      <c r="B1" s="1" t="s">
        <v>1435</v>
      </c>
      <c r="C1" s="1" t="s">
        <v>1436</v>
      </c>
    </row>
    <row r="2" ht="16.5" customHeight="1" spans="1:30">
      <c r="B2" s="754" t="s">
        <v>1437</v>
      </c>
      <c r="C2" s="1" t="s">
        <v>1438</v>
      </c>
    </row>
    <row r="3" ht="16.5" customHeight="1" spans="1:30">
      <c r="B3" s="754" t="s">
        <v>1439</v>
      </c>
      <c r="C3" s="1" t="s">
        <v>340</v>
      </c>
    </row>
    <row r="4" ht="16.5" customHeight="1" spans="1:30">
      <c r="B4" s="754" t="s">
        <v>1440</v>
      </c>
      <c r="C4" s="1" t="s">
        <v>1441</v>
      </c>
    </row>
    <row r="5" ht="16.5" customHeight="1" spans="1:30">
      <c r="B5" s="754" t="s">
        <v>1442</v>
      </c>
      <c r="C5" s="1" t="s">
        <v>1443</v>
      </c>
    </row>
    <row r="6" ht="16.5" customHeight="1" spans="1:30">
      <c r="B6" s="754" t="s">
        <v>333</v>
      </c>
      <c r="C6" s="1" t="s">
        <v>1444</v>
      </c>
    </row>
    <row r="7" ht="16.5" customHeight="1" spans="1:30">
      <c r="B7" s="754" t="s">
        <v>1445</v>
      </c>
      <c r="C7" s="1" t="s">
        <v>1446</v>
      </c>
    </row>
    <row r="8" ht="9" customHeight="1" spans="1:30">
      <c r="B8" s="754"/>
    </row>
    <row r="9" ht="9" customHeight="1"/>
    <row r="10" ht="3.65" customHeight="1" spans="1:30">
      <c r="B10" s="755"/>
      <c r="E10" s="756"/>
      <c r="F10" s="756"/>
    </row>
    <row r="11" ht="13" customHeight="1" spans="1:30">
      <c r="B11" s="492" t="s">
        <v>1569</v>
      </c>
      <c r="C11" s="492"/>
      <c r="D11" s="492"/>
      <c r="E11" s="492"/>
      <c r="F11" s="7" t="s">
        <v>1404</v>
      </c>
      <c r="G11" s="8" t="s">
        <v>1405</v>
      </c>
      <c r="H11" s="8"/>
      <c r="I11" s="8"/>
      <c r="J11" s="8"/>
      <c r="K11" s="70"/>
      <c r="Y11" s="8"/>
      <c r="Z11" s="8"/>
      <c r="AA11" s="8"/>
      <c r="AB11" s="8"/>
      <c r="AC11" s="8"/>
      <c r="AD11" s="70"/>
    </row>
    <row r="12" ht="13" customHeight="1" spans="1:30">
      <c r="B12" s="492"/>
      <c r="C12" s="492"/>
      <c r="D12" s="492"/>
      <c r="E12" s="492"/>
      <c r="F12" s="12"/>
      <c r="G12" s="13" t="s">
        <v>1571</v>
      </c>
      <c r="H12" s="13"/>
      <c r="I12" s="13"/>
      <c r="J12" s="13"/>
      <c r="K12" s="71"/>
      <c r="Y12" s="13"/>
      <c r="Z12" s="14"/>
      <c r="AA12" s="14"/>
      <c r="AB12" s="14"/>
      <c r="AC12" s="14"/>
      <c r="AD12" s="71"/>
    </row>
    <row r="13" customHeight="1" spans="1:30">
      <c r="B13" s="492"/>
      <c r="C13" s="492"/>
      <c r="D13" s="492"/>
      <c r="E13" s="492"/>
      <c r="F13" s="12"/>
      <c r="G13" s="13" t="s">
        <v>1570</v>
      </c>
      <c r="H13" s="13"/>
      <c r="I13" s="13"/>
      <c r="J13" s="13"/>
      <c r="K13" s="71"/>
      <c r="Y13" s="13"/>
      <c r="Z13" s="15"/>
      <c r="AA13" s="15"/>
      <c r="AB13" s="15"/>
      <c r="AC13" s="14"/>
      <c r="AD13" s="71"/>
    </row>
    <row r="14" customHeight="1" spans="1:30">
      <c r="B14" s="492"/>
      <c r="C14" s="492"/>
      <c r="D14" s="492"/>
      <c r="E14" s="492"/>
      <c r="F14" s="12"/>
      <c r="G14" s="13" t="s">
        <v>1408</v>
      </c>
      <c r="H14" s="13"/>
      <c r="I14" s="13"/>
      <c r="J14" s="13"/>
      <c r="K14" s="71"/>
      <c r="Y14" s="13"/>
      <c r="Z14" s="15"/>
      <c r="AA14" s="15"/>
      <c r="AB14" s="15"/>
      <c r="AC14" s="14"/>
      <c r="AD14" s="71"/>
    </row>
    <row r="15" customHeight="1" spans="1:30">
      <c r="B15" s="292" t="s">
        <v>1451</v>
      </c>
      <c r="C15" s="292"/>
      <c r="D15" s="292"/>
      <c r="E15" s="292"/>
      <c r="F15" s="12"/>
      <c r="G15" s="22"/>
      <c r="H15" s="22"/>
      <c r="I15" s="13"/>
      <c r="J15" s="13"/>
      <c r="K15" s="71"/>
      <c r="Y15" s="13"/>
      <c r="Z15" s="15"/>
      <c r="AA15" s="15"/>
      <c r="AB15" s="15"/>
      <c r="AC15" s="14"/>
      <c r="AD15" s="71"/>
    </row>
    <row r="16" customHeight="1" spans="1:30">
      <c r="B16" s="292"/>
      <c r="C16" s="292"/>
      <c r="D16" s="292"/>
      <c r="E16" s="292"/>
      <c r="F16" s="26" t="s">
        <v>1452</v>
      </c>
      <c r="G16" s="27"/>
      <c r="H16" s="27"/>
      <c r="I16" s="28"/>
      <c r="J16" s="28"/>
      <c r="K16" s="325"/>
      <c r="Y16" s="28"/>
      <c r="Z16" s="29"/>
      <c r="AA16" s="29"/>
      <c r="AB16" s="29"/>
      <c r="AC16" s="30"/>
      <c r="AD16" s="72"/>
    </row>
    <row r="17" ht="4.5" customHeight="1" spans="2:48">
      <c r="F17" s="31"/>
      <c r="G17" s="32">
        <v>0</v>
      </c>
      <c r="H17" s="32"/>
      <c r="Y17" s="33"/>
      <c r="Z17" s="34"/>
      <c r="AA17" s="34"/>
      <c r="AB17" s="34"/>
    </row>
    <row r="18" ht="10.5" customHeight="1" spans="2:48">
      <c r="F18" s="35"/>
      <c r="G18" s="32"/>
      <c r="H18" s="32"/>
      <c r="AN18" s="1" t="s">
        <v>1453</v>
      </c>
    </row>
    <row r="19" ht="15" customHeight="1" spans="2:48">
      <c r="B19" s="36" t="s">
        <v>1411</v>
      </c>
      <c r="C19" s="37" t="s">
        <v>1412</v>
      </c>
      <c r="D19" s="36" t="s">
        <v>188</v>
      </c>
      <c r="E19" s="37" t="s">
        <v>1413</v>
      </c>
      <c r="F19" s="36" t="s">
        <v>1364</v>
      </c>
      <c r="G19" s="37" t="s">
        <v>1396</v>
      </c>
      <c r="H19" s="36" t="s">
        <v>1414</v>
      </c>
      <c r="I19" s="38" t="s">
        <v>1359</v>
      </c>
    </row>
    <row r="20" ht="15.5" customHeight="1"/>
    <row r="21" s="753" customFormat="1" ht="22.5" customHeight="1" spans="2:48">
      <c r="B21" s="759" t="s">
        <v>1455</v>
      </c>
      <c r="C21" s="759" t="s">
        <v>1366</v>
      </c>
      <c r="D21" s="794" t="s">
        <v>1367</v>
      </c>
      <c r="E21" s="759" t="s">
        <v>489</v>
      </c>
      <c r="F21" s="759" t="s">
        <v>1369</v>
      </c>
      <c r="G21" s="794" t="s">
        <v>493</v>
      </c>
      <c r="H21" s="759" t="s">
        <v>1575</v>
      </c>
      <c r="I21" s="759" t="s">
        <v>1576</v>
      </c>
      <c r="J21" s="759" t="s">
        <v>1460</v>
      </c>
      <c r="K21" s="759" t="s">
        <v>1461</v>
      </c>
      <c r="L21" s="795" t="s">
        <v>1427</v>
      </c>
      <c r="M21" s="796"/>
      <c r="N21" s="796"/>
      <c r="O21" s="796"/>
      <c r="P21" s="796"/>
      <c r="Q21" s="796"/>
      <c r="R21" s="796"/>
      <c r="S21" s="796"/>
      <c r="T21" s="796"/>
      <c r="U21" s="796"/>
      <c r="V21" s="796"/>
      <c r="W21" s="796"/>
      <c r="X21" s="797"/>
      <c r="Y21" s="761" t="s">
        <v>280</v>
      </c>
      <c r="Z21" s="762"/>
      <c r="AA21" s="762"/>
      <c r="AB21" s="762"/>
      <c r="AC21" s="762"/>
      <c r="AD21" s="762"/>
      <c r="AE21" s="762"/>
      <c r="AF21" s="762"/>
      <c r="AG21" s="762"/>
      <c r="AH21" s="762"/>
      <c r="AI21" s="762"/>
      <c r="AJ21" s="802"/>
      <c r="AK21" s="761" t="s">
        <v>287</v>
      </c>
      <c r="AL21" s="762"/>
      <c r="AM21" s="762"/>
      <c r="AN21" s="762"/>
      <c r="AO21" s="762"/>
      <c r="AP21" s="762"/>
      <c r="AQ21" s="762"/>
      <c r="AR21" s="762"/>
      <c r="AS21" s="762"/>
      <c r="AT21" s="762"/>
      <c r="AU21" s="762"/>
      <c r="AV21" s="802"/>
    </row>
    <row r="22" s="753" customFormat="1" ht="22.5" customHeight="1" spans="2:48">
      <c r="B22" s="764"/>
      <c r="C22" s="764"/>
      <c r="D22" s="798"/>
      <c r="E22" s="764"/>
      <c r="F22" s="764"/>
      <c r="G22" s="798"/>
      <c r="H22" s="764"/>
      <c r="I22" s="764"/>
      <c r="J22" s="764"/>
      <c r="K22" s="764"/>
      <c r="L22" s="732" t="s">
        <v>304</v>
      </c>
      <c r="M22" s="732" t="s">
        <v>305</v>
      </c>
      <c r="N22" s="732" t="s">
        <v>306</v>
      </c>
      <c r="O22" s="732" t="s">
        <v>307</v>
      </c>
      <c r="P22" s="732" t="s">
        <v>308</v>
      </c>
      <c r="Q22" s="732" t="s">
        <v>309</v>
      </c>
      <c r="R22" s="732" t="s">
        <v>310</v>
      </c>
      <c r="S22" s="732" t="s">
        <v>311</v>
      </c>
      <c r="T22" s="732" t="s">
        <v>312</v>
      </c>
      <c r="U22" s="732" t="s">
        <v>313</v>
      </c>
      <c r="V22" s="732" t="s">
        <v>314</v>
      </c>
      <c r="W22" s="732" t="s">
        <v>315</v>
      </c>
      <c r="X22" s="732" t="s">
        <v>1462</v>
      </c>
      <c r="Y22" s="766" t="s">
        <v>304</v>
      </c>
      <c r="Z22" s="766" t="s">
        <v>305</v>
      </c>
      <c r="AA22" s="766" t="s">
        <v>306</v>
      </c>
      <c r="AB22" s="766" t="s">
        <v>307</v>
      </c>
      <c r="AC22" s="766" t="s">
        <v>308</v>
      </c>
      <c r="AD22" s="766" t="s">
        <v>309</v>
      </c>
      <c r="AE22" s="766" t="s">
        <v>310</v>
      </c>
      <c r="AF22" s="766" t="s">
        <v>311</v>
      </c>
      <c r="AG22" s="766" t="s">
        <v>312</v>
      </c>
      <c r="AH22" s="766" t="s">
        <v>313</v>
      </c>
      <c r="AI22" s="766" t="s">
        <v>314</v>
      </c>
      <c r="AJ22" s="766" t="s">
        <v>315</v>
      </c>
      <c r="AK22" s="766" t="s">
        <v>304</v>
      </c>
      <c r="AL22" s="766" t="s">
        <v>305</v>
      </c>
      <c r="AM22" s="766" t="s">
        <v>306</v>
      </c>
      <c r="AN22" s="766" t="s">
        <v>307</v>
      </c>
      <c r="AO22" s="766" t="s">
        <v>308</v>
      </c>
      <c r="AP22" s="766" t="s">
        <v>309</v>
      </c>
      <c r="AQ22" s="766" t="s">
        <v>310</v>
      </c>
      <c r="AR22" s="766" t="s">
        <v>311</v>
      </c>
      <c r="AS22" s="766" t="s">
        <v>312</v>
      </c>
      <c r="AT22" s="766" t="s">
        <v>313</v>
      </c>
      <c r="AU22" s="766" t="s">
        <v>314</v>
      </c>
      <c r="AV22" s="766" t="s">
        <v>315</v>
      </c>
    </row>
    <row r="23" s="753" customFormat="1" ht="22.5" customHeight="1" spans="2:48">
      <c r="B23" s="763"/>
      <c r="C23" s="763" t="s">
        <v>1421</v>
      </c>
      <c r="D23" s="744" t="s">
        <v>1463</v>
      </c>
      <c r="E23" s="763" t="s">
        <v>1421</v>
      </c>
      <c r="F23" s="763" t="s">
        <v>1421</v>
      </c>
      <c r="G23" s="744" t="s">
        <v>1463</v>
      </c>
      <c r="H23" s="763" t="s">
        <v>1421</v>
      </c>
      <c r="I23" s="763" t="s">
        <v>1464</v>
      </c>
      <c r="J23" s="763" t="s">
        <v>199</v>
      </c>
      <c r="K23" s="763" t="s">
        <v>199</v>
      </c>
      <c r="L23" s="746" t="s">
        <v>1465</v>
      </c>
      <c r="M23" s="746" t="s">
        <v>1465</v>
      </c>
      <c r="N23" s="746" t="s">
        <v>1465</v>
      </c>
      <c r="O23" s="746" t="s">
        <v>1465</v>
      </c>
      <c r="P23" s="746" t="s">
        <v>1465</v>
      </c>
      <c r="Q23" s="746" t="s">
        <v>1465</v>
      </c>
      <c r="R23" s="746" t="s">
        <v>1465</v>
      </c>
      <c r="S23" s="746" t="s">
        <v>1465</v>
      </c>
      <c r="T23" s="746" t="s">
        <v>1465</v>
      </c>
      <c r="U23" s="746" t="s">
        <v>1465</v>
      </c>
      <c r="V23" s="746" t="s">
        <v>1465</v>
      </c>
      <c r="W23" s="746" t="s">
        <v>1465</v>
      </c>
      <c r="X23" s="746" t="s">
        <v>1465</v>
      </c>
      <c r="Y23" s="766" t="s">
        <v>1421</v>
      </c>
      <c r="Z23" s="766" t="s">
        <v>1421</v>
      </c>
      <c r="AA23" s="766" t="s">
        <v>1421</v>
      </c>
      <c r="AB23" s="766" t="s">
        <v>1421</v>
      </c>
      <c r="AC23" s="766" t="s">
        <v>1421</v>
      </c>
      <c r="AD23" s="766" t="s">
        <v>1421</v>
      </c>
      <c r="AE23" s="766" t="s">
        <v>1421</v>
      </c>
      <c r="AF23" s="766" t="s">
        <v>1421</v>
      </c>
      <c r="AG23" s="766" t="s">
        <v>1421</v>
      </c>
      <c r="AH23" s="766" t="s">
        <v>1421</v>
      </c>
      <c r="AI23" s="766" t="s">
        <v>1421</v>
      </c>
      <c r="AJ23" s="766" t="s">
        <v>1421</v>
      </c>
      <c r="AK23" s="766" t="s">
        <v>199</v>
      </c>
      <c r="AL23" s="766" t="s">
        <v>199</v>
      </c>
      <c r="AM23" s="766" t="s">
        <v>199</v>
      </c>
      <c r="AN23" s="766" t="s">
        <v>199</v>
      </c>
      <c r="AO23" s="766" t="s">
        <v>199</v>
      </c>
      <c r="AP23" s="766" t="s">
        <v>199</v>
      </c>
      <c r="AQ23" s="766" t="s">
        <v>199</v>
      </c>
      <c r="AR23" s="766" t="s">
        <v>199</v>
      </c>
      <c r="AS23" s="766" t="s">
        <v>199</v>
      </c>
      <c r="AT23" s="766" t="s">
        <v>199</v>
      </c>
      <c r="AU23" s="766" t="s">
        <v>199</v>
      </c>
      <c r="AV23" s="766" t="s">
        <v>199</v>
      </c>
    </row>
    <row r="24" ht="20.5" customHeight="1" spans="2:48">
      <c r="B24" s="767" t="s">
        <v>281</v>
      </c>
      <c r="C24" s="768" t="s">
        <v>1466</v>
      </c>
      <c r="D24" s="768" t="s">
        <v>1466</v>
      </c>
      <c r="E24" s="768" t="s">
        <v>1466</v>
      </c>
      <c r="F24" s="768" t="s">
        <v>1466</v>
      </c>
      <c r="G24" s="768" t="s">
        <v>1466</v>
      </c>
      <c r="H24" s="768"/>
      <c r="I24" s="769" t="s">
        <v>1464</v>
      </c>
      <c r="J24" s="769" t="s">
        <v>199</v>
      </c>
      <c r="K24" s="769" t="s">
        <v>199</v>
      </c>
      <c r="L24" s="769" t="s">
        <v>1464</v>
      </c>
      <c r="M24" s="769" t="s">
        <v>1464</v>
      </c>
      <c r="N24" s="769" t="s">
        <v>1464</v>
      </c>
      <c r="O24" s="769" t="s">
        <v>1464</v>
      </c>
      <c r="P24" s="769" t="s">
        <v>1464</v>
      </c>
      <c r="Q24" s="769" t="s">
        <v>1464</v>
      </c>
      <c r="R24" s="769" t="s">
        <v>1464</v>
      </c>
      <c r="S24" s="769" t="s">
        <v>1464</v>
      </c>
      <c r="T24" s="769" t="s">
        <v>1464</v>
      </c>
      <c r="U24" s="769" t="s">
        <v>1464</v>
      </c>
      <c r="V24" s="769" t="s">
        <v>1464</v>
      </c>
      <c r="W24" s="769" t="s">
        <v>1464</v>
      </c>
      <c r="X24" s="769"/>
      <c r="Y24" s="769" t="s">
        <v>1464</v>
      </c>
      <c r="Z24" s="769" t="s">
        <v>1464</v>
      </c>
      <c r="AA24" s="769" t="s">
        <v>1464</v>
      </c>
      <c r="AB24" s="769" t="s">
        <v>1464</v>
      </c>
      <c r="AC24" s="769" t="s">
        <v>1464</v>
      </c>
      <c r="AD24" s="769" t="s">
        <v>1464</v>
      </c>
      <c r="AE24" s="769" t="s">
        <v>1464</v>
      </c>
      <c r="AF24" s="769" t="s">
        <v>1464</v>
      </c>
      <c r="AG24" s="769" t="s">
        <v>1464</v>
      </c>
      <c r="AH24" s="769" t="s">
        <v>1464</v>
      </c>
      <c r="AI24" s="769" t="s">
        <v>1464</v>
      </c>
      <c r="AJ24" s="769" t="s">
        <v>1464</v>
      </c>
      <c r="AK24" s="769" t="s">
        <v>1464</v>
      </c>
      <c r="AL24" s="769" t="s">
        <v>1464</v>
      </c>
      <c r="AM24" s="769" t="s">
        <v>1464</v>
      </c>
      <c r="AN24" s="769" t="s">
        <v>1464</v>
      </c>
      <c r="AO24" s="769" t="s">
        <v>1464</v>
      </c>
      <c r="AP24" s="769" t="s">
        <v>1464</v>
      </c>
      <c r="AQ24" s="769" t="s">
        <v>1464</v>
      </c>
      <c r="AR24" s="769" t="s">
        <v>1464</v>
      </c>
      <c r="AS24" s="769" t="s">
        <v>1464</v>
      </c>
      <c r="AT24" s="769" t="s">
        <v>1464</v>
      </c>
      <c r="AU24" s="769" t="s">
        <v>1464</v>
      </c>
      <c r="AV24" s="769" t="s">
        <v>1464</v>
      </c>
    </row>
    <row r="25" ht="15" customHeight="1" spans="2:48">
      <c r="B25" s="767" t="s">
        <v>1467</v>
      </c>
      <c r="C25" s="770"/>
      <c r="D25" s="770"/>
      <c r="E25" s="770" t="s">
        <v>1424</v>
      </c>
      <c r="F25" s="770"/>
      <c r="G25" s="770" t="s">
        <v>1425</v>
      </c>
      <c r="H25" s="770"/>
      <c r="I25" s="769" t="s">
        <v>1464</v>
      </c>
      <c r="J25" s="769" t="s">
        <v>199</v>
      </c>
      <c r="K25" s="769" t="s">
        <v>199</v>
      </c>
      <c r="L25" s="748"/>
      <c r="M25" s="800"/>
      <c r="N25" s="800"/>
      <c r="O25" s="800"/>
      <c r="P25" s="800"/>
      <c r="Q25" s="800"/>
      <c r="R25" s="800"/>
      <c r="S25" s="800"/>
      <c r="T25" s="800"/>
      <c r="U25" s="800"/>
      <c r="V25" s="748"/>
      <c r="W25" s="748"/>
      <c r="X25" s="748"/>
      <c r="Y25" s="748"/>
      <c r="Z25" s="800"/>
      <c r="AA25" s="800"/>
      <c r="AB25" s="800"/>
      <c r="AC25" s="800"/>
      <c r="AD25" s="800"/>
      <c r="AE25" s="800"/>
      <c r="AF25" s="800"/>
      <c r="AG25" s="800"/>
      <c r="AH25" s="800"/>
      <c r="AI25" s="748"/>
      <c r="AJ25" s="748"/>
      <c r="AK25" s="748"/>
      <c r="AL25" s="800"/>
      <c r="AM25" s="800"/>
      <c r="AN25" s="800"/>
      <c r="AO25" s="800"/>
      <c r="AP25" s="800"/>
      <c r="AQ25" s="800"/>
      <c r="AR25" s="800"/>
      <c r="AS25" s="800"/>
      <c r="AT25" s="800"/>
      <c r="AU25" s="748"/>
      <c r="AV25" s="748"/>
    </row>
    <row r="26" ht="15" customHeight="1" spans="2:48">
      <c r="B26" s="767" t="s">
        <v>1469</v>
      </c>
      <c r="C26" s="770"/>
      <c r="D26" s="770"/>
      <c r="E26" s="770"/>
      <c r="F26" s="770"/>
      <c r="G26" s="770" t="s">
        <v>1426</v>
      </c>
      <c r="H26" s="770"/>
      <c r="I26" s="769" t="s">
        <v>1464</v>
      </c>
      <c r="J26" s="769" t="s">
        <v>199</v>
      </c>
      <c r="K26" s="769" t="s">
        <v>199</v>
      </c>
      <c r="L26" s="748"/>
      <c r="M26" s="748"/>
      <c r="N26" s="748"/>
      <c r="O26" s="748"/>
      <c r="P26" s="800"/>
      <c r="Q26" s="800"/>
      <c r="R26" s="800"/>
      <c r="S26" s="800"/>
      <c r="T26" s="800"/>
      <c r="U26" s="800"/>
      <c r="V26" s="748"/>
      <c r="W26" s="748"/>
      <c r="X26" s="748"/>
      <c r="Y26" s="748"/>
      <c r="Z26" s="748"/>
      <c r="AA26" s="748"/>
      <c r="AB26" s="748"/>
      <c r="AC26" s="800"/>
      <c r="AD26" s="800"/>
      <c r="AE26" s="800"/>
      <c r="AF26" s="800"/>
      <c r="AG26" s="800"/>
      <c r="AH26" s="800"/>
      <c r="AI26" s="748"/>
      <c r="AJ26" s="748"/>
      <c r="AK26" s="748"/>
      <c r="AL26" s="748"/>
      <c r="AM26" s="748"/>
      <c r="AN26" s="748"/>
      <c r="AO26" s="800"/>
      <c r="AP26" s="800"/>
      <c r="AQ26" s="800"/>
      <c r="AR26" s="800"/>
      <c r="AS26" s="800"/>
      <c r="AT26" s="800"/>
      <c r="AU26" s="748"/>
      <c r="AV26" s="748"/>
    </row>
    <row r="27" ht="15" customHeight="1" spans="2:48">
      <c r="B27" s="767" t="s">
        <v>1471</v>
      </c>
      <c r="C27" s="770"/>
      <c r="D27" s="770"/>
      <c r="E27" s="770" t="s">
        <v>1568</v>
      </c>
      <c r="F27" s="770"/>
      <c r="G27" s="770"/>
      <c r="H27" s="770"/>
      <c r="I27" s="769" t="s">
        <v>1464</v>
      </c>
      <c r="J27" s="769" t="s">
        <v>199</v>
      </c>
      <c r="K27" s="769" t="s">
        <v>199</v>
      </c>
      <c r="L27" s="800"/>
      <c r="M27" s="800"/>
      <c r="N27" s="800"/>
      <c r="O27" s="800"/>
      <c r="P27" s="800"/>
      <c r="Q27" s="800"/>
      <c r="R27" s="800"/>
      <c r="S27" s="800"/>
      <c r="T27" s="800"/>
      <c r="U27" s="800"/>
      <c r="V27" s="748"/>
      <c r="W27" s="748"/>
      <c r="X27" s="748"/>
      <c r="Y27" s="800"/>
      <c r="Z27" s="800"/>
      <c r="AA27" s="800"/>
      <c r="AB27" s="800"/>
      <c r="AC27" s="800"/>
      <c r="AD27" s="800"/>
      <c r="AE27" s="800"/>
      <c r="AF27" s="800"/>
      <c r="AG27" s="800"/>
      <c r="AH27" s="800"/>
      <c r="AI27" s="748"/>
      <c r="AJ27" s="748"/>
      <c r="AK27" s="800"/>
      <c r="AL27" s="800"/>
      <c r="AM27" s="800"/>
      <c r="AN27" s="800"/>
      <c r="AO27" s="800"/>
      <c r="AP27" s="800"/>
      <c r="AQ27" s="800"/>
      <c r="AR27" s="800"/>
      <c r="AS27" s="800"/>
      <c r="AT27" s="800"/>
      <c r="AU27" s="748"/>
      <c r="AV27" s="748"/>
    </row>
    <row r="28" ht="15" customHeight="1" spans="2:48">
      <c r="B28" s="767" t="s">
        <v>1472</v>
      </c>
      <c r="C28" s="770"/>
      <c r="D28" s="770"/>
      <c r="E28" s="770"/>
      <c r="F28" s="770"/>
      <c r="G28" s="770"/>
      <c r="H28" s="770"/>
      <c r="I28" s="769" t="s">
        <v>1464</v>
      </c>
      <c r="J28" s="769" t="s">
        <v>199</v>
      </c>
      <c r="K28" s="769" t="s">
        <v>199</v>
      </c>
      <c r="L28" s="800"/>
      <c r="M28" s="800"/>
      <c r="N28" s="800"/>
      <c r="O28" s="800"/>
      <c r="P28" s="800"/>
      <c r="Q28" s="800"/>
      <c r="R28" s="800"/>
      <c r="S28" s="748"/>
      <c r="T28" s="800"/>
      <c r="U28" s="748"/>
      <c r="V28" s="748"/>
      <c r="W28" s="748"/>
      <c r="X28" s="748"/>
      <c r="Y28" s="800"/>
      <c r="Z28" s="800"/>
      <c r="AA28" s="800"/>
      <c r="AB28" s="800"/>
      <c r="AC28" s="800"/>
      <c r="AD28" s="800"/>
      <c r="AE28" s="800"/>
      <c r="AF28" s="748"/>
      <c r="AG28" s="800"/>
      <c r="AH28" s="748"/>
      <c r="AI28" s="748"/>
      <c r="AJ28" s="748"/>
      <c r="AK28" s="800"/>
      <c r="AL28" s="800"/>
      <c r="AM28" s="800"/>
      <c r="AN28" s="800"/>
      <c r="AO28" s="800"/>
      <c r="AP28" s="800"/>
      <c r="AQ28" s="800"/>
      <c r="AR28" s="748"/>
      <c r="AS28" s="800"/>
      <c r="AT28" s="748"/>
      <c r="AU28" s="748"/>
      <c r="AV28" s="748"/>
    </row>
    <row r="29" ht="15" customHeight="1" spans="2:48">
      <c r="B29" s="767" t="s">
        <v>1473</v>
      </c>
      <c r="C29" s="770"/>
      <c r="D29" s="770"/>
      <c r="E29" s="770"/>
      <c r="F29" s="770"/>
      <c r="G29" s="770"/>
      <c r="H29" s="770"/>
      <c r="I29" s="769" t="s">
        <v>1464</v>
      </c>
      <c r="J29" s="769" t="s">
        <v>199</v>
      </c>
      <c r="K29" s="769" t="s">
        <v>199</v>
      </c>
      <c r="L29" s="748"/>
      <c r="M29" s="748"/>
      <c r="N29" s="748"/>
      <c r="O29" s="748"/>
      <c r="P29" s="748"/>
      <c r="Q29" s="748"/>
      <c r="R29" s="748"/>
      <c r="S29" s="748"/>
      <c r="T29" s="800"/>
      <c r="U29" s="800"/>
      <c r="V29" s="749"/>
      <c r="W29" s="749"/>
      <c r="X29" s="749"/>
      <c r="Y29" s="748"/>
      <c r="Z29" s="748"/>
      <c r="AA29" s="748"/>
      <c r="AB29" s="748"/>
      <c r="AC29" s="748"/>
      <c r="AD29" s="748"/>
      <c r="AE29" s="748"/>
      <c r="AF29" s="748"/>
      <c r="AG29" s="800"/>
      <c r="AH29" s="800"/>
      <c r="AI29" s="749"/>
      <c r="AJ29" s="749"/>
      <c r="AK29" s="748"/>
      <c r="AL29" s="748"/>
      <c r="AM29" s="748"/>
      <c r="AN29" s="748"/>
      <c r="AO29" s="748"/>
      <c r="AP29" s="748"/>
      <c r="AQ29" s="748"/>
      <c r="AR29" s="748"/>
      <c r="AS29" s="800"/>
      <c r="AT29" s="800"/>
      <c r="AU29" s="749"/>
      <c r="AV29" s="749"/>
    </row>
    <row r="30" ht="15" customHeight="1" spans="2:48">
      <c r="B30" s="767" t="s">
        <v>1474</v>
      </c>
      <c r="C30" s="770"/>
      <c r="D30" s="770"/>
      <c r="E30" s="770"/>
      <c r="F30" s="770"/>
      <c r="G30" s="770"/>
      <c r="H30" s="770"/>
      <c r="I30" s="769" t="s">
        <v>1464</v>
      </c>
      <c r="J30" s="769" t="s">
        <v>199</v>
      </c>
      <c r="K30" s="769" t="s">
        <v>199</v>
      </c>
      <c r="L30" s="800"/>
      <c r="M30" s="800"/>
      <c r="N30" s="800"/>
      <c r="O30" s="800"/>
      <c r="P30" s="800"/>
      <c r="Q30" s="800"/>
      <c r="R30" s="800"/>
      <c r="S30" s="800"/>
      <c r="T30" s="800"/>
      <c r="U30" s="800"/>
      <c r="V30" s="749"/>
      <c r="W30" s="749"/>
      <c r="X30" s="749"/>
      <c r="Y30" s="800"/>
      <c r="Z30" s="800"/>
      <c r="AA30" s="800"/>
      <c r="AB30" s="800"/>
      <c r="AC30" s="800"/>
      <c r="AD30" s="800"/>
      <c r="AE30" s="800"/>
      <c r="AF30" s="800"/>
      <c r="AG30" s="800"/>
      <c r="AH30" s="800"/>
      <c r="AI30" s="749"/>
      <c r="AJ30" s="749"/>
      <c r="AK30" s="800"/>
      <c r="AL30" s="800"/>
      <c r="AM30" s="800"/>
      <c r="AN30" s="800"/>
      <c r="AO30" s="800"/>
      <c r="AP30" s="800"/>
      <c r="AQ30" s="800"/>
      <c r="AR30" s="800"/>
      <c r="AS30" s="800"/>
      <c r="AT30" s="800"/>
      <c r="AU30" s="749"/>
      <c r="AV30" s="749"/>
    </row>
    <row r="31" ht="15" customHeight="1" spans="2:48">
      <c r="B31" s="767" t="s">
        <v>1475</v>
      </c>
      <c r="C31" s="770"/>
      <c r="D31" s="770"/>
      <c r="E31" s="770"/>
      <c r="F31" s="770"/>
      <c r="G31" s="770"/>
      <c r="H31" s="770"/>
      <c r="I31" s="769" t="s">
        <v>1464</v>
      </c>
      <c r="J31" s="769" t="s">
        <v>199</v>
      </c>
      <c r="K31" s="769" t="s">
        <v>199</v>
      </c>
      <c r="L31" s="750"/>
      <c r="M31" s="750"/>
      <c r="N31" s="750"/>
      <c r="O31" s="750"/>
      <c r="P31" s="750"/>
      <c r="Q31" s="750"/>
      <c r="R31" s="750"/>
      <c r="S31" s="750"/>
      <c r="T31" s="750"/>
      <c r="U31" s="750"/>
      <c r="V31" s="750"/>
      <c r="W31" s="750"/>
      <c r="X31" s="750"/>
      <c r="Y31" s="750"/>
      <c r="Z31" s="750"/>
      <c r="AA31" s="750"/>
      <c r="AB31" s="750"/>
      <c r="AC31" s="750"/>
      <c r="AD31" s="750"/>
      <c r="AE31" s="750"/>
      <c r="AF31" s="750"/>
      <c r="AG31" s="750"/>
      <c r="AH31" s="750"/>
      <c r="AI31" s="750"/>
      <c r="AJ31" s="750"/>
      <c r="AK31" s="750"/>
      <c r="AL31" s="750"/>
      <c r="AM31" s="750"/>
      <c r="AN31" s="750"/>
      <c r="AO31" s="750"/>
      <c r="AP31" s="750"/>
      <c r="AQ31" s="750"/>
      <c r="AR31" s="750"/>
      <c r="AS31" s="750"/>
      <c r="AT31" s="750"/>
      <c r="AU31" s="750"/>
      <c r="AV31" s="750"/>
    </row>
    <row r="32" ht="15" customHeight="1" spans="2:48">
      <c r="B32" s="767" t="s">
        <v>1476</v>
      </c>
      <c r="C32" s="770"/>
      <c r="D32" s="770"/>
      <c r="E32" s="770"/>
      <c r="F32" s="770"/>
      <c r="G32" s="770"/>
      <c r="H32" s="770"/>
      <c r="I32" s="769" t="s">
        <v>1464</v>
      </c>
      <c r="J32" s="769" t="s">
        <v>199</v>
      </c>
      <c r="K32" s="769" t="s">
        <v>199</v>
      </c>
      <c r="L32" s="750"/>
      <c r="M32" s="750"/>
      <c r="N32" s="750"/>
      <c r="O32" s="750"/>
      <c r="P32" s="750"/>
      <c r="Q32" s="750"/>
      <c r="R32" s="750"/>
      <c r="S32" s="750"/>
      <c r="T32" s="750"/>
      <c r="U32" s="750"/>
      <c r="V32" s="750"/>
      <c r="W32" s="750"/>
      <c r="X32" s="750"/>
      <c r="Y32" s="750"/>
      <c r="Z32" s="750"/>
      <c r="AA32" s="750"/>
      <c r="AB32" s="750"/>
      <c r="AC32" s="750"/>
      <c r="AD32" s="750"/>
      <c r="AE32" s="750"/>
      <c r="AF32" s="750"/>
      <c r="AG32" s="750"/>
      <c r="AH32" s="750"/>
      <c r="AI32" s="750"/>
      <c r="AJ32" s="750"/>
      <c r="AK32" s="750"/>
      <c r="AL32" s="750"/>
      <c r="AM32" s="750"/>
      <c r="AN32" s="750"/>
      <c r="AO32" s="750"/>
      <c r="AP32" s="750"/>
      <c r="AQ32" s="750"/>
      <c r="AR32" s="750"/>
      <c r="AS32" s="750"/>
      <c r="AT32" s="750"/>
      <c r="AU32" s="750"/>
      <c r="AV32" s="750"/>
    </row>
    <row r="33" ht="15" customHeight="1" spans="2:48">
      <c r="B33" s="767" t="s">
        <v>1477</v>
      </c>
      <c r="C33" s="784"/>
      <c r="D33" s="785"/>
      <c r="E33" s="785"/>
      <c r="F33" s="785"/>
      <c r="G33" s="784"/>
      <c r="H33" s="770"/>
      <c r="I33" s="769" t="s">
        <v>1464</v>
      </c>
      <c r="J33" s="769" t="s">
        <v>199</v>
      </c>
      <c r="K33" s="769" t="s">
        <v>199</v>
      </c>
      <c r="L33" s="750"/>
      <c r="M33" s="750"/>
      <c r="N33" s="750"/>
      <c r="O33" s="750"/>
      <c r="P33" s="750"/>
      <c r="Q33" s="750"/>
      <c r="R33" s="750"/>
      <c r="S33" s="750"/>
      <c r="T33" s="750"/>
      <c r="U33" s="750"/>
      <c r="V33" s="750"/>
      <c r="W33" s="750"/>
      <c r="X33" s="750"/>
      <c r="Y33" s="750"/>
      <c r="Z33" s="750"/>
      <c r="AA33" s="750"/>
      <c r="AB33" s="750"/>
      <c r="AC33" s="750"/>
      <c r="AD33" s="750"/>
      <c r="AE33" s="750"/>
      <c r="AF33" s="750"/>
      <c r="AG33" s="750"/>
      <c r="AH33" s="750"/>
      <c r="AI33" s="750"/>
      <c r="AJ33" s="750"/>
      <c r="AK33" s="750"/>
      <c r="AL33" s="750"/>
      <c r="AM33" s="750"/>
      <c r="AN33" s="750"/>
      <c r="AO33" s="750"/>
      <c r="AP33" s="750"/>
      <c r="AQ33" s="750"/>
      <c r="AR33" s="750"/>
      <c r="AS33" s="750"/>
      <c r="AT33" s="750"/>
      <c r="AU33" s="750"/>
      <c r="AV33" s="750"/>
    </row>
    <row r="34" ht="15" customHeight="1" spans="2:48">
      <c r="B34" s="767" t="s">
        <v>1478</v>
      </c>
      <c r="C34" s="784"/>
      <c r="D34" s="785"/>
      <c r="E34" s="785"/>
      <c r="F34" s="785"/>
      <c r="G34" s="784"/>
      <c r="H34" s="770"/>
      <c r="I34" s="769" t="s">
        <v>1464</v>
      </c>
      <c r="J34" s="769" t="s">
        <v>199</v>
      </c>
      <c r="K34" s="769" t="s">
        <v>199</v>
      </c>
      <c r="L34" s="750"/>
      <c r="M34" s="750"/>
      <c r="N34" s="750"/>
      <c r="O34" s="750"/>
      <c r="P34" s="750"/>
      <c r="Q34" s="750"/>
      <c r="R34" s="750"/>
      <c r="S34" s="750"/>
      <c r="T34" s="750"/>
      <c r="U34" s="750"/>
      <c r="V34" s="750"/>
      <c r="W34" s="750"/>
      <c r="X34" s="750"/>
      <c r="Y34" s="750"/>
      <c r="Z34" s="750"/>
      <c r="AA34" s="750"/>
      <c r="AB34" s="750"/>
      <c r="AC34" s="750"/>
      <c r="AD34" s="750"/>
      <c r="AE34" s="750"/>
      <c r="AF34" s="750"/>
      <c r="AG34" s="750"/>
      <c r="AH34" s="750"/>
      <c r="AI34" s="750"/>
      <c r="AJ34" s="750"/>
      <c r="AK34" s="750"/>
      <c r="AL34" s="750"/>
      <c r="AM34" s="750"/>
      <c r="AN34" s="750"/>
      <c r="AO34" s="750"/>
      <c r="AP34" s="750"/>
      <c r="AQ34" s="750"/>
      <c r="AR34" s="750"/>
      <c r="AS34" s="750"/>
      <c r="AT34" s="750"/>
      <c r="AU34" s="750"/>
      <c r="AV34" s="750"/>
    </row>
    <row r="35" ht="15" customHeight="1" spans="2:48">
      <c r="B35" s="767" t="s">
        <v>1479</v>
      </c>
      <c r="C35" s="784"/>
      <c r="D35" s="785"/>
      <c r="E35" s="785"/>
      <c r="F35" s="785"/>
      <c r="G35" s="784"/>
      <c r="H35" s="770"/>
      <c r="I35" s="769" t="s">
        <v>1464</v>
      </c>
      <c r="J35" s="769" t="s">
        <v>199</v>
      </c>
      <c r="K35" s="769" t="s">
        <v>199</v>
      </c>
      <c r="L35" s="750"/>
      <c r="M35" s="750"/>
      <c r="N35" s="750"/>
      <c r="O35" s="750"/>
      <c r="P35" s="750"/>
      <c r="Q35" s="750"/>
      <c r="R35" s="750"/>
      <c r="S35" s="750"/>
      <c r="T35" s="750"/>
      <c r="U35" s="750"/>
      <c r="V35" s="750"/>
      <c r="W35" s="750"/>
      <c r="X35" s="750"/>
      <c r="Y35" s="750"/>
      <c r="Z35" s="750"/>
      <c r="AA35" s="750"/>
      <c r="AB35" s="750"/>
      <c r="AC35" s="750"/>
      <c r="AD35" s="750"/>
      <c r="AE35" s="750"/>
      <c r="AF35" s="750"/>
      <c r="AG35" s="750"/>
      <c r="AH35" s="750"/>
      <c r="AI35" s="750"/>
      <c r="AJ35" s="750"/>
      <c r="AK35" s="750"/>
      <c r="AL35" s="750"/>
      <c r="AM35" s="750"/>
      <c r="AN35" s="750"/>
      <c r="AO35" s="750"/>
      <c r="AP35" s="750"/>
      <c r="AQ35" s="750"/>
      <c r="AR35" s="750"/>
      <c r="AS35" s="750"/>
      <c r="AT35" s="750"/>
      <c r="AU35" s="750"/>
      <c r="AV35" s="750"/>
    </row>
    <row r="36" ht="15" customHeight="1" spans="2:48">
      <c r="B36" s="767" t="s">
        <v>1480</v>
      </c>
      <c r="C36" s="784"/>
      <c r="D36" s="785"/>
      <c r="E36" s="785"/>
      <c r="F36" s="785"/>
      <c r="G36" s="784"/>
      <c r="H36" s="770"/>
      <c r="I36" s="769" t="s">
        <v>1464</v>
      </c>
      <c r="J36" s="769" t="s">
        <v>199</v>
      </c>
      <c r="K36" s="769" t="s">
        <v>199</v>
      </c>
      <c r="L36" s="750"/>
      <c r="M36" s="750"/>
      <c r="N36" s="750"/>
      <c r="O36" s="750"/>
      <c r="P36" s="750"/>
      <c r="Q36" s="750"/>
      <c r="R36" s="750"/>
      <c r="S36" s="750"/>
      <c r="T36" s="750"/>
      <c r="U36" s="750"/>
      <c r="V36" s="750"/>
      <c r="W36" s="750"/>
      <c r="X36" s="750"/>
      <c r="Y36" s="750"/>
      <c r="Z36" s="750"/>
      <c r="AA36" s="750"/>
      <c r="AB36" s="750"/>
      <c r="AC36" s="750"/>
      <c r="AD36" s="750"/>
      <c r="AE36" s="750"/>
      <c r="AF36" s="750"/>
      <c r="AG36" s="750"/>
      <c r="AH36" s="750"/>
      <c r="AI36" s="750"/>
      <c r="AJ36" s="750"/>
      <c r="AK36" s="750"/>
      <c r="AL36" s="750"/>
      <c r="AM36" s="750"/>
      <c r="AN36" s="750"/>
      <c r="AO36" s="750"/>
      <c r="AP36" s="750"/>
      <c r="AQ36" s="750"/>
      <c r="AR36" s="750"/>
      <c r="AS36" s="750"/>
      <c r="AT36" s="750"/>
      <c r="AU36" s="750"/>
      <c r="AV36" s="750"/>
    </row>
    <row r="37" ht="15" customHeight="1" spans="2:48">
      <c r="B37" s="767" t="s">
        <v>1481</v>
      </c>
      <c r="C37" s="784"/>
      <c r="D37" s="784"/>
      <c r="E37" s="784"/>
      <c r="F37" s="784"/>
      <c r="G37" s="784"/>
      <c r="H37" s="770"/>
      <c r="I37" s="769" t="s">
        <v>1464</v>
      </c>
      <c r="J37" s="769" t="s">
        <v>199</v>
      </c>
      <c r="K37" s="769" t="s">
        <v>199</v>
      </c>
      <c r="L37" s="750"/>
      <c r="M37" s="750"/>
      <c r="N37" s="750"/>
      <c r="O37" s="750"/>
      <c r="P37" s="750"/>
      <c r="Q37" s="750"/>
      <c r="R37" s="750"/>
      <c r="S37" s="750"/>
      <c r="T37" s="750"/>
      <c r="U37" s="750"/>
      <c r="V37" s="750"/>
      <c r="W37" s="750"/>
      <c r="X37" s="750"/>
      <c r="Y37" s="750"/>
      <c r="Z37" s="750"/>
      <c r="AA37" s="750"/>
      <c r="AB37" s="750"/>
      <c r="AC37" s="750"/>
      <c r="AD37" s="750"/>
      <c r="AE37" s="750"/>
      <c r="AF37" s="750"/>
      <c r="AG37" s="750"/>
      <c r="AH37" s="750"/>
      <c r="AI37" s="750"/>
      <c r="AJ37" s="750"/>
      <c r="AK37" s="750"/>
      <c r="AL37" s="750"/>
      <c r="AM37" s="750"/>
      <c r="AN37" s="750"/>
      <c r="AO37" s="750"/>
      <c r="AP37" s="750"/>
      <c r="AQ37" s="750"/>
      <c r="AR37" s="750"/>
      <c r="AS37" s="750"/>
      <c r="AT37" s="750"/>
      <c r="AU37" s="750"/>
      <c r="AV37" s="750"/>
    </row>
    <row r="38" ht="15" customHeight="1" spans="2:48">
      <c r="B38" s="767" t="s">
        <v>1482</v>
      </c>
      <c r="C38" s="784"/>
      <c r="D38" s="784"/>
      <c r="E38" s="784"/>
      <c r="F38" s="784"/>
      <c r="G38" s="784"/>
      <c r="H38" s="770"/>
      <c r="I38" s="769" t="s">
        <v>1464</v>
      </c>
      <c r="J38" s="769" t="s">
        <v>199</v>
      </c>
      <c r="K38" s="769" t="s">
        <v>199</v>
      </c>
      <c r="L38" s="750"/>
      <c r="M38" s="750"/>
      <c r="N38" s="750"/>
      <c r="O38" s="750"/>
      <c r="P38" s="750"/>
      <c r="Q38" s="750"/>
      <c r="R38" s="750"/>
      <c r="S38" s="750"/>
      <c r="T38" s="750"/>
      <c r="U38" s="750"/>
      <c r="V38" s="750"/>
      <c r="W38" s="750"/>
      <c r="X38" s="750"/>
      <c r="Y38" s="750"/>
      <c r="Z38" s="750"/>
      <c r="AA38" s="750"/>
      <c r="AB38" s="750"/>
      <c r="AC38" s="750"/>
      <c r="AD38" s="750"/>
      <c r="AE38" s="750"/>
      <c r="AF38" s="750"/>
      <c r="AG38" s="750"/>
      <c r="AH38" s="750"/>
      <c r="AI38" s="750"/>
      <c r="AJ38" s="750"/>
      <c r="AK38" s="750"/>
      <c r="AL38" s="750"/>
      <c r="AM38" s="750"/>
      <c r="AN38" s="750"/>
      <c r="AO38" s="750"/>
      <c r="AP38" s="750"/>
      <c r="AQ38" s="750"/>
      <c r="AR38" s="750"/>
      <c r="AS38" s="750"/>
      <c r="AT38" s="750"/>
      <c r="AU38" s="750"/>
      <c r="AV38" s="750"/>
    </row>
    <row r="39" ht="15" customHeight="1" spans="2:48">
      <c r="B39" s="767" t="s">
        <v>1483</v>
      </c>
      <c r="C39" s="784"/>
      <c r="D39" s="784"/>
      <c r="E39" s="784"/>
      <c r="F39" s="784"/>
      <c r="G39" s="784"/>
      <c r="H39" s="770"/>
      <c r="I39" s="769" t="s">
        <v>1464</v>
      </c>
      <c r="J39" s="769" t="s">
        <v>199</v>
      </c>
      <c r="K39" s="769" t="s">
        <v>199</v>
      </c>
      <c r="L39" s="750"/>
      <c r="M39" s="750"/>
      <c r="N39" s="750"/>
      <c r="O39" s="750"/>
      <c r="P39" s="750"/>
      <c r="Q39" s="750"/>
      <c r="R39" s="750"/>
      <c r="S39" s="750"/>
      <c r="T39" s="750"/>
      <c r="U39" s="750"/>
      <c r="V39" s="750"/>
      <c r="W39" s="750"/>
      <c r="X39" s="750"/>
      <c r="Y39" s="750"/>
      <c r="Z39" s="750"/>
      <c r="AA39" s="750"/>
      <c r="AB39" s="750"/>
      <c r="AC39" s="750"/>
      <c r="AD39" s="750"/>
      <c r="AE39" s="750"/>
      <c r="AF39" s="750"/>
      <c r="AG39" s="750"/>
      <c r="AH39" s="750"/>
      <c r="AI39" s="750"/>
      <c r="AJ39" s="750"/>
      <c r="AK39" s="750"/>
      <c r="AL39" s="750"/>
      <c r="AM39" s="750"/>
      <c r="AN39" s="750"/>
      <c r="AO39" s="750"/>
      <c r="AP39" s="750"/>
      <c r="AQ39" s="750"/>
      <c r="AR39" s="750"/>
      <c r="AS39" s="750"/>
      <c r="AT39" s="750"/>
      <c r="AU39" s="750"/>
      <c r="AV39" s="750"/>
    </row>
    <row r="40" ht="15" customHeight="1" spans="2:48">
      <c r="B40" s="767" t="s">
        <v>1484</v>
      </c>
      <c r="C40" s="784"/>
      <c r="D40" s="784"/>
      <c r="E40" s="784"/>
      <c r="F40" s="784"/>
      <c r="G40" s="784"/>
      <c r="H40" s="770"/>
      <c r="I40" s="769" t="s">
        <v>1464</v>
      </c>
      <c r="J40" s="769" t="s">
        <v>199</v>
      </c>
      <c r="K40" s="769" t="s">
        <v>199</v>
      </c>
      <c r="L40" s="750"/>
      <c r="M40" s="750"/>
      <c r="N40" s="750"/>
      <c r="O40" s="750"/>
      <c r="P40" s="750"/>
      <c r="Q40" s="750"/>
      <c r="R40" s="750"/>
      <c r="S40" s="750"/>
      <c r="T40" s="750"/>
      <c r="U40" s="750"/>
      <c r="V40" s="750"/>
      <c r="W40" s="750"/>
      <c r="X40" s="750"/>
      <c r="Y40" s="750"/>
      <c r="Z40" s="750"/>
      <c r="AA40" s="750"/>
      <c r="AB40" s="750"/>
      <c r="AC40" s="750"/>
      <c r="AD40" s="750"/>
      <c r="AE40" s="750"/>
      <c r="AF40" s="750"/>
      <c r="AG40" s="750"/>
      <c r="AH40" s="750"/>
      <c r="AI40" s="750"/>
      <c r="AJ40" s="750"/>
      <c r="AK40" s="750"/>
      <c r="AL40" s="750"/>
      <c r="AM40" s="750"/>
      <c r="AN40" s="750"/>
      <c r="AO40" s="750"/>
      <c r="AP40" s="750"/>
      <c r="AQ40" s="750"/>
      <c r="AR40" s="750"/>
      <c r="AS40" s="750"/>
      <c r="AT40" s="750"/>
      <c r="AU40" s="750"/>
      <c r="AV40" s="750"/>
    </row>
    <row r="41" ht="15" customHeight="1" spans="2:48">
      <c r="B41" s="767" t="s">
        <v>1485</v>
      </c>
      <c r="C41" s="784"/>
      <c r="D41" s="784"/>
      <c r="E41" s="784"/>
      <c r="F41" s="784"/>
      <c r="G41" s="784"/>
      <c r="H41" s="770"/>
      <c r="I41" s="769" t="s">
        <v>1464</v>
      </c>
      <c r="J41" s="769" t="s">
        <v>199</v>
      </c>
      <c r="K41" s="769" t="s">
        <v>199</v>
      </c>
      <c r="L41" s="750"/>
      <c r="M41" s="750"/>
      <c r="N41" s="750"/>
      <c r="O41" s="750"/>
      <c r="P41" s="750"/>
      <c r="Q41" s="750"/>
      <c r="R41" s="750"/>
      <c r="S41" s="750"/>
      <c r="T41" s="750"/>
      <c r="U41" s="750"/>
      <c r="V41" s="750"/>
      <c r="W41" s="750"/>
      <c r="X41" s="750"/>
      <c r="Y41" s="750"/>
      <c r="Z41" s="750"/>
      <c r="AA41" s="750"/>
      <c r="AB41" s="750"/>
      <c r="AC41" s="750"/>
      <c r="AD41" s="750"/>
      <c r="AE41" s="750"/>
      <c r="AF41" s="750"/>
      <c r="AG41" s="750"/>
      <c r="AH41" s="750"/>
      <c r="AI41" s="750"/>
      <c r="AJ41" s="750"/>
      <c r="AK41" s="750"/>
      <c r="AL41" s="750"/>
      <c r="AM41" s="750"/>
      <c r="AN41" s="750"/>
      <c r="AO41" s="750"/>
      <c r="AP41" s="750"/>
      <c r="AQ41" s="750"/>
      <c r="AR41" s="750"/>
      <c r="AS41" s="750"/>
      <c r="AT41" s="750"/>
      <c r="AU41" s="750"/>
      <c r="AV41" s="750"/>
    </row>
    <row r="42" ht="15" customHeight="1" spans="2:48">
      <c r="B42" s="767" t="s">
        <v>1486</v>
      </c>
      <c r="C42" s="784"/>
      <c r="D42" s="784"/>
      <c r="E42" s="784"/>
      <c r="F42" s="784"/>
      <c r="G42" s="784"/>
      <c r="H42" s="770"/>
      <c r="I42" s="769" t="s">
        <v>1464</v>
      </c>
      <c r="J42" s="769" t="s">
        <v>199</v>
      </c>
      <c r="K42" s="769" t="s">
        <v>199</v>
      </c>
      <c r="L42" s="750"/>
      <c r="M42" s="750"/>
      <c r="N42" s="750"/>
      <c r="O42" s="750"/>
      <c r="P42" s="750"/>
      <c r="Q42" s="750"/>
      <c r="R42" s="750"/>
      <c r="S42" s="750"/>
      <c r="T42" s="750"/>
      <c r="U42" s="750"/>
      <c r="V42" s="750"/>
      <c r="W42" s="750"/>
      <c r="X42" s="750"/>
      <c r="Y42" s="750"/>
      <c r="Z42" s="750"/>
      <c r="AA42" s="750"/>
      <c r="AB42" s="750"/>
      <c r="AC42" s="750"/>
      <c r="AD42" s="750"/>
      <c r="AE42" s="750"/>
      <c r="AF42" s="750"/>
      <c r="AG42" s="750"/>
      <c r="AH42" s="750"/>
      <c r="AI42" s="750"/>
      <c r="AJ42" s="750"/>
      <c r="AK42" s="750"/>
      <c r="AL42" s="750"/>
      <c r="AM42" s="750"/>
      <c r="AN42" s="750"/>
      <c r="AO42" s="750"/>
      <c r="AP42" s="750"/>
      <c r="AQ42" s="750"/>
      <c r="AR42" s="750"/>
      <c r="AS42" s="750"/>
      <c r="AT42" s="750"/>
      <c r="AU42" s="750"/>
      <c r="AV42" s="750"/>
    </row>
    <row r="43" ht="15" customHeight="1" spans="2:48">
      <c r="B43" s="767" t="s">
        <v>1487</v>
      </c>
      <c r="C43" s="784"/>
      <c r="D43" s="784"/>
      <c r="E43" s="784"/>
      <c r="F43" s="784"/>
      <c r="G43" s="784"/>
      <c r="H43" s="770"/>
      <c r="I43" s="769" t="s">
        <v>1464</v>
      </c>
      <c r="J43" s="769" t="s">
        <v>199</v>
      </c>
      <c r="K43" s="769" t="s">
        <v>199</v>
      </c>
      <c r="L43" s="750"/>
      <c r="M43" s="750"/>
      <c r="N43" s="750"/>
      <c r="O43" s="750"/>
      <c r="P43" s="750"/>
      <c r="Q43" s="750"/>
      <c r="R43" s="750"/>
      <c r="S43" s="750"/>
      <c r="T43" s="750"/>
      <c r="U43" s="750"/>
      <c r="V43" s="750"/>
      <c r="W43" s="750"/>
      <c r="X43" s="750"/>
      <c r="Y43" s="750"/>
      <c r="Z43" s="750"/>
      <c r="AA43" s="750"/>
      <c r="AB43" s="750"/>
      <c r="AC43" s="750"/>
      <c r="AD43" s="750"/>
      <c r="AE43" s="750"/>
      <c r="AF43" s="750"/>
      <c r="AG43" s="750"/>
      <c r="AH43" s="750"/>
      <c r="AI43" s="750"/>
      <c r="AJ43" s="750"/>
      <c r="AK43" s="750"/>
      <c r="AL43" s="750"/>
      <c r="AM43" s="750"/>
      <c r="AN43" s="750"/>
      <c r="AO43" s="750"/>
      <c r="AP43" s="750"/>
      <c r="AQ43" s="750"/>
      <c r="AR43" s="750"/>
      <c r="AS43" s="750"/>
      <c r="AT43" s="750"/>
      <c r="AU43" s="750"/>
      <c r="AV43" s="750"/>
    </row>
    <row r="44" ht="15" customHeight="1" spans="2:48">
      <c r="B44" s="767" t="s">
        <v>1488</v>
      </c>
      <c r="C44" s="784"/>
      <c r="D44" s="784"/>
      <c r="E44" s="784"/>
      <c r="F44" s="784"/>
      <c r="G44" s="784"/>
      <c r="H44" s="770"/>
      <c r="I44" s="769" t="s">
        <v>1464</v>
      </c>
      <c r="J44" s="769" t="s">
        <v>199</v>
      </c>
      <c r="K44" s="769" t="s">
        <v>199</v>
      </c>
      <c r="L44" s="750"/>
      <c r="M44" s="750"/>
      <c r="N44" s="750"/>
      <c r="O44" s="750"/>
      <c r="P44" s="750"/>
      <c r="Q44" s="750"/>
      <c r="R44" s="750"/>
      <c r="S44" s="750"/>
      <c r="T44" s="750"/>
      <c r="U44" s="750"/>
      <c r="V44" s="750"/>
      <c r="W44" s="750"/>
      <c r="X44" s="750"/>
      <c r="Y44" s="750"/>
      <c r="Z44" s="750"/>
      <c r="AA44" s="750"/>
      <c r="AB44" s="750"/>
      <c r="AC44" s="750"/>
      <c r="AD44" s="750"/>
      <c r="AE44" s="750"/>
      <c r="AF44" s="750"/>
      <c r="AG44" s="750"/>
      <c r="AH44" s="750"/>
      <c r="AI44" s="750"/>
      <c r="AJ44" s="750"/>
      <c r="AK44" s="750"/>
      <c r="AL44" s="750"/>
      <c r="AM44" s="750"/>
      <c r="AN44" s="750"/>
      <c r="AO44" s="750"/>
      <c r="AP44" s="750"/>
      <c r="AQ44" s="750"/>
      <c r="AR44" s="750"/>
      <c r="AS44" s="750"/>
      <c r="AT44" s="750"/>
      <c r="AU44" s="750"/>
      <c r="AV44" s="750"/>
    </row>
    <row r="45" ht="15" customHeight="1" spans="2:48">
      <c r="B45" s="767" t="s">
        <v>1489</v>
      </c>
      <c r="C45" s="784"/>
      <c r="D45" s="784"/>
      <c r="E45" s="784"/>
      <c r="F45" s="784"/>
      <c r="G45" s="784"/>
      <c r="H45" s="770"/>
      <c r="I45" s="769" t="s">
        <v>1464</v>
      </c>
      <c r="J45" s="769" t="s">
        <v>199</v>
      </c>
      <c r="K45" s="769" t="s">
        <v>199</v>
      </c>
      <c r="L45" s="750"/>
      <c r="M45" s="750"/>
      <c r="N45" s="750"/>
      <c r="O45" s="750"/>
      <c r="P45" s="750"/>
      <c r="Q45" s="750"/>
      <c r="R45" s="750"/>
      <c r="S45" s="750"/>
      <c r="T45" s="750"/>
      <c r="U45" s="750"/>
      <c r="V45" s="750"/>
      <c r="W45" s="750"/>
      <c r="X45" s="750"/>
      <c r="Y45" s="750"/>
      <c r="Z45" s="750"/>
      <c r="AA45" s="750"/>
      <c r="AB45" s="750"/>
      <c r="AC45" s="750"/>
      <c r="AD45" s="750"/>
      <c r="AE45" s="750"/>
      <c r="AF45" s="750"/>
      <c r="AG45" s="750"/>
      <c r="AH45" s="750"/>
      <c r="AI45" s="750"/>
      <c r="AJ45" s="750"/>
      <c r="AK45" s="750"/>
      <c r="AL45" s="750"/>
      <c r="AM45" s="750"/>
      <c r="AN45" s="750"/>
      <c r="AO45" s="750"/>
      <c r="AP45" s="750"/>
      <c r="AQ45" s="750"/>
      <c r="AR45" s="750"/>
      <c r="AS45" s="750"/>
      <c r="AT45" s="750"/>
      <c r="AU45" s="750"/>
      <c r="AV45" s="750"/>
    </row>
    <row r="46" ht="15" customHeight="1" spans="2:48">
      <c r="B46" s="767" t="s">
        <v>1490</v>
      </c>
      <c r="C46" s="786"/>
      <c r="D46" s="786"/>
      <c r="E46" s="786"/>
      <c r="F46" s="786"/>
      <c r="G46" s="784"/>
      <c r="H46" s="770"/>
      <c r="I46" s="769" t="s">
        <v>1464</v>
      </c>
      <c r="J46" s="769" t="s">
        <v>199</v>
      </c>
      <c r="K46" s="769" t="s">
        <v>199</v>
      </c>
      <c r="L46" s="750"/>
      <c r="M46" s="750"/>
      <c r="N46" s="750"/>
      <c r="O46" s="750"/>
      <c r="P46" s="750"/>
      <c r="Q46" s="750"/>
      <c r="R46" s="750"/>
      <c r="S46" s="750"/>
      <c r="T46" s="750"/>
      <c r="U46" s="750"/>
      <c r="V46" s="750"/>
      <c r="W46" s="750"/>
      <c r="X46" s="750"/>
      <c r="Y46" s="750"/>
      <c r="Z46" s="750"/>
      <c r="AA46" s="750"/>
      <c r="AB46" s="750"/>
      <c r="AC46" s="750"/>
      <c r="AD46" s="750"/>
      <c r="AE46" s="750"/>
      <c r="AF46" s="750"/>
      <c r="AG46" s="750"/>
      <c r="AH46" s="750"/>
      <c r="AI46" s="750"/>
      <c r="AJ46" s="750"/>
      <c r="AK46" s="750"/>
      <c r="AL46" s="750"/>
      <c r="AM46" s="750"/>
      <c r="AN46" s="750"/>
      <c r="AO46" s="750"/>
      <c r="AP46" s="750"/>
      <c r="AQ46" s="750"/>
      <c r="AR46" s="750"/>
      <c r="AS46" s="750"/>
      <c r="AT46" s="750"/>
      <c r="AU46" s="750"/>
      <c r="AV46" s="750"/>
    </row>
    <row r="47" ht="15" customHeight="1" spans="2:48">
      <c r="B47" s="767" t="s">
        <v>1491</v>
      </c>
      <c r="C47" s="786"/>
      <c r="D47" s="786"/>
      <c r="E47" s="786"/>
      <c r="F47" s="786"/>
      <c r="G47" s="784"/>
      <c r="H47" s="770"/>
      <c r="I47" s="769" t="s">
        <v>1464</v>
      </c>
      <c r="J47" s="769" t="s">
        <v>199</v>
      </c>
      <c r="K47" s="769" t="s">
        <v>199</v>
      </c>
      <c r="L47" s="750"/>
      <c r="M47" s="750"/>
      <c r="N47" s="750"/>
      <c r="O47" s="750"/>
      <c r="P47" s="750"/>
      <c r="Q47" s="750"/>
      <c r="R47" s="750"/>
      <c r="S47" s="750"/>
      <c r="T47" s="750"/>
      <c r="U47" s="750"/>
      <c r="V47" s="750"/>
      <c r="W47" s="750"/>
      <c r="X47" s="750"/>
      <c r="Y47" s="750"/>
      <c r="Z47" s="750"/>
      <c r="AA47" s="750"/>
      <c r="AB47" s="750"/>
      <c r="AC47" s="750"/>
      <c r="AD47" s="750"/>
      <c r="AE47" s="750"/>
      <c r="AF47" s="750"/>
      <c r="AG47" s="750"/>
      <c r="AH47" s="750"/>
      <c r="AI47" s="750"/>
      <c r="AJ47" s="750"/>
      <c r="AK47" s="750"/>
      <c r="AL47" s="750"/>
      <c r="AM47" s="750"/>
      <c r="AN47" s="750"/>
      <c r="AO47" s="750"/>
      <c r="AP47" s="750"/>
      <c r="AQ47" s="750"/>
      <c r="AR47" s="750"/>
      <c r="AS47" s="750"/>
      <c r="AT47" s="750"/>
      <c r="AU47" s="750"/>
      <c r="AV47" s="750"/>
    </row>
    <row r="48" ht="15" customHeight="1" spans="2:48">
      <c r="B48" s="767" t="s">
        <v>1492</v>
      </c>
      <c r="C48" s="786"/>
      <c r="D48" s="786"/>
      <c r="E48" s="786"/>
      <c r="F48" s="786"/>
      <c r="G48" s="784"/>
      <c r="H48" s="770"/>
      <c r="I48" s="769" t="s">
        <v>1464</v>
      </c>
      <c r="J48" s="769" t="s">
        <v>199</v>
      </c>
      <c r="K48" s="769" t="s">
        <v>199</v>
      </c>
      <c r="L48" s="750"/>
      <c r="M48" s="750"/>
      <c r="N48" s="750"/>
      <c r="O48" s="750"/>
      <c r="P48" s="750"/>
      <c r="Q48" s="750"/>
      <c r="R48" s="750"/>
      <c r="S48" s="750"/>
      <c r="T48" s="750"/>
      <c r="U48" s="750"/>
      <c r="V48" s="750"/>
      <c r="W48" s="750"/>
      <c r="X48" s="750"/>
      <c r="Y48" s="750"/>
      <c r="Z48" s="750"/>
      <c r="AA48" s="750"/>
      <c r="AB48" s="750"/>
      <c r="AC48" s="750"/>
      <c r="AD48" s="750"/>
      <c r="AE48" s="750"/>
      <c r="AF48" s="750"/>
      <c r="AG48" s="750"/>
      <c r="AH48" s="750"/>
      <c r="AI48" s="750"/>
      <c r="AJ48" s="750"/>
      <c r="AK48" s="750"/>
      <c r="AL48" s="750"/>
      <c r="AM48" s="750"/>
      <c r="AN48" s="750"/>
      <c r="AO48" s="750"/>
      <c r="AP48" s="750"/>
      <c r="AQ48" s="750"/>
      <c r="AR48" s="750"/>
      <c r="AS48" s="750"/>
      <c r="AT48" s="750"/>
      <c r="AU48" s="750"/>
      <c r="AV48" s="750"/>
    </row>
    <row r="49" ht="15" customHeight="1" spans="2:48">
      <c r="B49" s="767" t="s">
        <v>1493</v>
      </c>
      <c r="C49" s="786"/>
      <c r="D49" s="786"/>
      <c r="E49" s="786"/>
      <c r="F49" s="786"/>
      <c r="G49" s="784"/>
      <c r="H49" s="770"/>
      <c r="I49" s="769" t="s">
        <v>1464</v>
      </c>
      <c r="J49" s="769" t="s">
        <v>199</v>
      </c>
      <c r="K49" s="769" t="s">
        <v>199</v>
      </c>
      <c r="L49" s="750"/>
      <c r="M49" s="750"/>
      <c r="N49" s="750"/>
      <c r="O49" s="750"/>
      <c r="P49" s="750"/>
      <c r="Q49" s="750"/>
      <c r="R49" s="750"/>
      <c r="S49" s="750"/>
      <c r="T49" s="750"/>
      <c r="U49" s="750"/>
      <c r="V49" s="750"/>
      <c r="W49" s="750"/>
      <c r="X49" s="750"/>
      <c r="Y49" s="750"/>
      <c r="Z49" s="750"/>
      <c r="AA49" s="750"/>
      <c r="AB49" s="750"/>
      <c r="AC49" s="750"/>
      <c r="AD49" s="750"/>
      <c r="AE49" s="750"/>
      <c r="AF49" s="750"/>
      <c r="AG49" s="750"/>
      <c r="AH49" s="750"/>
      <c r="AI49" s="750"/>
      <c r="AJ49" s="750"/>
      <c r="AK49" s="750"/>
      <c r="AL49" s="750"/>
      <c r="AM49" s="750"/>
      <c r="AN49" s="750"/>
      <c r="AO49" s="750"/>
      <c r="AP49" s="750"/>
      <c r="AQ49" s="750"/>
      <c r="AR49" s="750"/>
      <c r="AS49" s="750"/>
      <c r="AT49" s="750"/>
      <c r="AU49" s="750"/>
      <c r="AV49" s="750"/>
    </row>
    <row r="50" ht="15" customHeight="1" spans="2:48">
      <c r="B50" s="767" t="s">
        <v>1494</v>
      </c>
      <c r="C50" s="784"/>
      <c r="D50" s="784"/>
      <c r="E50" s="784"/>
      <c r="F50" s="784"/>
      <c r="G50" s="784"/>
      <c r="H50" s="770"/>
      <c r="I50" s="769" t="s">
        <v>1464</v>
      </c>
      <c r="J50" s="769" t="s">
        <v>199</v>
      </c>
      <c r="K50" s="769" t="s">
        <v>199</v>
      </c>
      <c r="L50" s="750"/>
      <c r="M50" s="750"/>
      <c r="N50" s="750"/>
      <c r="O50" s="750"/>
      <c r="P50" s="750"/>
      <c r="Q50" s="750"/>
      <c r="R50" s="750"/>
      <c r="S50" s="750"/>
      <c r="T50" s="750"/>
      <c r="U50" s="750"/>
      <c r="V50" s="750"/>
      <c r="W50" s="750"/>
      <c r="X50" s="750"/>
      <c r="Y50" s="750"/>
      <c r="Z50" s="750"/>
      <c r="AA50" s="750"/>
      <c r="AB50" s="750"/>
      <c r="AC50" s="750"/>
      <c r="AD50" s="750"/>
      <c r="AE50" s="750"/>
      <c r="AF50" s="750"/>
      <c r="AG50" s="750"/>
      <c r="AH50" s="750"/>
      <c r="AI50" s="750"/>
      <c r="AJ50" s="750"/>
      <c r="AK50" s="750"/>
      <c r="AL50" s="750"/>
      <c r="AM50" s="750"/>
      <c r="AN50" s="750"/>
      <c r="AO50" s="750"/>
      <c r="AP50" s="750"/>
      <c r="AQ50" s="750"/>
      <c r="AR50" s="750"/>
      <c r="AS50" s="750"/>
      <c r="AT50" s="750"/>
      <c r="AU50" s="750"/>
      <c r="AV50" s="750"/>
    </row>
    <row r="51" ht="15" customHeight="1" spans="2:48">
      <c r="B51" s="767" t="s">
        <v>1495</v>
      </c>
      <c r="C51" s="784"/>
      <c r="D51" s="784"/>
      <c r="E51" s="784"/>
      <c r="F51" s="784"/>
      <c r="G51" s="784"/>
      <c r="H51" s="770"/>
      <c r="I51" s="769" t="s">
        <v>1464</v>
      </c>
      <c r="J51" s="769" t="s">
        <v>199</v>
      </c>
      <c r="K51" s="769" t="s">
        <v>199</v>
      </c>
      <c r="L51" s="750"/>
      <c r="M51" s="750"/>
      <c r="N51" s="750"/>
      <c r="O51" s="750"/>
      <c r="P51" s="750"/>
      <c r="Q51" s="750"/>
      <c r="R51" s="750"/>
      <c r="S51" s="750"/>
      <c r="T51" s="750"/>
      <c r="U51" s="750"/>
      <c r="V51" s="750"/>
      <c r="W51" s="750"/>
      <c r="X51" s="750"/>
      <c r="Y51" s="750"/>
      <c r="Z51" s="750"/>
      <c r="AA51" s="750"/>
      <c r="AB51" s="750"/>
      <c r="AC51" s="750"/>
      <c r="AD51" s="750"/>
      <c r="AE51" s="750"/>
      <c r="AF51" s="750"/>
      <c r="AG51" s="750"/>
      <c r="AH51" s="750"/>
      <c r="AI51" s="750"/>
      <c r="AJ51" s="750"/>
      <c r="AK51" s="750"/>
      <c r="AL51" s="750"/>
      <c r="AM51" s="750"/>
      <c r="AN51" s="750"/>
      <c r="AO51" s="750"/>
      <c r="AP51" s="750"/>
      <c r="AQ51" s="750"/>
      <c r="AR51" s="750"/>
      <c r="AS51" s="750"/>
      <c r="AT51" s="750"/>
      <c r="AU51" s="750"/>
      <c r="AV51" s="750"/>
    </row>
    <row r="52" ht="15" customHeight="1" spans="2:48">
      <c r="B52" s="767" t="s">
        <v>1496</v>
      </c>
      <c r="C52" s="784"/>
      <c r="D52" s="784"/>
      <c r="E52" s="784"/>
      <c r="F52" s="784"/>
      <c r="G52" s="784"/>
      <c r="H52" s="770"/>
      <c r="I52" s="769" t="s">
        <v>1464</v>
      </c>
      <c r="J52" s="769" t="s">
        <v>199</v>
      </c>
      <c r="K52" s="769" t="s">
        <v>199</v>
      </c>
      <c r="L52" s="750"/>
      <c r="M52" s="750"/>
      <c r="N52" s="750"/>
      <c r="O52" s="750"/>
      <c r="P52" s="750"/>
      <c r="Q52" s="750"/>
      <c r="R52" s="750"/>
      <c r="S52" s="750"/>
      <c r="T52" s="750"/>
      <c r="U52" s="750"/>
      <c r="V52" s="750"/>
      <c r="W52" s="750"/>
      <c r="X52" s="750"/>
      <c r="Y52" s="750"/>
      <c r="Z52" s="750"/>
      <c r="AA52" s="750"/>
      <c r="AB52" s="750"/>
      <c r="AC52" s="750"/>
      <c r="AD52" s="750"/>
      <c r="AE52" s="750"/>
      <c r="AF52" s="750"/>
      <c r="AG52" s="750"/>
      <c r="AH52" s="750"/>
      <c r="AI52" s="750"/>
      <c r="AJ52" s="750"/>
      <c r="AK52" s="750"/>
      <c r="AL52" s="750"/>
      <c r="AM52" s="750"/>
      <c r="AN52" s="750"/>
      <c r="AO52" s="750"/>
      <c r="AP52" s="750"/>
      <c r="AQ52" s="750"/>
      <c r="AR52" s="750"/>
      <c r="AS52" s="750"/>
      <c r="AT52" s="750"/>
      <c r="AU52" s="750"/>
      <c r="AV52" s="750"/>
    </row>
    <row r="53" ht="15" customHeight="1" spans="2:48">
      <c r="B53" s="767" t="s">
        <v>1497</v>
      </c>
      <c r="C53" s="784"/>
      <c r="D53" s="784"/>
      <c r="E53" s="784"/>
      <c r="F53" s="784"/>
      <c r="G53" s="784"/>
      <c r="H53" s="770"/>
      <c r="I53" s="769" t="s">
        <v>1464</v>
      </c>
      <c r="J53" s="769" t="s">
        <v>199</v>
      </c>
      <c r="K53" s="769" t="s">
        <v>199</v>
      </c>
      <c r="L53" s="750"/>
      <c r="M53" s="750"/>
      <c r="N53" s="750"/>
      <c r="O53" s="750"/>
      <c r="P53" s="750"/>
      <c r="Q53" s="750"/>
      <c r="R53" s="750"/>
      <c r="S53" s="750"/>
      <c r="T53" s="750"/>
      <c r="U53" s="750"/>
      <c r="V53" s="750"/>
      <c r="W53" s="750"/>
      <c r="X53" s="750"/>
      <c r="Y53" s="750"/>
      <c r="Z53" s="750"/>
      <c r="AA53" s="750"/>
      <c r="AB53" s="750"/>
      <c r="AC53" s="750"/>
      <c r="AD53" s="750"/>
      <c r="AE53" s="750"/>
      <c r="AF53" s="750"/>
      <c r="AG53" s="750"/>
      <c r="AH53" s="750"/>
      <c r="AI53" s="750"/>
      <c r="AJ53" s="750"/>
      <c r="AK53" s="750"/>
      <c r="AL53" s="750"/>
      <c r="AM53" s="750"/>
      <c r="AN53" s="750"/>
      <c r="AO53" s="750"/>
      <c r="AP53" s="750"/>
      <c r="AQ53" s="750"/>
      <c r="AR53" s="750"/>
      <c r="AS53" s="750"/>
      <c r="AT53" s="750"/>
      <c r="AU53" s="750"/>
      <c r="AV53" s="750"/>
    </row>
    <row r="54" ht="15" customHeight="1" spans="2:48">
      <c r="B54" s="767" t="s">
        <v>1498</v>
      </c>
      <c r="C54" s="784"/>
      <c r="D54" s="784"/>
      <c r="E54" s="784"/>
      <c r="F54" s="784"/>
      <c r="G54" s="784"/>
      <c r="H54" s="770"/>
      <c r="I54" s="769" t="s">
        <v>1464</v>
      </c>
      <c r="J54" s="769" t="s">
        <v>199</v>
      </c>
      <c r="K54" s="769" t="s">
        <v>199</v>
      </c>
      <c r="L54" s="750"/>
      <c r="M54" s="750"/>
      <c r="N54" s="750"/>
      <c r="O54" s="750"/>
      <c r="P54" s="750"/>
      <c r="Q54" s="750"/>
      <c r="R54" s="750"/>
      <c r="S54" s="750"/>
      <c r="T54" s="788"/>
      <c r="U54" s="750"/>
      <c r="V54" s="750"/>
      <c r="W54" s="750"/>
      <c r="X54" s="750"/>
      <c r="Y54" s="750"/>
      <c r="Z54" s="750"/>
      <c r="AA54" s="750"/>
      <c r="AB54" s="750"/>
      <c r="AC54" s="750"/>
      <c r="AD54" s="750"/>
      <c r="AE54" s="750"/>
      <c r="AF54" s="750"/>
      <c r="AG54" s="788"/>
      <c r="AH54" s="750"/>
      <c r="AI54" s="750"/>
      <c r="AJ54" s="750"/>
      <c r="AK54" s="750"/>
      <c r="AL54" s="750"/>
      <c r="AM54" s="750"/>
      <c r="AN54" s="750"/>
      <c r="AO54" s="750"/>
      <c r="AP54" s="750"/>
      <c r="AQ54" s="750"/>
      <c r="AR54" s="750"/>
      <c r="AS54" s="788"/>
      <c r="AT54" s="750"/>
      <c r="AU54" s="750"/>
      <c r="AV54" s="750"/>
    </row>
    <row r="55" ht="15" customHeight="1" spans="2:48">
      <c r="B55" s="767" t="s">
        <v>1499</v>
      </c>
      <c r="C55" s="784"/>
      <c r="D55" s="784"/>
      <c r="E55" s="784"/>
      <c r="F55" s="784"/>
      <c r="G55" s="784"/>
      <c r="H55" s="770"/>
      <c r="I55" s="769" t="s">
        <v>1464</v>
      </c>
      <c r="J55" s="769" t="s">
        <v>199</v>
      </c>
      <c r="K55" s="769" t="s">
        <v>199</v>
      </c>
      <c r="L55" s="750"/>
      <c r="M55" s="750"/>
      <c r="N55" s="750"/>
      <c r="O55" s="750"/>
      <c r="P55" s="750"/>
      <c r="Q55" s="750"/>
      <c r="R55" s="750"/>
      <c r="S55" s="750"/>
      <c r="T55" s="750"/>
      <c r="U55" s="750"/>
      <c r="V55" s="750"/>
      <c r="W55" s="750"/>
      <c r="X55" s="750"/>
      <c r="Y55" s="750"/>
      <c r="Z55" s="750"/>
      <c r="AA55" s="750"/>
      <c r="AB55" s="750"/>
      <c r="AC55" s="750"/>
      <c r="AD55" s="750"/>
      <c r="AE55" s="750"/>
      <c r="AF55" s="750"/>
      <c r="AG55" s="750"/>
      <c r="AH55" s="750"/>
      <c r="AI55" s="750"/>
      <c r="AJ55" s="750"/>
      <c r="AK55" s="750"/>
      <c r="AL55" s="750"/>
      <c r="AM55" s="750"/>
      <c r="AN55" s="750"/>
      <c r="AO55" s="750"/>
      <c r="AP55" s="750"/>
      <c r="AQ55" s="750"/>
      <c r="AR55" s="750"/>
      <c r="AS55" s="750"/>
      <c r="AT55" s="750"/>
      <c r="AU55" s="750"/>
      <c r="AV55" s="750"/>
    </row>
    <row r="56" ht="15" customHeight="1" spans="2:48">
      <c r="B56" s="767" t="s">
        <v>1500</v>
      </c>
      <c r="C56" s="784"/>
      <c r="D56" s="784"/>
      <c r="E56" s="784"/>
      <c r="F56" s="784"/>
      <c r="G56" s="784"/>
      <c r="H56" s="770"/>
      <c r="I56" s="769" t="s">
        <v>1464</v>
      </c>
      <c r="J56" s="769" t="s">
        <v>199</v>
      </c>
      <c r="K56" s="769" t="s">
        <v>199</v>
      </c>
      <c r="L56" s="750"/>
      <c r="M56" s="750"/>
      <c r="N56" s="750"/>
      <c r="O56" s="750"/>
      <c r="P56" s="750"/>
      <c r="Q56" s="750"/>
      <c r="R56" s="750"/>
      <c r="S56" s="750"/>
      <c r="T56" s="750"/>
      <c r="U56" s="750"/>
      <c r="V56" s="750"/>
      <c r="W56" s="750"/>
      <c r="X56" s="750"/>
      <c r="Y56" s="750"/>
      <c r="Z56" s="750"/>
      <c r="AA56" s="750"/>
      <c r="AB56" s="750"/>
      <c r="AC56" s="750"/>
      <c r="AD56" s="750"/>
      <c r="AE56" s="750"/>
      <c r="AF56" s="750"/>
      <c r="AG56" s="750"/>
      <c r="AH56" s="750"/>
      <c r="AI56" s="750"/>
      <c r="AJ56" s="750"/>
      <c r="AK56" s="750"/>
      <c r="AL56" s="750"/>
      <c r="AM56" s="750"/>
      <c r="AN56" s="750"/>
      <c r="AO56" s="750"/>
      <c r="AP56" s="750"/>
      <c r="AQ56" s="750"/>
      <c r="AR56" s="750"/>
      <c r="AS56" s="750"/>
      <c r="AT56" s="750"/>
      <c r="AU56" s="750"/>
      <c r="AV56" s="750"/>
    </row>
    <row r="57" ht="15" customHeight="1" spans="2:48">
      <c r="B57" s="767" t="s">
        <v>1501</v>
      </c>
      <c r="C57" s="784"/>
      <c r="D57" s="784"/>
      <c r="E57" s="784"/>
      <c r="F57" s="784"/>
      <c r="G57" s="784"/>
      <c r="H57" s="770"/>
      <c r="I57" s="769" t="s">
        <v>1464</v>
      </c>
      <c r="J57" s="769" t="s">
        <v>199</v>
      </c>
      <c r="K57" s="769" t="s">
        <v>199</v>
      </c>
      <c r="L57" s="750"/>
      <c r="M57" s="750"/>
      <c r="N57" s="750"/>
      <c r="O57" s="750"/>
      <c r="P57" s="750"/>
      <c r="Q57" s="750"/>
      <c r="R57" s="750"/>
      <c r="S57" s="750"/>
      <c r="T57" s="750"/>
      <c r="U57" s="750"/>
      <c r="V57" s="750"/>
      <c r="W57" s="750"/>
      <c r="X57" s="750"/>
      <c r="Y57" s="750"/>
      <c r="Z57" s="750"/>
      <c r="AA57" s="750"/>
      <c r="AB57" s="750"/>
      <c r="AC57" s="750"/>
      <c r="AD57" s="750"/>
      <c r="AE57" s="750"/>
      <c r="AF57" s="750"/>
      <c r="AG57" s="750"/>
      <c r="AH57" s="750"/>
      <c r="AI57" s="750"/>
      <c r="AJ57" s="750"/>
      <c r="AK57" s="750"/>
      <c r="AL57" s="750"/>
      <c r="AM57" s="750"/>
      <c r="AN57" s="750"/>
      <c r="AO57" s="750"/>
      <c r="AP57" s="750"/>
      <c r="AQ57" s="750"/>
      <c r="AR57" s="750"/>
      <c r="AS57" s="750"/>
      <c r="AT57" s="750"/>
      <c r="AU57" s="750"/>
      <c r="AV57" s="750"/>
    </row>
    <row r="58" ht="15" customHeight="1" spans="2:48">
      <c r="B58" s="767" t="s">
        <v>1502</v>
      </c>
      <c r="C58" s="784"/>
      <c r="D58" s="784"/>
      <c r="E58" s="784"/>
      <c r="F58" s="784"/>
      <c r="G58" s="784"/>
      <c r="H58" s="770"/>
      <c r="I58" s="769" t="s">
        <v>1464</v>
      </c>
      <c r="J58" s="769" t="s">
        <v>199</v>
      </c>
      <c r="K58" s="769" t="s">
        <v>199</v>
      </c>
      <c r="L58" s="750"/>
      <c r="M58" s="750"/>
      <c r="N58" s="750"/>
      <c r="O58" s="750"/>
      <c r="P58" s="750"/>
      <c r="Q58" s="750"/>
      <c r="R58" s="750"/>
      <c r="S58" s="750"/>
      <c r="T58" s="750"/>
      <c r="U58" s="750"/>
      <c r="V58" s="750"/>
      <c r="W58" s="750"/>
      <c r="X58" s="750"/>
      <c r="Y58" s="750"/>
      <c r="Z58" s="750"/>
      <c r="AA58" s="750"/>
      <c r="AB58" s="750"/>
      <c r="AC58" s="750"/>
      <c r="AD58" s="750"/>
      <c r="AE58" s="750"/>
      <c r="AF58" s="750"/>
      <c r="AG58" s="750"/>
      <c r="AH58" s="750"/>
      <c r="AI58" s="750"/>
      <c r="AJ58" s="750"/>
      <c r="AK58" s="750"/>
      <c r="AL58" s="750"/>
      <c r="AM58" s="750"/>
      <c r="AN58" s="750"/>
      <c r="AO58" s="750"/>
      <c r="AP58" s="750"/>
      <c r="AQ58" s="750"/>
      <c r="AR58" s="750"/>
      <c r="AS58" s="750"/>
      <c r="AT58" s="750"/>
      <c r="AU58" s="750"/>
      <c r="AV58" s="750"/>
    </row>
    <row r="59" ht="15" customHeight="1" spans="2:48">
      <c r="B59" s="767" t="s">
        <v>1503</v>
      </c>
      <c r="C59" s="784"/>
      <c r="D59" s="784"/>
      <c r="E59" s="784"/>
      <c r="F59" s="784"/>
      <c r="G59" s="784"/>
      <c r="H59" s="770"/>
      <c r="I59" s="769" t="s">
        <v>1464</v>
      </c>
      <c r="J59" s="769" t="s">
        <v>199</v>
      </c>
      <c r="K59" s="769" t="s">
        <v>199</v>
      </c>
      <c r="L59" s="750"/>
      <c r="M59" s="750"/>
      <c r="N59" s="750"/>
      <c r="O59" s="750"/>
      <c r="P59" s="750"/>
      <c r="Q59" s="750"/>
      <c r="R59" s="750"/>
      <c r="S59" s="750"/>
      <c r="T59" s="750"/>
      <c r="U59" s="750"/>
      <c r="V59" s="750"/>
      <c r="W59" s="750"/>
      <c r="X59" s="750"/>
      <c r="Y59" s="750"/>
      <c r="Z59" s="750"/>
      <c r="AA59" s="750"/>
      <c r="AB59" s="750"/>
      <c r="AC59" s="750"/>
      <c r="AD59" s="750"/>
      <c r="AE59" s="750"/>
      <c r="AF59" s="750"/>
      <c r="AG59" s="750"/>
      <c r="AH59" s="750"/>
      <c r="AI59" s="750"/>
      <c r="AJ59" s="750"/>
      <c r="AK59" s="750"/>
      <c r="AL59" s="750"/>
      <c r="AM59" s="750"/>
      <c r="AN59" s="750"/>
      <c r="AO59" s="750"/>
      <c r="AP59" s="750"/>
      <c r="AQ59" s="750"/>
      <c r="AR59" s="750"/>
      <c r="AS59" s="750"/>
      <c r="AT59" s="750"/>
      <c r="AU59" s="750"/>
      <c r="AV59" s="750"/>
    </row>
    <row r="60" ht="15" customHeight="1" spans="2:48">
      <c r="B60" s="767" t="s">
        <v>1504</v>
      </c>
      <c r="C60" s="784"/>
      <c r="D60" s="784"/>
      <c r="E60" s="784"/>
      <c r="F60" s="784"/>
      <c r="G60" s="784"/>
      <c r="H60" s="770"/>
      <c r="I60" s="769" t="s">
        <v>1464</v>
      </c>
      <c r="J60" s="769" t="s">
        <v>199</v>
      </c>
      <c r="K60" s="769" t="s">
        <v>199</v>
      </c>
      <c r="L60" s="750"/>
      <c r="M60" s="750"/>
      <c r="N60" s="750"/>
      <c r="O60" s="750"/>
      <c r="P60" s="750"/>
      <c r="Q60" s="750"/>
      <c r="R60" s="750"/>
      <c r="S60" s="750"/>
      <c r="T60" s="750"/>
      <c r="U60" s="750"/>
      <c r="V60" s="750"/>
      <c r="W60" s="750"/>
      <c r="X60" s="750"/>
      <c r="Y60" s="750"/>
      <c r="Z60" s="750"/>
      <c r="AA60" s="750"/>
      <c r="AB60" s="750"/>
      <c r="AC60" s="750"/>
      <c r="AD60" s="750"/>
      <c r="AE60" s="750"/>
      <c r="AF60" s="750"/>
      <c r="AG60" s="750"/>
      <c r="AH60" s="750"/>
      <c r="AI60" s="750"/>
      <c r="AJ60" s="750"/>
      <c r="AK60" s="750"/>
      <c r="AL60" s="750"/>
      <c r="AM60" s="750"/>
      <c r="AN60" s="750"/>
      <c r="AO60" s="750"/>
      <c r="AP60" s="750"/>
      <c r="AQ60" s="750"/>
      <c r="AR60" s="750"/>
      <c r="AS60" s="750"/>
      <c r="AT60" s="750"/>
      <c r="AU60" s="750"/>
      <c r="AV60" s="750"/>
    </row>
    <row r="61" ht="15" customHeight="1" spans="2:48">
      <c r="B61" s="767" t="s">
        <v>1505</v>
      </c>
      <c r="C61" s="784"/>
      <c r="D61" s="784"/>
      <c r="E61" s="784"/>
      <c r="F61" s="784"/>
      <c r="G61" s="784"/>
      <c r="H61" s="770"/>
      <c r="I61" s="769" t="s">
        <v>1464</v>
      </c>
      <c r="J61" s="769" t="s">
        <v>199</v>
      </c>
      <c r="K61" s="769" t="s">
        <v>199</v>
      </c>
      <c r="L61" s="750"/>
      <c r="M61" s="750"/>
      <c r="N61" s="750"/>
      <c r="O61" s="750"/>
      <c r="P61" s="750"/>
      <c r="Q61" s="750"/>
      <c r="R61" s="750"/>
      <c r="S61" s="750"/>
      <c r="T61" s="750"/>
      <c r="U61" s="750"/>
      <c r="V61" s="750"/>
      <c r="W61" s="750"/>
      <c r="X61" s="750"/>
      <c r="Y61" s="750"/>
      <c r="Z61" s="750"/>
      <c r="AA61" s="750"/>
      <c r="AB61" s="750"/>
      <c r="AC61" s="750"/>
      <c r="AD61" s="750"/>
      <c r="AE61" s="750"/>
      <c r="AF61" s="750"/>
      <c r="AG61" s="750"/>
      <c r="AH61" s="750"/>
      <c r="AI61" s="750"/>
      <c r="AJ61" s="750"/>
      <c r="AK61" s="750"/>
      <c r="AL61" s="750"/>
      <c r="AM61" s="750"/>
      <c r="AN61" s="750"/>
      <c r="AO61" s="750"/>
      <c r="AP61" s="750"/>
      <c r="AQ61" s="750"/>
      <c r="AR61" s="750"/>
      <c r="AS61" s="750"/>
      <c r="AT61" s="750"/>
      <c r="AU61" s="750"/>
      <c r="AV61" s="750"/>
    </row>
    <row r="62" ht="15" customHeight="1" spans="2:48">
      <c r="B62" s="767" t="s">
        <v>1506</v>
      </c>
      <c r="C62" s="784"/>
      <c r="D62" s="784"/>
      <c r="E62" s="784"/>
      <c r="F62" s="784"/>
      <c r="G62" s="784"/>
      <c r="H62" s="770"/>
      <c r="I62" s="769" t="s">
        <v>1464</v>
      </c>
      <c r="J62" s="769" t="s">
        <v>199</v>
      </c>
      <c r="K62" s="769" t="s">
        <v>199</v>
      </c>
      <c r="L62" s="750"/>
      <c r="M62" s="750"/>
      <c r="N62" s="750"/>
      <c r="O62" s="750"/>
      <c r="P62" s="750"/>
      <c r="Q62" s="750"/>
      <c r="R62" s="750"/>
      <c r="S62" s="750"/>
      <c r="T62" s="750"/>
      <c r="U62" s="750"/>
      <c r="V62" s="750"/>
      <c r="W62" s="750"/>
      <c r="X62" s="750"/>
      <c r="Y62" s="750"/>
      <c r="Z62" s="750"/>
      <c r="AA62" s="750"/>
      <c r="AB62" s="750"/>
      <c r="AC62" s="750"/>
      <c r="AD62" s="750"/>
      <c r="AE62" s="750"/>
      <c r="AF62" s="750"/>
      <c r="AG62" s="750"/>
      <c r="AH62" s="750"/>
      <c r="AI62" s="750"/>
      <c r="AJ62" s="750"/>
      <c r="AK62" s="750"/>
      <c r="AL62" s="750"/>
      <c r="AM62" s="750"/>
      <c r="AN62" s="750"/>
      <c r="AO62" s="750"/>
      <c r="AP62" s="750"/>
      <c r="AQ62" s="750"/>
      <c r="AR62" s="750"/>
      <c r="AS62" s="750"/>
      <c r="AT62" s="750"/>
      <c r="AU62" s="750"/>
      <c r="AV62" s="750"/>
    </row>
    <row r="63" ht="15" customHeight="1" spans="2:48">
      <c r="B63" s="767" t="s">
        <v>1507</v>
      </c>
      <c r="C63" s="784"/>
      <c r="D63" s="784"/>
      <c r="E63" s="784"/>
      <c r="F63" s="784"/>
      <c r="G63" s="784"/>
      <c r="H63" s="770"/>
      <c r="I63" s="769" t="s">
        <v>1464</v>
      </c>
      <c r="J63" s="769" t="s">
        <v>199</v>
      </c>
      <c r="K63" s="769" t="s">
        <v>199</v>
      </c>
      <c r="L63" s="750"/>
      <c r="M63" s="750"/>
      <c r="N63" s="750"/>
      <c r="O63" s="750"/>
      <c r="P63" s="750"/>
      <c r="Q63" s="750"/>
      <c r="R63" s="750"/>
      <c r="S63" s="750"/>
      <c r="T63" s="750"/>
      <c r="U63" s="750"/>
      <c r="V63" s="750"/>
      <c r="W63" s="750"/>
      <c r="X63" s="750"/>
      <c r="Y63" s="750"/>
      <c r="Z63" s="750"/>
      <c r="AA63" s="750"/>
      <c r="AB63" s="750"/>
      <c r="AC63" s="750"/>
      <c r="AD63" s="750"/>
      <c r="AE63" s="750"/>
      <c r="AF63" s="750"/>
      <c r="AG63" s="750"/>
      <c r="AH63" s="750"/>
      <c r="AI63" s="750"/>
      <c r="AJ63" s="750"/>
      <c r="AK63" s="750"/>
      <c r="AL63" s="750"/>
      <c r="AM63" s="750"/>
      <c r="AN63" s="750"/>
      <c r="AO63" s="750"/>
      <c r="AP63" s="750"/>
      <c r="AQ63" s="750"/>
      <c r="AR63" s="750"/>
      <c r="AS63" s="750"/>
      <c r="AT63" s="750"/>
      <c r="AU63" s="750"/>
      <c r="AV63" s="750"/>
    </row>
    <row r="64" ht="15" customHeight="1" spans="2:48">
      <c r="B64" s="767" t="s">
        <v>1508</v>
      </c>
      <c r="C64" s="784"/>
      <c r="D64" s="784"/>
      <c r="E64" s="784"/>
      <c r="F64" s="784"/>
      <c r="G64" s="784"/>
      <c r="H64" s="770"/>
      <c r="I64" s="769" t="s">
        <v>1464</v>
      </c>
      <c r="J64" s="769" t="s">
        <v>199</v>
      </c>
      <c r="K64" s="769" t="s">
        <v>199</v>
      </c>
      <c r="L64" s="750"/>
      <c r="M64" s="750"/>
      <c r="N64" s="750"/>
      <c r="O64" s="750"/>
      <c r="P64" s="750"/>
      <c r="Q64" s="750"/>
      <c r="R64" s="750"/>
      <c r="S64" s="750"/>
      <c r="T64" s="750"/>
      <c r="U64" s="750"/>
      <c r="V64" s="750"/>
      <c r="W64" s="750"/>
      <c r="X64" s="750"/>
      <c r="Y64" s="750"/>
      <c r="Z64" s="750"/>
      <c r="AA64" s="750"/>
      <c r="AB64" s="750"/>
      <c r="AC64" s="750"/>
      <c r="AD64" s="750"/>
      <c r="AE64" s="750"/>
      <c r="AF64" s="750"/>
      <c r="AG64" s="750"/>
      <c r="AH64" s="750"/>
      <c r="AI64" s="750"/>
      <c r="AJ64" s="750"/>
      <c r="AK64" s="750"/>
      <c r="AL64" s="750"/>
      <c r="AM64" s="750"/>
      <c r="AN64" s="750"/>
      <c r="AO64" s="750"/>
      <c r="AP64" s="750"/>
      <c r="AQ64" s="750"/>
      <c r="AR64" s="750"/>
      <c r="AS64" s="750"/>
      <c r="AT64" s="750"/>
      <c r="AU64" s="750"/>
      <c r="AV64" s="750"/>
    </row>
    <row r="65" ht="15" customHeight="1" spans="2:48">
      <c r="B65" s="767" t="s">
        <v>1509</v>
      </c>
      <c r="C65" s="784"/>
      <c r="D65" s="784"/>
      <c r="E65" s="784"/>
      <c r="F65" s="784"/>
      <c r="G65" s="784"/>
      <c r="H65" s="770"/>
      <c r="I65" s="769" t="s">
        <v>1464</v>
      </c>
      <c r="J65" s="769" t="s">
        <v>199</v>
      </c>
      <c r="K65" s="769" t="s">
        <v>199</v>
      </c>
      <c r="L65" s="750"/>
      <c r="M65" s="750"/>
      <c r="N65" s="750"/>
      <c r="O65" s="750"/>
      <c r="P65" s="750"/>
      <c r="Q65" s="750"/>
      <c r="R65" s="750"/>
      <c r="S65" s="750"/>
      <c r="T65" s="750"/>
      <c r="U65" s="750"/>
      <c r="V65" s="750"/>
      <c r="W65" s="750"/>
      <c r="X65" s="750"/>
      <c r="Y65" s="750"/>
      <c r="Z65" s="750"/>
      <c r="AA65" s="750"/>
      <c r="AB65" s="750"/>
      <c r="AC65" s="750"/>
      <c r="AD65" s="750"/>
      <c r="AE65" s="750"/>
      <c r="AF65" s="750"/>
      <c r="AG65" s="750"/>
      <c r="AH65" s="750"/>
      <c r="AI65" s="750"/>
      <c r="AJ65" s="750"/>
      <c r="AK65" s="750"/>
      <c r="AL65" s="750"/>
      <c r="AM65" s="750"/>
      <c r="AN65" s="750"/>
      <c r="AO65" s="750"/>
      <c r="AP65" s="750"/>
      <c r="AQ65" s="750"/>
      <c r="AR65" s="750"/>
      <c r="AS65" s="750"/>
      <c r="AT65" s="750"/>
      <c r="AU65" s="750"/>
      <c r="AV65" s="750"/>
    </row>
    <row r="66" ht="15" customHeight="1" spans="2:48">
      <c r="B66" s="767" t="s">
        <v>1510</v>
      </c>
      <c r="C66" s="784"/>
      <c r="D66" s="786"/>
      <c r="E66" s="786"/>
      <c r="F66" s="786"/>
      <c r="G66" s="784"/>
      <c r="H66" s="770"/>
      <c r="I66" s="769" t="s">
        <v>1464</v>
      </c>
      <c r="J66" s="769" t="s">
        <v>199</v>
      </c>
      <c r="K66" s="769" t="s">
        <v>199</v>
      </c>
      <c r="L66" s="750"/>
      <c r="M66" s="750"/>
      <c r="N66" s="750"/>
      <c r="O66" s="750"/>
      <c r="P66" s="750"/>
      <c r="Q66" s="750"/>
      <c r="R66" s="750"/>
      <c r="S66" s="750"/>
      <c r="T66" s="750"/>
      <c r="U66" s="750"/>
      <c r="V66" s="750"/>
      <c r="W66" s="750"/>
      <c r="X66" s="750"/>
      <c r="Y66" s="750"/>
      <c r="Z66" s="750"/>
      <c r="AA66" s="750"/>
      <c r="AB66" s="750"/>
      <c r="AC66" s="750"/>
      <c r="AD66" s="750"/>
      <c r="AE66" s="750"/>
      <c r="AF66" s="750"/>
      <c r="AG66" s="750"/>
      <c r="AH66" s="750"/>
      <c r="AI66" s="750"/>
      <c r="AJ66" s="750"/>
      <c r="AK66" s="750"/>
      <c r="AL66" s="750"/>
      <c r="AM66" s="750"/>
      <c r="AN66" s="750"/>
      <c r="AO66" s="750"/>
      <c r="AP66" s="750"/>
      <c r="AQ66" s="750"/>
      <c r="AR66" s="750"/>
      <c r="AS66" s="750"/>
      <c r="AT66" s="750"/>
      <c r="AU66" s="750"/>
      <c r="AV66" s="750"/>
    </row>
    <row r="67" ht="15" customHeight="1" spans="2:48">
      <c r="B67" s="767" t="s">
        <v>1511</v>
      </c>
      <c r="C67" s="784"/>
      <c r="D67" s="784"/>
      <c r="E67" s="784"/>
      <c r="F67" s="784"/>
      <c r="G67" s="784"/>
      <c r="H67" s="770"/>
      <c r="I67" s="769" t="s">
        <v>1464</v>
      </c>
      <c r="J67" s="769" t="s">
        <v>199</v>
      </c>
      <c r="K67" s="769" t="s">
        <v>199</v>
      </c>
      <c r="L67" s="750"/>
      <c r="M67" s="750"/>
      <c r="N67" s="750"/>
      <c r="O67" s="750"/>
      <c r="P67" s="750"/>
      <c r="Q67" s="750"/>
      <c r="R67" s="750"/>
      <c r="S67" s="750"/>
      <c r="T67" s="750"/>
      <c r="U67" s="750"/>
      <c r="V67" s="750"/>
      <c r="W67" s="750"/>
      <c r="X67" s="750"/>
      <c r="Y67" s="750"/>
      <c r="Z67" s="750"/>
      <c r="AA67" s="750"/>
      <c r="AB67" s="750"/>
      <c r="AC67" s="750"/>
      <c r="AD67" s="750"/>
      <c r="AE67" s="750"/>
      <c r="AF67" s="750"/>
      <c r="AG67" s="750"/>
      <c r="AH67" s="750"/>
      <c r="AI67" s="750"/>
      <c r="AJ67" s="750"/>
      <c r="AK67" s="750"/>
      <c r="AL67" s="750"/>
      <c r="AM67" s="750"/>
      <c r="AN67" s="750"/>
      <c r="AO67" s="750"/>
      <c r="AP67" s="750"/>
      <c r="AQ67" s="750"/>
      <c r="AR67" s="750"/>
      <c r="AS67" s="750"/>
      <c r="AT67" s="750"/>
      <c r="AU67" s="750"/>
      <c r="AV67" s="750"/>
    </row>
    <row r="68" ht="15" customHeight="1" spans="2:48">
      <c r="B68" s="767" t="s">
        <v>1512</v>
      </c>
      <c r="C68" s="784"/>
      <c r="D68" s="784"/>
      <c r="E68" s="784"/>
      <c r="F68" s="784"/>
      <c r="G68" s="784"/>
      <c r="H68" s="770"/>
      <c r="I68" s="769" t="s">
        <v>1464</v>
      </c>
      <c r="J68" s="769" t="s">
        <v>199</v>
      </c>
      <c r="K68" s="769" t="s">
        <v>199</v>
      </c>
      <c r="L68" s="750"/>
      <c r="M68" s="750"/>
      <c r="N68" s="750"/>
      <c r="O68" s="750"/>
      <c r="P68" s="750"/>
      <c r="Q68" s="750"/>
      <c r="R68" s="750"/>
      <c r="S68" s="750"/>
      <c r="T68" s="750"/>
      <c r="U68" s="750"/>
      <c r="V68" s="750"/>
      <c r="W68" s="750"/>
      <c r="X68" s="750"/>
      <c r="Y68" s="750"/>
      <c r="Z68" s="750"/>
      <c r="AA68" s="750"/>
      <c r="AB68" s="750"/>
      <c r="AC68" s="750"/>
      <c r="AD68" s="750"/>
      <c r="AE68" s="750"/>
      <c r="AF68" s="750"/>
      <c r="AG68" s="750"/>
      <c r="AH68" s="750"/>
      <c r="AI68" s="750"/>
      <c r="AJ68" s="750"/>
      <c r="AK68" s="750"/>
      <c r="AL68" s="750"/>
      <c r="AM68" s="750"/>
      <c r="AN68" s="750"/>
      <c r="AO68" s="750"/>
      <c r="AP68" s="750"/>
      <c r="AQ68" s="750"/>
      <c r="AR68" s="750"/>
      <c r="AS68" s="750"/>
      <c r="AT68" s="750"/>
      <c r="AU68" s="750"/>
      <c r="AV68" s="750"/>
    </row>
    <row r="69" ht="15" customHeight="1" spans="2:48">
      <c r="B69" s="767" t="s">
        <v>1513</v>
      </c>
      <c r="C69" s="784"/>
      <c r="D69" s="784"/>
      <c r="E69" s="784"/>
      <c r="F69" s="784"/>
      <c r="G69" s="784"/>
      <c r="H69" s="770"/>
      <c r="I69" s="769" t="s">
        <v>1464</v>
      </c>
      <c r="J69" s="769" t="s">
        <v>199</v>
      </c>
      <c r="K69" s="769" t="s">
        <v>199</v>
      </c>
      <c r="L69" s="750"/>
      <c r="M69" s="750"/>
      <c r="N69" s="750"/>
      <c r="O69" s="750"/>
      <c r="P69" s="750"/>
      <c r="Q69" s="750"/>
      <c r="R69" s="750"/>
      <c r="S69" s="750"/>
      <c r="T69" s="750"/>
      <c r="U69" s="750"/>
      <c r="V69" s="750"/>
      <c r="W69" s="750"/>
      <c r="X69" s="750"/>
      <c r="Y69" s="750"/>
      <c r="Z69" s="750"/>
      <c r="AA69" s="750"/>
      <c r="AB69" s="750"/>
      <c r="AC69" s="750"/>
      <c r="AD69" s="750"/>
      <c r="AE69" s="750"/>
      <c r="AF69" s="750"/>
      <c r="AG69" s="750"/>
      <c r="AH69" s="750"/>
      <c r="AI69" s="750"/>
      <c r="AJ69" s="750"/>
      <c r="AK69" s="750"/>
      <c r="AL69" s="750"/>
      <c r="AM69" s="750"/>
      <c r="AN69" s="750"/>
      <c r="AO69" s="750"/>
      <c r="AP69" s="750"/>
      <c r="AQ69" s="750"/>
      <c r="AR69" s="750"/>
      <c r="AS69" s="750"/>
      <c r="AT69" s="750"/>
      <c r="AU69" s="750"/>
      <c r="AV69" s="750"/>
    </row>
    <row r="70" ht="15" customHeight="1" spans="2:48">
      <c r="B70" s="767" t="s">
        <v>1514</v>
      </c>
      <c r="C70" s="784"/>
      <c r="D70" s="784"/>
      <c r="E70" s="784"/>
      <c r="F70" s="784"/>
      <c r="G70" s="784"/>
      <c r="H70" s="770"/>
      <c r="I70" s="769" t="s">
        <v>1464</v>
      </c>
      <c r="J70" s="769" t="s">
        <v>199</v>
      </c>
      <c r="K70" s="769" t="s">
        <v>199</v>
      </c>
      <c r="L70" s="750"/>
      <c r="M70" s="750"/>
      <c r="N70" s="750"/>
      <c r="O70" s="750"/>
      <c r="P70" s="750"/>
      <c r="Q70" s="750"/>
      <c r="R70" s="750"/>
      <c r="S70" s="750"/>
      <c r="T70" s="750"/>
      <c r="U70" s="750"/>
      <c r="V70" s="750"/>
      <c r="W70" s="750"/>
      <c r="X70" s="750"/>
      <c r="Y70" s="750"/>
      <c r="Z70" s="750"/>
      <c r="AA70" s="750"/>
      <c r="AB70" s="750"/>
      <c r="AC70" s="750"/>
      <c r="AD70" s="750"/>
      <c r="AE70" s="750"/>
      <c r="AF70" s="750"/>
      <c r="AG70" s="750"/>
      <c r="AH70" s="750"/>
      <c r="AI70" s="750"/>
      <c r="AJ70" s="750"/>
      <c r="AK70" s="750"/>
      <c r="AL70" s="750"/>
      <c r="AM70" s="750"/>
      <c r="AN70" s="750"/>
      <c r="AO70" s="750"/>
      <c r="AP70" s="750"/>
      <c r="AQ70" s="750"/>
      <c r="AR70" s="750"/>
      <c r="AS70" s="750"/>
      <c r="AT70" s="750"/>
      <c r="AU70" s="750"/>
      <c r="AV70" s="750"/>
    </row>
    <row r="71" ht="15" customHeight="1" spans="2:48">
      <c r="B71" s="767" t="s">
        <v>1515</v>
      </c>
      <c r="C71" s="785"/>
      <c r="D71" s="785"/>
      <c r="E71" s="785"/>
      <c r="F71" s="785"/>
      <c r="G71" s="789"/>
      <c r="H71" s="770"/>
      <c r="I71" s="769" t="s">
        <v>1464</v>
      </c>
      <c r="J71" s="769" t="s">
        <v>199</v>
      </c>
      <c r="K71" s="769" t="s">
        <v>199</v>
      </c>
      <c r="L71" s="751"/>
      <c r="M71" s="751"/>
      <c r="N71" s="751"/>
      <c r="O71" s="751"/>
      <c r="P71" s="751"/>
      <c r="Q71" s="751"/>
      <c r="R71" s="751"/>
      <c r="S71" s="751"/>
      <c r="T71" s="751"/>
      <c r="U71" s="751"/>
      <c r="V71" s="751"/>
      <c r="W71" s="751"/>
      <c r="X71" s="751"/>
      <c r="Y71" s="751"/>
      <c r="Z71" s="751"/>
      <c r="AA71" s="751"/>
      <c r="AB71" s="751"/>
      <c r="AC71" s="751"/>
      <c r="AD71" s="751"/>
      <c r="AE71" s="751"/>
      <c r="AF71" s="751"/>
      <c r="AG71" s="751"/>
      <c r="AH71" s="751"/>
      <c r="AI71" s="751"/>
      <c r="AJ71" s="751"/>
      <c r="AK71" s="751"/>
      <c r="AL71" s="751"/>
      <c r="AM71" s="751"/>
      <c r="AN71" s="751"/>
      <c r="AO71" s="751"/>
      <c r="AP71" s="751"/>
      <c r="AQ71" s="751"/>
      <c r="AR71" s="751"/>
      <c r="AS71" s="751"/>
      <c r="AT71" s="751"/>
      <c r="AU71" s="751"/>
      <c r="AV71" s="751"/>
    </row>
    <row r="72" ht="15" customHeight="1" spans="2:48">
      <c r="B72" s="767" t="s">
        <v>1516</v>
      </c>
      <c r="C72" s="785"/>
      <c r="D72" s="785"/>
      <c r="E72" s="785"/>
      <c r="F72" s="785"/>
      <c r="G72" s="789"/>
      <c r="H72" s="770"/>
      <c r="I72" s="769" t="s">
        <v>1464</v>
      </c>
      <c r="J72" s="769" t="s">
        <v>199</v>
      </c>
      <c r="K72" s="769" t="s">
        <v>199</v>
      </c>
      <c r="L72" s="751"/>
      <c r="M72" s="751"/>
      <c r="N72" s="751"/>
      <c r="O72" s="751"/>
      <c r="P72" s="751"/>
      <c r="Q72" s="751"/>
      <c r="R72" s="751"/>
      <c r="S72" s="751"/>
      <c r="T72" s="751"/>
      <c r="U72" s="751"/>
      <c r="V72" s="751"/>
      <c r="W72" s="751"/>
      <c r="X72" s="751"/>
      <c r="Y72" s="751"/>
      <c r="Z72" s="751"/>
      <c r="AA72" s="751"/>
      <c r="AB72" s="751"/>
      <c r="AC72" s="751"/>
      <c r="AD72" s="751"/>
      <c r="AE72" s="751"/>
      <c r="AF72" s="751"/>
      <c r="AG72" s="751"/>
      <c r="AH72" s="751"/>
      <c r="AI72" s="751"/>
      <c r="AJ72" s="751"/>
      <c r="AK72" s="751"/>
      <c r="AL72" s="751"/>
      <c r="AM72" s="751"/>
      <c r="AN72" s="751"/>
      <c r="AO72" s="751"/>
      <c r="AP72" s="751"/>
      <c r="AQ72" s="751"/>
      <c r="AR72" s="751"/>
      <c r="AS72" s="751"/>
      <c r="AT72" s="751"/>
      <c r="AU72" s="751"/>
      <c r="AV72" s="751"/>
    </row>
    <row r="73" ht="15" customHeight="1" spans="2:48">
      <c r="B73" s="767" t="s">
        <v>1517</v>
      </c>
      <c r="C73" s="785"/>
      <c r="D73" s="785"/>
      <c r="E73" s="785"/>
      <c r="F73" s="785"/>
      <c r="G73" s="789"/>
      <c r="H73" s="792"/>
      <c r="I73" s="769" t="s">
        <v>1464</v>
      </c>
      <c r="J73" s="769" t="s">
        <v>199</v>
      </c>
      <c r="K73" s="769" t="s">
        <v>199</v>
      </c>
      <c r="L73" s="751"/>
      <c r="M73" s="751"/>
      <c r="N73" s="751"/>
      <c r="O73" s="751"/>
      <c r="P73" s="751"/>
      <c r="Q73" s="751"/>
      <c r="R73" s="751"/>
      <c r="S73" s="751"/>
      <c r="T73" s="751"/>
      <c r="U73" s="751"/>
      <c r="V73" s="751"/>
      <c r="W73" s="751"/>
      <c r="X73" s="751"/>
      <c r="Y73" s="751"/>
      <c r="Z73" s="751"/>
      <c r="AA73" s="751"/>
      <c r="AB73" s="751"/>
      <c r="AC73" s="751"/>
      <c r="AD73" s="751"/>
      <c r="AE73" s="751"/>
      <c r="AF73" s="751"/>
      <c r="AG73" s="751"/>
      <c r="AH73" s="751"/>
      <c r="AI73" s="751"/>
      <c r="AJ73" s="751"/>
      <c r="AK73" s="751"/>
      <c r="AL73" s="751"/>
      <c r="AM73" s="751"/>
      <c r="AN73" s="751"/>
      <c r="AO73" s="751"/>
      <c r="AP73" s="751"/>
      <c r="AQ73" s="751"/>
      <c r="AR73" s="751"/>
      <c r="AS73" s="751"/>
      <c r="AT73" s="751"/>
      <c r="AU73" s="751"/>
      <c r="AV73" s="751"/>
    </row>
    <row r="74" ht="15" customHeight="1" spans="2:48">
      <c r="B74" s="767" t="s">
        <v>1518</v>
      </c>
      <c r="C74" s="785"/>
      <c r="D74" s="785"/>
      <c r="E74" s="785"/>
      <c r="F74" s="785"/>
      <c r="G74" s="793"/>
      <c r="H74" s="793"/>
      <c r="I74" s="769" t="s">
        <v>1464</v>
      </c>
      <c r="J74" s="769" t="s">
        <v>199</v>
      </c>
      <c r="K74" s="769" t="s">
        <v>199</v>
      </c>
      <c r="L74" s="751"/>
      <c r="M74" s="751"/>
      <c r="N74" s="751"/>
      <c r="O74" s="751"/>
      <c r="P74" s="751"/>
      <c r="Q74" s="751"/>
      <c r="R74" s="751"/>
      <c r="S74" s="751"/>
      <c r="T74" s="751"/>
      <c r="U74" s="751"/>
      <c r="V74" s="751"/>
      <c r="W74" s="751"/>
      <c r="X74" s="751"/>
      <c r="Y74" s="751"/>
      <c r="Z74" s="751"/>
      <c r="AA74" s="751"/>
      <c r="AB74" s="751"/>
      <c r="AC74" s="751"/>
      <c r="AD74" s="751"/>
      <c r="AE74" s="751"/>
      <c r="AF74" s="751"/>
      <c r="AG74" s="751"/>
      <c r="AH74" s="751"/>
      <c r="AI74" s="751"/>
      <c r="AJ74" s="751"/>
      <c r="AK74" s="751"/>
      <c r="AL74" s="751"/>
      <c r="AM74" s="751"/>
      <c r="AN74" s="751"/>
      <c r="AO74" s="751"/>
      <c r="AP74" s="751"/>
      <c r="AQ74" s="751"/>
      <c r="AR74" s="751"/>
      <c r="AS74" s="751"/>
      <c r="AT74" s="751"/>
      <c r="AU74" s="751"/>
      <c r="AV74" s="751"/>
    </row>
    <row r="75" ht="15" customHeight="1" spans="2:48">
      <c r="B75" s="767" t="s">
        <v>1519</v>
      </c>
      <c r="C75" s="785"/>
      <c r="D75" s="785"/>
      <c r="E75" s="785"/>
      <c r="F75" s="785"/>
      <c r="G75" s="789"/>
      <c r="H75" s="793"/>
      <c r="I75" s="769" t="s">
        <v>1464</v>
      </c>
      <c r="J75" s="769" t="s">
        <v>199</v>
      </c>
      <c r="K75" s="769" t="s">
        <v>199</v>
      </c>
      <c r="L75" s="751"/>
      <c r="M75" s="751"/>
      <c r="N75" s="751"/>
      <c r="O75" s="751"/>
      <c r="P75" s="751"/>
      <c r="Q75" s="751"/>
      <c r="R75" s="751"/>
      <c r="S75" s="751"/>
      <c r="T75" s="751"/>
      <c r="U75" s="751"/>
      <c r="V75" s="751"/>
      <c r="W75" s="751"/>
      <c r="X75" s="751"/>
      <c r="Y75" s="751"/>
      <c r="Z75" s="751"/>
      <c r="AA75" s="751"/>
      <c r="AB75" s="751"/>
      <c r="AC75" s="751"/>
      <c r="AD75" s="751"/>
      <c r="AE75" s="751"/>
      <c r="AF75" s="751"/>
      <c r="AG75" s="751"/>
      <c r="AH75" s="751"/>
      <c r="AI75" s="751"/>
      <c r="AJ75" s="751"/>
      <c r="AK75" s="751"/>
      <c r="AL75" s="751"/>
      <c r="AM75" s="751"/>
      <c r="AN75" s="751"/>
      <c r="AO75" s="751"/>
      <c r="AP75" s="751"/>
      <c r="AQ75" s="751"/>
      <c r="AR75" s="751"/>
      <c r="AS75" s="751"/>
      <c r="AT75" s="751"/>
      <c r="AU75" s="751"/>
      <c r="AV75" s="751"/>
    </row>
    <row r="76" ht="15" customHeight="1" spans="2:48">
      <c r="B76" s="767" t="s">
        <v>1520</v>
      </c>
      <c r="C76" s="785"/>
      <c r="D76" s="785"/>
      <c r="E76" s="785"/>
      <c r="F76" s="785"/>
      <c r="G76" s="793"/>
      <c r="H76" s="793"/>
      <c r="I76" s="769" t="s">
        <v>1464</v>
      </c>
      <c r="J76" s="769" t="s">
        <v>199</v>
      </c>
      <c r="K76" s="769" t="s">
        <v>199</v>
      </c>
      <c r="L76" s="751"/>
      <c r="M76" s="751"/>
      <c r="N76" s="751"/>
      <c r="O76" s="751"/>
      <c r="P76" s="751"/>
      <c r="Q76" s="751"/>
      <c r="R76" s="751"/>
      <c r="S76" s="751"/>
      <c r="T76" s="751"/>
      <c r="U76" s="751"/>
      <c r="V76" s="751"/>
      <c r="W76" s="751"/>
      <c r="X76" s="751"/>
      <c r="Y76" s="751"/>
      <c r="Z76" s="751"/>
      <c r="AA76" s="751"/>
      <c r="AB76" s="751"/>
      <c r="AC76" s="751"/>
      <c r="AD76" s="751"/>
      <c r="AE76" s="751"/>
      <c r="AF76" s="751"/>
      <c r="AG76" s="751"/>
      <c r="AH76" s="751"/>
      <c r="AI76" s="751"/>
      <c r="AJ76" s="751"/>
      <c r="AK76" s="751"/>
      <c r="AL76" s="751"/>
      <c r="AM76" s="751"/>
      <c r="AN76" s="751"/>
      <c r="AO76" s="751"/>
      <c r="AP76" s="751"/>
      <c r="AQ76" s="751"/>
      <c r="AR76" s="751"/>
      <c r="AS76" s="751"/>
      <c r="AT76" s="751"/>
      <c r="AU76" s="751"/>
      <c r="AV76" s="751"/>
    </row>
    <row r="77" ht="15" customHeight="1" spans="2:48">
      <c r="B77" s="767" t="s">
        <v>1521</v>
      </c>
      <c r="C77" s="785"/>
      <c r="D77" s="785"/>
      <c r="E77" s="785"/>
      <c r="F77" s="785"/>
      <c r="G77" s="789"/>
      <c r="H77" s="793"/>
      <c r="I77" s="769" t="s">
        <v>1464</v>
      </c>
      <c r="J77" s="769" t="s">
        <v>199</v>
      </c>
      <c r="K77" s="769" t="s">
        <v>199</v>
      </c>
      <c r="L77" s="751"/>
      <c r="M77" s="751"/>
      <c r="N77" s="751"/>
      <c r="O77" s="751"/>
      <c r="P77" s="751"/>
      <c r="Q77" s="751"/>
      <c r="R77" s="751"/>
      <c r="S77" s="751"/>
      <c r="T77" s="751"/>
      <c r="U77" s="751"/>
      <c r="V77" s="751"/>
      <c r="W77" s="751"/>
      <c r="X77" s="751"/>
      <c r="Y77" s="751"/>
      <c r="Z77" s="751"/>
      <c r="AA77" s="751"/>
      <c r="AB77" s="751"/>
      <c r="AC77" s="751"/>
      <c r="AD77" s="751"/>
      <c r="AE77" s="751"/>
      <c r="AF77" s="751"/>
      <c r="AG77" s="751"/>
      <c r="AH77" s="751"/>
      <c r="AI77" s="751"/>
      <c r="AJ77" s="751"/>
      <c r="AK77" s="751"/>
      <c r="AL77" s="751"/>
      <c r="AM77" s="751"/>
      <c r="AN77" s="751"/>
      <c r="AO77" s="751"/>
      <c r="AP77" s="751"/>
      <c r="AQ77" s="751"/>
      <c r="AR77" s="751"/>
      <c r="AS77" s="751"/>
      <c r="AT77" s="751"/>
      <c r="AU77" s="751"/>
      <c r="AV77" s="751"/>
    </row>
    <row r="78" ht="15" customHeight="1" spans="2:48">
      <c r="B78" s="767" t="s">
        <v>1522</v>
      </c>
      <c r="C78" s="785"/>
      <c r="D78" s="785"/>
      <c r="E78" s="785"/>
      <c r="F78" s="785"/>
      <c r="G78" s="789"/>
      <c r="H78" s="793"/>
      <c r="I78" s="769" t="s">
        <v>1464</v>
      </c>
      <c r="J78" s="769" t="s">
        <v>199</v>
      </c>
      <c r="K78" s="769" t="s">
        <v>199</v>
      </c>
      <c r="L78" s="751"/>
      <c r="M78" s="751"/>
      <c r="N78" s="751"/>
      <c r="O78" s="751"/>
      <c r="P78" s="751"/>
      <c r="Q78" s="751"/>
      <c r="R78" s="751"/>
      <c r="S78" s="751"/>
      <c r="T78" s="751"/>
      <c r="U78" s="751"/>
      <c r="V78" s="751"/>
      <c r="W78" s="751"/>
      <c r="X78" s="751"/>
      <c r="Y78" s="751"/>
      <c r="Z78" s="751"/>
      <c r="AA78" s="751"/>
      <c r="AB78" s="751"/>
      <c r="AC78" s="751"/>
      <c r="AD78" s="751"/>
      <c r="AE78" s="751"/>
      <c r="AF78" s="751"/>
      <c r="AG78" s="751"/>
      <c r="AH78" s="751"/>
      <c r="AI78" s="751"/>
      <c r="AJ78" s="751"/>
      <c r="AK78" s="751"/>
      <c r="AL78" s="751"/>
      <c r="AM78" s="751"/>
      <c r="AN78" s="751"/>
      <c r="AO78" s="751"/>
      <c r="AP78" s="751"/>
      <c r="AQ78" s="751"/>
      <c r="AR78" s="751"/>
      <c r="AS78" s="751"/>
      <c r="AT78" s="751"/>
      <c r="AU78" s="751"/>
      <c r="AV78" s="751"/>
    </row>
    <row r="79" ht="15" customHeight="1" spans="2:48">
      <c r="B79" s="767" t="s">
        <v>1523</v>
      </c>
      <c r="C79" s="785"/>
      <c r="D79" s="785"/>
      <c r="E79" s="785"/>
      <c r="F79" s="785"/>
      <c r="G79" s="793"/>
      <c r="H79" s="793"/>
      <c r="I79" s="769" t="s">
        <v>1464</v>
      </c>
      <c r="J79" s="769" t="s">
        <v>199</v>
      </c>
      <c r="K79" s="769" t="s">
        <v>199</v>
      </c>
      <c r="L79" s="751"/>
      <c r="M79" s="751"/>
      <c r="N79" s="751"/>
      <c r="O79" s="751"/>
      <c r="P79" s="751"/>
      <c r="Q79" s="751"/>
      <c r="R79" s="751"/>
      <c r="S79" s="751"/>
      <c r="T79" s="751"/>
      <c r="U79" s="751"/>
      <c r="V79" s="751"/>
      <c r="W79" s="751"/>
      <c r="X79" s="751"/>
      <c r="Y79" s="751"/>
      <c r="Z79" s="751"/>
      <c r="AA79" s="751"/>
      <c r="AB79" s="751"/>
      <c r="AC79" s="751"/>
      <c r="AD79" s="751"/>
      <c r="AE79" s="751"/>
      <c r="AF79" s="751"/>
      <c r="AG79" s="751"/>
      <c r="AH79" s="751"/>
      <c r="AI79" s="751"/>
      <c r="AJ79" s="751"/>
      <c r="AK79" s="751"/>
      <c r="AL79" s="751"/>
      <c r="AM79" s="751"/>
      <c r="AN79" s="751"/>
      <c r="AO79" s="751"/>
      <c r="AP79" s="751"/>
      <c r="AQ79" s="751"/>
      <c r="AR79" s="751"/>
      <c r="AS79" s="751"/>
      <c r="AT79" s="751"/>
      <c r="AU79" s="751"/>
      <c r="AV79" s="751"/>
    </row>
    <row r="80" ht="15" customHeight="1" spans="2:48">
      <c r="B80" s="767" t="s">
        <v>1524</v>
      </c>
      <c r="C80" s="785"/>
      <c r="D80" s="785"/>
      <c r="E80" s="785"/>
      <c r="F80" s="785"/>
      <c r="G80" s="793"/>
      <c r="H80" s="793"/>
      <c r="I80" s="769" t="s">
        <v>1464</v>
      </c>
      <c r="J80" s="769" t="s">
        <v>199</v>
      </c>
      <c r="K80" s="769" t="s">
        <v>199</v>
      </c>
      <c r="L80" s="751"/>
      <c r="M80" s="751"/>
      <c r="N80" s="751"/>
      <c r="O80" s="751"/>
      <c r="P80" s="751"/>
      <c r="Q80" s="751"/>
      <c r="R80" s="751"/>
      <c r="S80" s="751"/>
      <c r="T80" s="751"/>
      <c r="U80" s="751"/>
      <c r="V80" s="751"/>
      <c r="W80" s="751"/>
      <c r="X80" s="751"/>
      <c r="Y80" s="751"/>
      <c r="Z80" s="751"/>
      <c r="AA80" s="751"/>
      <c r="AB80" s="751"/>
      <c r="AC80" s="751"/>
      <c r="AD80" s="751"/>
      <c r="AE80" s="751"/>
      <c r="AF80" s="751"/>
      <c r="AG80" s="751"/>
      <c r="AH80" s="751"/>
      <c r="AI80" s="751"/>
      <c r="AJ80" s="751"/>
      <c r="AK80" s="751"/>
      <c r="AL80" s="751"/>
      <c r="AM80" s="751"/>
      <c r="AN80" s="751"/>
      <c r="AO80" s="751"/>
      <c r="AP80" s="751"/>
      <c r="AQ80" s="751"/>
      <c r="AR80" s="751"/>
      <c r="AS80" s="751"/>
      <c r="AT80" s="751"/>
      <c r="AU80" s="751"/>
      <c r="AV80" s="751"/>
    </row>
    <row r="81" ht="15" customHeight="1" spans="2:48">
      <c r="B81" s="767" t="s">
        <v>1525</v>
      </c>
      <c r="C81" s="785"/>
      <c r="D81" s="785"/>
      <c r="E81" s="785"/>
      <c r="F81" s="785"/>
      <c r="G81" s="793"/>
      <c r="H81" s="793"/>
      <c r="I81" s="769" t="s">
        <v>1464</v>
      </c>
      <c r="J81" s="769" t="s">
        <v>199</v>
      </c>
      <c r="K81" s="769" t="s">
        <v>199</v>
      </c>
      <c r="L81" s="751"/>
      <c r="M81" s="751"/>
      <c r="N81" s="751"/>
      <c r="O81" s="751"/>
      <c r="P81" s="751"/>
      <c r="Q81" s="751"/>
      <c r="R81" s="751"/>
      <c r="S81" s="751"/>
      <c r="T81" s="751"/>
      <c r="U81" s="751"/>
      <c r="V81" s="751"/>
      <c r="W81" s="751"/>
      <c r="X81" s="751"/>
      <c r="Y81" s="751"/>
      <c r="Z81" s="751"/>
      <c r="AA81" s="751"/>
      <c r="AB81" s="751"/>
      <c r="AC81" s="751"/>
      <c r="AD81" s="751"/>
      <c r="AE81" s="751"/>
      <c r="AF81" s="751"/>
      <c r="AG81" s="751"/>
      <c r="AH81" s="751"/>
      <c r="AI81" s="751"/>
      <c r="AJ81" s="751"/>
      <c r="AK81" s="751"/>
      <c r="AL81" s="751"/>
      <c r="AM81" s="751"/>
      <c r="AN81" s="751"/>
      <c r="AO81" s="751"/>
      <c r="AP81" s="751"/>
      <c r="AQ81" s="751"/>
      <c r="AR81" s="751"/>
      <c r="AS81" s="751"/>
      <c r="AT81" s="751"/>
      <c r="AU81" s="751"/>
      <c r="AV81" s="751"/>
    </row>
    <row r="82" ht="15" customHeight="1" spans="2:48">
      <c r="B82" s="767" t="s">
        <v>1526</v>
      </c>
      <c r="C82" s="785"/>
      <c r="D82" s="785"/>
      <c r="E82" s="785"/>
      <c r="F82" s="785"/>
      <c r="G82" s="789"/>
      <c r="H82" s="770"/>
      <c r="I82" s="769" t="s">
        <v>1464</v>
      </c>
      <c r="J82" s="769" t="s">
        <v>199</v>
      </c>
      <c r="K82" s="769" t="s">
        <v>199</v>
      </c>
      <c r="L82" s="751"/>
      <c r="M82" s="751"/>
      <c r="N82" s="751"/>
      <c r="O82" s="751"/>
      <c r="P82" s="751"/>
      <c r="Q82" s="751"/>
      <c r="R82" s="751"/>
      <c r="S82" s="751"/>
      <c r="T82" s="751"/>
      <c r="U82" s="751"/>
      <c r="V82" s="751"/>
      <c r="W82" s="751"/>
      <c r="X82" s="751"/>
      <c r="Y82" s="751"/>
      <c r="Z82" s="751"/>
      <c r="AA82" s="751"/>
      <c r="AB82" s="751"/>
      <c r="AC82" s="751"/>
      <c r="AD82" s="751"/>
      <c r="AE82" s="751"/>
      <c r="AF82" s="751"/>
      <c r="AG82" s="751"/>
      <c r="AH82" s="751"/>
      <c r="AI82" s="751"/>
      <c r="AJ82" s="751"/>
      <c r="AK82" s="751"/>
      <c r="AL82" s="751"/>
      <c r="AM82" s="751"/>
      <c r="AN82" s="751"/>
      <c r="AO82" s="751"/>
      <c r="AP82" s="751"/>
      <c r="AQ82" s="751"/>
      <c r="AR82" s="751"/>
      <c r="AS82" s="751"/>
      <c r="AT82" s="751"/>
      <c r="AU82" s="751"/>
      <c r="AV82" s="751"/>
    </row>
    <row r="83" ht="15" customHeight="1" spans="2:48">
      <c r="B83" s="767" t="s">
        <v>1527</v>
      </c>
      <c r="C83" s="785"/>
      <c r="D83" s="785"/>
      <c r="E83" s="785"/>
      <c r="F83" s="785"/>
      <c r="G83" s="789"/>
      <c r="H83" s="770"/>
      <c r="I83" s="769" t="s">
        <v>1464</v>
      </c>
      <c r="J83" s="769" t="s">
        <v>199</v>
      </c>
      <c r="K83" s="769" t="s">
        <v>199</v>
      </c>
      <c r="L83" s="751"/>
      <c r="M83" s="751"/>
      <c r="N83" s="751"/>
      <c r="O83" s="751"/>
      <c r="P83" s="751"/>
      <c r="Q83" s="751"/>
      <c r="R83" s="751"/>
      <c r="S83" s="751"/>
      <c r="T83" s="751"/>
      <c r="U83" s="751"/>
      <c r="V83" s="751"/>
      <c r="W83" s="751"/>
      <c r="X83" s="751"/>
      <c r="Y83" s="751"/>
      <c r="Z83" s="751"/>
      <c r="AA83" s="751"/>
      <c r="AB83" s="751"/>
      <c r="AC83" s="751"/>
      <c r="AD83" s="751"/>
      <c r="AE83" s="751"/>
      <c r="AF83" s="751"/>
      <c r="AG83" s="751"/>
      <c r="AH83" s="751"/>
      <c r="AI83" s="751"/>
      <c r="AJ83" s="751"/>
      <c r="AK83" s="751"/>
      <c r="AL83" s="751"/>
      <c r="AM83" s="751"/>
      <c r="AN83" s="751"/>
      <c r="AO83" s="751"/>
      <c r="AP83" s="751"/>
      <c r="AQ83" s="751"/>
      <c r="AR83" s="751"/>
      <c r="AS83" s="751"/>
      <c r="AT83" s="751"/>
      <c r="AU83" s="751"/>
      <c r="AV83" s="751"/>
    </row>
    <row r="84" ht="15" customHeight="1" spans="2:48">
      <c r="B84" s="767" t="s">
        <v>1528</v>
      </c>
      <c r="C84" s="785"/>
      <c r="D84" s="785"/>
      <c r="E84" s="785"/>
      <c r="F84" s="785"/>
      <c r="G84" s="789"/>
      <c r="H84" s="770"/>
      <c r="I84" s="769" t="s">
        <v>1464</v>
      </c>
      <c r="J84" s="769" t="s">
        <v>199</v>
      </c>
      <c r="K84" s="769" t="s">
        <v>199</v>
      </c>
      <c r="L84" s="751"/>
      <c r="M84" s="751"/>
      <c r="N84" s="751"/>
      <c r="O84" s="751"/>
      <c r="P84" s="751"/>
      <c r="Q84" s="751"/>
      <c r="R84" s="751"/>
      <c r="S84" s="751"/>
      <c r="T84" s="751"/>
      <c r="U84" s="751"/>
      <c r="V84" s="751"/>
      <c r="W84" s="751"/>
      <c r="X84" s="751"/>
      <c r="Y84" s="751"/>
      <c r="Z84" s="751"/>
      <c r="AA84" s="751"/>
      <c r="AB84" s="751"/>
      <c r="AC84" s="751"/>
      <c r="AD84" s="751"/>
      <c r="AE84" s="751"/>
      <c r="AF84" s="751"/>
      <c r="AG84" s="751"/>
      <c r="AH84" s="751"/>
      <c r="AI84" s="751"/>
      <c r="AJ84" s="751"/>
      <c r="AK84" s="751"/>
      <c r="AL84" s="751"/>
      <c r="AM84" s="751"/>
      <c r="AN84" s="751"/>
      <c r="AO84" s="751"/>
      <c r="AP84" s="751"/>
      <c r="AQ84" s="751"/>
      <c r="AR84" s="751"/>
      <c r="AS84" s="751"/>
      <c r="AT84" s="751"/>
      <c r="AU84" s="751"/>
      <c r="AV84" s="751"/>
    </row>
    <row r="85" ht="15" customHeight="1" spans="2:48">
      <c r="B85" s="767" t="s">
        <v>1529</v>
      </c>
      <c r="C85" s="784"/>
      <c r="D85" s="784"/>
      <c r="E85" s="784"/>
      <c r="F85" s="784"/>
      <c r="G85" s="784"/>
      <c r="H85" s="770"/>
      <c r="I85" s="769" t="s">
        <v>1464</v>
      </c>
      <c r="J85" s="769" t="s">
        <v>199</v>
      </c>
      <c r="K85" s="769" t="s">
        <v>199</v>
      </c>
      <c r="L85" s="750"/>
      <c r="M85" s="750"/>
      <c r="N85" s="750"/>
      <c r="O85" s="750"/>
      <c r="P85" s="750"/>
      <c r="Q85" s="750"/>
      <c r="R85" s="750"/>
      <c r="S85" s="750"/>
      <c r="T85" s="750"/>
      <c r="U85" s="750"/>
      <c r="V85" s="750"/>
      <c r="W85" s="750"/>
      <c r="X85" s="750"/>
      <c r="Y85" s="750"/>
      <c r="Z85" s="750"/>
      <c r="AA85" s="750"/>
      <c r="AB85" s="750"/>
      <c r="AC85" s="750"/>
      <c r="AD85" s="750"/>
      <c r="AE85" s="750"/>
      <c r="AF85" s="750"/>
      <c r="AG85" s="750"/>
      <c r="AH85" s="750"/>
      <c r="AI85" s="750"/>
      <c r="AJ85" s="750"/>
      <c r="AK85" s="750"/>
      <c r="AL85" s="750"/>
      <c r="AM85" s="750"/>
      <c r="AN85" s="750"/>
      <c r="AO85" s="750"/>
      <c r="AP85" s="750"/>
      <c r="AQ85" s="750"/>
      <c r="AR85" s="750"/>
      <c r="AS85" s="750"/>
      <c r="AT85" s="750"/>
      <c r="AU85" s="750"/>
      <c r="AV85" s="750"/>
    </row>
    <row r="86" ht="15" customHeight="1" spans="2:48">
      <c r="B86" s="767" t="s">
        <v>1530</v>
      </c>
      <c r="C86" s="784"/>
      <c r="D86" s="784"/>
      <c r="E86" s="784"/>
      <c r="F86" s="784"/>
      <c r="G86" s="784"/>
      <c r="H86" s="770"/>
      <c r="I86" s="769" t="s">
        <v>1464</v>
      </c>
      <c r="J86" s="769" t="s">
        <v>199</v>
      </c>
      <c r="K86" s="769" t="s">
        <v>199</v>
      </c>
      <c r="L86" s="750"/>
      <c r="M86" s="750"/>
      <c r="N86" s="750"/>
      <c r="O86" s="750"/>
      <c r="P86" s="750"/>
      <c r="Q86" s="750"/>
      <c r="R86" s="750"/>
      <c r="S86" s="750"/>
      <c r="T86" s="750"/>
      <c r="U86" s="750"/>
      <c r="V86" s="750"/>
      <c r="W86" s="750"/>
      <c r="X86" s="750"/>
      <c r="Y86" s="750"/>
      <c r="Z86" s="750"/>
      <c r="AA86" s="750"/>
      <c r="AB86" s="750"/>
      <c r="AC86" s="750"/>
      <c r="AD86" s="750"/>
      <c r="AE86" s="750"/>
      <c r="AF86" s="750"/>
      <c r="AG86" s="750"/>
      <c r="AH86" s="750"/>
      <c r="AI86" s="750"/>
      <c r="AJ86" s="750"/>
      <c r="AK86" s="750"/>
      <c r="AL86" s="750"/>
      <c r="AM86" s="750"/>
      <c r="AN86" s="750"/>
      <c r="AO86" s="750"/>
      <c r="AP86" s="750"/>
      <c r="AQ86" s="750"/>
      <c r="AR86" s="750"/>
      <c r="AS86" s="750"/>
      <c r="AT86" s="750"/>
      <c r="AU86" s="750"/>
      <c r="AV86" s="750"/>
    </row>
    <row r="87" ht="15" customHeight="1" spans="2:48">
      <c r="B87" s="767" t="s">
        <v>1531</v>
      </c>
      <c r="C87" s="784"/>
      <c r="D87" s="784"/>
      <c r="E87" s="784"/>
      <c r="F87" s="784"/>
      <c r="G87" s="784"/>
      <c r="H87" s="770"/>
      <c r="I87" s="769" t="s">
        <v>1464</v>
      </c>
      <c r="J87" s="769" t="s">
        <v>199</v>
      </c>
      <c r="K87" s="769" t="s">
        <v>199</v>
      </c>
      <c r="L87" s="750"/>
      <c r="M87" s="750"/>
      <c r="N87" s="750"/>
      <c r="O87" s="750"/>
      <c r="P87" s="750"/>
      <c r="Q87" s="750"/>
      <c r="R87" s="750"/>
      <c r="S87" s="750"/>
      <c r="T87" s="750"/>
      <c r="U87" s="750"/>
      <c r="V87" s="750"/>
      <c r="W87" s="750"/>
      <c r="X87" s="750"/>
      <c r="Y87" s="750"/>
      <c r="Z87" s="750"/>
      <c r="AA87" s="750"/>
      <c r="AB87" s="750"/>
      <c r="AC87" s="750"/>
      <c r="AD87" s="750"/>
      <c r="AE87" s="750"/>
      <c r="AF87" s="750"/>
      <c r="AG87" s="750"/>
      <c r="AH87" s="750"/>
      <c r="AI87" s="750"/>
      <c r="AJ87" s="750"/>
      <c r="AK87" s="750"/>
      <c r="AL87" s="750"/>
      <c r="AM87" s="750"/>
      <c r="AN87" s="750"/>
      <c r="AO87" s="750"/>
      <c r="AP87" s="750"/>
      <c r="AQ87" s="750"/>
      <c r="AR87" s="750"/>
      <c r="AS87" s="750"/>
      <c r="AT87" s="750"/>
      <c r="AU87" s="750"/>
      <c r="AV87" s="750"/>
    </row>
    <row r="88" ht="15" customHeight="1" spans="2:48">
      <c r="B88" s="767" t="s">
        <v>1532</v>
      </c>
      <c r="C88" s="784"/>
      <c r="D88" s="784"/>
      <c r="E88" s="784"/>
      <c r="F88" s="784"/>
      <c r="G88" s="784"/>
      <c r="H88" s="770"/>
      <c r="I88" s="769" t="s">
        <v>1464</v>
      </c>
      <c r="J88" s="769" t="s">
        <v>199</v>
      </c>
      <c r="K88" s="769" t="s">
        <v>199</v>
      </c>
      <c r="L88" s="750">
        <v>0</v>
      </c>
      <c r="M88" s="750">
        <v>0</v>
      </c>
      <c r="N88" s="750">
        <v>0</v>
      </c>
      <c r="O88" s="750">
        <v>0</v>
      </c>
      <c r="P88" s="750">
        <v>0</v>
      </c>
      <c r="Q88" s="750">
        <v>0</v>
      </c>
      <c r="R88" s="750">
        <v>0</v>
      </c>
      <c r="S88" s="750">
        <v>0</v>
      </c>
      <c r="T88" s="750">
        <v>0</v>
      </c>
      <c r="U88" s="750">
        <v>0</v>
      </c>
      <c r="V88" s="750">
        <v>0</v>
      </c>
      <c r="W88" s="750">
        <v>0</v>
      </c>
      <c r="X88" s="750"/>
      <c r="Y88" s="750">
        <v>0</v>
      </c>
      <c r="Z88" s="750">
        <v>0</v>
      </c>
      <c r="AA88" s="750">
        <v>0</v>
      </c>
      <c r="AB88" s="750">
        <v>0</v>
      </c>
      <c r="AC88" s="750">
        <v>0</v>
      </c>
      <c r="AD88" s="750">
        <v>0</v>
      </c>
      <c r="AE88" s="750">
        <v>0</v>
      </c>
      <c r="AF88" s="750">
        <v>0</v>
      </c>
      <c r="AG88" s="750">
        <v>0</v>
      </c>
      <c r="AH88" s="750">
        <v>0</v>
      </c>
      <c r="AI88" s="750">
        <v>0</v>
      </c>
      <c r="AJ88" s="750">
        <v>0</v>
      </c>
      <c r="AK88" s="750">
        <v>0</v>
      </c>
      <c r="AL88" s="750">
        <v>0</v>
      </c>
      <c r="AM88" s="750">
        <v>0</v>
      </c>
      <c r="AN88" s="750">
        <v>0</v>
      </c>
      <c r="AO88" s="750">
        <v>0</v>
      </c>
      <c r="AP88" s="750">
        <v>0</v>
      </c>
      <c r="AQ88" s="750">
        <v>0</v>
      </c>
      <c r="AR88" s="750">
        <v>0</v>
      </c>
      <c r="AS88" s="750">
        <v>0</v>
      </c>
      <c r="AT88" s="750">
        <v>0</v>
      </c>
      <c r="AU88" s="750">
        <v>0</v>
      </c>
      <c r="AV88" s="750">
        <v>0</v>
      </c>
    </row>
    <row r="89" ht="15" customHeight="1" spans="2:48">
      <c r="B89" s="767" t="s">
        <v>1533</v>
      </c>
      <c r="C89" s="784"/>
      <c r="D89" s="784"/>
      <c r="E89" s="784"/>
      <c r="F89" s="784"/>
      <c r="G89" s="784" t="s">
        <v>1534</v>
      </c>
      <c r="H89" s="770"/>
      <c r="I89" s="769" t="s">
        <v>1464</v>
      </c>
      <c r="J89" s="769" t="s">
        <v>199</v>
      </c>
      <c r="K89" s="769" t="s">
        <v>199</v>
      </c>
      <c r="L89" s="750">
        <v>0</v>
      </c>
      <c r="M89" s="750">
        <v>0</v>
      </c>
      <c r="N89" s="750">
        <v>0</v>
      </c>
      <c r="O89" s="750">
        <v>0</v>
      </c>
      <c r="P89" s="750">
        <v>0</v>
      </c>
      <c r="Q89" s="750">
        <v>0</v>
      </c>
      <c r="R89" s="750">
        <v>0</v>
      </c>
      <c r="S89" s="750">
        <v>0</v>
      </c>
      <c r="T89" s="750">
        <v>0</v>
      </c>
      <c r="U89" s="750">
        <v>0</v>
      </c>
      <c r="V89" s="750">
        <v>0</v>
      </c>
      <c r="W89" s="750">
        <v>0</v>
      </c>
      <c r="X89" s="750"/>
      <c r="Y89" s="750">
        <v>0</v>
      </c>
      <c r="Z89" s="750">
        <v>0</v>
      </c>
      <c r="AA89" s="750">
        <v>0</v>
      </c>
      <c r="AB89" s="750">
        <v>0</v>
      </c>
      <c r="AC89" s="750">
        <v>0</v>
      </c>
      <c r="AD89" s="750">
        <v>0</v>
      </c>
      <c r="AE89" s="750">
        <v>0</v>
      </c>
      <c r="AF89" s="750">
        <v>0</v>
      </c>
      <c r="AG89" s="750">
        <v>0</v>
      </c>
      <c r="AH89" s="750">
        <v>0</v>
      </c>
      <c r="AI89" s="750">
        <v>0</v>
      </c>
      <c r="AJ89" s="750">
        <v>0</v>
      </c>
      <c r="AK89" s="750">
        <v>0</v>
      </c>
      <c r="AL89" s="750">
        <v>0</v>
      </c>
      <c r="AM89" s="750">
        <v>0</v>
      </c>
      <c r="AN89" s="750">
        <v>0</v>
      </c>
      <c r="AO89" s="750">
        <v>0</v>
      </c>
      <c r="AP89" s="750">
        <v>0</v>
      </c>
      <c r="AQ89" s="750">
        <v>0</v>
      </c>
      <c r="AR89" s="750">
        <v>0</v>
      </c>
      <c r="AS89" s="750">
        <v>0</v>
      </c>
      <c r="AT89" s="750">
        <v>0</v>
      </c>
      <c r="AU89" s="750">
        <v>0</v>
      </c>
      <c r="AV89" s="750">
        <v>0</v>
      </c>
    </row>
    <row r="90" ht="15" customHeight="1" spans="2:48">
      <c r="B90" s="767" t="s">
        <v>1535</v>
      </c>
      <c r="C90" s="784"/>
      <c r="D90" s="784" t="s">
        <v>1534</v>
      </c>
      <c r="E90" s="784"/>
      <c r="F90" s="784"/>
      <c r="G90" s="784" t="s">
        <v>1534</v>
      </c>
      <c r="H90" s="770"/>
      <c r="I90" s="769" t="s">
        <v>1464</v>
      </c>
      <c r="J90" s="769" t="s">
        <v>199</v>
      </c>
      <c r="K90" s="769" t="s">
        <v>199</v>
      </c>
      <c r="L90" s="750">
        <v>0</v>
      </c>
      <c r="M90" s="750">
        <v>0</v>
      </c>
      <c r="N90" s="750">
        <v>0</v>
      </c>
      <c r="O90" s="750">
        <v>0</v>
      </c>
      <c r="P90" s="750">
        <v>0</v>
      </c>
      <c r="Q90" s="750">
        <v>0</v>
      </c>
      <c r="R90" s="750">
        <v>0</v>
      </c>
      <c r="S90" s="750">
        <v>0</v>
      </c>
      <c r="T90" s="750">
        <v>0</v>
      </c>
      <c r="U90" s="750">
        <v>0</v>
      </c>
      <c r="V90" s="750">
        <v>0</v>
      </c>
      <c r="W90" s="750">
        <v>0</v>
      </c>
      <c r="X90" s="750"/>
      <c r="Y90" s="750">
        <v>0</v>
      </c>
      <c r="Z90" s="750">
        <v>0</v>
      </c>
      <c r="AA90" s="750">
        <v>0</v>
      </c>
      <c r="AB90" s="750">
        <v>0</v>
      </c>
      <c r="AC90" s="750">
        <v>0</v>
      </c>
      <c r="AD90" s="750">
        <v>0</v>
      </c>
      <c r="AE90" s="750">
        <v>0</v>
      </c>
      <c r="AF90" s="750">
        <v>0</v>
      </c>
      <c r="AG90" s="750">
        <v>0</v>
      </c>
      <c r="AH90" s="750">
        <v>0</v>
      </c>
      <c r="AI90" s="750">
        <v>0</v>
      </c>
      <c r="AJ90" s="750">
        <v>0</v>
      </c>
      <c r="AK90" s="750">
        <v>0</v>
      </c>
      <c r="AL90" s="750">
        <v>0</v>
      </c>
      <c r="AM90" s="750">
        <v>0</v>
      </c>
      <c r="AN90" s="750">
        <v>0</v>
      </c>
      <c r="AO90" s="750">
        <v>0</v>
      </c>
      <c r="AP90" s="750">
        <v>0</v>
      </c>
      <c r="AQ90" s="750">
        <v>0</v>
      </c>
      <c r="AR90" s="750">
        <v>0</v>
      </c>
      <c r="AS90" s="750">
        <v>0</v>
      </c>
      <c r="AT90" s="750">
        <v>0</v>
      </c>
      <c r="AU90" s="750">
        <v>0</v>
      </c>
      <c r="AV90" s="750">
        <v>0</v>
      </c>
    </row>
    <row r="91" ht="15" customHeight="1" spans="2:48">
      <c r="B91" s="767" t="s">
        <v>1536</v>
      </c>
      <c r="C91" s="784"/>
      <c r="D91" s="784" t="s">
        <v>1534</v>
      </c>
      <c r="E91" s="784"/>
      <c r="F91" s="784"/>
      <c r="G91" s="784" t="s">
        <v>1534</v>
      </c>
      <c r="H91" s="770"/>
      <c r="I91" s="769" t="s">
        <v>1464</v>
      </c>
      <c r="J91" s="769" t="s">
        <v>199</v>
      </c>
      <c r="K91" s="769" t="s">
        <v>199</v>
      </c>
      <c r="L91" s="750">
        <v>0</v>
      </c>
      <c r="M91" s="750">
        <v>0</v>
      </c>
      <c r="N91" s="750">
        <v>0</v>
      </c>
      <c r="O91" s="750">
        <v>0</v>
      </c>
      <c r="P91" s="750">
        <v>0</v>
      </c>
      <c r="Q91" s="750">
        <v>0</v>
      </c>
      <c r="R91" s="750">
        <v>0</v>
      </c>
      <c r="S91" s="750">
        <v>0</v>
      </c>
      <c r="T91" s="750">
        <v>0</v>
      </c>
      <c r="U91" s="750">
        <v>0</v>
      </c>
      <c r="V91" s="750">
        <v>0</v>
      </c>
      <c r="W91" s="750">
        <v>0</v>
      </c>
      <c r="X91" s="750"/>
      <c r="Y91" s="750">
        <v>0</v>
      </c>
      <c r="Z91" s="750">
        <v>0</v>
      </c>
      <c r="AA91" s="750">
        <v>0</v>
      </c>
      <c r="AB91" s="750">
        <v>0</v>
      </c>
      <c r="AC91" s="750">
        <v>0</v>
      </c>
      <c r="AD91" s="750">
        <v>0</v>
      </c>
      <c r="AE91" s="750">
        <v>0</v>
      </c>
      <c r="AF91" s="750">
        <v>0</v>
      </c>
      <c r="AG91" s="750">
        <v>0</v>
      </c>
      <c r="AH91" s="750">
        <v>0</v>
      </c>
      <c r="AI91" s="750">
        <v>0</v>
      </c>
      <c r="AJ91" s="750">
        <v>0</v>
      </c>
      <c r="AK91" s="750">
        <v>0</v>
      </c>
      <c r="AL91" s="750">
        <v>0</v>
      </c>
      <c r="AM91" s="750">
        <v>0</v>
      </c>
      <c r="AN91" s="750">
        <v>0</v>
      </c>
      <c r="AO91" s="750">
        <v>0</v>
      </c>
      <c r="AP91" s="750">
        <v>0</v>
      </c>
      <c r="AQ91" s="750">
        <v>0</v>
      </c>
      <c r="AR91" s="750">
        <v>0</v>
      </c>
      <c r="AS91" s="750">
        <v>0</v>
      </c>
      <c r="AT91" s="750">
        <v>0</v>
      </c>
      <c r="AU91" s="750">
        <v>0</v>
      </c>
      <c r="AV91" s="750">
        <v>0</v>
      </c>
    </row>
    <row r="92" ht="15" customHeight="1" spans="2:48">
      <c r="B92" s="767" t="s">
        <v>1537</v>
      </c>
      <c r="C92" s="784"/>
      <c r="D92" s="784" t="s">
        <v>1534</v>
      </c>
      <c r="E92" s="784"/>
      <c r="F92" s="784"/>
      <c r="G92" s="784" t="s">
        <v>1534</v>
      </c>
      <c r="H92" s="770"/>
      <c r="I92" s="769" t="s">
        <v>1464</v>
      </c>
      <c r="J92" s="769" t="s">
        <v>199</v>
      </c>
      <c r="K92" s="769" t="s">
        <v>199</v>
      </c>
      <c r="L92" s="750">
        <v>0</v>
      </c>
      <c r="M92" s="750">
        <v>0</v>
      </c>
      <c r="N92" s="750">
        <v>0</v>
      </c>
      <c r="O92" s="750">
        <v>0</v>
      </c>
      <c r="P92" s="750">
        <v>0</v>
      </c>
      <c r="Q92" s="750">
        <v>0</v>
      </c>
      <c r="R92" s="750">
        <v>0</v>
      </c>
      <c r="S92" s="750">
        <v>0</v>
      </c>
      <c r="T92" s="750">
        <v>0</v>
      </c>
      <c r="U92" s="750">
        <v>0</v>
      </c>
      <c r="V92" s="750">
        <v>0</v>
      </c>
      <c r="W92" s="750">
        <v>0</v>
      </c>
      <c r="X92" s="750"/>
      <c r="Y92" s="750">
        <v>0</v>
      </c>
      <c r="Z92" s="750">
        <v>0</v>
      </c>
      <c r="AA92" s="750">
        <v>0</v>
      </c>
      <c r="AB92" s="750">
        <v>0</v>
      </c>
      <c r="AC92" s="750">
        <v>0</v>
      </c>
      <c r="AD92" s="750">
        <v>0</v>
      </c>
      <c r="AE92" s="750">
        <v>0</v>
      </c>
      <c r="AF92" s="750">
        <v>0</v>
      </c>
      <c r="AG92" s="750">
        <v>0</v>
      </c>
      <c r="AH92" s="750">
        <v>0</v>
      </c>
      <c r="AI92" s="750">
        <v>0</v>
      </c>
      <c r="AJ92" s="750">
        <v>0</v>
      </c>
      <c r="AK92" s="750">
        <v>0</v>
      </c>
      <c r="AL92" s="750">
        <v>0</v>
      </c>
      <c r="AM92" s="750">
        <v>0</v>
      </c>
      <c r="AN92" s="750">
        <v>0</v>
      </c>
      <c r="AO92" s="750">
        <v>0</v>
      </c>
      <c r="AP92" s="750">
        <v>0</v>
      </c>
      <c r="AQ92" s="750">
        <v>0</v>
      </c>
      <c r="AR92" s="750">
        <v>0</v>
      </c>
      <c r="AS92" s="750">
        <v>0</v>
      </c>
      <c r="AT92" s="750">
        <v>0</v>
      </c>
      <c r="AU92" s="750">
        <v>0</v>
      </c>
      <c r="AV92" s="750">
        <v>0</v>
      </c>
    </row>
    <row r="93" ht="15" customHeight="1" spans="2:48">
      <c r="B93" s="767" t="s">
        <v>1538</v>
      </c>
      <c r="C93" s="784"/>
      <c r="D93" s="784" t="s">
        <v>1534</v>
      </c>
      <c r="E93" s="784"/>
      <c r="F93" s="784"/>
      <c r="G93" s="784" t="s">
        <v>1534</v>
      </c>
      <c r="H93" s="770"/>
      <c r="I93" s="769" t="s">
        <v>1464</v>
      </c>
      <c r="J93" s="769" t="s">
        <v>199</v>
      </c>
      <c r="K93" s="769" t="s">
        <v>199</v>
      </c>
      <c r="L93" s="750">
        <v>0</v>
      </c>
      <c r="M93" s="750">
        <v>0</v>
      </c>
      <c r="N93" s="750">
        <v>0</v>
      </c>
      <c r="O93" s="750">
        <v>0</v>
      </c>
      <c r="P93" s="750">
        <v>0</v>
      </c>
      <c r="Q93" s="750">
        <v>0</v>
      </c>
      <c r="R93" s="750">
        <v>0</v>
      </c>
      <c r="S93" s="750">
        <v>0</v>
      </c>
      <c r="T93" s="750">
        <v>0</v>
      </c>
      <c r="U93" s="750">
        <v>0</v>
      </c>
      <c r="V93" s="750">
        <v>0</v>
      </c>
      <c r="W93" s="750">
        <v>0</v>
      </c>
      <c r="X93" s="750"/>
      <c r="Y93" s="750">
        <v>0</v>
      </c>
      <c r="Z93" s="750">
        <v>0</v>
      </c>
      <c r="AA93" s="750">
        <v>0</v>
      </c>
      <c r="AB93" s="750">
        <v>0</v>
      </c>
      <c r="AC93" s="750">
        <v>0</v>
      </c>
      <c r="AD93" s="750">
        <v>0</v>
      </c>
      <c r="AE93" s="750">
        <v>0</v>
      </c>
      <c r="AF93" s="750">
        <v>0</v>
      </c>
      <c r="AG93" s="750">
        <v>0</v>
      </c>
      <c r="AH93" s="750">
        <v>0</v>
      </c>
      <c r="AI93" s="750">
        <v>0</v>
      </c>
      <c r="AJ93" s="750">
        <v>0</v>
      </c>
      <c r="AK93" s="750">
        <v>0</v>
      </c>
      <c r="AL93" s="750">
        <v>0</v>
      </c>
      <c r="AM93" s="750">
        <v>0</v>
      </c>
      <c r="AN93" s="750">
        <v>0</v>
      </c>
      <c r="AO93" s="750">
        <v>0</v>
      </c>
      <c r="AP93" s="750">
        <v>0</v>
      </c>
      <c r="AQ93" s="750">
        <v>0</v>
      </c>
      <c r="AR93" s="750">
        <v>0</v>
      </c>
      <c r="AS93" s="750">
        <v>0</v>
      </c>
      <c r="AT93" s="750">
        <v>0</v>
      </c>
      <c r="AU93" s="750">
        <v>0</v>
      </c>
      <c r="AV93" s="750">
        <v>0</v>
      </c>
    </row>
    <row r="94" ht="15" customHeight="1" spans="2:48">
      <c r="B94" s="767" t="s">
        <v>1539</v>
      </c>
      <c r="C94" s="784"/>
      <c r="D94" s="784" t="s">
        <v>1534</v>
      </c>
      <c r="E94" s="784"/>
      <c r="F94" s="784"/>
      <c r="G94" s="784" t="s">
        <v>1534</v>
      </c>
      <c r="H94" s="770"/>
      <c r="I94" s="769" t="s">
        <v>1464</v>
      </c>
      <c r="J94" s="769" t="s">
        <v>199</v>
      </c>
      <c r="K94" s="769" t="s">
        <v>199</v>
      </c>
      <c r="L94" s="750">
        <v>0</v>
      </c>
      <c r="M94" s="750">
        <v>0</v>
      </c>
      <c r="N94" s="750">
        <v>0</v>
      </c>
      <c r="O94" s="750">
        <v>0</v>
      </c>
      <c r="P94" s="750">
        <v>0</v>
      </c>
      <c r="Q94" s="750">
        <v>0</v>
      </c>
      <c r="R94" s="750">
        <v>0</v>
      </c>
      <c r="S94" s="750">
        <v>0</v>
      </c>
      <c r="T94" s="750">
        <v>0</v>
      </c>
      <c r="U94" s="750">
        <v>0</v>
      </c>
      <c r="V94" s="750">
        <v>0</v>
      </c>
      <c r="W94" s="750">
        <v>0</v>
      </c>
      <c r="X94" s="750"/>
      <c r="Y94" s="750">
        <v>0</v>
      </c>
      <c r="Z94" s="750">
        <v>0</v>
      </c>
      <c r="AA94" s="750">
        <v>0</v>
      </c>
      <c r="AB94" s="750">
        <v>0</v>
      </c>
      <c r="AC94" s="750">
        <v>0</v>
      </c>
      <c r="AD94" s="750">
        <v>0</v>
      </c>
      <c r="AE94" s="750">
        <v>0</v>
      </c>
      <c r="AF94" s="750">
        <v>0</v>
      </c>
      <c r="AG94" s="750">
        <v>0</v>
      </c>
      <c r="AH94" s="750">
        <v>0</v>
      </c>
      <c r="AI94" s="750">
        <v>0</v>
      </c>
      <c r="AJ94" s="750">
        <v>0</v>
      </c>
      <c r="AK94" s="750">
        <v>0</v>
      </c>
      <c r="AL94" s="750">
        <v>0</v>
      </c>
      <c r="AM94" s="750">
        <v>0</v>
      </c>
      <c r="AN94" s="750">
        <v>0</v>
      </c>
      <c r="AO94" s="750">
        <v>0</v>
      </c>
      <c r="AP94" s="750">
        <v>0</v>
      </c>
      <c r="AQ94" s="750">
        <v>0</v>
      </c>
      <c r="AR94" s="750">
        <v>0</v>
      </c>
      <c r="AS94" s="750">
        <v>0</v>
      </c>
      <c r="AT94" s="750">
        <v>0</v>
      </c>
      <c r="AU94" s="750">
        <v>0</v>
      </c>
      <c r="AV94" s="750">
        <v>0</v>
      </c>
    </row>
    <row r="95" ht="15" customHeight="1" spans="2:48">
      <c r="B95" s="767" t="s">
        <v>1540</v>
      </c>
      <c r="C95" s="784"/>
      <c r="D95" s="784" t="s">
        <v>1534</v>
      </c>
      <c r="E95" s="784"/>
      <c r="F95" s="784"/>
      <c r="G95" s="784" t="s">
        <v>1534</v>
      </c>
      <c r="H95" s="770"/>
      <c r="I95" s="769" t="s">
        <v>1464</v>
      </c>
      <c r="J95" s="769" t="s">
        <v>199</v>
      </c>
      <c r="K95" s="769" t="s">
        <v>199</v>
      </c>
      <c r="L95" s="750">
        <v>0</v>
      </c>
      <c r="M95" s="750">
        <v>0</v>
      </c>
      <c r="N95" s="750">
        <v>0</v>
      </c>
      <c r="O95" s="750">
        <v>0</v>
      </c>
      <c r="P95" s="750">
        <v>0</v>
      </c>
      <c r="Q95" s="750">
        <v>0</v>
      </c>
      <c r="R95" s="750">
        <v>0</v>
      </c>
      <c r="S95" s="750">
        <v>0</v>
      </c>
      <c r="T95" s="750">
        <v>0</v>
      </c>
      <c r="U95" s="750">
        <v>0</v>
      </c>
      <c r="V95" s="750">
        <v>0</v>
      </c>
      <c r="W95" s="750">
        <v>0</v>
      </c>
      <c r="X95" s="750"/>
      <c r="Y95" s="750">
        <v>0</v>
      </c>
      <c r="Z95" s="750">
        <v>0</v>
      </c>
      <c r="AA95" s="750">
        <v>0</v>
      </c>
      <c r="AB95" s="750">
        <v>0</v>
      </c>
      <c r="AC95" s="750">
        <v>0</v>
      </c>
      <c r="AD95" s="750">
        <v>0</v>
      </c>
      <c r="AE95" s="750">
        <v>0</v>
      </c>
      <c r="AF95" s="750">
        <v>0</v>
      </c>
      <c r="AG95" s="750">
        <v>0</v>
      </c>
      <c r="AH95" s="750">
        <v>0</v>
      </c>
      <c r="AI95" s="750">
        <v>0</v>
      </c>
      <c r="AJ95" s="750">
        <v>0</v>
      </c>
      <c r="AK95" s="750">
        <v>0</v>
      </c>
      <c r="AL95" s="750">
        <v>0</v>
      </c>
      <c r="AM95" s="750">
        <v>0</v>
      </c>
      <c r="AN95" s="750">
        <v>0</v>
      </c>
      <c r="AO95" s="750">
        <v>0</v>
      </c>
      <c r="AP95" s="750">
        <v>0</v>
      </c>
      <c r="AQ95" s="750">
        <v>0</v>
      </c>
      <c r="AR95" s="750">
        <v>0</v>
      </c>
      <c r="AS95" s="750">
        <v>0</v>
      </c>
      <c r="AT95" s="750">
        <v>0</v>
      </c>
      <c r="AU95" s="750">
        <v>0</v>
      </c>
      <c r="AV95" s="750">
        <v>0</v>
      </c>
    </row>
    <row r="96" ht="15" customHeight="1" spans="2:48">
      <c r="B96" s="767" t="s">
        <v>1541</v>
      </c>
      <c r="C96" s="784"/>
      <c r="D96" s="784" t="s">
        <v>1534</v>
      </c>
      <c r="E96" s="784"/>
      <c r="F96" s="784"/>
      <c r="G96" s="784" t="s">
        <v>1534</v>
      </c>
      <c r="H96" s="770"/>
      <c r="I96" s="769" t="s">
        <v>1464</v>
      </c>
      <c r="J96" s="769" t="s">
        <v>199</v>
      </c>
      <c r="K96" s="769" t="s">
        <v>199</v>
      </c>
      <c r="L96" s="750">
        <v>0</v>
      </c>
      <c r="M96" s="750">
        <v>0</v>
      </c>
      <c r="N96" s="750">
        <v>0</v>
      </c>
      <c r="O96" s="750">
        <v>0</v>
      </c>
      <c r="P96" s="750">
        <v>0</v>
      </c>
      <c r="Q96" s="750">
        <v>0</v>
      </c>
      <c r="R96" s="750">
        <v>0</v>
      </c>
      <c r="S96" s="750">
        <v>0</v>
      </c>
      <c r="T96" s="750">
        <v>0</v>
      </c>
      <c r="U96" s="750">
        <v>0</v>
      </c>
      <c r="V96" s="750">
        <v>0</v>
      </c>
      <c r="W96" s="750">
        <v>0</v>
      </c>
      <c r="X96" s="750"/>
      <c r="Y96" s="750">
        <v>0</v>
      </c>
      <c r="Z96" s="750">
        <v>0</v>
      </c>
      <c r="AA96" s="750">
        <v>0</v>
      </c>
      <c r="AB96" s="750">
        <v>0</v>
      </c>
      <c r="AC96" s="750">
        <v>0</v>
      </c>
      <c r="AD96" s="750">
        <v>0</v>
      </c>
      <c r="AE96" s="750">
        <v>0</v>
      </c>
      <c r="AF96" s="750">
        <v>0</v>
      </c>
      <c r="AG96" s="750">
        <v>0</v>
      </c>
      <c r="AH96" s="750">
        <v>0</v>
      </c>
      <c r="AI96" s="750">
        <v>0</v>
      </c>
      <c r="AJ96" s="750">
        <v>0</v>
      </c>
      <c r="AK96" s="750">
        <v>0</v>
      </c>
      <c r="AL96" s="750">
        <v>0</v>
      </c>
      <c r="AM96" s="750">
        <v>0</v>
      </c>
      <c r="AN96" s="750">
        <v>0</v>
      </c>
      <c r="AO96" s="750">
        <v>0</v>
      </c>
      <c r="AP96" s="750">
        <v>0</v>
      </c>
      <c r="AQ96" s="750">
        <v>0</v>
      </c>
      <c r="AR96" s="750">
        <v>0</v>
      </c>
      <c r="AS96" s="750">
        <v>0</v>
      </c>
      <c r="AT96" s="750">
        <v>0</v>
      </c>
      <c r="AU96" s="750">
        <v>0</v>
      </c>
      <c r="AV96" s="750">
        <v>0</v>
      </c>
    </row>
    <row r="97" ht="15" customHeight="1" spans="2:48">
      <c r="B97" s="767" t="s">
        <v>1542</v>
      </c>
      <c r="C97" s="784"/>
      <c r="D97" s="784" t="s">
        <v>1534</v>
      </c>
      <c r="E97" s="784"/>
      <c r="F97" s="784"/>
      <c r="G97" s="784" t="s">
        <v>1534</v>
      </c>
      <c r="H97" s="770"/>
      <c r="I97" s="769" t="s">
        <v>1464</v>
      </c>
      <c r="J97" s="769" t="s">
        <v>199</v>
      </c>
      <c r="K97" s="769" t="s">
        <v>199</v>
      </c>
      <c r="L97" s="750">
        <v>0</v>
      </c>
      <c r="M97" s="750">
        <v>0</v>
      </c>
      <c r="N97" s="750">
        <v>0</v>
      </c>
      <c r="O97" s="750">
        <v>0</v>
      </c>
      <c r="P97" s="750">
        <v>0</v>
      </c>
      <c r="Q97" s="750">
        <v>0</v>
      </c>
      <c r="R97" s="750">
        <v>0</v>
      </c>
      <c r="S97" s="750">
        <v>0</v>
      </c>
      <c r="T97" s="750">
        <v>0</v>
      </c>
      <c r="U97" s="750">
        <v>0</v>
      </c>
      <c r="V97" s="750">
        <v>0</v>
      </c>
      <c r="W97" s="750">
        <v>0</v>
      </c>
      <c r="X97" s="750"/>
      <c r="Y97" s="750">
        <v>0</v>
      </c>
      <c r="Z97" s="750">
        <v>0</v>
      </c>
      <c r="AA97" s="750">
        <v>0</v>
      </c>
      <c r="AB97" s="750">
        <v>0</v>
      </c>
      <c r="AC97" s="750">
        <v>0</v>
      </c>
      <c r="AD97" s="750">
        <v>0</v>
      </c>
      <c r="AE97" s="750">
        <v>0</v>
      </c>
      <c r="AF97" s="750">
        <v>0</v>
      </c>
      <c r="AG97" s="750">
        <v>0</v>
      </c>
      <c r="AH97" s="750">
        <v>0</v>
      </c>
      <c r="AI97" s="750">
        <v>0</v>
      </c>
      <c r="AJ97" s="750">
        <v>0</v>
      </c>
      <c r="AK97" s="750">
        <v>0</v>
      </c>
      <c r="AL97" s="750">
        <v>0</v>
      </c>
      <c r="AM97" s="750">
        <v>0</v>
      </c>
      <c r="AN97" s="750">
        <v>0</v>
      </c>
      <c r="AO97" s="750">
        <v>0</v>
      </c>
      <c r="AP97" s="750">
        <v>0</v>
      </c>
      <c r="AQ97" s="750">
        <v>0</v>
      </c>
      <c r="AR97" s="750">
        <v>0</v>
      </c>
      <c r="AS97" s="750">
        <v>0</v>
      </c>
      <c r="AT97" s="750">
        <v>0</v>
      </c>
      <c r="AU97" s="750">
        <v>0</v>
      </c>
      <c r="AV97" s="750">
        <v>0</v>
      </c>
    </row>
    <row r="98" ht="15" customHeight="1" spans="2:48">
      <c r="B98" s="767" t="s">
        <v>1543</v>
      </c>
      <c r="C98" s="784"/>
      <c r="D98" s="784" t="s">
        <v>1534</v>
      </c>
      <c r="E98" s="784"/>
      <c r="F98" s="784"/>
      <c r="G98" s="784" t="s">
        <v>1534</v>
      </c>
      <c r="H98" s="770"/>
      <c r="I98" s="769" t="s">
        <v>1464</v>
      </c>
      <c r="J98" s="769" t="s">
        <v>199</v>
      </c>
      <c r="K98" s="769" t="s">
        <v>199</v>
      </c>
      <c r="L98" s="750">
        <v>0</v>
      </c>
      <c r="M98" s="750">
        <v>0</v>
      </c>
      <c r="N98" s="750">
        <v>0</v>
      </c>
      <c r="O98" s="750">
        <v>0</v>
      </c>
      <c r="P98" s="750">
        <v>0</v>
      </c>
      <c r="Q98" s="750">
        <v>0</v>
      </c>
      <c r="R98" s="750">
        <v>0</v>
      </c>
      <c r="S98" s="750">
        <v>0</v>
      </c>
      <c r="T98" s="750">
        <v>0</v>
      </c>
      <c r="U98" s="750">
        <v>0</v>
      </c>
      <c r="V98" s="750">
        <v>0</v>
      </c>
      <c r="W98" s="750">
        <v>0</v>
      </c>
      <c r="X98" s="750"/>
      <c r="Y98" s="750">
        <v>0</v>
      </c>
      <c r="Z98" s="750">
        <v>0</v>
      </c>
      <c r="AA98" s="750">
        <v>0</v>
      </c>
      <c r="AB98" s="750">
        <v>0</v>
      </c>
      <c r="AC98" s="750">
        <v>0</v>
      </c>
      <c r="AD98" s="750">
        <v>0</v>
      </c>
      <c r="AE98" s="750">
        <v>0</v>
      </c>
      <c r="AF98" s="750">
        <v>0</v>
      </c>
      <c r="AG98" s="750">
        <v>0</v>
      </c>
      <c r="AH98" s="750">
        <v>0</v>
      </c>
      <c r="AI98" s="750">
        <v>0</v>
      </c>
      <c r="AJ98" s="750">
        <v>0</v>
      </c>
      <c r="AK98" s="750">
        <v>0</v>
      </c>
      <c r="AL98" s="750">
        <v>0</v>
      </c>
      <c r="AM98" s="750">
        <v>0</v>
      </c>
      <c r="AN98" s="750">
        <v>0</v>
      </c>
      <c r="AO98" s="750">
        <v>0</v>
      </c>
      <c r="AP98" s="750">
        <v>0</v>
      </c>
      <c r="AQ98" s="750">
        <v>0</v>
      </c>
      <c r="AR98" s="750">
        <v>0</v>
      </c>
      <c r="AS98" s="750">
        <v>0</v>
      </c>
      <c r="AT98" s="750">
        <v>0</v>
      </c>
      <c r="AU98" s="750">
        <v>0</v>
      </c>
      <c r="AV98" s="750">
        <v>0</v>
      </c>
    </row>
    <row r="99" ht="15" customHeight="1" spans="2:48">
      <c r="B99" s="767" t="s">
        <v>1544</v>
      </c>
      <c r="C99" s="784"/>
      <c r="D99" s="784" t="s">
        <v>1534</v>
      </c>
      <c r="E99" s="784"/>
      <c r="F99" s="784"/>
      <c r="G99" s="784" t="s">
        <v>1534</v>
      </c>
      <c r="H99" s="770"/>
      <c r="I99" s="769" t="s">
        <v>1464</v>
      </c>
      <c r="J99" s="769" t="s">
        <v>199</v>
      </c>
      <c r="K99" s="769" t="s">
        <v>199</v>
      </c>
      <c r="L99" s="750">
        <v>0</v>
      </c>
      <c r="M99" s="750">
        <v>0</v>
      </c>
      <c r="N99" s="750">
        <v>0</v>
      </c>
      <c r="O99" s="750">
        <v>0</v>
      </c>
      <c r="P99" s="750">
        <v>0</v>
      </c>
      <c r="Q99" s="750">
        <v>0</v>
      </c>
      <c r="R99" s="750">
        <v>0</v>
      </c>
      <c r="S99" s="750">
        <v>0</v>
      </c>
      <c r="T99" s="750">
        <v>0</v>
      </c>
      <c r="U99" s="750">
        <v>0</v>
      </c>
      <c r="V99" s="750">
        <v>0</v>
      </c>
      <c r="W99" s="750">
        <v>0</v>
      </c>
      <c r="X99" s="750"/>
      <c r="Y99" s="750">
        <v>0</v>
      </c>
      <c r="Z99" s="750">
        <v>0</v>
      </c>
      <c r="AA99" s="750">
        <v>0</v>
      </c>
      <c r="AB99" s="750">
        <v>0</v>
      </c>
      <c r="AC99" s="750">
        <v>0</v>
      </c>
      <c r="AD99" s="750">
        <v>0</v>
      </c>
      <c r="AE99" s="750">
        <v>0</v>
      </c>
      <c r="AF99" s="750">
        <v>0</v>
      </c>
      <c r="AG99" s="750">
        <v>0</v>
      </c>
      <c r="AH99" s="750">
        <v>0</v>
      </c>
      <c r="AI99" s="750">
        <v>0</v>
      </c>
      <c r="AJ99" s="750">
        <v>0</v>
      </c>
      <c r="AK99" s="750">
        <v>0</v>
      </c>
      <c r="AL99" s="750">
        <v>0</v>
      </c>
      <c r="AM99" s="750">
        <v>0</v>
      </c>
      <c r="AN99" s="750">
        <v>0</v>
      </c>
      <c r="AO99" s="750">
        <v>0</v>
      </c>
      <c r="AP99" s="750">
        <v>0</v>
      </c>
      <c r="AQ99" s="750">
        <v>0</v>
      </c>
      <c r="AR99" s="750">
        <v>0</v>
      </c>
      <c r="AS99" s="750">
        <v>0</v>
      </c>
      <c r="AT99" s="750">
        <v>0</v>
      </c>
      <c r="AU99" s="750">
        <v>0</v>
      </c>
      <c r="AV99" s="750">
        <v>0</v>
      </c>
    </row>
    <row r="100" ht="15" customHeight="1" spans="2:48">
      <c r="B100" s="767" t="s">
        <v>1545</v>
      </c>
      <c r="C100" s="784"/>
      <c r="D100" s="784" t="s">
        <v>1534</v>
      </c>
      <c r="E100" s="784"/>
      <c r="F100" s="784"/>
      <c r="G100" s="784" t="s">
        <v>1534</v>
      </c>
      <c r="H100" s="770"/>
      <c r="I100" s="769" t="s">
        <v>1464</v>
      </c>
      <c r="J100" s="769" t="s">
        <v>199</v>
      </c>
      <c r="K100" s="769" t="s">
        <v>199</v>
      </c>
      <c r="L100" s="750">
        <v>0</v>
      </c>
      <c r="M100" s="750">
        <v>0</v>
      </c>
      <c r="N100" s="750">
        <v>0</v>
      </c>
      <c r="O100" s="750">
        <v>0</v>
      </c>
      <c r="P100" s="750">
        <v>0</v>
      </c>
      <c r="Q100" s="750">
        <v>0</v>
      </c>
      <c r="R100" s="750">
        <v>0</v>
      </c>
      <c r="S100" s="750">
        <v>0</v>
      </c>
      <c r="T100" s="750">
        <v>0</v>
      </c>
      <c r="U100" s="750">
        <v>0</v>
      </c>
      <c r="V100" s="750">
        <v>0</v>
      </c>
      <c r="W100" s="750">
        <v>0</v>
      </c>
      <c r="X100" s="750"/>
      <c r="Y100" s="750">
        <v>0</v>
      </c>
      <c r="Z100" s="750">
        <v>0</v>
      </c>
      <c r="AA100" s="750">
        <v>0</v>
      </c>
      <c r="AB100" s="750">
        <v>0</v>
      </c>
      <c r="AC100" s="750">
        <v>0</v>
      </c>
      <c r="AD100" s="750">
        <v>0</v>
      </c>
      <c r="AE100" s="750">
        <v>0</v>
      </c>
      <c r="AF100" s="750">
        <v>0</v>
      </c>
      <c r="AG100" s="750">
        <v>0</v>
      </c>
      <c r="AH100" s="750">
        <v>0</v>
      </c>
      <c r="AI100" s="750">
        <v>0</v>
      </c>
      <c r="AJ100" s="750">
        <v>0</v>
      </c>
      <c r="AK100" s="750">
        <v>0</v>
      </c>
      <c r="AL100" s="750">
        <v>0</v>
      </c>
      <c r="AM100" s="750">
        <v>0</v>
      </c>
      <c r="AN100" s="750">
        <v>0</v>
      </c>
      <c r="AO100" s="750">
        <v>0</v>
      </c>
      <c r="AP100" s="750">
        <v>0</v>
      </c>
      <c r="AQ100" s="750">
        <v>0</v>
      </c>
      <c r="AR100" s="750">
        <v>0</v>
      </c>
      <c r="AS100" s="750">
        <v>0</v>
      </c>
      <c r="AT100" s="750">
        <v>0</v>
      </c>
      <c r="AU100" s="750">
        <v>0</v>
      </c>
      <c r="AV100" s="750">
        <v>0</v>
      </c>
    </row>
    <row r="101" ht="15" customHeight="1" spans="2:48">
      <c r="B101" s="767" t="s">
        <v>1546</v>
      </c>
      <c r="C101" s="784"/>
      <c r="D101" s="784" t="s">
        <v>1534</v>
      </c>
      <c r="E101" s="784"/>
      <c r="F101" s="784"/>
      <c r="G101" s="784" t="s">
        <v>1534</v>
      </c>
      <c r="H101" s="770"/>
      <c r="I101" s="769" t="s">
        <v>1464</v>
      </c>
      <c r="J101" s="769" t="s">
        <v>199</v>
      </c>
      <c r="K101" s="769" t="s">
        <v>199</v>
      </c>
      <c r="L101" s="750">
        <v>0</v>
      </c>
      <c r="M101" s="750">
        <v>0</v>
      </c>
      <c r="N101" s="750">
        <v>0</v>
      </c>
      <c r="O101" s="750">
        <v>0</v>
      </c>
      <c r="P101" s="750">
        <v>0</v>
      </c>
      <c r="Q101" s="750">
        <v>0</v>
      </c>
      <c r="R101" s="750">
        <v>0</v>
      </c>
      <c r="S101" s="750">
        <v>0</v>
      </c>
      <c r="T101" s="750">
        <v>0</v>
      </c>
      <c r="U101" s="750">
        <v>0</v>
      </c>
      <c r="V101" s="750">
        <v>0</v>
      </c>
      <c r="W101" s="750">
        <v>0</v>
      </c>
      <c r="X101" s="750"/>
      <c r="Y101" s="750">
        <v>0</v>
      </c>
      <c r="Z101" s="750">
        <v>0</v>
      </c>
      <c r="AA101" s="750">
        <v>0</v>
      </c>
      <c r="AB101" s="750">
        <v>0</v>
      </c>
      <c r="AC101" s="750">
        <v>0</v>
      </c>
      <c r="AD101" s="750">
        <v>0</v>
      </c>
      <c r="AE101" s="750">
        <v>0</v>
      </c>
      <c r="AF101" s="750">
        <v>0</v>
      </c>
      <c r="AG101" s="750">
        <v>0</v>
      </c>
      <c r="AH101" s="750">
        <v>0</v>
      </c>
      <c r="AI101" s="750">
        <v>0</v>
      </c>
      <c r="AJ101" s="750">
        <v>0</v>
      </c>
      <c r="AK101" s="750">
        <v>0</v>
      </c>
      <c r="AL101" s="750">
        <v>0</v>
      </c>
      <c r="AM101" s="750">
        <v>0</v>
      </c>
      <c r="AN101" s="750">
        <v>0</v>
      </c>
      <c r="AO101" s="750">
        <v>0</v>
      </c>
      <c r="AP101" s="750">
        <v>0</v>
      </c>
      <c r="AQ101" s="750">
        <v>0</v>
      </c>
      <c r="AR101" s="750">
        <v>0</v>
      </c>
      <c r="AS101" s="750">
        <v>0</v>
      </c>
      <c r="AT101" s="750">
        <v>0</v>
      </c>
      <c r="AU101" s="750">
        <v>0</v>
      </c>
      <c r="AV101" s="750">
        <v>0</v>
      </c>
    </row>
    <row r="102" ht="15" customHeight="1" spans="2:48">
      <c r="B102" s="767" t="s">
        <v>1547</v>
      </c>
      <c r="C102" s="784"/>
      <c r="D102" s="784" t="s">
        <v>1534</v>
      </c>
      <c r="E102" s="784"/>
      <c r="F102" s="784"/>
      <c r="G102" s="784" t="s">
        <v>1534</v>
      </c>
      <c r="H102" s="770"/>
      <c r="I102" s="769" t="s">
        <v>1464</v>
      </c>
      <c r="J102" s="769" t="s">
        <v>199</v>
      </c>
      <c r="K102" s="769" t="s">
        <v>199</v>
      </c>
      <c r="L102" s="750">
        <v>0</v>
      </c>
      <c r="M102" s="750">
        <v>0</v>
      </c>
      <c r="N102" s="750">
        <v>0</v>
      </c>
      <c r="O102" s="750">
        <v>0</v>
      </c>
      <c r="P102" s="750">
        <v>0</v>
      </c>
      <c r="Q102" s="750">
        <v>0</v>
      </c>
      <c r="R102" s="750">
        <v>0</v>
      </c>
      <c r="S102" s="750">
        <v>0</v>
      </c>
      <c r="T102" s="750">
        <v>0</v>
      </c>
      <c r="U102" s="750">
        <v>0</v>
      </c>
      <c r="V102" s="750">
        <v>0</v>
      </c>
      <c r="W102" s="750">
        <v>0</v>
      </c>
      <c r="X102" s="750"/>
      <c r="Y102" s="750">
        <v>0</v>
      </c>
      <c r="Z102" s="750">
        <v>0</v>
      </c>
      <c r="AA102" s="750">
        <v>0</v>
      </c>
      <c r="AB102" s="750">
        <v>0</v>
      </c>
      <c r="AC102" s="750">
        <v>0</v>
      </c>
      <c r="AD102" s="750">
        <v>0</v>
      </c>
      <c r="AE102" s="750">
        <v>0</v>
      </c>
      <c r="AF102" s="750">
        <v>0</v>
      </c>
      <c r="AG102" s="750">
        <v>0</v>
      </c>
      <c r="AH102" s="750">
        <v>0</v>
      </c>
      <c r="AI102" s="750">
        <v>0</v>
      </c>
      <c r="AJ102" s="750">
        <v>0</v>
      </c>
      <c r="AK102" s="750">
        <v>0</v>
      </c>
      <c r="AL102" s="750">
        <v>0</v>
      </c>
      <c r="AM102" s="750">
        <v>0</v>
      </c>
      <c r="AN102" s="750">
        <v>0</v>
      </c>
      <c r="AO102" s="750">
        <v>0</v>
      </c>
      <c r="AP102" s="750">
        <v>0</v>
      </c>
      <c r="AQ102" s="750">
        <v>0</v>
      </c>
      <c r="AR102" s="750">
        <v>0</v>
      </c>
      <c r="AS102" s="750">
        <v>0</v>
      </c>
      <c r="AT102" s="750">
        <v>0</v>
      </c>
      <c r="AU102" s="750">
        <v>0</v>
      </c>
      <c r="AV102" s="750">
        <v>0</v>
      </c>
    </row>
    <row r="103" ht="15" customHeight="1" spans="2:48">
      <c r="B103" s="767" t="s">
        <v>1548</v>
      </c>
      <c r="C103" s="784"/>
      <c r="D103" s="784" t="s">
        <v>1534</v>
      </c>
      <c r="E103" s="784"/>
      <c r="F103" s="784"/>
      <c r="G103" s="784" t="s">
        <v>1534</v>
      </c>
      <c r="H103" s="770"/>
      <c r="I103" s="769" t="s">
        <v>1464</v>
      </c>
      <c r="J103" s="769" t="s">
        <v>199</v>
      </c>
      <c r="K103" s="769" t="s">
        <v>199</v>
      </c>
      <c r="L103" s="750">
        <v>0</v>
      </c>
      <c r="M103" s="750">
        <v>0</v>
      </c>
      <c r="N103" s="750">
        <v>0</v>
      </c>
      <c r="O103" s="750">
        <v>0</v>
      </c>
      <c r="P103" s="750">
        <v>0</v>
      </c>
      <c r="Q103" s="750">
        <v>0</v>
      </c>
      <c r="R103" s="750">
        <v>0</v>
      </c>
      <c r="S103" s="750">
        <v>0</v>
      </c>
      <c r="T103" s="750">
        <v>0</v>
      </c>
      <c r="U103" s="750">
        <v>0</v>
      </c>
      <c r="V103" s="750">
        <v>0</v>
      </c>
      <c r="W103" s="750">
        <v>0</v>
      </c>
      <c r="X103" s="750"/>
      <c r="Y103" s="750">
        <v>0</v>
      </c>
      <c r="Z103" s="750">
        <v>0</v>
      </c>
      <c r="AA103" s="750">
        <v>0</v>
      </c>
      <c r="AB103" s="750">
        <v>0</v>
      </c>
      <c r="AC103" s="750">
        <v>0</v>
      </c>
      <c r="AD103" s="750">
        <v>0</v>
      </c>
      <c r="AE103" s="750">
        <v>0</v>
      </c>
      <c r="AF103" s="750">
        <v>0</v>
      </c>
      <c r="AG103" s="750">
        <v>0</v>
      </c>
      <c r="AH103" s="750">
        <v>0</v>
      </c>
      <c r="AI103" s="750">
        <v>0</v>
      </c>
      <c r="AJ103" s="750">
        <v>0</v>
      </c>
      <c r="AK103" s="750">
        <v>0</v>
      </c>
      <c r="AL103" s="750">
        <v>0</v>
      </c>
      <c r="AM103" s="750">
        <v>0</v>
      </c>
      <c r="AN103" s="750">
        <v>0</v>
      </c>
      <c r="AO103" s="750">
        <v>0</v>
      </c>
      <c r="AP103" s="750">
        <v>0</v>
      </c>
      <c r="AQ103" s="750">
        <v>0</v>
      </c>
      <c r="AR103" s="750">
        <v>0</v>
      </c>
      <c r="AS103" s="750">
        <v>0</v>
      </c>
      <c r="AT103" s="750">
        <v>0</v>
      </c>
      <c r="AU103" s="750">
        <v>0</v>
      </c>
      <c r="AV103" s="750">
        <v>0</v>
      </c>
    </row>
    <row r="104" ht="15" customHeight="1" spans="2:48">
      <c r="B104" s="767" t="s">
        <v>1549</v>
      </c>
      <c r="C104" s="784"/>
      <c r="D104" s="784" t="s">
        <v>1534</v>
      </c>
      <c r="E104" s="784"/>
      <c r="F104" s="784"/>
      <c r="G104" s="784" t="s">
        <v>1534</v>
      </c>
      <c r="H104" s="770"/>
      <c r="I104" s="769" t="s">
        <v>1464</v>
      </c>
      <c r="J104" s="769" t="s">
        <v>199</v>
      </c>
      <c r="K104" s="769" t="s">
        <v>199</v>
      </c>
      <c r="L104" s="750">
        <v>0</v>
      </c>
      <c r="M104" s="750">
        <v>0</v>
      </c>
      <c r="N104" s="750">
        <v>0</v>
      </c>
      <c r="O104" s="750">
        <v>0</v>
      </c>
      <c r="P104" s="750">
        <v>0</v>
      </c>
      <c r="Q104" s="750">
        <v>0</v>
      </c>
      <c r="R104" s="750">
        <v>0</v>
      </c>
      <c r="S104" s="750">
        <v>0</v>
      </c>
      <c r="T104" s="750">
        <v>0</v>
      </c>
      <c r="U104" s="750">
        <v>0</v>
      </c>
      <c r="V104" s="750">
        <v>0</v>
      </c>
      <c r="W104" s="750">
        <v>0</v>
      </c>
      <c r="X104" s="750"/>
      <c r="Y104" s="750">
        <v>0</v>
      </c>
      <c r="Z104" s="750">
        <v>0</v>
      </c>
      <c r="AA104" s="750">
        <v>0</v>
      </c>
      <c r="AB104" s="750">
        <v>0</v>
      </c>
      <c r="AC104" s="750">
        <v>0</v>
      </c>
      <c r="AD104" s="750">
        <v>0</v>
      </c>
      <c r="AE104" s="750">
        <v>0</v>
      </c>
      <c r="AF104" s="750">
        <v>0</v>
      </c>
      <c r="AG104" s="750">
        <v>0</v>
      </c>
      <c r="AH104" s="750">
        <v>0</v>
      </c>
      <c r="AI104" s="750">
        <v>0</v>
      </c>
      <c r="AJ104" s="750">
        <v>0</v>
      </c>
      <c r="AK104" s="750">
        <v>0</v>
      </c>
      <c r="AL104" s="750">
        <v>0</v>
      </c>
      <c r="AM104" s="750">
        <v>0</v>
      </c>
      <c r="AN104" s="750">
        <v>0</v>
      </c>
      <c r="AO104" s="750">
        <v>0</v>
      </c>
      <c r="AP104" s="750">
        <v>0</v>
      </c>
      <c r="AQ104" s="750">
        <v>0</v>
      </c>
      <c r="AR104" s="750">
        <v>0</v>
      </c>
      <c r="AS104" s="750">
        <v>0</v>
      </c>
      <c r="AT104" s="750">
        <v>0</v>
      </c>
      <c r="AU104" s="750">
        <v>0</v>
      </c>
      <c r="AV104" s="750">
        <v>0</v>
      </c>
    </row>
    <row r="105" ht="15" customHeight="1" spans="2:48">
      <c r="B105" s="767" t="s">
        <v>1550</v>
      </c>
      <c r="C105" s="784"/>
      <c r="D105" s="784" t="s">
        <v>1534</v>
      </c>
      <c r="E105" s="784"/>
      <c r="F105" s="784"/>
      <c r="G105" s="784" t="s">
        <v>1534</v>
      </c>
      <c r="H105" s="770"/>
      <c r="I105" s="769" t="s">
        <v>1464</v>
      </c>
      <c r="J105" s="769" t="s">
        <v>199</v>
      </c>
      <c r="K105" s="769" t="s">
        <v>199</v>
      </c>
      <c r="L105" s="750">
        <v>0</v>
      </c>
      <c r="M105" s="750">
        <v>0</v>
      </c>
      <c r="N105" s="750">
        <v>0</v>
      </c>
      <c r="O105" s="750">
        <v>0</v>
      </c>
      <c r="P105" s="750">
        <v>0</v>
      </c>
      <c r="Q105" s="750">
        <v>0</v>
      </c>
      <c r="R105" s="750">
        <v>0</v>
      </c>
      <c r="S105" s="750">
        <v>0</v>
      </c>
      <c r="T105" s="750">
        <v>0</v>
      </c>
      <c r="U105" s="750">
        <v>0</v>
      </c>
      <c r="V105" s="750">
        <v>0</v>
      </c>
      <c r="W105" s="750">
        <v>0</v>
      </c>
      <c r="X105" s="750"/>
      <c r="Y105" s="750">
        <v>0</v>
      </c>
      <c r="Z105" s="750">
        <v>0</v>
      </c>
      <c r="AA105" s="750">
        <v>0</v>
      </c>
      <c r="AB105" s="750">
        <v>0</v>
      </c>
      <c r="AC105" s="750">
        <v>0</v>
      </c>
      <c r="AD105" s="750">
        <v>0</v>
      </c>
      <c r="AE105" s="750">
        <v>0</v>
      </c>
      <c r="AF105" s="750">
        <v>0</v>
      </c>
      <c r="AG105" s="750">
        <v>0</v>
      </c>
      <c r="AH105" s="750">
        <v>0</v>
      </c>
      <c r="AI105" s="750">
        <v>0</v>
      </c>
      <c r="AJ105" s="750">
        <v>0</v>
      </c>
      <c r="AK105" s="750">
        <v>0</v>
      </c>
      <c r="AL105" s="750">
        <v>0</v>
      </c>
      <c r="AM105" s="750">
        <v>0</v>
      </c>
      <c r="AN105" s="750">
        <v>0</v>
      </c>
      <c r="AO105" s="750">
        <v>0</v>
      </c>
      <c r="AP105" s="750">
        <v>0</v>
      </c>
      <c r="AQ105" s="750">
        <v>0</v>
      </c>
      <c r="AR105" s="750">
        <v>0</v>
      </c>
      <c r="AS105" s="750">
        <v>0</v>
      </c>
      <c r="AT105" s="750">
        <v>0</v>
      </c>
      <c r="AU105" s="750">
        <v>0</v>
      </c>
      <c r="AV105" s="750">
        <v>0</v>
      </c>
    </row>
    <row r="106" ht="15" customHeight="1" spans="2:48">
      <c r="B106" s="767" t="s">
        <v>1551</v>
      </c>
      <c r="C106" s="784"/>
      <c r="D106" s="784" t="s">
        <v>1534</v>
      </c>
      <c r="E106" s="784"/>
      <c r="F106" s="784"/>
      <c r="G106" s="784" t="s">
        <v>1534</v>
      </c>
      <c r="H106" s="770"/>
      <c r="I106" s="769" t="s">
        <v>1464</v>
      </c>
      <c r="J106" s="769" t="s">
        <v>199</v>
      </c>
      <c r="K106" s="769" t="s">
        <v>199</v>
      </c>
      <c r="L106" s="750">
        <v>0</v>
      </c>
      <c r="M106" s="750">
        <v>0</v>
      </c>
      <c r="N106" s="750">
        <v>0</v>
      </c>
      <c r="O106" s="750">
        <v>0</v>
      </c>
      <c r="P106" s="750">
        <v>0</v>
      </c>
      <c r="Q106" s="750">
        <v>0</v>
      </c>
      <c r="R106" s="750">
        <v>0</v>
      </c>
      <c r="S106" s="750">
        <v>0</v>
      </c>
      <c r="T106" s="750">
        <v>0</v>
      </c>
      <c r="U106" s="750">
        <v>0</v>
      </c>
      <c r="V106" s="750">
        <v>0</v>
      </c>
      <c r="W106" s="750">
        <v>0</v>
      </c>
      <c r="X106" s="750"/>
      <c r="Y106" s="750">
        <v>0</v>
      </c>
      <c r="Z106" s="750">
        <v>0</v>
      </c>
      <c r="AA106" s="750">
        <v>0</v>
      </c>
      <c r="AB106" s="750">
        <v>0</v>
      </c>
      <c r="AC106" s="750">
        <v>0</v>
      </c>
      <c r="AD106" s="750">
        <v>0</v>
      </c>
      <c r="AE106" s="750">
        <v>0</v>
      </c>
      <c r="AF106" s="750">
        <v>0</v>
      </c>
      <c r="AG106" s="750">
        <v>0</v>
      </c>
      <c r="AH106" s="750">
        <v>0</v>
      </c>
      <c r="AI106" s="750">
        <v>0</v>
      </c>
      <c r="AJ106" s="750">
        <v>0</v>
      </c>
      <c r="AK106" s="750">
        <v>0</v>
      </c>
      <c r="AL106" s="750">
        <v>0</v>
      </c>
      <c r="AM106" s="750">
        <v>0</v>
      </c>
      <c r="AN106" s="750">
        <v>0</v>
      </c>
      <c r="AO106" s="750">
        <v>0</v>
      </c>
      <c r="AP106" s="750">
        <v>0</v>
      </c>
      <c r="AQ106" s="750">
        <v>0</v>
      </c>
      <c r="AR106" s="750">
        <v>0</v>
      </c>
      <c r="AS106" s="750">
        <v>0</v>
      </c>
      <c r="AT106" s="750">
        <v>0</v>
      </c>
      <c r="AU106" s="750">
        <v>0</v>
      </c>
      <c r="AV106" s="750">
        <v>0</v>
      </c>
    </row>
    <row r="107" ht="15" customHeight="1" spans="2:48">
      <c r="B107" s="767" t="s">
        <v>1552</v>
      </c>
      <c r="C107" s="784"/>
      <c r="D107" s="784" t="s">
        <v>1534</v>
      </c>
      <c r="E107" s="784"/>
      <c r="F107" s="784"/>
      <c r="G107" s="784" t="s">
        <v>1534</v>
      </c>
      <c r="H107" s="770"/>
      <c r="I107" s="769" t="s">
        <v>1464</v>
      </c>
      <c r="J107" s="769" t="s">
        <v>199</v>
      </c>
      <c r="K107" s="769" t="s">
        <v>199</v>
      </c>
      <c r="L107" s="750">
        <v>0</v>
      </c>
      <c r="M107" s="750">
        <v>0</v>
      </c>
      <c r="N107" s="750">
        <v>0</v>
      </c>
      <c r="O107" s="750">
        <v>0</v>
      </c>
      <c r="P107" s="750">
        <v>0</v>
      </c>
      <c r="Q107" s="750">
        <v>0</v>
      </c>
      <c r="R107" s="750">
        <v>0</v>
      </c>
      <c r="S107" s="750">
        <v>0</v>
      </c>
      <c r="T107" s="750">
        <v>0</v>
      </c>
      <c r="U107" s="750">
        <v>0</v>
      </c>
      <c r="V107" s="750">
        <v>0</v>
      </c>
      <c r="W107" s="750">
        <v>0</v>
      </c>
      <c r="X107" s="750"/>
      <c r="Y107" s="750">
        <v>0</v>
      </c>
      <c r="Z107" s="750">
        <v>0</v>
      </c>
      <c r="AA107" s="750">
        <v>0</v>
      </c>
      <c r="AB107" s="750">
        <v>0</v>
      </c>
      <c r="AC107" s="750">
        <v>0</v>
      </c>
      <c r="AD107" s="750">
        <v>0</v>
      </c>
      <c r="AE107" s="750">
        <v>0</v>
      </c>
      <c r="AF107" s="750">
        <v>0</v>
      </c>
      <c r="AG107" s="750">
        <v>0</v>
      </c>
      <c r="AH107" s="750">
        <v>0</v>
      </c>
      <c r="AI107" s="750">
        <v>0</v>
      </c>
      <c r="AJ107" s="750">
        <v>0</v>
      </c>
      <c r="AK107" s="750">
        <v>0</v>
      </c>
      <c r="AL107" s="750">
        <v>0</v>
      </c>
      <c r="AM107" s="750">
        <v>0</v>
      </c>
      <c r="AN107" s="750">
        <v>0</v>
      </c>
      <c r="AO107" s="750">
        <v>0</v>
      </c>
      <c r="AP107" s="750">
        <v>0</v>
      </c>
      <c r="AQ107" s="750">
        <v>0</v>
      </c>
      <c r="AR107" s="750">
        <v>0</v>
      </c>
      <c r="AS107" s="750">
        <v>0</v>
      </c>
      <c r="AT107" s="750">
        <v>0</v>
      </c>
      <c r="AU107" s="750">
        <v>0</v>
      </c>
      <c r="AV107" s="750">
        <v>0</v>
      </c>
    </row>
    <row r="108" ht="15" customHeight="1" spans="2:48">
      <c r="B108" s="767" t="s">
        <v>1553</v>
      </c>
      <c r="C108" s="784"/>
      <c r="D108" s="784" t="s">
        <v>1534</v>
      </c>
      <c r="E108" s="784"/>
      <c r="F108" s="784"/>
      <c r="G108" s="784" t="s">
        <v>1534</v>
      </c>
      <c r="H108" s="770"/>
      <c r="I108" s="769" t="s">
        <v>1464</v>
      </c>
      <c r="J108" s="769" t="s">
        <v>199</v>
      </c>
      <c r="K108" s="769" t="s">
        <v>199</v>
      </c>
      <c r="L108" s="750">
        <v>0</v>
      </c>
      <c r="M108" s="750">
        <v>0</v>
      </c>
      <c r="N108" s="750">
        <v>0</v>
      </c>
      <c r="O108" s="750">
        <v>0</v>
      </c>
      <c r="P108" s="750">
        <v>0</v>
      </c>
      <c r="Q108" s="750">
        <v>0</v>
      </c>
      <c r="R108" s="750">
        <v>0</v>
      </c>
      <c r="S108" s="750">
        <v>0</v>
      </c>
      <c r="T108" s="750">
        <v>0</v>
      </c>
      <c r="U108" s="750">
        <v>0</v>
      </c>
      <c r="V108" s="750">
        <v>0</v>
      </c>
      <c r="W108" s="750">
        <v>0</v>
      </c>
      <c r="X108" s="750"/>
      <c r="Y108" s="750">
        <v>0</v>
      </c>
      <c r="Z108" s="750">
        <v>0</v>
      </c>
      <c r="AA108" s="750">
        <v>0</v>
      </c>
      <c r="AB108" s="750">
        <v>0</v>
      </c>
      <c r="AC108" s="750">
        <v>0</v>
      </c>
      <c r="AD108" s="750">
        <v>0</v>
      </c>
      <c r="AE108" s="750">
        <v>0</v>
      </c>
      <c r="AF108" s="750">
        <v>0</v>
      </c>
      <c r="AG108" s="750">
        <v>0</v>
      </c>
      <c r="AH108" s="750">
        <v>0</v>
      </c>
      <c r="AI108" s="750">
        <v>0</v>
      </c>
      <c r="AJ108" s="750">
        <v>0</v>
      </c>
      <c r="AK108" s="750">
        <v>0</v>
      </c>
      <c r="AL108" s="750">
        <v>0</v>
      </c>
      <c r="AM108" s="750">
        <v>0</v>
      </c>
      <c r="AN108" s="750">
        <v>0</v>
      </c>
      <c r="AO108" s="750">
        <v>0</v>
      </c>
      <c r="AP108" s="750">
        <v>0</v>
      </c>
      <c r="AQ108" s="750">
        <v>0</v>
      </c>
      <c r="AR108" s="750">
        <v>0</v>
      </c>
      <c r="AS108" s="750">
        <v>0</v>
      </c>
      <c r="AT108" s="750">
        <v>0</v>
      </c>
      <c r="AU108" s="750">
        <v>0</v>
      </c>
      <c r="AV108" s="750">
        <v>0</v>
      </c>
    </row>
    <row r="109" ht="15" customHeight="1" spans="2:48">
      <c r="B109" s="767" t="s">
        <v>1554</v>
      </c>
      <c r="C109" s="784"/>
      <c r="D109" s="784" t="s">
        <v>1534</v>
      </c>
      <c r="E109" s="784"/>
      <c r="F109" s="784"/>
      <c r="G109" s="784" t="s">
        <v>1534</v>
      </c>
      <c r="H109" s="770"/>
      <c r="I109" s="769" t="s">
        <v>1464</v>
      </c>
      <c r="J109" s="769" t="s">
        <v>199</v>
      </c>
      <c r="K109" s="769" t="s">
        <v>199</v>
      </c>
      <c r="L109" s="750">
        <v>0</v>
      </c>
      <c r="M109" s="750">
        <v>0</v>
      </c>
      <c r="N109" s="750">
        <v>0</v>
      </c>
      <c r="O109" s="750">
        <v>0</v>
      </c>
      <c r="P109" s="750">
        <v>0</v>
      </c>
      <c r="Q109" s="750">
        <v>0</v>
      </c>
      <c r="R109" s="750">
        <v>0</v>
      </c>
      <c r="S109" s="750">
        <v>0</v>
      </c>
      <c r="T109" s="750">
        <v>0</v>
      </c>
      <c r="U109" s="750">
        <v>0</v>
      </c>
      <c r="V109" s="750">
        <v>0</v>
      </c>
      <c r="W109" s="750">
        <v>0</v>
      </c>
      <c r="X109" s="750"/>
      <c r="Y109" s="750">
        <v>0</v>
      </c>
      <c r="Z109" s="750">
        <v>0</v>
      </c>
      <c r="AA109" s="750">
        <v>0</v>
      </c>
      <c r="AB109" s="750">
        <v>0</v>
      </c>
      <c r="AC109" s="750">
        <v>0</v>
      </c>
      <c r="AD109" s="750">
        <v>0</v>
      </c>
      <c r="AE109" s="750">
        <v>0</v>
      </c>
      <c r="AF109" s="750">
        <v>0</v>
      </c>
      <c r="AG109" s="750">
        <v>0</v>
      </c>
      <c r="AH109" s="750">
        <v>0</v>
      </c>
      <c r="AI109" s="750">
        <v>0</v>
      </c>
      <c r="AJ109" s="750">
        <v>0</v>
      </c>
      <c r="AK109" s="750">
        <v>0</v>
      </c>
      <c r="AL109" s="750">
        <v>0</v>
      </c>
      <c r="AM109" s="750">
        <v>0</v>
      </c>
      <c r="AN109" s="750">
        <v>0</v>
      </c>
      <c r="AO109" s="750">
        <v>0</v>
      </c>
      <c r="AP109" s="750">
        <v>0</v>
      </c>
      <c r="AQ109" s="750">
        <v>0</v>
      </c>
      <c r="AR109" s="750">
        <v>0</v>
      </c>
      <c r="AS109" s="750">
        <v>0</v>
      </c>
      <c r="AT109" s="750">
        <v>0</v>
      </c>
      <c r="AU109" s="750">
        <v>0</v>
      </c>
      <c r="AV109" s="750">
        <v>0</v>
      </c>
    </row>
    <row r="110" ht="15" customHeight="1" spans="2:48">
      <c r="B110" s="767" t="s">
        <v>1555</v>
      </c>
      <c r="C110" s="784"/>
      <c r="D110" s="784" t="s">
        <v>1534</v>
      </c>
      <c r="E110" s="784"/>
      <c r="F110" s="784"/>
      <c r="G110" s="784" t="s">
        <v>1534</v>
      </c>
      <c r="H110" s="770"/>
      <c r="I110" s="769" t="s">
        <v>1464</v>
      </c>
      <c r="J110" s="769" t="s">
        <v>199</v>
      </c>
      <c r="K110" s="769" t="s">
        <v>199</v>
      </c>
      <c r="L110" s="750">
        <v>0</v>
      </c>
      <c r="M110" s="750">
        <v>0</v>
      </c>
      <c r="N110" s="750">
        <v>0</v>
      </c>
      <c r="O110" s="750">
        <v>0</v>
      </c>
      <c r="P110" s="750">
        <v>0</v>
      </c>
      <c r="Q110" s="750">
        <v>0</v>
      </c>
      <c r="R110" s="750">
        <v>0</v>
      </c>
      <c r="S110" s="750">
        <v>0</v>
      </c>
      <c r="T110" s="750">
        <v>0</v>
      </c>
      <c r="U110" s="750">
        <v>0</v>
      </c>
      <c r="V110" s="750">
        <v>0</v>
      </c>
      <c r="W110" s="750">
        <v>0</v>
      </c>
      <c r="X110" s="750"/>
      <c r="Y110" s="750">
        <v>0</v>
      </c>
      <c r="Z110" s="750">
        <v>0</v>
      </c>
      <c r="AA110" s="750">
        <v>0</v>
      </c>
      <c r="AB110" s="750">
        <v>0</v>
      </c>
      <c r="AC110" s="750">
        <v>0</v>
      </c>
      <c r="AD110" s="750">
        <v>0</v>
      </c>
      <c r="AE110" s="750">
        <v>0</v>
      </c>
      <c r="AF110" s="750">
        <v>0</v>
      </c>
      <c r="AG110" s="750">
        <v>0</v>
      </c>
      <c r="AH110" s="750">
        <v>0</v>
      </c>
      <c r="AI110" s="750">
        <v>0</v>
      </c>
      <c r="AJ110" s="750">
        <v>0</v>
      </c>
      <c r="AK110" s="750">
        <v>0</v>
      </c>
      <c r="AL110" s="750">
        <v>0</v>
      </c>
      <c r="AM110" s="750">
        <v>0</v>
      </c>
      <c r="AN110" s="750">
        <v>0</v>
      </c>
      <c r="AO110" s="750">
        <v>0</v>
      </c>
      <c r="AP110" s="750">
        <v>0</v>
      </c>
      <c r="AQ110" s="750">
        <v>0</v>
      </c>
      <c r="AR110" s="750">
        <v>0</v>
      </c>
      <c r="AS110" s="750">
        <v>0</v>
      </c>
      <c r="AT110" s="750">
        <v>0</v>
      </c>
      <c r="AU110" s="750">
        <v>0</v>
      </c>
      <c r="AV110" s="750">
        <v>0</v>
      </c>
    </row>
    <row r="111" ht="15" customHeight="1" spans="2:48">
      <c r="B111" s="767" t="s">
        <v>1556</v>
      </c>
      <c r="C111" s="784"/>
      <c r="D111" s="784" t="s">
        <v>1534</v>
      </c>
      <c r="E111" s="784"/>
      <c r="F111" s="784"/>
      <c r="G111" s="784" t="s">
        <v>1534</v>
      </c>
      <c r="H111" s="770"/>
      <c r="I111" s="769" t="s">
        <v>1464</v>
      </c>
      <c r="J111" s="769" t="s">
        <v>199</v>
      </c>
      <c r="K111" s="769" t="s">
        <v>199</v>
      </c>
      <c r="L111" s="750">
        <v>0</v>
      </c>
      <c r="M111" s="750">
        <v>0</v>
      </c>
      <c r="N111" s="750">
        <v>0</v>
      </c>
      <c r="O111" s="750">
        <v>0</v>
      </c>
      <c r="P111" s="750">
        <v>0</v>
      </c>
      <c r="Q111" s="750">
        <v>0</v>
      </c>
      <c r="R111" s="750">
        <v>0</v>
      </c>
      <c r="S111" s="750">
        <v>0</v>
      </c>
      <c r="T111" s="750">
        <v>0</v>
      </c>
      <c r="U111" s="750">
        <v>0</v>
      </c>
      <c r="V111" s="750">
        <v>0</v>
      </c>
      <c r="W111" s="750">
        <v>0</v>
      </c>
      <c r="X111" s="750"/>
      <c r="Y111" s="750">
        <v>0</v>
      </c>
      <c r="Z111" s="750">
        <v>0</v>
      </c>
      <c r="AA111" s="750">
        <v>0</v>
      </c>
      <c r="AB111" s="750">
        <v>0</v>
      </c>
      <c r="AC111" s="750">
        <v>0</v>
      </c>
      <c r="AD111" s="750">
        <v>0</v>
      </c>
      <c r="AE111" s="750">
        <v>0</v>
      </c>
      <c r="AF111" s="750">
        <v>0</v>
      </c>
      <c r="AG111" s="750">
        <v>0</v>
      </c>
      <c r="AH111" s="750">
        <v>0</v>
      </c>
      <c r="AI111" s="750">
        <v>0</v>
      </c>
      <c r="AJ111" s="750">
        <v>0</v>
      </c>
      <c r="AK111" s="750">
        <v>0</v>
      </c>
      <c r="AL111" s="750">
        <v>0</v>
      </c>
      <c r="AM111" s="750">
        <v>0</v>
      </c>
      <c r="AN111" s="750">
        <v>0</v>
      </c>
      <c r="AO111" s="750">
        <v>0</v>
      </c>
      <c r="AP111" s="750">
        <v>0</v>
      </c>
      <c r="AQ111" s="750">
        <v>0</v>
      </c>
      <c r="AR111" s="750">
        <v>0</v>
      </c>
      <c r="AS111" s="750">
        <v>0</v>
      </c>
      <c r="AT111" s="750">
        <v>0</v>
      </c>
      <c r="AU111" s="750">
        <v>0</v>
      </c>
      <c r="AV111" s="750">
        <v>0</v>
      </c>
    </row>
    <row r="112" ht="15" customHeight="1" spans="2:48">
      <c r="B112" s="767" t="s">
        <v>1557</v>
      </c>
      <c r="C112" s="784"/>
      <c r="D112" s="784" t="s">
        <v>1534</v>
      </c>
      <c r="E112" s="784"/>
      <c r="F112" s="784"/>
      <c r="G112" s="784" t="s">
        <v>1534</v>
      </c>
      <c r="H112" s="770"/>
      <c r="I112" s="769" t="s">
        <v>1464</v>
      </c>
      <c r="J112" s="769" t="s">
        <v>199</v>
      </c>
      <c r="K112" s="769" t="s">
        <v>199</v>
      </c>
      <c r="L112" s="750">
        <v>0</v>
      </c>
      <c r="M112" s="750">
        <v>0</v>
      </c>
      <c r="N112" s="750">
        <v>0</v>
      </c>
      <c r="O112" s="750">
        <v>0</v>
      </c>
      <c r="P112" s="750">
        <v>0</v>
      </c>
      <c r="Q112" s="750">
        <v>0</v>
      </c>
      <c r="R112" s="750">
        <v>0</v>
      </c>
      <c r="S112" s="750">
        <v>0</v>
      </c>
      <c r="T112" s="750">
        <v>0</v>
      </c>
      <c r="U112" s="750">
        <v>0</v>
      </c>
      <c r="V112" s="750">
        <v>0</v>
      </c>
      <c r="W112" s="750">
        <v>0</v>
      </c>
      <c r="X112" s="750"/>
      <c r="Y112" s="750">
        <v>0</v>
      </c>
      <c r="Z112" s="750">
        <v>0</v>
      </c>
      <c r="AA112" s="750">
        <v>0</v>
      </c>
      <c r="AB112" s="750">
        <v>0</v>
      </c>
      <c r="AC112" s="750">
        <v>0</v>
      </c>
      <c r="AD112" s="750">
        <v>0</v>
      </c>
      <c r="AE112" s="750">
        <v>0</v>
      </c>
      <c r="AF112" s="750">
        <v>0</v>
      </c>
      <c r="AG112" s="750">
        <v>0</v>
      </c>
      <c r="AH112" s="750">
        <v>0</v>
      </c>
      <c r="AI112" s="750">
        <v>0</v>
      </c>
      <c r="AJ112" s="750">
        <v>0</v>
      </c>
      <c r="AK112" s="750">
        <v>0</v>
      </c>
      <c r="AL112" s="750">
        <v>0</v>
      </c>
      <c r="AM112" s="750">
        <v>0</v>
      </c>
      <c r="AN112" s="750">
        <v>0</v>
      </c>
      <c r="AO112" s="750">
        <v>0</v>
      </c>
      <c r="AP112" s="750">
        <v>0</v>
      </c>
      <c r="AQ112" s="750">
        <v>0</v>
      </c>
      <c r="AR112" s="750">
        <v>0</v>
      </c>
      <c r="AS112" s="750">
        <v>0</v>
      </c>
      <c r="AT112" s="750">
        <v>0</v>
      </c>
      <c r="AU112" s="750">
        <v>0</v>
      </c>
      <c r="AV112" s="750">
        <v>0</v>
      </c>
    </row>
    <row r="113" ht="15" customHeight="1" spans="2:48">
      <c r="B113" s="767" t="s">
        <v>1558</v>
      </c>
      <c r="C113" s="784"/>
      <c r="D113" s="784" t="s">
        <v>1534</v>
      </c>
      <c r="E113" s="784"/>
      <c r="F113" s="784"/>
      <c r="G113" s="784" t="s">
        <v>1534</v>
      </c>
      <c r="H113" s="770"/>
      <c r="I113" s="769" t="s">
        <v>1464</v>
      </c>
      <c r="J113" s="769" t="s">
        <v>199</v>
      </c>
      <c r="K113" s="769" t="s">
        <v>199</v>
      </c>
      <c r="L113" s="750">
        <v>0</v>
      </c>
      <c r="M113" s="750">
        <v>0</v>
      </c>
      <c r="N113" s="750">
        <v>0</v>
      </c>
      <c r="O113" s="750">
        <v>0</v>
      </c>
      <c r="P113" s="750">
        <v>0</v>
      </c>
      <c r="Q113" s="750">
        <v>0</v>
      </c>
      <c r="R113" s="750">
        <v>0</v>
      </c>
      <c r="S113" s="750">
        <v>0</v>
      </c>
      <c r="T113" s="750">
        <v>0</v>
      </c>
      <c r="U113" s="750">
        <v>0</v>
      </c>
      <c r="V113" s="750">
        <v>0</v>
      </c>
      <c r="W113" s="750">
        <v>0</v>
      </c>
      <c r="X113" s="750"/>
      <c r="Y113" s="750">
        <v>0</v>
      </c>
      <c r="Z113" s="750">
        <v>0</v>
      </c>
      <c r="AA113" s="750">
        <v>0</v>
      </c>
      <c r="AB113" s="750">
        <v>0</v>
      </c>
      <c r="AC113" s="750">
        <v>0</v>
      </c>
      <c r="AD113" s="750">
        <v>0</v>
      </c>
      <c r="AE113" s="750">
        <v>0</v>
      </c>
      <c r="AF113" s="750">
        <v>0</v>
      </c>
      <c r="AG113" s="750">
        <v>0</v>
      </c>
      <c r="AH113" s="750">
        <v>0</v>
      </c>
      <c r="AI113" s="750">
        <v>0</v>
      </c>
      <c r="AJ113" s="750">
        <v>0</v>
      </c>
      <c r="AK113" s="750">
        <v>0</v>
      </c>
      <c r="AL113" s="750">
        <v>0</v>
      </c>
      <c r="AM113" s="750">
        <v>0</v>
      </c>
      <c r="AN113" s="750">
        <v>0</v>
      </c>
      <c r="AO113" s="750">
        <v>0</v>
      </c>
      <c r="AP113" s="750">
        <v>0</v>
      </c>
      <c r="AQ113" s="750">
        <v>0</v>
      </c>
      <c r="AR113" s="750">
        <v>0</v>
      </c>
      <c r="AS113" s="750">
        <v>0</v>
      </c>
      <c r="AT113" s="750">
        <v>0</v>
      </c>
      <c r="AU113" s="750">
        <v>0</v>
      </c>
      <c r="AV113" s="750">
        <v>0</v>
      </c>
    </row>
    <row r="114" ht="15" customHeight="1" spans="2:48">
      <c r="B114" s="767" t="s">
        <v>1559</v>
      </c>
      <c r="C114" s="784"/>
      <c r="D114" s="784" t="s">
        <v>1534</v>
      </c>
      <c r="E114" s="784"/>
      <c r="F114" s="784"/>
      <c r="G114" s="784" t="s">
        <v>1534</v>
      </c>
      <c r="H114" s="770"/>
      <c r="I114" s="769" t="s">
        <v>1464</v>
      </c>
      <c r="J114" s="769" t="s">
        <v>199</v>
      </c>
      <c r="K114" s="769" t="s">
        <v>199</v>
      </c>
      <c r="L114" s="750">
        <v>0</v>
      </c>
      <c r="M114" s="750">
        <v>0</v>
      </c>
      <c r="N114" s="750">
        <v>0</v>
      </c>
      <c r="O114" s="750">
        <v>0</v>
      </c>
      <c r="P114" s="750">
        <v>0</v>
      </c>
      <c r="Q114" s="750">
        <v>0</v>
      </c>
      <c r="R114" s="750">
        <v>0</v>
      </c>
      <c r="S114" s="750">
        <v>0</v>
      </c>
      <c r="T114" s="750">
        <v>0</v>
      </c>
      <c r="U114" s="750">
        <v>0</v>
      </c>
      <c r="V114" s="750">
        <v>0</v>
      </c>
      <c r="W114" s="750">
        <v>0</v>
      </c>
      <c r="X114" s="750"/>
      <c r="Y114" s="750">
        <v>0</v>
      </c>
      <c r="Z114" s="750">
        <v>0</v>
      </c>
      <c r="AA114" s="750">
        <v>0</v>
      </c>
      <c r="AB114" s="750">
        <v>0</v>
      </c>
      <c r="AC114" s="750">
        <v>0</v>
      </c>
      <c r="AD114" s="750">
        <v>0</v>
      </c>
      <c r="AE114" s="750">
        <v>0</v>
      </c>
      <c r="AF114" s="750">
        <v>0</v>
      </c>
      <c r="AG114" s="750">
        <v>0</v>
      </c>
      <c r="AH114" s="750">
        <v>0</v>
      </c>
      <c r="AI114" s="750">
        <v>0</v>
      </c>
      <c r="AJ114" s="750">
        <v>0</v>
      </c>
      <c r="AK114" s="750">
        <v>0</v>
      </c>
      <c r="AL114" s="750">
        <v>0</v>
      </c>
      <c r="AM114" s="750">
        <v>0</v>
      </c>
      <c r="AN114" s="750">
        <v>0</v>
      </c>
      <c r="AO114" s="750">
        <v>0</v>
      </c>
      <c r="AP114" s="750">
        <v>0</v>
      </c>
      <c r="AQ114" s="750">
        <v>0</v>
      </c>
      <c r="AR114" s="750">
        <v>0</v>
      </c>
      <c r="AS114" s="750">
        <v>0</v>
      </c>
      <c r="AT114" s="750">
        <v>0</v>
      </c>
      <c r="AU114" s="750">
        <v>0</v>
      </c>
      <c r="AV114" s="750">
        <v>0</v>
      </c>
    </row>
    <row r="115" ht="15" customHeight="1" spans="2:48">
      <c r="B115" s="767" t="s">
        <v>1560</v>
      </c>
      <c r="C115" s="784"/>
      <c r="D115" s="784" t="s">
        <v>1534</v>
      </c>
      <c r="E115" s="784"/>
      <c r="F115" s="784"/>
      <c r="G115" s="784" t="s">
        <v>1534</v>
      </c>
      <c r="H115" s="770"/>
      <c r="I115" s="769" t="s">
        <v>1464</v>
      </c>
      <c r="J115" s="769" t="s">
        <v>199</v>
      </c>
      <c r="K115" s="769" t="s">
        <v>199</v>
      </c>
      <c r="L115" s="750">
        <v>0</v>
      </c>
      <c r="M115" s="750">
        <v>0</v>
      </c>
      <c r="N115" s="750">
        <v>0</v>
      </c>
      <c r="O115" s="750">
        <v>0</v>
      </c>
      <c r="P115" s="750">
        <v>0</v>
      </c>
      <c r="Q115" s="750">
        <v>0</v>
      </c>
      <c r="R115" s="750">
        <v>0</v>
      </c>
      <c r="S115" s="750">
        <v>0</v>
      </c>
      <c r="T115" s="750">
        <v>0</v>
      </c>
      <c r="U115" s="750">
        <v>0</v>
      </c>
      <c r="V115" s="750">
        <v>0</v>
      </c>
      <c r="W115" s="750">
        <v>0</v>
      </c>
      <c r="X115" s="750"/>
      <c r="Y115" s="750">
        <v>0</v>
      </c>
      <c r="Z115" s="750">
        <v>0</v>
      </c>
      <c r="AA115" s="750">
        <v>0</v>
      </c>
      <c r="AB115" s="750">
        <v>0</v>
      </c>
      <c r="AC115" s="750">
        <v>0</v>
      </c>
      <c r="AD115" s="750">
        <v>0</v>
      </c>
      <c r="AE115" s="750">
        <v>0</v>
      </c>
      <c r="AF115" s="750">
        <v>0</v>
      </c>
      <c r="AG115" s="750">
        <v>0</v>
      </c>
      <c r="AH115" s="750">
        <v>0</v>
      </c>
      <c r="AI115" s="750">
        <v>0</v>
      </c>
      <c r="AJ115" s="750">
        <v>0</v>
      </c>
      <c r="AK115" s="750">
        <v>0</v>
      </c>
      <c r="AL115" s="750">
        <v>0</v>
      </c>
      <c r="AM115" s="750">
        <v>0</v>
      </c>
      <c r="AN115" s="750">
        <v>0</v>
      </c>
      <c r="AO115" s="750">
        <v>0</v>
      </c>
      <c r="AP115" s="750">
        <v>0</v>
      </c>
      <c r="AQ115" s="750">
        <v>0</v>
      </c>
      <c r="AR115" s="750">
        <v>0</v>
      </c>
      <c r="AS115" s="750">
        <v>0</v>
      </c>
      <c r="AT115" s="750">
        <v>0</v>
      </c>
      <c r="AU115" s="750">
        <v>0</v>
      </c>
      <c r="AV115" s="750">
        <v>0</v>
      </c>
    </row>
    <row r="116" ht="15" customHeight="1" spans="2:48">
      <c r="B116" s="767" t="s">
        <v>1561</v>
      </c>
      <c r="C116" s="784"/>
      <c r="D116" s="784" t="s">
        <v>1534</v>
      </c>
      <c r="E116" s="784"/>
      <c r="F116" s="784"/>
      <c r="G116" s="784" t="s">
        <v>1534</v>
      </c>
      <c r="H116" s="770"/>
      <c r="I116" s="769" t="s">
        <v>1464</v>
      </c>
      <c r="J116" s="769" t="s">
        <v>199</v>
      </c>
      <c r="K116" s="769" t="s">
        <v>199</v>
      </c>
      <c r="L116" s="750">
        <v>0</v>
      </c>
      <c r="M116" s="750">
        <v>0</v>
      </c>
      <c r="N116" s="750">
        <v>0</v>
      </c>
      <c r="O116" s="750">
        <v>0</v>
      </c>
      <c r="P116" s="750">
        <v>0</v>
      </c>
      <c r="Q116" s="750">
        <v>0</v>
      </c>
      <c r="R116" s="750">
        <v>0</v>
      </c>
      <c r="S116" s="750">
        <v>0</v>
      </c>
      <c r="T116" s="750">
        <v>0</v>
      </c>
      <c r="U116" s="750">
        <v>0</v>
      </c>
      <c r="V116" s="750">
        <v>0</v>
      </c>
      <c r="W116" s="750">
        <v>0</v>
      </c>
      <c r="X116" s="750"/>
      <c r="Y116" s="750">
        <v>0</v>
      </c>
      <c r="Z116" s="750">
        <v>0</v>
      </c>
      <c r="AA116" s="750">
        <v>0</v>
      </c>
      <c r="AB116" s="750">
        <v>0</v>
      </c>
      <c r="AC116" s="750">
        <v>0</v>
      </c>
      <c r="AD116" s="750">
        <v>0</v>
      </c>
      <c r="AE116" s="750">
        <v>0</v>
      </c>
      <c r="AF116" s="750">
        <v>0</v>
      </c>
      <c r="AG116" s="750">
        <v>0</v>
      </c>
      <c r="AH116" s="750">
        <v>0</v>
      </c>
      <c r="AI116" s="750">
        <v>0</v>
      </c>
      <c r="AJ116" s="750">
        <v>0</v>
      </c>
      <c r="AK116" s="750">
        <v>0</v>
      </c>
      <c r="AL116" s="750">
        <v>0</v>
      </c>
      <c r="AM116" s="750">
        <v>0</v>
      </c>
      <c r="AN116" s="750">
        <v>0</v>
      </c>
      <c r="AO116" s="750">
        <v>0</v>
      </c>
      <c r="AP116" s="750">
        <v>0</v>
      </c>
      <c r="AQ116" s="750">
        <v>0</v>
      </c>
      <c r="AR116" s="750">
        <v>0</v>
      </c>
      <c r="AS116" s="750">
        <v>0</v>
      </c>
      <c r="AT116" s="750">
        <v>0</v>
      </c>
      <c r="AU116" s="750">
        <v>0</v>
      </c>
      <c r="AV116" s="750">
        <v>0</v>
      </c>
    </row>
    <row r="117" ht="15" customHeight="1" spans="2:48">
      <c r="B117" s="767" t="s">
        <v>1562</v>
      </c>
      <c r="C117" s="784"/>
      <c r="D117" s="784" t="s">
        <v>1534</v>
      </c>
      <c r="E117" s="784"/>
      <c r="F117" s="784"/>
      <c r="G117" s="784" t="s">
        <v>1534</v>
      </c>
      <c r="H117" s="770"/>
      <c r="I117" s="769" t="s">
        <v>1464</v>
      </c>
      <c r="J117" s="769" t="s">
        <v>199</v>
      </c>
      <c r="K117" s="769" t="s">
        <v>199</v>
      </c>
      <c r="L117" s="750">
        <v>0</v>
      </c>
      <c r="M117" s="750">
        <v>0</v>
      </c>
      <c r="N117" s="750">
        <v>0</v>
      </c>
      <c r="O117" s="750">
        <v>0</v>
      </c>
      <c r="P117" s="750">
        <v>0</v>
      </c>
      <c r="Q117" s="750">
        <v>0</v>
      </c>
      <c r="R117" s="750">
        <v>0</v>
      </c>
      <c r="S117" s="750">
        <v>0</v>
      </c>
      <c r="T117" s="750">
        <v>0</v>
      </c>
      <c r="U117" s="750">
        <v>0</v>
      </c>
      <c r="V117" s="750">
        <v>0</v>
      </c>
      <c r="W117" s="750">
        <v>0</v>
      </c>
      <c r="X117" s="750"/>
      <c r="Y117" s="750">
        <v>0</v>
      </c>
      <c r="Z117" s="750">
        <v>0</v>
      </c>
      <c r="AA117" s="750">
        <v>0</v>
      </c>
      <c r="AB117" s="750">
        <v>0</v>
      </c>
      <c r="AC117" s="750">
        <v>0</v>
      </c>
      <c r="AD117" s="750">
        <v>0</v>
      </c>
      <c r="AE117" s="750">
        <v>0</v>
      </c>
      <c r="AF117" s="750">
        <v>0</v>
      </c>
      <c r="AG117" s="750">
        <v>0</v>
      </c>
      <c r="AH117" s="750">
        <v>0</v>
      </c>
      <c r="AI117" s="750">
        <v>0</v>
      </c>
      <c r="AJ117" s="750">
        <v>0</v>
      </c>
      <c r="AK117" s="750">
        <v>0</v>
      </c>
      <c r="AL117" s="750">
        <v>0</v>
      </c>
      <c r="AM117" s="750">
        <v>0</v>
      </c>
      <c r="AN117" s="750">
        <v>0</v>
      </c>
      <c r="AO117" s="750">
        <v>0</v>
      </c>
      <c r="AP117" s="750">
        <v>0</v>
      </c>
      <c r="AQ117" s="750">
        <v>0</v>
      </c>
      <c r="AR117" s="750">
        <v>0</v>
      </c>
      <c r="AS117" s="750">
        <v>0</v>
      </c>
      <c r="AT117" s="750">
        <v>0</v>
      </c>
      <c r="AU117" s="750">
        <v>0</v>
      </c>
      <c r="AV117" s="750">
        <v>0</v>
      </c>
    </row>
    <row r="118" ht="15" customHeight="1" spans="2:48">
      <c r="B118" s="767" t="s">
        <v>1563</v>
      </c>
      <c r="C118" s="784"/>
      <c r="D118" s="784" t="s">
        <v>1534</v>
      </c>
      <c r="E118" s="784"/>
      <c r="F118" s="784"/>
      <c r="G118" s="784" t="s">
        <v>1534</v>
      </c>
      <c r="H118" s="770"/>
      <c r="I118" s="769" t="s">
        <v>1464</v>
      </c>
      <c r="J118" s="769" t="s">
        <v>199</v>
      </c>
      <c r="K118" s="769" t="s">
        <v>199</v>
      </c>
      <c r="L118" s="750">
        <v>0</v>
      </c>
      <c r="M118" s="750">
        <v>0</v>
      </c>
      <c r="N118" s="750">
        <v>0</v>
      </c>
      <c r="O118" s="750">
        <v>0</v>
      </c>
      <c r="P118" s="750">
        <v>0</v>
      </c>
      <c r="Q118" s="750">
        <v>0</v>
      </c>
      <c r="R118" s="750">
        <v>0</v>
      </c>
      <c r="S118" s="750">
        <v>0</v>
      </c>
      <c r="T118" s="750">
        <v>0</v>
      </c>
      <c r="U118" s="750">
        <v>0</v>
      </c>
      <c r="V118" s="750">
        <v>0</v>
      </c>
      <c r="W118" s="750">
        <v>0</v>
      </c>
      <c r="X118" s="750"/>
      <c r="Y118" s="750">
        <v>0</v>
      </c>
      <c r="Z118" s="750">
        <v>0</v>
      </c>
      <c r="AA118" s="750">
        <v>0</v>
      </c>
      <c r="AB118" s="750">
        <v>0</v>
      </c>
      <c r="AC118" s="750">
        <v>0</v>
      </c>
      <c r="AD118" s="750">
        <v>0</v>
      </c>
      <c r="AE118" s="750">
        <v>0</v>
      </c>
      <c r="AF118" s="750">
        <v>0</v>
      </c>
      <c r="AG118" s="750">
        <v>0</v>
      </c>
      <c r="AH118" s="750">
        <v>0</v>
      </c>
      <c r="AI118" s="750">
        <v>0</v>
      </c>
      <c r="AJ118" s="750">
        <v>0</v>
      </c>
      <c r="AK118" s="750">
        <v>0</v>
      </c>
      <c r="AL118" s="750">
        <v>0</v>
      </c>
      <c r="AM118" s="750">
        <v>0</v>
      </c>
      <c r="AN118" s="750">
        <v>0</v>
      </c>
      <c r="AO118" s="750">
        <v>0</v>
      </c>
      <c r="AP118" s="750">
        <v>0</v>
      </c>
      <c r="AQ118" s="750">
        <v>0</v>
      </c>
      <c r="AR118" s="750">
        <v>0</v>
      </c>
      <c r="AS118" s="750">
        <v>0</v>
      </c>
      <c r="AT118" s="750">
        <v>0</v>
      </c>
      <c r="AU118" s="750">
        <v>0</v>
      </c>
      <c r="AV118" s="750">
        <v>0</v>
      </c>
    </row>
    <row r="119" ht="15" customHeight="1" spans="2:48">
      <c r="B119" s="767" t="s">
        <v>1564</v>
      </c>
      <c r="C119" s="784"/>
      <c r="D119" s="784" t="s">
        <v>1534</v>
      </c>
      <c r="E119" s="784"/>
      <c r="F119" s="784"/>
      <c r="G119" s="784" t="s">
        <v>1534</v>
      </c>
      <c r="H119" s="770"/>
      <c r="I119" s="769" t="s">
        <v>1464</v>
      </c>
      <c r="J119" s="769" t="s">
        <v>199</v>
      </c>
      <c r="K119" s="769" t="s">
        <v>199</v>
      </c>
      <c r="L119" s="750">
        <v>0</v>
      </c>
      <c r="M119" s="750">
        <v>0</v>
      </c>
      <c r="N119" s="750">
        <v>0</v>
      </c>
      <c r="O119" s="750">
        <v>0</v>
      </c>
      <c r="P119" s="750">
        <v>0</v>
      </c>
      <c r="Q119" s="750">
        <v>0</v>
      </c>
      <c r="R119" s="750">
        <v>0</v>
      </c>
      <c r="S119" s="750">
        <v>0</v>
      </c>
      <c r="T119" s="750">
        <v>0</v>
      </c>
      <c r="U119" s="750">
        <v>0</v>
      </c>
      <c r="V119" s="750">
        <v>0</v>
      </c>
      <c r="W119" s="750">
        <v>0</v>
      </c>
      <c r="X119" s="750"/>
      <c r="Y119" s="750">
        <v>0</v>
      </c>
      <c r="Z119" s="750">
        <v>0</v>
      </c>
      <c r="AA119" s="750">
        <v>0</v>
      </c>
      <c r="AB119" s="750">
        <v>0</v>
      </c>
      <c r="AC119" s="750">
        <v>0</v>
      </c>
      <c r="AD119" s="750">
        <v>0</v>
      </c>
      <c r="AE119" s="750">
        <v>0</v>
      </c>
      <c r="AF119" s="750">
        <v>0</v>
      </c>
      <c r="AG119" s="750">
        <v>0</v>
      </c>
      <c r="AH119" s="750">
        <v>0</v>
      </c>
      <c r="AI119" s="750">
        <v>0</v>
      </c>
      <c r="AJ119" s="750">
        <v>0</v>
      </c>
      <c r="AK119" s="750">
        <v>0</v>
      </c>
      <c r="AL119" s="750">
        <v>0</v>
      </c>
      <c r="AM119" s="750">
        <v>0</v>
      </c>
      <c r="AN119" s="750">
        <v>0</v>
      </c>
      <c r="AO119" s="750">
        <v>0</v>
      </c>
      <c r="AP119" s="750">
        <v>0</v>
      </c>
      <c r="AQ119" s="750">
        <v>0</v>
      </c>
      <c r="AR119" s="750">
        <v>0</v>
      </c>
      <c r="AS119" s="750">
        <v>0</v>
      </c>
      <c r="AT119" s="750">
        <v>0</v>
      </c>
      <c r="AU119" s="750">
        <v>0</v>
      </c>
      <c r="AV119" s="750">
        <v>0</v>
      </c>
    </row>
  </sheetData>
  <mergeCells count="17">
    <mergeCell ref="L21:X21"/>
    <mergeCell ref="Y21:AJ21"/>
    <mergeCell ref="AK21:AV21"/>
    <mergeCell ref="B21:B22"/>
    <mergeCell ref="C21:C22"/>
    <mergeCell ref="D21:D22"/>
    <mergeCell ref="E21:E22"/>
    <mergeCell ref="F17:F18"/>
    <mergeCell ref="F21:F22"/>
    <mergeCell ref="G17:G18"/>
    <mergeCell ref="G21:G22"/>
    <mergeCell ref="H21:H22"/>
    <mergeCell ref="I21:I22"/>
    <mergeCell ref="J21:J22"/>
    <mergeCell ref="K21:K22"/>
    <mergeCell ref="B11:E14"/>
    <mergeCell ref="B15:E16"/>
  </mergeCells>
  <hyperlinks>
    <hyperlink ref="A1" location="目录!A1" display="← 返回目录"/>
  </hyperlinks>
  <pageMargins left="0.7" right="0.7" top="0.75" bottom="0.75" header="0.3" footer="0.3"/>
  <pageSetup paperSize="1" orientation="portrait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1">
    <tabColor rgb="FF00B0F0"/>
  </sheetPr>
  <dimension ref="A1:AX119"/>
  <sheetViews>
    <sheetView showGridLines="0" showZeros="0" zoomScale="85" zoomScaleNormal="85" topLeftCell="A10" workbookViewId="0">
      <pane xSplit="1" ySplit="15" topLeftCell="V25" activePane="bottomRight" state="frozen"/>
      <selection/>
      <selection pane="topRight"/>
      <selection pane="bottomLeft"/>
      <selection pane="bottomRight" activeCell="H23" sqref="H23"/>
    </sheetView>
  </sheetViews>
  <sheetFormatPr defaultColWidth="8.725" defaultRowHeight="11.25"/>
  <cols>
    <col min="1" max="1" width="1.63333333333333" style="1" customWidth="1"/>
    <col min="2" max="2" width="34.725" style="1" customWidth="1"/>
    <col min="3" max="3" width="12.6333333333333" style="1" customWidth="1"/>
    <col min="4" max="4" width="12.725" style="1" customWidth="1"/>
    <col min="5" max="5" width="15.6333333333333" style="1" customWidth="1"/>
    <col min="6" max="6" width="10.6333333333333" style="1" customWidth="1"/>
    <col min="7" max="7" width="10.0916666666667" style="1" customWidth="1"/>
    <col min="8" max="8" width="11" style="1" customWidth="1"/>
    <col min="9" max="9" width="12.1833333333333" style="1" customWidth="1"/>
    <col min="10" max="12" width="12.6333333333333" style="1" customWidth="1"/>
    <col min="13" max="13" width="15.3666666666667" style="1" customWidth="1"/>
    <col min="14" max="24" width="11.1833333333333" style="1" customWidth="1"/>
    <col min="25" max="36" width="9.725" style="1" customWidth="1"/>
    <col min="37" max="67" width="8.725" style="1" customWidth="1"/>
    <col min="68" max="16384" width="8.725" style="1"/>
  </cols>
  <sheetData>
    <row r="1" ht="16.5" hidden="1" customHeight="1" spans="1:17">
      <c r="A1" s="162" t="s">
        <v>185</v>
      </c>
      <c r="B1" s="1" t="s">
        <v>1435</v>
      </c>
      <c r="C1" s="1" t="s">
        <v>1436</v>
      </c>
    </row>
    <row r="2" ht="16.5" hidden="1" customHeight="1" spans="1:17">
      <c r="B2" s="754" t="s">
        <v>1437</v>
      </c>
      <c r="C2" s="1" t="s">
        <v>1438</v>
      </c>
    </row>
    <row r="3" ht="16.5" hidden="1" customHeight="1" spans="1:17">
      <c r="B3" s="754" t="s">
        <v>1439</v>
      </c>
      <c r="C3" s="1" t="s">
        <v>340</v>
      </c>
    </row>
    <row r="4" ht="16.5" hidden="1" customHeight="1" spans="1:17">
      <c r="B4" s="754" t="s">
        <v>1440</v>
      </c>
      <c r="C4" s="1" t="s">
        <v>1441</v>
      </c>
    </row>
    <row r="5" ht="16.5" hidden="1" customHeight="1" spans="1:17">
      <c r="B5" s="754" t="s">
        <v>1442</v>
      </c>
      <c r="C5" s="1" t="s">
        <v>1443</v>
      </c>
    </row>
    <row r="6" ht="16.5" hidden="1" customHeight="1" spans="1:17">
      <c r="B6" s="754" t="s">
        <v>333</v>
      </c>
      <c r="C6" s="1" t="s">
        <v>1444</v>
      </c>
    </row>
    <row r="7" ht="16.5" hidden="1" customHeight="1" spans="1:17">
      <c r="B7" s="754" t="s">
        <v>1445</v>
      </c>
      <c r="C7" s="1" t="s">
        <v>1446</v>
      </c>
    </row>
    <row r="8" ht="9" hidden="1" customHeight="1" spans="1:17">
      <c r="B8" s="754"/>
    </row>
    <row r="9" ht="9" hidden="1" customHeight="1"/>
    <row r="10" ht="3.5" customHeight="1" spans="1:17">
      <c r="B10" s="755"/>
      <c r="E10" s="756"/>
      <c r="F10" s="756"/>
    </row>
    <row r="11" ht="13" customHeight="1" spans="1:17">
      <c r="B11" s="492" t="s">
        <v>1577</v>
      </c>
      <c r="C11" s="492"/>
      <c r="D11" s="492"/>
      <c r="E11" s="492"/>
      <c r="F11" s="7" t="s">
        <v>1404</v>
      </c>
      <c r="G11" s="8" t="s">
        <v>1405</v>
      </c>
      <c r="H11" s="8"/>
      <c r="I11" s="8"/>
      <c r="J11" s="8"/>
      <c r="K11" s="8"/>
      <c r="L11" s="8"/>
      <c r="M11" s="8"/>
      <c r="N11" s="8"/>
      <c r="O11" s="8"/>
      <c r="P11" s="8"/>
      <c r="Q11" s="70"/>
    </row>
    <row r="12" ht="13" customHeight="1" spans="1:17">
      <c r="B12" s="492"/>
      <c r="C12" s="492"/>
      <c r="D12" s="492"/>
      <c r="E12" s="492"/>
      <c r="F12" s="12"/>
      <c r="G12" s="13" t="s">
        <v>1578</v>
      </c>
      <c r="H12" s="13"/>
      <c r="I12" s="13"/>
      <c r="J12" s="13"/>
      <c r="K12" s="13"/>
      <c r="L12" s="13"/>
      <c r="M12" s="14"/>
      <c r="N12" s="14"/>
      <c r="O12" s="14"/>
      <c r="P12" s="14"/>
      <c r="Q12" s="71"/>
    </row>
    <row r="13" customHeight="1" spans="1:17">
      <c r="B13" s="492"/>
      <c r="C13" s="492"/>
      <c r="D13" s="492"/>
      <c r="E13" s="492"/>
      <c r="F13" s="12"/>
      <c r="G13" s="13" t="s">
        <v>1579</v>
      </c>
      <c r="H13" s="13"/>
      <c r="I13" s="13"/>
      <c r="J13" s="13"/>
      <c r="K13" s="13"/>
      <c r="L13" s="13"/>
      <c r="M13" s="15"/>
      <c r="N13" s="15"/>
      <c r="O13" s="15"/>
      <c r="P13" s="14"/>
      <c r="Q13" s="71"/>
    </row>
    <row r="14" customHeight="1" spans="1:17">
      <c r="B14" s="492"/>
      <c r="C14" s="492"/>
      <c r="D14" s="492"/>
      <c r="E14" s="492"/>
      <c r="F14" s="12"/>
      <c r="G14" s="13" t="s">
        <v>1408</v>
      </c>
      <c r="H14" s="13"/>
      <c r="I14" s="13"/>
      <c r="J14" s="13"/>
      <c r="K14" s="13"/>
      <c r="L14" s="13"/>
      <c r="M14" s="15"/>
      <c r="N14" s="15"/>
      <c r="O14" s="15"/>
      <c r="P14" s="14"/>
      <c r="Q14" s="71"/>
    </row>
    <row r="15" customHeight="1" spans="1:17">
      <c r="B15" s="292" t="s">
        <v>1451</v>
      </c>
      <c r="C15" s="292"/>
      <c r="D15" s="292"/>
      <c r="E15" s="292"/>
      <c r="F15" s="12"/>
      <c r="G15" s="22"/>
      <c r="H15" s="22"/>
      <c r="I15" s="13"/>
      <c r="J15" s="13"/>
      <c r="K15" s="13"/>
      <c r="L15" s="13"/>
      <c r="M15" s="15"/>
      <c r="N15" s="15"/>
      <c r="O15" s="15"/>
      <c r="P15" s="14"/>
      <c r="Q15" s="71"/>
    </row>
    <row r="16" customHeight="1" spans="1:17">
      <c r="B16" s="292"/>
      <c r="C16" s="292"/>
      <c r="D16" s="292"/>
      <c r="E16" s="292"/>
      <c r="F16" s="26" t="s">
        <v>1567</v>
      </c>
      <c r="G16" s="27"/>
      <c r="H16" s="27"/>
      <c r="I16" s="28"/>
      <c r="J16" s="28"/>
      <c r="K16" s="28"/>
      <c r="L16" s="28"/>
      <c r="M16" s="29"/>
      <c r="N16" s="29"/>
      <c r="O16" s="29"/>
      <c r="P16" s="30"/>
      <c r="Q16" s="72"/>
    </row>
    <row r="17" ht="4.5" customHeight="1" spans="2:50">
      <c r="F17" s="31"/>
      <c r="G17" s="32">
        <v>0</v>
      </c>
      <c r="H17" s="32"/>
      <c r="L17" s="33"/>
      <c r="M17" s="34"/>
      <c r="N17" s="34"/>
      <c r="O17" s="34"/>
    </row>
    <row r="18" ht="10.5" customHeight="1" spans="2:50">
      <c r="F18" s="35"/>
      <c r="G18" s="32"/>
      <c r="H18" s="32"/>
      <c r="AL18" s="1" t="s">
        <v>1453</v>
      </c>
    </row>
    <row r="19" ht="15" customHeight="1" spans="2:50">
      <c r="B19" s="36" t="s">
        <v>1411</v>
      </c>
      <c r="C19" s="37" t="s">
        <v>1412</v>
      </c>
      <c r="D19" s="36" t="s">
        <v>188</v>
      </c>
      <c r="E19" s="37" t="s">
        <v>1413</v>
      </c>
      <c r="F19" s="36" t="s">
        <v>1364</v>
      </c>
      <c r="G19" s="37" t="s">
        <v>1396</v>
      </c>
      <c r="H19" s="36" t="s">
        <v>1414</v>
      </c>
      <c r="I19" s="38" t="s">
        <v>1359</v>
      </c>
    </row>
    <row r="20" ht="15.5" customHeight="1"/>
    <row r="21" s="753" customFormat="1" ht="22.5" customHeight="1" spans="2:50">
      <c r="B21" s="760" t="s">
        <v>188</v>
      </c>
      <c r="C21" s="760" t="s">
        <v>489</v>
      </c>
      <c r="D21" s="760" t="s">
        <v>1369</v>
      </c>
      <c r="E21" s="760" t="s">
        <v>493</v>
      </c>
      <c r="F21" s="759" t="s">
        <v>1580</v>
      </c>
      <c r="G21" s="759" t="s">
        <v>1581</v>
      </c>
      <c r="H21" s="759" t="s">
        <v>1582</v>
      </c>
      <c r="I21" s="761" t="s">
        <v>1422</v>
      </c>
      <c r="J21" s="762"/>
      <c r="K21" s="762"/>
      <c r="L21" s="762"/>
      <c r="M21" s="762"/>
      <c r="N21" s="762"/>
      <c r="O21" s="762"/>
      <c r="P21" s="762"/>
      <c r="Q21" s="762"/>
      <c r="R21" s="762"/>
      <c r="S21" s="762"/>
      <c r="T21" s="762"/>
      <c r="U21" s="759" t="s">
        <v>1583</v>
      </c>
      <c r="V21" s="759" t="s">
        <v>1584</v>
      </c>
      <c r="W21" s="759" t="s">
        <v>1585</v>
      </c>
      <c r="X21" s="795" t="s">
        <v>1586</v>
      </c>
      <c r="Y21" s="796"/>
      <c r="Z21" s="796"/>
      <c r="AA21" s="796"/>
      <c r="AB21" s="796"/>
      <c r="AC21" s="796"/>
      <c r="AD21" s="796"/>
      <c r="AE21" s="796"/>
      <c r="AF21" s="796"/>
      <c r="AG21" s="796"/>
      <c r="AH21" s="796"/>
      <c r="AI21" s="796"/>
      <c r="AJ21" s="759" t="s">
        <v>1587</v>
      </c>
      <c r="AK21" s="759" t="s">
        <v>1588</v>
      </c>
      <c r="AL21" s="759" t="s">
        <v>1589</v>
      </c>
      <c r="AM21" s="766" t="s">
        <v>1318</v>
      </c>
      <c r="AN21" s="766"/>
      <c r="AO21" s="766"/>
      <c r="AP21" s="766"/>
      <c r="AQ21" s="766"/>
      <c r="AR21" s="766"/>
      <c r="AS21" s="766"/>
      <c r="AT21" s="766"/>
      <c r="AU21" s="766"/>
      <c r="AV21" s="766"/>
      <c r="AW21" s="766"/>
      <c r="AX21" s="766"/>
    </row>
    <row r="22" s="753" customFormat="1" ht="22.5" customHeight="1" spans="2:50">
      <c r="B22" s="765"/>
      <c r="C22" s="765"/>
      <c r="D22" s="765"/>
      <c r="E22" s="765"/>
      <c r="F22" s="764"/>
      <c r="G22" s="764"/>
      <c r="H22" s="764"/>
      <c r="I22" s="766" t="s">
        <v>304</v>
      </c>
      <c r="J22" s="766" t="s">
        <v>305</v>
      </c>
      <c r="K22" s="766" t="s">
        <v>306</v>
      </c>
      <c r="L22" s="766" t="s">
        <v>307</v>
      </c>
      <c r="M22" s="766" t="s">
        <v>308</v>
      </c>
      <c r="N22" s="766" t="s">
        <v>309</v>
      </c>
      <c r="O22" s="766" t="s">
        <v>310</v>
      </c>
      <c r="P22" s="766" t="s">
        <v>311</v>
      </c>
      <c r="Q22" s="766" t="s">
        <v>312</v>
      </c>
      <c r="R22" s="766" t="s">
        <v>313</v>
      </c>
      <c r="S22" s="766" t="s">
        <v>314</v>
      </c>
      <c r="T22" s="766" t="s">
        <v>315</v>
      </c>
      <c r="U22" s="764"/>
      <c r="V22" s="764"/>
      <c r="W22" s="764"/>
      <c r="X22" s="732" t="s">
        <v>304</v>
      </c>
      <c r="Y22" s="732" t="s">
        <v>305</v>
      </c>
      <c r="Z22" s="732" t="s">
        <v>306</v>
      </c>
      <c r="AA22" s="732" t="s">
        <v>307</v>
      </c>
      <c r="AB22" s="732" t="s">
        <v>308</v>
      </c>
      <c r="AC22" s="732" t="s">
        <v>309</v>
      </c>
      <c r="AD22" s="732" t="s">
        <v>310</v>
      </c>
      <c r="AE22" s="732" t="s">
        <v>311</v>
      </c>
      <c r="AF22" s="732" t="s">
        <v>312</v>
      </c>
      <c r="AG22" s="732" t="s">
        <v>313</v>
      </c>
      <c r="AH22" s="732" t="s">
        <v>314</v>
      </c>
      <c r="AI22" s="732" t="s">
        <v>315</v>
      </c>
      <c r="AJ22" s="764"/>
      <c r="AK22" s="764"/>
      <c r="AL22" s="764"/>
      <c r="AM22" s="766" t="s">
        <v>304</v>
      </c>
      <c r="AN22" s="766" t="s">
        <v>305</v>
      </c>
      <c r="AO22" s="766" t="s">
        <v>306</v>
      </c>
      <c r="AP22" s="766" t="s">
        <v>307</v>
      </c>
      <c r="AQ22" s="766" t="s">
        <v>308</v>
      </c>
      <c r="AR22" s="766" t="s">
        <v>309</v>
      </c>
      <c r="AS22" s="766" t="s">
        <v>310</v>
      </c>
      <c r="AT22" s="766" t="s">
        <v>311</v>
      </c>
      <c r="AU22" s="766" t="s">
        <v>312</v>
      </c>
      <c r="AV22" s="766" t="s">
        <v>313</v>
      </c>
      <c r="AW22" s="766" t="s">
        <v>314</v>
      </c>
      <c r="AX22" s="766" t="s">
        <v>315</v>
      </c>
    </row>
    <row r="23" s="753" customFormat="1" ht="22.5" customHeight="1" spans="2:50">
      <c r="B23" s="763" t="s">
        <v>1421</v>
      </c>
      <c r="C23" s="763" t="s">
        <v>1421</v>
      </c>
      <c r="D23" s="763" t="s">
        <v>1421</v>
      </c>
      <c r="E23" s="763" t="s">
        <v>1421</v>
      </c>
      <c r="F23" s="763" t="s">
        <v>199</v>
      </c>
      <c r="G23" s="763" t="s">
        <v>199</v>
      </c>
      <c r="H23" s="763" t="s">
        <v>199</v>
      </c>
      <c r="I23" s="766" t="s">
        <v>1421</v>
      </c>
      <c r="J23" s="766" t="s">
        <v>1421</v>
      </c>
      <c r="K23" s="766" t="s">
        <v>1421</v>
      </c>
      <c r="L23" s="766" t="s">
        <v>1421</v>
      </c>
      <c r="M23" s="766" t="s">
        <v>1421</v>
      </c>
      <c r="N23" s="766" t="s">
        <v>1421</v>
      </c>
      <c r="O23" s="766" t="s">
        <v>1421</v>
      </c>
      <c r="P23" s="766" t="s">
        <v>1421</v>
      </c>
      <c r="Q23" s="766" t="s">
        <v>1421</v>
      </c>
      <c r="R23" s="766" t="s">
        <v>1421</v>
      </c>
      <c r="S23" s="766" t="s">
        <v>1421</v>
      </c>
      <c r="T23" s="766" t="s">
        <v>1421</v>
      </c>
      <c r="U23" s="763" t="s">
        <v>199</v>
      </c>
      <c r="V23" s="763" t="s">
        <v>199</v>
      </c>
      <c r="W23" s="763" t="s">
        <v>199</v>
      </c>
      <c r="X23" s="746" t="s">
        <v>1465</v>
      </c>
      <c r="Y23" s="746" t="s">
        <v>1465</v>
      </c>
      <c r="Z23" s="746" t="s">
        <v>1465</v>
      </c>
      <c r="AA23" s="746" t="s">
        <v>1465</v>
      </c>
      <c r="AB23" s="746" t="s">
        <v>1465</v>
      </c>
      <c r="AC23" s="746" t="s">
        <v>1465</v>
      </c>
      <c r="AD23" s="746" t="s">
        <v>1465</v>
      </c>
      <c r="AE23" s="746" t="s">
        <v>1465</v>
      </c>
      <c r="AF23" s="746" t="s">
        <v>1465</v>
      </c>
      <c r="AG23" s="746" t="s">
        <v>1465</v>
      </c>
      <c r="AH23" s="746" t="s">
        <v>1465</v>
      </c>
      <c r="AI23" s="746" t="s">
        <v>1465</v>
      </c>
      <c r="AJ23" s="763" t="s">
        <v>199</v>
      </c>
      <c r="AK23" s="763" t="s">
        <v>199</v>
      </c>
      <c r="AL23" s="763" t="s">
        <v>199</v>
      </c>
      <c r="AM23" s="766" t="s">
        <v>199</v>
      </c>
      <c r="AN23" s="766" t="s">
        <v>199</v>
      </c>
      <c r="AO23" s="766" t="s">
        <v>199</v>
      </c>
      <c r="AP23" s="766" t="s">
        <v>199</v>
      </c>
      <c r="AQ23" s="766" t="s">
        <v>199</v>
      </c>
      <c r="AR23" s="766" t="s">
        <v>199</v>
      </c>
      <c r="AS23" s="766" t="s">
        <v>199</v>
      </c>
      <c r="AT23" s="766" t="s">
        <v>199</v>
      </c>
      <c r="AU23" s="766" t="s">
        <v>199</v>
      </c>
      <c r="AV23" s="766" t="s">
        <v>199</v>
      </c>
      <c r="AW23" s="766" t="s">
        <v>199</v>
      </c>
      <c r="AX23" s="766" t="s">
        <v>199</v>
      </c>
    </row>
    <row r="24" ht="20.5" customHeight="1" spans="2:50">
      <c r="B24" s="767" t="s">
        <v>281</v>
      </c>
      <c r="C24" s="768" t="s">
        <v>1466</v>
      </c>
      <c r="D24" s="768" t="s">
        <v>1466</v>
      </c>
      <c r="E24" s="768" t="s">
        <v>1466</v>
      </c>
      <c r="F24" s="769" t="s">
        <v>199</v>
      </c>
      <c r="G24" s="769" t="s">
        <v>199</v>
      </c>
      <c r="H24" s="769" t="s">
        <v>199</v>
      </c>
      <c r="I24" s="769" t="s">
        <v>1464</v>
      </c>
      <c r="J24" s="769" t="s">
        <v>1464</v>
      </c>
      <c r="K24" s="769" t="s">
        <v>1464</v>
      </c>
      <c r="L24" s="769" t="s">
        <v>1464</v>
      </c>
      <c r="M24" s="769" t="s">
        <v>1464</v>
      </c>
      <c r="N24" s="769" t="s">
        <v>1464</v>
      </c>
      <c r="O24" s="769" t="s">
        <v>1464</v>
      </c>
      <c r="P24" s="769" t="s">
        <v>1464</v>
      </c>
      <c r="Q24" s="769" t="s">
        <v>1464</v>
      </c>
      <c r="R24" s="769" t="s">
        <v>1464</v>
      </c>
      <c r="S24" s="769" t="s">
        <v>1464</v>
      </c>
      <c r="T24" s="769" t="s">
        <v>1464</v>
      </c>
      <c r="U24" s="769" t="s">
        <v>199</v>
      </c>
      <c r="V24" s="769" t="s">
        <v>199</v>
      </c>
      <c r="W24" s="769" t="s">
        <v>199</v>
      </c>
      <c r="X24" s="769" t="s">
        <v>1464</v>
      </c>
      <c r="Y24" s="769" t="s">
        <v>1464</v>
      </c>
      <c r="Z24" s="769" t="s">
        <v>1464</v>
      </c>
      <c r="AA24" s="769" t="s">
        <v>1464</v>
      </c>
      <c r="AB24" s="769" t="s">
        <v>1464</v>
      </c>
      <c r="AC24" s="769" t="s">
        <v>1464</v>
      </c>
      <c r="AD24" s="769" t="s">
        <v>1464</v>
      </c>
      <c r="AE24" s="769" t="s">
        <v>1464</v>
      </c>
      <c r="AF24" s="769" t="s">
        <v>1464</v>
      </c>
      <c r="AG24" s="769" t="s">
        <v>1464</v>
      </c>
      <c r="AH24" s="769" t="s">
        <v>1464</v>
      </c>
      <c r="AI24" s="769" t="s">
        <v>1464</v>
      </c>
      <c r="AJ24" s="769" t="s">
        <v>199</v>
      </c>
      <c r="AK24" s="769" t="s">
        <v>199</v>
      </c>
      <c r="AL24" s="769" t="s">
        <v>199</v>
      </c>
      <c r="AM24" s="769" t="s">
        <v>199</v>
      </c>
      <c r="AN24" s="769" t="s">
        <v>199</v>
      </c>
      <c r="AO24" s="769" t="s">
        <v>199</v>
      </c>
      <c r="AP24" s="769" t="s">
        <v>199</v>
      </c>
      <c r="AQ24" s="769" t="s">
        <v>199</v>
      </c>
      <c r="AR24" s="769" t="s">
        <v>199</v>
      </c>
      <c r="AS24" s="769" t="s">
        <v>199</v>
      </c>
      <c r="AT24" s="769" t="s">
        <v>199</v>
      </c>
      <c r="AU24" s="769" t="s">
        <v>199</v>
      </c>
      <c r="AV24" s="769" t="s">
        <v>199</v>
      </c>
      <c r="AW24" s="769" t="s">
        <v>199</v>
      </c>
      <c r="AX24" s="769" t="s">
        <v>199</v>
      </c>
    </row>
    <row r="25" ht="15" customHeight="1" spans="2:50">
      <c r="B25" s="799"/>
      <c r="C25" s="770" t="s">
        <v>1424</v>
      </c>
      <c r="D25" s="770"/>
      <c r="E25" s="770" t="s">
        <v>1425</v>
      </c>
      <c r="F25" s="769" t="s">
        <v>199</v>
      </c>
      <c r="G25" s="769" t="s">
        <v>199</v>
      </c>
      <c r="H25" s="769" t="s">
        <v>199</v>
      </c>
      <c r="I25" s="748"/>
      <c r="J25" s="800"/>
      <c r="K25" s="800"/>
      <c r="L25" s="800"/>
      <c r="M25" s="800"/>
      <c r="N25" s="800"/>
      <c r="O25" s="800"/>
      <c r="P25" s="800"/>
      <c r="Q25" s="800"/>
      <c r="R25" s="800"/>
      <c r="S25" s="748"/>
      <c r="T25" s="748"/>
      <c r="U25" s="769" t="s">
        <v>199</v>
      </c>
      <c r="V25" s="769" t="s">
        <v>199</v>
      </c>
      <c r="W25" s="769" t="s">
        <v>199</v>
      </c>
      <c r="X25" s="748"/>
      <c r="Y25" s="800"/>
      <c r="Z25" s="800"/>
      <c r="AA25" s="800"/>
      <c r="AB25" s="800"/>
      <c r="AC25" s="800"/>
      <c r="AD25" s="800"/>
      <c r="AE25" s="800"/>
      <c r="AF25" s="800"/>
      <c r="AG25" s="800"/>
      <c r="AH25" s="748"/>
      <c r="AI25" s="748"/>
      <c r="AJ25" s="769" t="s">
        <v>199</v>
      </c>
      <c r="AK25" s="769" t="s">
        <v>199</v>
      </c>
      <c r="AL25" s="769" t="s">
        <v>199</v>
      </c>
      <c r="AM25" s="748"/>
      <c r="AN25" s="800"/>
      <c r="AO25" s="800"/>
      <c r="AP25" s="800"/>
      <c r="AQ25" s="800"/>
      <c r="AR25" s="800"/>
      <c r="AS25" s="800"/>
      <c r="AT25" s="800"/>
      <c r="AU25" s="800"/>
      <c r="AV25" s="800"/>
      <c r="AW25" s="748"/>
      <c r="AX25" s="748"/>
    </row>
    <row r="26" ht="15" customHeight="1" spans="2:50">
      <c r="B26" s="799"/>
      <c r="C26" s="770"/>
      <c r="D26" s="770"/>
      <c r="E26" s="770" t="s">
        <v>1426</v>
      </c>
      <c r="F26" s="769" t="s">
        <v>199</v>
      </c>
      <c r="G26" s="769" t="s">
        <v>199</v>
      </c>
      <c r="H26" s="769" t="s">
        <v>199</v>
      </c>
      <c r="I26" s="748"/>
      <c r="J26" s="748"/>
      <c r="K26" s="748"/>
      <c r="L26" s="748"/>
      <c r="M26" s="800"/>
      <c r="N26" s="800"/>
      <c r="O26" s="800"/>
      <c r="P26" s="800"/>
      <c r="Q26" s="800"/>
      <c r="R26" s="800"/>
      <c r="S26" s="748"/>
      <c r="T26" s="748"/>
      <c r="U26" s="769" t="s">
        <v>199</v>
      </c>
      <c r="V26" s="769" t="s">
        <v>199</v>
      </c>
      <c r="W26" s="769" t="s">
        <v>199</v>
      </c>
      <c r="X26" s="748"/>
      <c r="Y26" s="748"/>
      <c r="Z26" s="748"/>
      <c r="AA26" s="748"/>
      <c r="AB26" s="800"/>
      <c r="AC26" s="800"/>
      <c r="AD26" s="800"/>
      <c r="AE26" s="800"/>
      <c r="AF26" s="800"/>
      <c r="AG26" s="800"/>
      <c r="AH26" s="748"/>
      <c r="AI26" s="748"/>
      <c r="AJ26" s="769" t="s">
        <v>199</v>
      </c>
      <c r="AK26" s="769" t="s">
        <v>199</v>
      </c>
      <c r="AL26" s="769" t="s">
        <v>199</v>
      </c>
      <c r="AM26" s="748"/>
      <c r="AN26" s="748"/>
      <c r="AO26" s="748"/>
      <c r="AP26" s="748"/>
      <c r="AQ26" s="800"/>
      <c r="AR26" s="800"/>
      <c r="AS26" s="800"/>
      <c r="AT26" s="800"/>
      <c r="AU26" s="800"/>
      <c r="AV26" s="800"/>
      <c r="AW26" s="748"/>
      <c r="AX26" s="748"/>
    </row>
    <row r="27" ht="15" customHeight="1" spans="2:50">
      <c r="B27" s="801"/>
      <c r="C27" s="770" t="s">
        <v>1568</v>
      </c>
      <c r="D27" s="770"/>
      <c r="E27" s="770"/>
      <c r="F27" s="769" t="s">
        <v>199</v>
      </c>
      <c r="G27" s="769" t="s">
        <v>199</v>
      </c>
      <c r="H27" s="769" t="s">
        <v>199</v>
      </c>
      <c r="I27" s="800"/>
      <c r="J27" s="800"/>
      <c r="K27" s="800"/>
      <c r="L27" s="800"/>
      <c r="M27" s="800"/>
      <c r="N27" s="800"/>
      <c r="O27" s="800"/>
      <c r="P27" s="800"/>
      <c r="Q27" s="800"/>
      <c r="R27" s="800"/>
      <c r="S27" s="748"/>
      <c r="T27" s="748"/>
      <c r="U27" s="769" t="s">
        <v>199</v>
      </c>
      <c r="V27" s="769" t="s">
        <v>199</v>
      </c>
      <c r="W27" s="769" t="s">
        <v>199</v>
      </c>
      <c r="X27" s="800"/>
      <c r="Y27" s="800"/>
      <c r="Z27" s="800"/>
      <c r="AA27" s="800"/>
      <c r="AB27" s="800"/>
      <c r="AC27" s="800"/>
      <c r="AD27" s="800"/>
      <c r="AE27" s="800"/>
      <c r="AF27" s="800"/>
      <c r="AG27" s="800"/>
      <c r="AH27" s="748"/>
      <c r="AI27" s="748"/>
      <c r="AJ27" s="769" t="s">
        <v>199</v>
      </c>
      <c r="AK27" s="769" t="s">
        <v>199</v>
      </c>
      <c r="AL27" s="769" t="s">
        <v>199</v>
      </c>
      <c r="AM27" s="800"/>
      <c r="AN27" s="800"/>
      <c r="AO27" s="800"/>
      <c r="AP27" s="800"/>
      <c r="AQ27" s="800"/>
      <c r="AR27" s="800"/>
      <c r="AS27" s="800"/>
      <c r="AT27" s="800"/>
      <c r="AU27" s="800"/>
      <c r="AV27" s="800"/>
      <c r="AW27" s="748"/>
      <c r="AX27" s="748"/>
    </row>
    <row r="28" ht="15" customHeight="1" spans="2:50">
      <c r="B28" s="801"/>
      <c r="C28" s="770"/>
      <c r="D28" s="770"/>
      <c r="E28" s="770"/>
      <c r="F28" s="769" t="s">
        <v>199</v>
      </c>
      <c r="G28" s="769" t="s">
        <v>199</v>
      </c>
      <c r="H28" s="769" t="s">
        <v>199</v>
      </c>
      <c r="I28" s="800"/>
      <c r="J28" s="800"/>
      <c r="K28" s="800"/>
      <c r="L28" s="800"/>
      <c r="M28" s="800"/>
      <c r="N28" s="800"/>
      <c r="O28" s="800"/>
      <c r="P28" s="748"/>
      <c r="Q28" s="800"/>
      <c r="R28" s="748"/>
      <c r="S28" s="748"/>
      <c r="T28" s="748"/>
      <c r="U28" s="769" t="s">
        <v>199</v>
      </c>
      <c r="V28" s="769" t="s">
        <v>199</v>
      </c>
      <c r="W28" s="769" t="s">
        <v>199</v>
      </c>
      <c r="X28" s="800"/>
      <c r="Y28" s="800"/>
      <c r="Z28" s="800"/>
      <c r="AA28" s="800"/>
      <c r="AB28" s="800"/>
      <c r="AC28" s="800"/>
      <c r="AD28" s="800"/>
      <c r="AE28" s="748"/>
      <c r="AF28" s="800"/>
      <c r="AG28" s="748"/>
      <c r="AH28" s="748"/>
      <c r="AI28" s="748"/>
      <c r="AJ28" s="769" t="s">
        <v>199</v>
      </c>
      <c r="AK28" s="769" t="s">
        <v>199</v>
      </c>
      <c r="AL28" s="769" t="s">
        <v>199</v>
      </c>
      <c r="AM28" s="800"/>
      <c r="AN28" s="800"/>
      <c r="AO28" s="800"/>
      <c r="AP28" s="800"/>
      <c r="AQ28" s="800"/>
      <c r="AR28" s="800"/>
      <c r="AS28" s="800"/>
      <c r="AT28" s="748"/>
      <c r="AU28" s="800"/>
      <c r="AV28" s="748"/>
      <c r="AW28" s="748"/>
      <c r="AX28" s="748"/>
    </row>
    <row r="29" ht="15" customHeight="1" spans="2:50">
      <c r="B29" s="801"/>
      <c r="C29" s="770"/>
      <c r="D29" s="770"/>
      <c r="E29" s="770"/>
      <c r="F29" s="769" t="s">
        <v>199</v>
      </c>
      <c r="G29" s="769" t="s">
        <v>199</v>
      </c>
      <c r="H29" s="769" t="s">
        <v>199</v>
      </c>
      <c r="I29" s="748"/>
      <c r="J29" s="748"/>
      <c r="K29" s="748"/>
      <c r="L29" s="748"/>
      <c r="M29" s="748"/>
      <c r="N29" s="748"/>
      <c r="O29" s="748"/>
      <c r="P29" s="748"/>
      <c r="Q29" s="800"/>
      <c r="R29" s="800"/>
      <c r="S29" s="749"/>
      <c r="T29" s="749"/>
      <c r="U29" s="769" t="s">
        <v>199</v>
      </c>
      <c r="V29" s="769" t="s">
        <v>199</v>
      </c>
      <c r="W29" s="769" t="s">
        <v>199</v>
      </c>
      <c r="X29" s="748"/>
      <c r="Y29" s="748"/>
      <c r="Z29" s="748"/>
      <c r="AA29" s="748"/>
      <c r="AB29" s="748"/>
      <c r="AC29" s="748"/>
      <c r="AD29" s="748"/>
      <c r="AE29" s="748"/>
      <c r="AF29" s="800"/>
      <c r="AG29" s="800"/>
      <c r="AH29" s="749"/>
      <c r="AI29" s="749"/>
      <c r="AJ29" s="769" t="s">
        <v>199</v>
      </c>
      <c r="AK29" s="769" t="s">
        <v>199</v>
      </c>
      <c r="AL29" s="769" t="s">
        <v>199</v>
      </c>
      <c r="AM29" s="748"/>
      <c r="AN29" s="748"/>
      <c r="AO29" s="748"/>
      <c r="AP29" s="748"/>
      <c r="AQ29" s="748"/>
      <c r="AR29" s="748"/>
      <c r="AS29" s="748"/>
      <c r="AT29" s="748"/>
      <c r="AU29" s="800"/>
      <c r="AV29" s="800"/>
      <c r="AW29" s="749"/>
      <c r="AX29" s="749"/>
    </row>
    <row r="30" ht="15" customHeight="1" spans="2:50">
      <c r="B30" s="801"/>
      <c r="C30" s="770"/>
      <c r="D30" s="770"/>
      <c r="E30" s="770"/>
      <c r="F30" s="769" t="s">
        <v>199</v>
      </c>
      <c r="G30" s="769" t="s">
        <v>199</v>
      </c>
      <c r="H30" s="769" t="s">
        <v>199</v>
      </c>
      <c r="I30" s="800"/>
      <c r="J30" s="800"/>
      <c r="K30" s="800"/>
      <c r="L30" s="800"/>
      <c r="M30" s="800"/>
      <c r="N30" s="800"/>
      <c r="O30" s="800"/>
      <c r="P30" s="800"/>
      <c r="Q30" s="800"/>
      <c r="R30" s="800"/>
      <c r="S30" s="749"/>
      <c r="T30" s="749"/>
      <c r="U30" s="769" t="s">
        <v>199</v>
      </c>
      <c r="V30" s="769" t="s">
        <v>199</v>
      </c>
      <c r="W30" s="769" t="s">
        <v>199</v>
      </c>
      <c r="X30" s="800"/>
      <c r="Y30" s="800"/>
      <c r="Z30" s="800"/>
      <c r="AA30" s="800"/>
      <c r="AB30" s="800"/>
      <c r="AC30" s="800"/>
      <c r="AD30" s="800"/>
      <c r="AE30" s="800"/>
      <c r="AF30" s="800"/>
      <c r="AG30" s="800"/>
      <c r="AH30" s="749"/>
      <c r="AI30" s="749"/>
      <c r="AJ30" s="769" t="s">
        <v>199</v>
      </c>
      <c r="AK30" s="769" t="s">
        <v>199</v>
      </c>
      <c r="AL30" s="769" t="s">
        <v>199</v>
      </c>
      <c r="AM30" s="800"/>
      <c r="AN30" s="800"/>
      <c r="AO30" s="800"/>
      <c r="AP30" s="800"/>
      <c r="AQ30" s="800"/>
      <c r="AR30" s="800"/>
      <c r="AS30" s="800"/>
      <c r="AT30" s="800"/>
      <c r="AU30" s="800"/>
      <c r="AV30" s="800"/>
      <c r="AW30" s="749"/>
      <c r="AX30" s="749"/>
    </row>
    <row r="31" ht="15" customHeight="1" spans="2:50">
      <c r="B31" s="801"/>
      <c r="C31" s="770"/>
      <c r="D31" s="770"/>
      <c r="E31" s="770"/>
      <c r="F31" s="769" t="s">
        <v>199</v>
      </c>
      <c r="G31" s="769" t="s">
        <v>199</v>
      </c>
      <c r="H31" s="769" t="s">
        <v>199</v>
      </c>
      <c r="I31" s="750"/>
      <c r="J31" s="750"/>
      <c r="K31" s="750"/>
      <c r="L31" s="750"/>
      <c r="M31" s="750"/>
      <c r="N31" s="750"/>
      <c r="O31" s="750"/>
      <c r="P31" s="750"/>
      <c r="Q31" s="750"/>
      <c r="R31" s="750"/>
      <c r="S31" s="750"/>
      <c r="T31" s="750"/>
      <c r="U31" s="769" t="s">
        <v>199</v>
      </c>
      <c r="V31" s="769" t="s">
        <v>199</v>
      </c>
      <c r="W31" s="769" t="s">
        <v>199</v>
      </c>
      <c r="X31" s="750"/>
      <c r="Y31" s="750"/>
      <c r="Z31" s="750"/>
      <c r="AA31" s="750"/>
      <c r="AB31" s="750"/>
      <c r="AC31" s="750"/>
      <c r="AD31" s="750"/>
      <c r="AE31" s="750"/>
      <c r="AF31" s="750"/>
      <c r="AG31" s="750"/>
      <c r="AH31" s="750"/>
      <c r="AI31" s="750"/>
      <c r="AJ31" s="769" t="s">
        <v>199</v>
      </c>
      <c r="AK31" s="769" t="s">
        <v>199</v>
      </c>
      <c r="AL31" s="769" t="s">
        <v>199</v>
      </c>
      <c r="AM31" s="750"/>
      <c r="AN31" s="750"/>
      <c r="AO31" s="750"/>
      <c r="AP31" s="750"/>
      <c r="AQ31" s="750"/>
      <c r="AR31" s="750"/>
      <c r="AS31" s="750"/>
      <c r="AT31" s="750"/>
      <c r="AU31" s="750"/>
      <c r="AV31" s="750"/>
      <c r="AW31" s="750"/>
      <c r="AX31" s="750"/>
    </row>
    <row r="32" ht="15" customHeight="1" spans="2:50">
      <c r="B32" s="801"/>
      <c r="C32" s="770"/>
      <c r="D32" s="770"/>
      <c r="E32" s="770"/>
      <c r="F32" s="769" t="s">
        <v>199</v>
      </c>
      <c r="G32" s="769" t="s">
        <v>199</v>
      </c>
      <c r="H32" s="769" t="s">
        <v>199</v>
      </c>
      <c r="I32" s="750"/>
      <c r="J32" s="750"/>
      <c r="K32" s="750"/>
      <c r="L32" s="750"/>
      <c r="M32" s="750"/>
      <c r="N32" s="750"/>
      <c r="O32" s="750"/>
      <c r="P32" s="750"/>
      <c r="Q32" s="750"/>
      <c r="R32" s="750"/>
      <c r="S32" s="750"/>
      <c r="T32" s="750"/>
      <c r="U32" s="769" t="s">
        <v>199</v>
      </c>
      <c r="V32" s="769" t="s">
        <v>199</v>
      </c>
      <c r="W32" s="769" t="s">
        <v>199</v>
      </c>
      <c r="X32" s="750"/>
      <c r="Y32" s="750"/>
      <c r="Z32" s="750"/>
      <c r="AA32" s="750"/>
      <c r="AB32" s="750"/>
      <c r="AC32" s="750"/>
      <c r="AD32" s="750"/>
      <c r="AE32" s="750"/>
      <c r="AF32" s="750"/>
      <c r="AG32" s="750"/>
      <c r="AH32" s="750"/>
      <c r="AI32" s="750"/>
      <c r="AJ32" s="769" t="s">
        <v>199</v>
      </c>
      <c r="AK32" s="769" t="s">
        <v>199</v>
      </c>
      <c r="AL32" s="769" t="s">
        <v>199</v>
      </c>
      <c r="AM32" s="750"/>
      <c r="AN32" s="750"/>
      <c r="AO32" s="750"/>
      <c r="AP32" s="750"/>
      <c r="AQ32" s="750"/>
      <c r="AR32" s="750"/>
      <c r="AS32" s="750"/>
      <c r="AT32" s="750"/>
      <c r="AU32" s="750"/>
      <c r="AV32" s="750"/>
      <c r="AW32" s="750"/>
      <c r="AX32" s="750"/>
    </row>
    <row r="33" ht="15" customHeight="1" spans="2:50">
      <c r="B33" s="801"/>
      <c r="C33" s="785"/>
      <c r="D33" s="785"/>
      <c r="E33" s="784"/>
      <c r="F33" s="769" t="s">
        <v>199</v>
      </c>
      <c r="G33" s="769" t="s">
        <v>199</v>
      </c>
      <c r="H33" s="769" t="s">
        <v>199</v>
      </c>
      <c r="I33" s="750"/>
      <c r="J33" s="750"/>
      <c r="K33" s="750"/>
      <c r="L33" s="750"/>
      <c r="M33" s="750"/>
      <c r="N33" s="750"/>
      <c r="O33" s="750"/>
      <c r="P33" s="750"/>
      <c r="Q33" s="750"/>
      <c r="R33" s="750"/>
      <c r="S33" s="750"/>
      <c r="T33" s="750"/>
      <c r="U33" s="769" t="s">
        <v>199</v>
      </c>
      <c r="V33" s="769" t="s">
        <v>199</v>
      </c>
      <c r="W33" s="769" t="s">
        <v>199</v>
      </c>
      <c r="X33" s="750"/>
      <c r="Y33" s="750"/>
      <c r="Z33" s="750"/>
      <c r="AA33" s="750"/>
      <c r="AB33" s="750"/>
      <c r="AC33" s="750"/>
      <c r="AD33" s="750"/>
      <c r="AE33" s="750"/>
      <c r="AF33" s="750"/>
      <c r="AG33" s="750"/>
      <c r="AH33" s="750"/>
      <c r="AI33" s="750"/>
      <c r="AJ33" s="769" t="s">
        <v>199</v>
      </c>
      <c r="AK33" s="769" t="s">
        <v>199</v>
      </c>
      <c r="AL33" s="769" t="s">
        <v>199</v>
      </c>
      <c r="AM33" s="750"/>
      <c r="AN33" s="750"/>
      <c r="AO33" s="750"/>
      <c r="AP33" s="750"/>
      <c r="AQ33" s="750"/>
      <c r="AR33" s="750"/>
      <c r="AS33" s="750"/>
      <c r="AT33" s="750"/>
      <c r="AU33" s="750"/>
      <c r="AV33" s="750"/>
      <c r="AW33" s="750"/>
      <c r="AX33" s="750"/>
    </row>
    <row r="34" ht="15" customHeight="1" spans="2:50">
      <c r="B34" s="801"/>
      <c r="C34" s="785"/>
      <c r="D34" s="785"/>
      <c r="E34" s="784"/>
      <c r="F34" s="769" t="s">
        <v>199</v>
      </c>
      <c r="G34" s="769" t="s">
        <v>199</v>
      </c>
      <c r="H34" s="769" t="s">
        <v>199</v>
      </c>
      <c r="I34" s="750"/>
      <c r="J34" s="750"/>
      <c r="K34" s="750"/>
      <c r="L34" s="750"/>
      <c r="M34" s="750"/>
      <c r="N34" s="750"/>
      <c r="O34" s="750"/>
      <c r="P34" s="750"/>
      <c r="Q34" s="750"/>
      <c r="R34" s="750"/>
      <c r="S34" s="750"/>
      <c r="T34" s="750"/>
      <c r="U34" s="769" t="s">
        <v>199</v>
      </c>
      <c r="V34" s="769" t="s">
        <v>199</v>
      </c>
      <c r="W34" s="769" t="s">
        <v>199</v>
      </c>
      <c r="X34" s="750"/>
      <c r="Y34" s="750"/>
      <c r="Z34" s="750"/>
      <c r="AA34" s="750"/>
      <c r="AB34" s="750"/>
      <c r="AC34" s="750"/>
      <c r="AD34" s="750"/>
      <c r="AE34" s="750"/>
      <c r="AF34" s="750"/>
      <c r="AG34" s="750"/>
      <c r="AH34" s="750"/>
      <c r="AI34" s="750"/>
      <c r="AJ34" s="769" t="s">
        <v>199</v>
      </c>
      <c r="AK34" s="769" t="s">
        <v>199</v>
      </c>
      <c r="AL34" s="769" t="s">
        <v>199</v>
      </c>
      <c r="AM34" s="750"/>
      <c r="AN34" s="750"/>
      <c r="AO34" s="750"/>
      <c r="AP34" s="750"/>
      <c r="AQ34" s="750"/>
      <c r="AR34" s="750"/>
      <c r="AS34" s="750"/>
      <c r="AT34" s="750"/>
      <c r="AU34" s="750"/>
      <c r="AV34" s="750"/>
      <c r="AW34" s="750"/>
      <c r="AX34" s="750"/>
    </row>
    <row r="35" ht="15" customHeight="1" spans="2:50">
      <c r="B35" s="801"/>
      <c r="C35" s="785"/>
      <c r="D35" s="785"/>
      <c r="E35" s="784"/>
      <c r="F35" s="769" t="s">
        <v>199</v>
      </c>
      <c r="G35" s="769" t="s">
        <v>199</v>
      </c>
      <c r="H35" s="769" t="s">
        <v>199</v>
      </c>
      <c r="I35" s="750"/>
      <c r="J35" s="750"/>
      <c r="K35" s="750"/>
      <c r="L35" s="750"/>
      <c r="M35" s="750"/>
      <c r="N35" s="750"/>
      <c r="O35" s="750"/>
      <c r="P35" s="750"/>
      <c r="Q35" s="750"/>
      <c r="R35" s="750"/>
      <c r="S35" s="750"/>
      <c r="T35" s="750"/>
      <c r="U35" s="769" t="s">
        <v>199</v>
      </c>
      <c r="V35" s="769" t="s">
        <v>199</v>
      </c>
      <c r="W35" s="769" t="s">
        <v>199</v>
      </c>
      <c r="X35" s="750"/>
      <c r="Y35" s="750"/>
      <c r="Z35" s="750"/>
      <c r="AA35" s="750"/>
      <c r="AB35" s="750"/>
      <c r="AC35" s="750"/>
      <c r="AD35" s="750"/>
      <c r="AE35" s="750"/>
      <c r="AF35" s="750"/>
      <c r="AG35" s="750"/>
      <c r="AH35" s="750"/>
      <c r="AI35" s="750"/>
      <c r="AJ35" s="769" t="s">
        <v>199</v>
      </c>
      <c r="AK35" s="769" t="s">
        <v>199</v>
      </c>
      <c r="AL35" s="769" t="s">
        <v>199</v>
      </c>
      <c r="AM35" s="750"/>
      <c r="AN35" s="750"/>
      <c r="AO35" s="750"/>
      <c r="AP35" s="750"/>
      <c r="AQ35" s="750"/>
      <c r="AR35" s="750"/>
      <c r="AS35" s="750"/>
      <c r="AT35" s="750"/>
      <c r="AU35" s="750"/>
      <c r="AV35" s="750"/>
      <c r="AW35" s="750"/>
      <c r="AX35" s="750"/>
    </row>
    <row r="36" ht="15" customHeight="1" spans="2:50">
      <c r="B36" s="801"/>
      <c r="C36" s="785"/>
      <c r="D36" s="785"/>
      <c r="E36" s="784"/>
      <c r="F36" s="769" t="s">
        <v>199</v>
      </c>
      <c r="G36" s="769" t="s">
        <v>199</v>
      </c>
      <c r="H36" s="769" t="s">
        <v>199</v>
      </c>
      <c r="I36" s="750"/>
      <c r="J36" s="750"/>
      <c r="K36" s="750"/>
      <c r="L36" s="750"/>
      <c r="M36" s="750"/>
      <c r="N36" s="750"/>
      <c r="O36" s="750"/>
      <c r="P36" s="750"/>
      <c r="Q36" s="750"/>
      <c r="R36" s="750"/>
      <c r="S36" s="750"/>
      <c r="T36" s="750"/>
      <c r="U36" s="769" t="s">
        <v>199</v>
      </c>
      <c r="V36" s="769" t="s">
        <v>199</v>
      </c>
      <c r="W36" s="769" t="s">
        <v>199</v>
      </c>
      <c r="X36" s="750"/>
      <c r="Y36" s="750"/>
      <c r="Z36" s="750"/>
      <c r="AA36" s="750"/>
      <c r="AB36" s="750"/>
      <c r="AC36" s="750"/>
      <c r="AD36" s="750"/>
      <c r="AE36" s="750"/>
      <c r="AF36" s="750"/>
      <c r="AG36" s="750"/>
      <c r="AH36" s="750"/>
      <c r="AI36" s="750"/>
      <c r="AJ36" s="769" t="s">
        <v>199</v>
      </c>
      <c r="AK36" s="769" t="s">
        <v>199</v>
      </c>
      <c r="AL36" s="769" t="s">
        <v>199</v>
      </c>
      <c r="AM36" s="750"/>
      <c r="AN36" s="750"/>
      <c r="AO36" s="750"/>
      <c r="AP36" s="750"/>
      <c r="AQ36" s="750"/>
      <c r="AR36" s="750"/>
      <c r="AS36" s="750"/>
      <c r="AT36" s="750"/>
      <c r="AU36" s="750"/>
      <c r="AV36" s="750"/>
      <c r="AW36" s="750"/>
      <c r="AX36" s="750"/>
    </row>
    <row r="37" ht="15" customHeight="1" spans="2:50">
      <c r="B37" s="801"/>
      <c r="C37" s="784"/>
      <c r="D37" s="784"/>
      <c r="E37" s="784"/>
      <c r="F37" s="769" t="s">
        <v>199</v>
      </c>
      <c r="G37" s="769" t="s">
        <v>199</v>
      </c>
      <c r="H37" s="769" t="s">
        <v>199</v>
      </c>
      <c r="I37" s="750"/>
      <c r="J37" s="750"/>
      <c r="K37" s="750"/>
      <c r="L37" s="750"/>
      <c r="M37" s="750"/>
      <c r="N37" s="750"/>
      <c r="O37" s="750"/>
      <c r="P37" s="750"/>
      <c r="Q37" s="750"/>
      <c r="R37" s="750"/>
      <c r="S37" s="750"/>
      <c r="T37" s="750"/>
      <c r="U37" s="769" t="s">
        <v>199</v>
      </c>
      <c r="V37" s="769" t="s">
        <v>199</v>
      </c>
      <c r="W37" s="769" t="s">
        <v>199</v>
      </c>
      <c r="X37" s="750"/>
      <c r="Y37" s="750"/>
      <c r="Z37" s="750"/>
      <c r="AA37" s="750"/>
      <c r="AB37" s="750"/>
      <c r="AC37" s="750"/>
      <c r="AD37" s="750"/>
      <c r="AE37" s="750"/>
      <c r="AF37" s="750"/>
      <c r="AG37" s="750"/>
      <c r="AH37" s="750"/>
      <c r="AI37" s="750"/>
      <c r="AJ37" s="769" t="s">
        <v>199</v>
      </c>
      <c r="AK37" s="769" t="s">
        <v>199</v>
      </c>
      <c r="AL37" s="769" t="s">
        <v>199</v>
      </c>
      <c r="AM37" s="750"/>
      <c r="AN37" s="750"/>
      <c r="AO37" s="750"/>
      <c r="AP37" s="750"/>
      <c r="AQ37" s="750"/>
      <c r="AR37" s="750"/>
      <c r="AS37" s="750"/>
      <c r="AT37" s="750"/>
      <c r="AU37" s="750"/>
      <c r="AV37" s="750"/>
      <c r="AW37" s="750"/>
      <c r="AX37" s="750"/>
    </row>
    <row r="38" ht="15" customHeight="1" spans="2:50">
      <c r="B38" s="801"/>
      <c r="C38" s="784"/>
      <c r="D38" s="784"/>
      <c r="E38" s="784"/>
      <c r="F38" s="769" t="s">
        <v>199</v>
      </c>
      <c r="G38" s="769" t="s">
        <v>199</v>
      </c>
      <c r="H38" s="769" t="s">
        <v>199</v>
      </c>
      <c r="I38" s="750"/>
      <c r="J38" s="750"/>
      <c r="K38" s="750"/>
      <c r="L38" s="750"/>
      <c r="M38" s="750"/>
      <c r="N38" s="750"/>
      <c r="O38" s="750"/>
      <c r="P38" s="750"/>
      <c r="Q38" s="750"/>
      <c r="R38" s="750"/>
      <c r="S38" s="750"/>
      <c r="T38" s="750"/>
      <c r="U38" s="769" t="s">
        <v>199</v>
      </c>
      <c r="V38" s="769" t="s">
        <v>199</v>
      </c>
      <c r="W38" s="769" t="s">
        <v>199</v>
      </c>
      <c r="X38" s="750"/>
      <c r="Y38" s="750"/>
      <c r="Z38" s="750"/>
      <c r="AA38" s="750"/>
      <c r="AB38" s="750"/>
      <c r="AC38" s="750"/>
      <c r="AD38" s="750"/>
      <c r="AE38" s="750"/>
      <c r="AF38" s="750"/>
      <c r="AG38" s="750"/>
      <c r="AH38" s="750"/>
      <c r="AI38" s="750"/>
      <c r="AJ38" s="769" t="s">
        <v>199</v>
      </c>
      <c r="AK38" s="769" t="s">
        <v>199</v>
      </c>
      <c r="AL38" s="769" t="s">
        <v>199</v>
      </c>
      <c r="AM38" s="750"/>
      <c r="AN38" s="750"/>
      <c r="AO38" s="750"/>
      <c r="AP38" s="750"/>
      <c r="AQ38" s="750"/>
      <c r="AR38" s="750"/>
      <c r="AS38" s="750"/>
      <c r="AT38" s="750"/>
      <c r="AU38" s="750"/>
      <c r="AV38" s="750"/>
      <c r="AW38" s="750"/>
      <c r="AX38" s="750"/>
    </row>
    <row r="39" ht="15" customHeight="1" spans="2:50">
      <c r="B39" s="801"/>
      <c r="C39" s="784"/>
      <c r="D39" s="784"/>
      <c r="E39" s="784"/>
      <c r="F39" s="769" t="s">
        <v>199</v>
      </c>
      <c r="G39" s="769" t="s">
        <v>199</v>
      </c>
      <c r="H39" s="769" t="s">
        <v>199</v>
      </c>
      <c r="I39" s="750"/>
      <c r="J39" s="750"/>
      <c r="K39" s="750"/>
      <c r="L39" s="750"/>
      <c r="M39" s="750"/>
      <c r="N39" s="750"/>
      <c r="O39" s="750"/>
      <c r="P39" s="750"/>
      <c r="Q39" s="750"/>
      <c r="R39" s="750"/>
      <c r="S39" s="750"/>
      <c r="T39" s="750"/>
      <c r="U39" s="769" t="s">
        <v>199</v>
      </c>
      <c r="V39" s="769" t="s">
        <v>199</v>
      </c>
      <c r="W39" s="769" t="s">
        <v>199</v>
      </c>
      <c r="X39" s="750"/>
      <c r="Y39" s="750"/>
      <c r="Z39" s="750"/>
      <c r="AA39" s="750"/>
      <c r="AB39" s="750"/>
      <c r="AC39" s="750"/>
      <c r="AD39" s="750"/>
      <c r="AE39" s="750"/>
      <c r="AF39" s="750"/>
      <c r="AG39" s="750"/>
      <c r="AH39" s="750"/>
      <c r="AI39" s="750"/>
      <c r="AJ39" s="769" t="s">
        <v>199</v>
      </c>
      <c r="AK39" s="769" t="s">
        <v>199</v>
      </c>
      <c r="AL39" s="769" t="s">
        <v>199</v>
      </c>
      <c r="AM39" s="750"/>
      <c r="AN39" s="750"/>
      <c r="AO39" s="750"/>
      <c r="AP39" s="750"/>
      <c r="AQ39" s="750"/>
      <c r="AR39" s="750"/>
      <c r="AS39" s="750"/>
      <c r="AT39" s="750"/>
      <c r="AU39" s="750"/>
      <c r="AV39" s="750"/>
      <c r="AW39" s="750"/>
      <c r="AX39" s="750"/>
    </row>
    <row r="40" ht="15" customHeight="1" spans="2:50">
      <c r="B40" s="801"/>
      <c r="C40" s="784"/>
      <c r="D40" s="784"/>
      <c r="E40" s="784"/>
      <c r="F40" s="769" t="s">
        <v>199</v>
      </c>
      <c r="G40" s="769" t="s">
        <v>199</v>
      </c>
      <c r="H40" s="769" t="s">
        <v>199</v>
      </c>
      <c r="I40" s="750"/>
      <c r="J40" s="750"/>
      <c r="K40" s="750"/>
      <c r="L40" s="750"/>
      <c r="M40" s="750"/>
      <c r="N40" s="750"/>
      <c r="O40" s="750"/>
      <c r="P40" s="750"/>
      <c r="Q40" s="750"/>
      <c r="R40" s="750"/>
      <c r="S40" s="750"/>
      <c r="T40" s="750"/>
      <c r="U40" s="769" t="s">
        <v>199</v>
      </c>
      <c r="V40" s="769" t="s">
        <v>199</v>
      </c>
      <c r="W40" s="769" t="s">
        <v>199</v>
      </c>
      <c r="X40" s="750"/>
      <c r="Y40" s="750"/>
      <c r="Z40" s="750"/>
      <c r="AA40" s="750"/>
      <c r="AB40" s="750"/>
      <c r="AC40" s="750"/>
      <c r="AD40" s="750"/>
      <c r="AE40" s="750"/>
      <c r="AF40" s="750"/>
      <c r="AG40" s="750"/>
      <c r="AH40" s="750"/>
      <c r="AI40" s="750"/>
      <c r="AJ40" s="769" t="s">
        <v>199</v>
      </c>
      <c r="AK40" s="769" t="s">
        <v>199</v>
      </c>
      <c r="AL40" s="769" t="s">
        <v>199</v>
      </c>
      <c r="AM40" s="750"/>
      <c r="AN40" s="750"/>
      <c r="AO40" s="750"/>
      <c r="AP40" s="750"/>
      <c r="AQ40" s="750"/>
      <c r="AR40" s="750"/>
      <c r="AS40" s="750"/>
      <c r="AT40" s="750"/>
      <c r="AU40" s="750"/>
      <c r="AV40" s="750"/>
      <c r="AW40" s="750"/>
      <c r="AX40" s="750"/>
    </row>
    <row r="41" ht="15" customHeight="1" spans="2:50">
      <c r="B41" s="801"/>
      <c r="C41" s="784"/>
      <c r="D41" s="784"/>
      <c r="E41" s="784"/>
      <c r="F41" s="769" t="s">
        <v>199</v>
      </c>
      <c r="G41" s="769" t="s">
        <v>199</v>
      </c>
      <c r="H41" s="769" t="s">
        <v>199</v>
      </c>
      <c r="I41" s="750"/>
      <c r="J41" s="750"/>
      <c r="K41" s="750"/>
      <c r="L41" s="750"/>
      <c r="M41" s="750"/>
      <c r="N41" s="750"/>
      <c r="O41" s="750"/>
      <c r="P41" s="750"/>
      <c r="Q41" s="750"/>
      <c r="R41" s="750"/>
      <c r="S41" s="750"/>
      <c r="T41" s="750"/>
      <c r="U41" s="769" t="s">
        <v>199</v>
      </c>
      <c r="V41" s="769" t="s">
        <v>199</v>
      </c>
      <c r="W41" s="769" t="s">
        <v>199</v>
      </c>
      <c r="X41" s="750"/>
      <c r="Y41" s="750"/>
      <c r="Z41" s="750"/>
      <c r="AA41" s="750"/>
      <c r="AB41" s="750"/>
      <c r="AC41" s="750"/>
      <c r="AD41" s="750"/>
      <c r="AE41" s="750"/>
      <c r="AF41" s="750"/>
      <c r="AG41" s="750"/>
      <c r="AH41" s="750"/>
      <c r="AI41" s="750"/>
      <c r="AJ41" s="769" t="s">
        <v>199</v>
      </c>
      <c r="AK41" s="769" t="s">
        <v>199</v>
      </c>
      <c r="AL41" s="769" t="s">
        <v>199</v>
      </c>
      <c r="AM41" s="750"/>
      <c r="AN41" s="750"/>
      <c r="AO41" s="750"/>
      <c r="AP41" s="750"/>
      <c r="AQ41" s="750"/>
      <c r="AR41" s="750"/>
      <c r="AS41" s="750"/>
      <c r="AT41" s="750"/>
      <c r="AU41" s="750"/>
      <c r="AV41" s="750"/>
      <c r="AW41" s="750"/>
      <c r="AX41" s="750"/>
    </row>
    <row r="42" ht="15" customHeight="1" spans="2:50">
      <c r="B42" s="801"/>
      <c r="C42" s="784"/>
      <c r="D42" s="784"/>
      <c r="E42" s="784"/>
      <c r="F42" s="769" t="s">
        <v>199</v>
      </c>
      <c r="G42" s="769" t="s">
        <v>199</v>
      </c>
      <c r="H42" s="769" t="s">
        <v>199</v>
      </c>
      <c r="I42" s="750"/>
      <c r="J42" s="750"/>
      <c r="K42" s="750"/>
      <c r="L42" s="750"/>
      <c r="M42" s="750"/>
      <c r="N42" s="750"/>
      <c r="O42" s="750"/>
      <c r="P42" s="750"/>
      <c r="Q42" s="750"/>
      <c r="R42" s="750"/>
      <c r="S42" s="750"/>
      <c r="T42" s="750"/>
      <c r="U42" s="769" t="s">
        <v>199</v>
      </c>
      <c r="V42" s="769" t="s">
        <v>199</v>
      </c>
      <c r="W42" s="769" t="s">
        <v>199</v>
      </c>
      <c r="X42" s="750"/>
      <c r="Y42" s="750"/>
      <c r="Z42" s="750"/>
      <c r="AA42" s="750"/>
      <c r="AB42" s="750"/>
      <c r="AC42" s="750"/>
      <c r="AD42" s="750"/>
      <c r="AE42" s="750"/>
      <c r="AF42" s="750"/>
      <c r="AG42" s="750"/>
      <c r="AH42" s="750"/>
      <c r="AI42" s="750"/>
      <c r="AJ42" s="769" t="s">
        <v>199</v>
      </c>
      <c r="AK42" s="769" t="s">
        <v>199</v>
      </c>
      <c r="AL42" s="769" t="s">
        <v>199</v>
      </c>
      <c r="AM42" s="750"/>
      <c r="AN42" s="750"/>
      <c r="AO42" s="750"/>
      <c r="AP42" s="750"/>
      <c r="AQ42" s="750"/>
      <c r="AR42" s="750"/>
      <c r="AS42" s="750"/>
      <c r="AT42" s="750"/>
      <c r="AU42" s="750"/>
      <c r="AV42" s="750"/>
      <c r="AW42" s="750"/>
      <c r="AX42" s="750"/>
    </row>
    <row r="43" ht="15" customHeight="1" spans="2:50">
      <c r="B43" s="801"/>
      <c r="C43" s="784"/>
      <c r="D43" s="784"/>
      <c r="E43" s="784"/>
      <c r="F43" s="769" t="s">
        <v>199</v>
      </c>
      <c r="G43" s="769" t="s">
        <v>199</v>
      </c>
      <c r="H43" s="769" t="s">
        <v>199</v>
      </c>
      <c r="I43" s="750"/>
      <c r="J43" s="750"/>
      <c r="K43" s="750"/>
      <c r="L43" s="750"/>
      <c r="M43" s="750"/>
      <c r="N43" s="750"/>
      <c r="O43" s="750"/>
      <c r="P43" s="750"/>
      <c r="Q43" s="750"/>
      <c r="R43" s="750"/>
      <c r="S43" s="750"/>
      <c r="T43" s="750"/>
      <c r="U43" s="769" t="s">
        <v>199</v>
      </c>
      <c r="V43" s="769" t="s">
        <v>199</v>
      </c>
      <c r="W43" s="769" t="s">
        <v>199</v>
      </c>
      <c r="X43" s="750"/>
      <c r="Y43" s="750"/>
      <c r="Z43" s="750"/>
      <c r="AA43" s="750"/>
      <c r="AB43" s="750"/>
      <c r="AC43" s="750"/>
      <c r="AD43" s="750"/>
      <c r="AE43" s="750"/>
      <c r="AF43" s="750"/>
      <c r="AG43" s="750"/>
      <c r="AH43" s="750"/>
      <c r="AI43" s="750"/>
      <c r="AJ43" s="769" t="s">
        <v>199</v>
      </c>
      <c r="AK43" s="769" t="s">
        <v>199</v>
      </c>
      <c r="AL43" s="769" t="s">
        <v>199</v>
      </c>
      <c r="AM43" s="750"/>
      <c r="AN43" s="750"/>
      <c r="AO43" s="750"/>
      <c r="AP43" s="750"/>
      <c r="AQ43" s="750"/>
      <c r="AR43" s="750"/>
      <c r="AS43" s="750"/>
      <c r="AT43" s="750"/>
      <c r="AU43" s="750"/>
      <c r="AV43" s="750"/>
      <c r="AW43" s="750"/>
      <c r="AX43" s="750"/>
    </row>
    <row r="44" ht="15" customHeight="1" spans="2:50">
      <c r="B44" s="801"/>
      <c r="C44" s="784"/>
      <c r="D44" s="784"/>
      <c r="E44" s="784"/>
      <c r="F44" s="769" t="s">
        <v>199</v>
      </c>
      <c r="G44" s="769" t="s">
        <v>199</v>
      </c>
      <c r="H44" s="769" t="s">
        <v>199</v>
      </c>
      <c r="I44" s="750"/>
      <c r="J44" s="750"/>
      <c r="K44" s="750"/>
      <c r="L44" s="750"/>
      <c r="M44" s="750"/>
      <c r="N44" s="750"/>
      <c r="O44" s="750"/>
      <c r="P44" s="750"/>
      <c r="Q44" s="750"/>
      <c r="R44" s="750"/>
      <c r="S44" s="750"/>
      <c r="T44" s="750"/>
      <c r="U44" s="769" t="s">
        <v>199</v>
      </c>
      <c r="V44" s="769" t="s">
        <v>199</v>
      </c>
      <c r="W44" s="769" t="s">
        <v>199</v>
      </c>
      <c r="X44" s="750"/>
      <c r="Y44" s="750"/>
      <c r="Z44" s="750"/>
      <c r="AA44" s="750"/>
      <c r="AB44" s="750"/>
      <c r="AC44" s="750"/>
      <c r="AD44" s="750"/>
      <c r="AE44" s="750"/>
      <c r="AF44" s="750"/>
      <c r="AG44" s="750"/>
      <c r="AH44" s="750"/>
      <c r="AI44" s="750"/>
      <c r="AJ44" s="769" t="s">
        <v>199</v>
      </c>
      <c r="AK44" s="769" t="s">
        <v>199</v>
      </c>
      <c r="AL44" s="769" t="s">
        <v>199</v>
      </c>
      <c r="AM44" s="750"/>
      <c r="AN44" s="750"/>
      <c r="AO44" s="750"/>
      <c r="AP44" s="750"/>
      <c r="AQ44" s="750"/>
      <c r="AR44" s="750"/>
      <c r="AS44" s="750"/>
      <c r="AT44" s="750"/>
      <c r="AU44" s="750"/>
      <c r="AV44" s="750"/>
      <c r="AW44" s="750"/>
      <c r="AX44" s="750"/>
    </row>
    <row r="45" ht="15" customHeight="1" spans="2:50">
      <c r="B45" s="801"/>
      <c r="C45" s="784"/>
      <c r="D45" s="784"/>
      <c r="E45" s="784"/>
      <c r="F45" s="769" t="s">
        <v>199</v>
      </c>
      <c r="G45" s="769" t="s">
        <v>199</v>
      </c>
      <c r="H45" s="769" t="s">
        <v>199</v>
      </c>
      <c r="I45" s="750"/>
      <c r="J45" s="750"/>
      <c r="K45" s="750"/>
      <c r="L45" s="750"/>
      <c r="M45" s="750"/>
      <c r="N45" s="750"/>
      <c r="O45" s="750"/>
      <c r="P45" s="750"/>
      <c r="Q45" s="750"/>
      <c r="R45" s="750"/>
      <c r="S45" s="750"/>
      <c r="T45" s="750"/>
      <c r="U45" s="769" t="s">
        <v>199</v>
      </c>
      <c r="V45" s="769" t="s">
        <v>199</v>
      </c>
      <c r="W45" s="769" t="s">
        <v>199</v>
      </c>
      <c r="X45" s="750"/>
      <c r="Y45" s="750"/>
      <c r="Z45" s="750"/>
      <c r="AA45" s="750"/>
      <c r="AB45" s="750"/>
      <c r="AC45" s="750"/>
      <c r="AD45" s="750"/>
      <c r="AE45" s="750"/>
      <c r="AF45" s="750"/>
      <c r="AG45" s="750"/>
      <c r="AH45" s="750"/>
      <c r="AI45" s="750"/>
      <c r="AJ45" s="769" t="s">
        <v>199</v>
      </c>
      <c r="AK45" s="769" t="s">
        <v>199</v>
      </c>
      <c r="AL45" s="769" t="s">
        <v>199</v>
      </c>
      <c r="AM45" s="750"/>
      <c r="AN45" s="750"/>
      <c r="AO45" s="750"/>
      <c r="AP45" s="750"/>
      <c r="AQ45" s="750"/>
      <c r="AR45" s="750"/>
      <c r="AS45" s="750"/>
      <c r="AT45" s="750"/>
      <c r="AU45" s="750"/>
      <c r="AV45" s="750"/>
      <c r="AW45" s="750"/>
      <c r="AX45" s="750"/>
    </row>
    <row r="46" ht="15" customHeight="1" spans="2:50">
      <c r="B46" s="801"/>
      <c r="C46" s="786"/>
      <c r="D46" s="786"/>
      <c r="E46" s="784"/>
      <c r="F46" s="769" t="s">
        <v>199</v>
      </c>
      <c r="G46" s="769" t="s">
        <v>199</v>
      </c>
      <c r="H46" s="769" t="s">
        <v>199</v>
      </c>
      <c r="I46" s="750"/>
      <c r="J46" s="750"/>
      <c r="K46" s="750"/>
      <c r="L46" s="750"/>
      <c r="M46" s="750"/>
      <c r="N46" s="750"/>
      <c r="O46" s="750"/>
      <c r="P46" s="750"/>
      <c r="Q46" s="750"/>
      <c r="R46" s="750"/>
      <c r="S46" s="750"/>
      <c r="T46" s="750"/>
      <c r="U46" s="769" t="s">
        <v>199</v>
      </c>
      <c r="V46" s="769" t="s">
        <v>199</v>
      </c>
      <c r="W46" s="769" t="s">
        <v>199</v>
      </c>
      <c r="X46" s="750"/>
      <c r="Y46" s="750"/>
      <c r="Z46" s="750"/>
      <c r="AA46" s="750"/>
      <c r="AB46" s="750"/>
      <c r="AC46" s="750"/>
      <c r="AD46" s="750"/>
      <c r="AE46" s="750"/>
      <c r="AF46" s="750"/>
      <c r="AG46" s="750"/>
      <c r="AH46" s="750"/>
      <c r="AI46" s="750"/>
      <c r="AJ46" s="769" t="s">
        <v>199</v>
      </c>
      <c r="AK46" s="769" t="s">
        <v>199</v>
      </c>
      <c r="AL46" s="769" t="s">
        <v>199</v>
      </c>
      <c r="AM46" s="750"/>
      <c r="AN46" s="750"/>
      <c r="AO46" s="750"/>
      <c r="AP46" s="750"/>
      <c r="AQ46" s="750"/>
      <c r="AR46" s="750"/>
      <c r="AS46" s="750"/>
      <c r="AT46" s="750"/>
      <c r="AU46" s="750"/>
      <c r="AV46" s="750"/>
      <c r="AW46" s="750"/>
      <c r="AX46" s="750"/>
    </row>
    <row r="47" ht="15" customHeight="1" spans="2:50">
      <c r="B47" s="801"/>
      <c r="C47" s="786"/>
      <c r="D47" s="786"/>
      <c r="E47" s="784"/>
      <c r="F47" s="769" t="s">
        <v>199</v>
      </c>
      <c r="G47" s="769" t="s">
        <v>199</v>
      </c>
      <c r="H47" s="769" t="s">
        <v>199</v>
      </c>
      <c r="I47" s="750"/>
      <c r="J47" s="750"/>
      <c r="K47" s="750"/>
      <c r="L47" s="750"/>
      <c r="M47" s="750"/>
      <c r="N47" s="750"/>
      <c r="O47" s="750"/>
      <c r="P47" s="750"/>
      <c r="Q47" s="750"/>
      <c r="R47" s="750"/>
      <c r="S47" s="750"/>
      <c r="T47" s="750"/>
      <c r="U47" s="769" t="s">
        <v>199</v>
      </c>
      <c r="V47" s="769" t="s">
        <v>199</v>
      </c>
      <c r="W47" s="769" t="s">
        <v>199</v>
      </c>
      <c r="X47" s="750"/>
      <c r="Y47" s="750"/>
      <c r="Z47" s="750"/>
      <c r="AA47" s="750"/>
      <c r="AB47" s="750"/>
      <c r="AC47" s="750"/>
      <c r="AD47" s="750"/>
      <c r="AE47" s="750"/>
      <c r="AF47" s="750"/>
      <c r="AG47" s="750"/>
      <c r="AH47" s="750"/>
      <c r="AI47" s="750"/>
      <c r="AJ47" s="769" t="s">
        <v>199</v>
      </c>
      <c r="AK47" s="769" t="s">
        <v>199</v>
      </c>
      <c r="AL47" s="769" t="s">
        <v>199</v>
      </c>
      <c r="AM47" s="750"/>
      <c r="AN47" s="750"/>
      <c r="AO47" s="750"/>
      <c r="AP47" s="750"/>
      <c r="AQ47" s="750"/>
      <c r="AR47" s="750"/>
      <c r="AS47" s="750"/>
      <c r="AT47" s="750"/>
      <c r="AU47" s="750"/>
      <c r="AV47" s="750"/>
      <c r="AW47" s="750"/>
      <c r="AX47" s="750"/>
    </row>
    <row r="48" ht="15" customHeight="1" spans="2:50">
      <c r="B48" s="801"/>
      <c r="C48" s="786"/>
      <c r="D48" s="786"/>
      <c r="E48" s="784"/>
      <c r="F48" s="769" t="s">
        <v>199</v>
      </c>
      <c r="G48" s="769" t="s">
        <v>199</v>
      </c>
      <c r="H48" s="769" t="s">
        <v>199</v>
      </c>
      <c r="I48" s="750"/>
      <c r="J48" s="750"/>
      <c r="K48" s="750"/>
      <c r="L48" s="750"/>
      <c r="M48" s="750"/>
      <c r="N48" s="750"/>
      <c r="O48" s="750"/>
      <c r="P48" s="750"/>
      <c r="Q48" s="750"/>
      <c r="R48" s="750"/>
      <c r="S48" s="750"/>
      <c r="T48" s="750"/>
      <c r="U48" s="769" t="s">
        <v>199</v>
      </c>
      <c r="V48" s="769" t="s">
        <v>199</v>
      </c>
      <c r="W48" s="769" t="s">
        <v>199</v>
      </c>
      <c r="X48" s="750"/>
      <c r="Y48" s="750"/>
      <c r="Z48" s="750"/>
      <c r="AA48" s="750"/>
      <c r="AB48" s="750"/>
      <c r="AC48" s="750"/>
      <c r="AD48" s="750"/>
      <c r="AE48" s="750"/>
      <c r="AF48" s="750"/>
      <c r="AG48" s="750"/>
      <c r="AH48" s="750"/>
      <c r="AI48" s="750"/>
      <c r="AJ48" s="769" t="s">
        <v>199</v>
      </c>
      <c r="AK48" s="769" t="s">
        <v>199</v>
      </c>
      <c r="AL48" s="769" t="s">
        <v>199</v>
      </c>
      <c r="AM48" s="750"/>
      <c r="AN48" s="750"/>
      <c r="AO48" s="750"/>
      <c r="AP48" s="750"/>
      <c r="AQ48" s="750"/>
      <c r="AR48" s="750"/>
      <c r="AS48" s="750"/>
      <c r="AT48" s="750"/>
      <c r="AU48" s="750"/>
      <c r="AV48" s="750"/>
      <c r="AW48" s="750"/>
      <c r="AX48" s="750"/>
    </row>
    <row r="49" ht="15" customHeight="1" spans="2:50">
      <c r="B49" s="801"/>
      <c r="C49" s="786"/>
      <c r="D49" s="786"/>
      <c r="E49" s="784"/>
      <c r="F49" s="769" t="s">
        <v>199</v>
      </c>
      <c r="G49" s="769" t="s">
        <v>199</v>
      </c>
      <c r="H49" s="769" t="s">
        <v>199</v>
      </c>
      <c r="I49" s="750"/>
      <c r="J49" s="750"/>
      <c r="K49" s="750"/>
      <c r="L49" s="750"/>
      <c r="M49" s="750"/>
      <c r="N49" s="750"/>
      <c r="O49" s="750"/>
      <c r="P49" s="750"/>
      <c r="Q49" s="750"/>
      <c r="R49" s="750"/>
      <c r="S49" s="750"/>
      <c r="T49" s="750"/>
      <c r="U49" s="769" t="s">
        <v>199</v>
      </c>
      <c r="V49" s="769" t="s">
        <v>199</v>
      </c>
      <c r="W49" s="769" t="s">
        <v>199</v>
      </c>
      <c r="X49" s="750"/>
      <c r="Y49" s="750"/>
      <c r="Z49" s="750"/>
      <c r="AA49" s="750"/>
      <c r="AB49" s="750"/>
      <c r="AC49" s="750"/>
      <c r="AD49" s="750"/>
      <c r="AE49" s="750"/>
      <c r="AF49" s="750"/>
      <c r="AG49" s="750"/>
      <c r="AH49" s="750"/>
      <c r="AI49" s="750"/>
      <c r="AJ49" s="769" t="s">
        <v>199</v>
      </c>
      <c r="AK49" s="769" t="s">
        <v>199</v>
      </c>
      <c r="AL49" s="769" t="s">
        <v>199</v>
      </c>
      <c r="AM49" s="750"/>
      <c r="AN49" s="750"/>
      <c r="AO49" s="750"/>
      <c r="AP49" s="750"/>
      <c r="AQ49" s="750"/>
      <c r="AR49" s="750"/>
      <c r="AS49" s="750"/>
      <c r="AT49" s="750"/>
      <c r="AU49" s="750"/>
      <c r="AV49" s="750"/>
      <c r="AW49" s="750"/>
      <c r="AX49" s="750"/>
    </row>
    <row r="50" ht="15" customHeight="1" spans="2:50">
      <c r="B50" s="801"/>
      <c r="C50" s="784"/>
      <c r="D50" s="784"/>
      <c r="E50" s="784"/>
      <c r="F50" s="769" t="s">
        <v>199</v>
      </c>
      <c r="G50" s="769" t="s">
        <v>199</v>
      </c>
      <c r="H50" s="769" t="s">
        <v>199</v>
      </c>
      <c r="I50" s="750"/>
      <c r="J50" s="750"/>
      <c r="K50" s="750"/>
      <c r="L50" s="750"/>
      <c r="M50" s="750"/>
      <c r="N50" s="750"/>
      <c r="O50" s="750"/>
      <c r="P50" s="750"/>
      <c r="Q50" s="750"/>
      <c r="R50" s="750"/>
      <c r="S50" s="750"/>
      <c r="T50" s="750"/>
      <c r="U50" s="769" t="s">
        <v>199</v>
      </c>
      <c r="V50" s="769" t="s">
        <v>199</v>
      </c>
      <c r="W50" s="769" t="s">
        <v>199</v>
      </c>
      <c r="X50" s="750"/>
      <c r="Y50" s="750"/>
      <c r="Z50" s="750"/>
      <c r="AA50" s="750"/>
      <c r="AB50" s="750"/>
      <c r="AC50" s="750"/>
      <c r="AD50" s="750"/>
      <c r="AE50" s="750"/>
      <c r="AF50" s="750"/>
      <c r="AG50" s="750"/>
      <c r="AH50" s="750"/>
      <c r="AI50" s="750"/>
      <c r="AJ50" s="769" t="s">
        <v>199</v>
      </c>
      <c r="AK50" s="769" t="s">
        <v>199</v>
      </c>
      <c r="AL50" s="769" t="s">
        <v>199</v>
      </c>
      <c r="AM50" s="750"/>
      <c r="AN50" s="750"/>
      <c r="AO50" s="750"/>
      <c r="AP50" s="750"/>
      <c r="AQ50" s="750"/>
      <c r="AR50" s="750"/>
      <c r="AS50" s="750"/>
      <c r="AT50" s="750"/>
      <c r="AU50" s="750"/>
      <c r="AV50" s="750"/>
      <c r="AW50" s="750"/>
      <c r="AX50" s="750"/>
    </row>
    <row r="51" ht="15" customHeight="1" spans="2:50">
      <c r="B51" s="801"/>
      <c r="C51" s="784"/>
      <c r="D51" s="784"/>
      <c r="E51" s="784"/>
      <c r="F51" s="769" t="s">
        <v>199</v>
      </c>
      <c r="G51" s="769" t="s">
        <v>199</v>
      </c>
      <c r="H51" s="769" t="s">
        <v>199</v>
      </c>
      <c r="I51" s="750"/>
      <c r="J51" s="750"/>
      <c r="K51" s="750"/>
      <c r="L51" s="750"/>
      <c r="M51" s="750"/>
      <c r="N51" s="750"/>
      <c r="O51" s="750"/>
      <c r="P51" s="750"/>
      <c r="Q51" s="750"/>
      <c r="R51" s="750"/>
      <c r="S51" s="750"/>
      <c r="T51" s="750"/>
      <c r="U51" s="769" t="s">
        <v>199</v>
      </c>
      <c r="V51" s="769" t="s">
        <v>199</v>
      </c>
      <c r="W51" s="769" t="s">
        <v>199</v>
      </c>
      <c r="X51" s="750"/>
      <c r="Y51" s="750"/>
      <c r="Z51" s="750"/>
      <c r="AA51" s="750"/>
      <c r="AB51" s="750"/>
      <c r="AC51" s="750"/>
      <c r="AD51" s="750"/>
      <c r="AE51" s="750"/>
      <c r="AF51" s="750"/>
      <c r="AG51" s="750"/>
      <c r="AH51" s="750"/>
      <c r="AI51" s="750"/>
      <c r="AJ51" s="769" t="s">
        <v>199</v>
      </c>
      <c r="AK51" s="769" t="s">
        <v>199</v>
      </c>
      <c r="AL51" s="769" t="s">
        <v>199</v>
      </c>
      <c r="AM51" s="750"/>
      <c r="AN51" s="750"/>
      <c r="AO51" s="750"/>
      <c r="AP51" s="750"/>
      <c r="AQ51" s="750"/>
      <c r="AR51" s="750"/>
      <c r="AS51" s="750"/>
      <c r="AT51" s="750"/>
      <c r="AU51" s="750"/>
      <c r="AV51" s="750"/>
      <c r="AW51" s="750"/>
      <c r="AX51" s="750"/>
    </row>
    <row r="52" ht="15" customHeight="1" spans="2:50">
      <c r="B52" s="801"/>
      <c r="C52" s="784"/>
      <c r="D52" s="784"/>
      <c r="E52" s="784"/>
      <c r="F52" s="769" t="s">
        <v>199</v>
      </c>
      <c r="G52" s="769" t="s">
        <v>199</v>
      </c>
      <c r="H52" s="769" t="s">
        <v>199</v>
      </c>
      <c r="I52" s="750"/>
      <c r="J52" s="750"/>
      <c r="K52" s="750"/>
      <c r="L52" s="750"/>
      <c r="M52" s="750"/>
      <c r="N52" s="750"/>
      <c r="O52" s="750"/>
      <c r="P52" s="750"/>
      <c r="Q52" s="750"/>
      <c r="R52" s="750"/>
      <c r="S52" s="750"/>
      <c r="T52" s="750"/>
      <c r="U52" s="769" t="s">
        <v>199</v>
      </c>
      <c r="V52" s="769" t="s">
        <v>199</v>
      </c>
      <c r="W52" s="769" t="s">
        <v>199</v>
      </c>
      <c r="X52" s="750"/>
      <c r="Y52" s="750"/>
      <c r="Z52" s="750"/>
      <c r="AA52" s="750"/>
      <c r="AB52" s="750"/>
      <c r="AC52" s="750"/>
      <c r="AD52" s="750"/>
      <c r="AE52" s="750"/>
      <c r="AF52" s="750"/>
      <c r="AG52" s="750"/>
      <c r="AH52" s="750"/>
      <c r="AI52" s="750"/>
      <c r="AJ52" s="769" t="s">
        <v>199</v>
      </c>
      <c r="AK52" s="769" t="s">
        <v>199</v>
      </c>
      <c r="AL52" s="769" t="s">
        <v>199</v>
      </c>
      <c r="AM52" s="750"/>
      <c r="AN52" s="750"/>
      <c r="AO52" s="750"/>
      <c r="AP52" s="750"/>
      <c r="AQ52" s="750"/>
      <c r="AR52" s="750"/>
      <c r="AS52" s="750"/>
      <c r="AT52" s="750"/>
      <c r="AU52" s="750"/>
      <c r="AV52" s="750"/>
      <c r="AW52" s="750"/>
      <c r="AX52" s="750"/>
    </row>
    <row r="53" ht="15" customHeight="1" spans="2:50">
      <c r="B53" s="801"/>
      <c r="C53" s="784"/>
      <c r="D53" s="784"/>
      <c r="E53" s="784"/>
      <c r="F53" s="769" t="s">
        <v>199</v>
      </c>
      <c r="G53" s="769" t="s">
        <v>199</v>
      </c>
      <c r="H53" s="769" t="s">
        <v>199</v>
      </c>
      <c r="I53" s="750"/>
      <c r="J53" s="750"/>
      <c r="K53" s="750"/>
      <c r="L53" s="750"/>
      <c r="M53" s="750"/>
      <c r="N53" s="750"/>
      <c r="O53" s="750"/>
      <c r="P53" s="750"/>
      <c r="Q53" s="750"/>
      <c r="R53" s="750"/>
      <c r="S53" s="750"/>
      <c r="T53" s="750"/>
      <c r="U53" s="769" t="s">
        <v>199</v>
      </c>
      <c r="V53" s="769" t="s">
        <v>199</v>
      </c>
      <c r="W53" s="769" t="s">
        <v>199</v>
      </c>
      <c r="X53" s="750"/>
      <c r="Y53" s="750"/>
      <c r="Z53" s="750"/>
      <c r="AA53" s="750"/>
      <c r="AB53" s="750"/>
      <c r="AC53" s="750"/>
      <c r="AD53" s="750"/>
      <c r="AE53" s="750"/>
      <c r="AF53" s="750"/>
      <c r="AG53" s="750"/>
      <c r="AH53" s="750"/>
      <c r="AI53" s="750"/>
      <c r="AJ53" s="769" t="s">
        <v>199</v>
      </c>
      <c r="AK53" s="769" t="s">
        <v>199</v>
      </c>
      <c r="AL53" s="769" t="s">
        <v>199</v>
      </c>
      <c r="AM53" s="750"/>
      <c r="AN53" s="750"/>
      <c r="AO53" s="750"/>
      <c r="AP53" s="750"/>
      <c r="AQ53" s="750"/>
      <c r="AR53" s="750"/>
      <c r="AS53" s="750"/>
      <c r="AT53" s="750"/>
      <c r="AU53" s="750"/>
      <c r="AV53" s="750"/>
      <c r="AW53" s="750"/>
      <c r="AX53" s="750"/>
    </row>
    <row r="54" ht="15" customHeight="1" spans="2:50">
      <c r="B54" s="801"/>
      <c r="C54" s="784"/>
      <c r="D54" s="784"/>
      <c r="E54" s="784"/>
      <c r="F54" s="769" t="s">
        <v>199</v>
      </c>
      <c r="G54" s="769" t="s">
        <v>199</v>
      </c>
      <c r="H54" s="769" t="s">
        <v>199</v>
      </c>
      <c r="I54" s="750"/>
      <c r="J54" s="750"/>
      <c r="K54" s="750"/>
      <c r="L54" s="750"/>
      <c r="M54" s="750"/>
      <c r="N54" s="750"/>
      <c r="O54" s="750"/>
      <c r="P54" s="750"/>
      <c r="Q54" s="788"/>
      <c r="R54" s="750"/>
      <c r="S54" s="750"/>
      <c r="T54" s="750"/>
      <c r="U54" s="769" t="s">
        <v>199</v>
      </c>
      <c r="V54" s="769" t="s">
        <v>199</v>
      </c>
      <c r="W54" s="769" t="s">
        <v>199</v>
      </c>
      <c r="X54" s="750"/>
      <c r="Y54" s="750"/>
      <c r="Z54" s="750"/>
      <c r="AA54" s="750"/>
      <c r="AB54" s="750"/>
      <c r="AC54" s="750"/>
      <c r="AD54" s="750"/>
      <c r="AE54" s="750"/>
      <c r="AF54" s="788"/>
      <c r="AG54" s="750"/>
      <c r="AH54" s="750"/>
      <c r="AI54" s="750"/>
      <c r="AJ54" s="769" t="s">
        <v>199</v>
      </c>
      <c r="AK54" s="769" t="s">
        <v>199</v>
      </c>
      <c r="AL54" s="769" t="s">
        <v>199</v>
      </c>
      <c r="AM54" s="750"/>
      <c r="AN54" s="750"/>
      <c r="AO54" s="750"/>
      <c r="AP54" s="750"/>
      <c r="AQ54" s="750"/>
      <c r="AR54" s="750"/>
      <c r="AS54" s="750"/>
      <c r="AT54" s="750"/>
      <c r="AU54" s="788"/>
      <c r="AV54" s="750"/>
      <c r="AW54" s="750"/>
      <c r="AX54" s="750"/>
    </row>
    <row r="55" ht="15" customHeight="1" spans="2:50">
      <c r="B55" s="801"/>
      <c r="C55" s="784"/>
      <c r="D55" s="784"/>
      <c r="E55" s="784"/>
      <c r="F55" s="769" t="s">
        <v>199</v>
      </c>
      <c r="G55" s="769" t="s">
        <v>199</v>
      </c>
      <c r="H55" s="769" t="s">
        <v>199</v>
      </c>
      <c r="I55" s="750"/>
      <c r="J55" s="750"/>
      <c r="K55" s="750"/>
      <c r="L55" s="750"/>
      <c r="M55" s="750"/>
      <c r="N55" s="750"/>
      <c r="O55" s="750"/>
      <c r="P55" s="750"/>
      <c r="Q55" s="750"/>
      <c r="R55" s="750"/>
      <c r="S55" s="750"/>
      <c r="T55" s="750"/>
      <c r="U55" s="769" t="s">
        <v>199</v>
      </c>
      <c r="V55" s="769" t="s">
        <v>199</v>
      </c>
      <c r="W55" s="769" t="s">
        <v>199</v>
      </c>
      <c r="X55" s="750"/>
      <c r="Y55" s="750"/>
      <c r="Z55" s="750"/>
      <c r="AA55" s="750"/>
      <c r="AB55" s="750"/>
      <c r="AC55" s="750"/>
      <c r="AD55" s="750"/>
      <c r="AE55" s="750"/>
      <c r="AF55" s="750"/>
      <c r="AG55" s="750"/>
      <c r="AH55" s="750"/>
      <c r="AI55" s="750"/>
      <c r="AJ55" s="769" t="s">
        <v>199</v>
      </c>
      <c r="AK55" s="769" t="s">
        <v>199</v>
      </c>
      <c r="AL55" s="769" t="s">
        <v>199</v>
      </c>
      <c r="AM55" s="750"/>
      <c r="AN55" s="750"/>
      <c r="AO55" s="750"/>
      <c r="AP55" s="750"/>
      <c r="AQ55" s="750"/>
      <c r="AR55" s="750"/>
      <c r="AS55" s="750"/>
      <c r="AT55" s="750"/>
      <c r="AU55" s="750"/>
      <c r="AV55" s="750"/>
      <c r="AW55" s="750"/>
      <c r="AX55" s="750"/>
    </row>
    <row r="56" ht="15" customHeight="1" spans="2:50">
      <c r="B56" s="801"/>
      <c r="C56" s="784"/>
      <c r="D56" s="784"/>
      <c r="E56" s="784"/>
      <c r="F56" s="769" t="s">
        <v>199</v>
      </c>
      <c r="G56" s="769" t="s">
        <v>199</v>
      </c>
      <c r="H56" s="769" t="s">
        <v>199</v>
      </c>
      <c r="I56" s="750"/>
      <c r="J56" s="750"/>
      <c r="K56" s="750"/>
      <c r="L56" s="750"/>
      <c r="M56" s="750"/>
      <c r="N56" s="750"/>
      <c r="O56" s="750"/>
      <c r="P56" s="750"/>
      <c r="Q56" s="750"/>
      <c r="R56" s="750"/>
      <c r="S56" s="750"/>
      <c r="T56" s="750"/>
      <c r="U56" s="769" t="s">
        <v>199</v>
      </c>
      <c r="V56" s="769" t="s">
        <v>199</v>
      </c>
      <c r="W56" s="769" t="s">
        <v>199</v>
      </c>
      <c r="X56" s="750"/>
      <c r="Y56" s="750"/>
      <c r="Z56" s="750"/>
      <c r="AA56" s="750"/>
      <c r="AB56" s="750"/>
      <c r="AC56" s="750"/>
      <c r="AD56" s="750"/>
      <c r="AE56" s="750"/>
      <c r="AF56" s="750"/>
      <c r="AG56" s="750"/>
      <c r="AH56" s="750"/>
      <c r="AI56" s="750"/>
      <c r="AJ56" s="769" t="s">
        <v>199</v>
      </c>
      <c r="AK56" s="769" t="s">
        <v>199</v>
      </c>
      <c r="AL56" s="769" t="s">
        <v>199</v>
      </c>
      <c r="AM56" s="750"/>
      <c r="AN56" s="750"/>
      <c r="AO56" s="750"/>
      <c r="AP56" s="750"/>
      <c r="AQ56" s="750"/>
      <c r="AR56" s="750"/>
      <c r="AS56" s="750"/>
      <c r="AT56" s="750"/>
      <c r="AU56" s="750"/>
      <c r="AV56" s="750"/>
      <c r="AW56" s="750"/>
      <c r="AX56" s="750"/>
    </row>
    <row r="57" ht="15" customHeight="1" spans="2:50">
      <c r="B57" s="801"/>
      <c r="C57" s="784"/>
      <c r="D57" s="784"/>
      <c r="E57" s="784"/>
      <c r="F57" s="769" t="s">
        <v>199</v>
      </c>
      <c r="G57" s="769" t="s">
        <v>199</v>
      </c>
      <c r="H57" s="769" t="s">
        <v>199</v>
      </c>
      <c r="I57" s="750"/>
      <c r="J57" s="750"/>
      <c r="K57" s="750"/>
      <c r="L57" s="750"/>
      <c r="M57" s="750"/>
      <c r="N57" s="750"/>
      <c r="O57" s="750"/>
      <c r="P57" s="750"/>
      <c r="Q57" s="750"/>
      <c r="R57" s="750"/>
      <c r="S57" s="750"/>
      <c r="T57" s="750"/>
      <c r="U57" s="769" t="s">
        <v>199</v>
      </c>
      <c r="V57" s="769" t="s">
        <v>199</v>
      </c>
      <c r="W57" s="769" t="s">
        <v>199</v>
      </c>
      <c r="X57" s="750"/>
      <c r="Y57" s="750"/>
      <c r="Z57" s="750"/>
      <c r="AA57" s="750"/>
      <c r="AB57" s="750"/>
      <c r="AC57" s="750"/>
      <c r="AD57" s="750"/>
      <c r="AE57" s="750"/>
      <c r="AF57" s="750"/>
      <c r="AG57" s="750"/>
      <c r="AH57" s="750"/>
      <c r="AI57" s="750"/>
      <c r="AJ57" s="769" t="s">
        <v>199</v>
      </c>
      <c r="AK57" s="769" t="s">
        <v>199</v>
      </c>
      <c r="AL57" s="769" t="s">
        <v>199</v>
      </c>
      <c r="AM57" s="750"/>
      <c r="AN57" s="750"/>
      <c r="AO57" s="750"/>
      <c r="AP57" s="750"/>
      <c r="AQ57" s="750"/>
      <c r="AR57" s="750"/>
      <c r="AS57" s="750"/>
      <c r="AT57" s="750"/>
      <c r="AU57" s="750"/>
      <c r="AV57" s="750"/>
      <c r="AW57" s="750"/>
      <c r="AX57" s="750"/>
    </row>
    <row r="58" ht="15" customHeight="1" spans="2:50">
      <c r="B58" s="801"/>
      <c r="C58" s="784"/>
      <c r="D58" s="784"/>
      <c r="E58" s="784"/>
      <c r="F58" s="769" t="s">
        <v>199</v>
      </c>
      <c r="G58" s="769" t="s">
        <v>199</v>
      </c>
      <c r="H58" s="769" t="s">
        <v>199</v>
      </c>
      <c r="I58" s="750"/>
      <c r="J58" s="750"/>
      <c r="K58" s="750"/>
      <c r="L58" s="750"/>
      <c r="M58" s="750"/>
      <c r="N58" s="750"/>
      <c r="O58" s="750"/>
      <c r="P58" s="750"/>
      <c r="Q58" s="750"/>
      <c r="R58" s="750"/>
      <c r="S58" s="750"/>
      <c r="T58" s="750"/>
      <c r="U58" s="769" t="s">
        <v>199</v>
      </c>
      <c r="V58" s="769" t="s">
        <v>199</v>
      </c>
      <c r="W58" s="769" t="s">
        <v>199</v>
      </c>
      <c r="X58" s="750"/>
      <c r="Y58" s="750"/>
      <c r="Z58" s="750"/>
      <c r="AA58" s="750"/>
      <c r="AB58" s="750"/>
      <c r="AC58" s="750"/>
      <c r="AD58" s="750"/>
      <c r="AE58" s="750"/>
      <c r="AF58" s="750"/>
      <c r="AG58" s="750"/>
      <c r="AH58" s="750"/>
      <c r="AI58" s="750"/>
      <c r="AJ58" s="769" t="s">
        <v>199</v>
      </c>
      <c r="AK58" s="769" t="s">
        <v>199</v>
      </c>
      <c r="AL58" s="769" t="s">
        <v>199</v>
      </c>
      <c r="AM58" s="750"/>
      <c r="AN58" s="750"/>
      <c r="AO58" s="750"/>
      <c r="AP58" s="750"/>
      <c r="AQ58" s="750"/>
      <c r="AR58" s="750"/>
      <c r="AS58" s="750"/>
      <c r="AT58" s="750"/>
      <c r="AU58" s="750"/>
      <c r="AV58" s="750"/>
      <c r="AW58" s="750"/>
      <c r="AX58" s="750"/>
    </row>
    <row r="59" ht="15" customHeight="1" spans="2:50">
      <c r="B59" s="801"/>
      <c r="C59" s="784"/>
      <c r="D59" s="784"/>
      <c r="E59" s="784"/>
      <c r="F59" s="769" t="s">
        <v>199</v>
      </c>
      <c r="G59" s="769" t="s">
        <v>199</v>
      </c>
      <c r="H59" s="769" t="s">
        <v>199</v>
      </c>
      <c r="I59" s="750"/>
      <c r="J59" s="750"/>
      <c r="K59" s="750"/>
      <c r="L59" s="750"/>
      <c r="M59" s="750"/>
      <c r="N59" s="750"/>
      <c r="O59" s="750"/>
      <c r="P59" s="750"/>
      <c r="Q59" s="750"/>
      <c r="R59" s="750"/>
      <c r="S59" s="750"/>
      <c r="T59" s="750"/>
      <c r="U59" s="769" t="s">
        <v>199</v>
      </c>
      <c r="V59" s="769" t="s">
        <v>199</v>
      </c>
      <c r="W59" s="769" t="s">
        <v>199</v>
      </c>
      <c r="X59" s="750"/>
      <c r="Y59" s="750"/>
      <c r="Z59" s="750"/>
      <c r="AA59" s="750"/>
      <c r="AB59" s="750"/>
      <c r="AC59" s="750"/>
      <c r="AD59" s="750"/>
      <c r="AE59" s="750"/>
      <c r="AF59" s="750"/>
      <c r="AG59" s="750"/>
      <c r="AH59" s="750"/>
      <c r="AI59" s="750"/>
      <c r="AJ59" s="769" t="s">
        <v>199</v>
      </c>
      <c r="AK59" s="769" t="s">
        <v>199</v>
      </c>
      <c r="AL59" s="769" t="s">
        <v>199</v>
      </c>
      <c r="AM59" s="750"/>
      <c r="AN59" s="750"/>
      <c r="AO59" s="750"/>
      <c r="AP59" s="750"/>
      <c r="AQ59" s="750"/>
      <c r="AR59" s="750"/>
      <c r="AS59" s="750"/>
      <c r="AT59" s="750"/>
      <c r="AU59" s="750"/>
      <c r="AV59" s="750"/>
      <c r="AW59" s="750"/>
      <c r="AX59" s="750"/>
    </row>
    <row r="60" ht="15" customHeight="1" spans="2:50">
      <c r="B60" s="801"/>
      <c r="C60" s="784"/>
      <c r="D60" s="784"/>
      <c r="E60" s="784"/>
      <c r="F60" s="769" t="s">
        <v>199</v>
      </c>
      <c r="G60" s="769" t="s">
        <v>199</v>
      </c>
      <c r="H60" s="769" t="s">
        <v>199</v>
      </c>
      <c r="I60" s="750"/>
      <c r="J60" s="750"/>
      <c r="K60" s="750"/>
      <c r="L60" s="750"/>
      <c r="M60" s="750"/>
      <c r="N60" s="750"/>
      <c r="O60" s="750"/>
      <c r="P60" s="750"/>
      <c r="Q60" s="750"/>
      <c r="R60" s="750"/>
      <c r="S60" s="750"/>
      <c r="T60" s="750"/>
      <c r="U60" s="769" t="s">
        <v>199</v>
      </c>
      <c r="V60" s="769" t="s">
        <v>199</v>
      </c>
      <c r="W60" s="769" t="s">
        <v>199</v>
      </c>
      <c r="X60" s="750"/>
      <c r="Y60" s="750"/>
      <c r="Z60" s="750"/>
      <c r="AA60" s="750"/>
      <c r="AB60" s="750"/>
      <c r="AC60" s="750"/>
      <c r="AD60" s="750"/>
      <c r="AE60" s="750"/>
      <c r="AF60" s="750"/>
      <c r="AG60" s="750"/>
      <c r="AH60" s="750"/>
      <c r="AI60" s="750"/>
      <c r="AJ60" s="769" t="s">
        <v>199</v>
      </c>
      <c r="AK60" s="769" t="s">
        <v>199</v>
      </c>
      <c r="AL60" s="769" t="s">
        <v>199</v>
      </c>
      <c r="AM60" s="750"/>
      <c r="AN60" s="750"/>
      <c r="AO60" s="750"/>
      <c r="AP60" s="750"/>
      <c r="AQ60" s="750"/>
      <c r="AR60" s="750"/>
      <c r="AS60" s="750"/>
      <c r="AT60" s="750"/>
      <c r="AU60" s="750"/>
      <c r="AV60" s="750"/>
      <c r="AW60" s="750"/>
      <c r="AX60" s="750"/>
    </row>
    <row r="61" ht="15" customHeight="1" spans="2:50">
      <c r="B61" s="801"/>
      <c r="C61" s="784"/>
      <c r="D61" s="784"/>
      <c r="E61" s="784"/>
      <c r="F61" s="769" t="s">
        <v>199</v>
      </c>
      <c r="G61" s="769" t="s">
        <v>199</v>
      </c>
      <c r="H61" s="769" t="s">
        <v>199</v>
      </c>
      <c r="I61" s="750"/>
      <c r="J61" s="750"/>
      <c r="K61" s="750"/>
      <c r="L61" s="750"/>
      <c r="M61" s="750"/>
      <c r="N61" s="750"/>
      <c r="O61" s="750"/>
      <c r="P61" s="750"/>
      <c r="Q61" s="750"/>
      <c r="R61" s="750"/>
      <c r="S61" s="750"/>
      <c r="T61" s="750"/>
      <c r="U61" s="769" t="s">
        <v>199</v>
      </c>
      <c r="V61" s="769" t="s">
        <v>199</v>
      </c>
      <c r="W61" s="769" t="s">
        <v>199</v>
      </c>
      <c r="X61" s="750"/>
      <c r="Y61" s="750"/>
      <c r="Z61" s="750"/>
      <c r="AA61" s="750"/>
      <c r="AB61" s="750"/>
      <c r="AC61" s="750"/>
      <c r="AD61" s="750"/>
      <c r="AE61" s="750"/>
      <c r="AF61" s="750"/>
      <c r="AG61" s="750"/>
      <c r="AH61" s="750"/>
      <c r="AI61" s="750"/>
      <c r="AJ61" s="769" t="s">
        <v>199</v>
      </c>
      <c r="AK61" s="769" t="s">
        <v>199</v>
      </c>
      <c r="AL61" s="769" t="s">
        <v>199</v>
      </c>
      <c r="AM61" s="750"/>
      <c r="AN61" s="750"/>
      <c r="AO61" s="750"/>
      <c r="AP61" s="750"/>
      <c r="AQ61" s="750"/>
      <c r="AR61" s="750"/>
      <c r="AS61" s="750"/>
      <c r="AT61" s="750"/>
      <c r="AU61" s="750"/>
      <c r="AV61" s="750"/>
      <c r="AW61" s="750"/>
      <c r="AX61" s="750"/>
    </row>
    <row r="62" ht="15" customHeight="1" spans="2:50">
      <c r="B62" s="801"/>
      <c r="C62" s="784"/>
      <c r="D62" s="784"/>
      <c r="E62" s="784"/>
      <c r="F62" s="769" t="s">
        <v>199</v>
      </c>
      <c r="G62" s="769" t="s">
        <v>199</v>
      </c>
      <c r="H62" s="769" t="s">
        <v>199</v>
      </c>
      <c r="I62" s="750"/>
      <c r="J62" s="750"/>
      <c r="K62" s="750"/>
      <c r="L62" s="750"/>
      <c r="M62" s="750"/>
      <c r="N62" s="750"/>
      <c r="O62" s="750"/>
      <c r="P62" s="750"/>
      <c r="Q62" s="750"/>
      <c r="R62" s="750"/>
      <c r="S62" s="750"/>
      <c r="T62" s="750"/>
      <c r="U62" s="769" t="s">
        <v>199</v>
      </c>
      <c r="V62" s="769" t="s">
        <v>199</v>
      </c>
      <c r="W62" s="769" t="s">
        <v>199</v>
      </c>
      <c r="X62" s="750"/>
      <c r="Y62" s="750"/>
      <c r="Z62" s="750"/>
      <c r="AA62" s="750"/>
      <c r="AB62" s="750"/>
      <c r="AC62" s="750"/>
      <c r="AD62" s="750"/>
      <c r="AE62" s="750"/>
      <c r="AF62" s="750"/>
      <c r="AG62" s="750"/>
      <c r="AH62" s="750"/>
      <c r="AI62" s="750"/>
      <c r="AJ62" s="769" t="s">
        <v>199</v>
      </c>
      <c r="AK62" s="769" t="s">
        <v>199</v>
      </c>
      <c r="AL62" s="769" t="s">
        <v>199</v>
      </c>
      <c r="AM62" s="750"/>
      <c r="AN62" s="750"/>
      <c r="AO62" s="750"/>
      <c r="AP62" s="750"/>
      <c r="AQ62" s="750"/>
      <c r="AR62" s="750"/>
      <c r="AS62" s="750"/>
      <c r="AT62" s="750"/>
      <c r="AU62" s="750"/>
      <c r="AV62" s="750"/>
      <c r="AW62" s="750"/>
      <c r="AX62" s="750"/>
    </row>
    <row r="63" ht="15" customHeight="1" spans="2:50">
      <c r="B63" s="801"/>
      <c r="C63" s="784"/>
      <c r="D63" s="784"/>
      <c r="E63" s="784"/>
      <c r="F63" s="769" t="s">
        <v>199</v>
      </c>
      <c r="G63" s="769" t="s">
        <v>199</v>
      </c>
      <c r="H63" s="769" t="s">
        <v>199</v>
      </c>
      <c r="I63" s="750"/>
      <c r="J63" s="750"/>
      <c r="K63" s="750"/>
      <c r="L63" s="750"/>
      <c r="M63" s="750"/>
      <c r="N63" s="750"/>
      <c r="O63" s="750"/>
      <c r="P63" s="750"/>
      <c r="Q63" s="750"/>
      <c r="R63" s="750"/>
      <c r="S63" s="750"/>
      <c r="T63" s="750"/>
      <c r="U63" s="769" t="s">
        <v>199</v>
      </c>
      <c r="V63" s="769" t="s">
        <v>199</v>
      </c>
      <c r="W63" s="769" t="s">
        <v>199</v>
      </c>
      <c r="X63" s="750"/>
      <c r="Y63" s="750"/>
      <c r="Z63" s="750"/>
      <c r="AA63" s="750"/>
      <c r="AB63" s="750"/>
      <c r="AC63" s="750"/>
      <c r="AD63" s="750"/>
      <c r="AE63" s="750"/>
      <c r="AF63" s="750"/>
      <c r="AG63" s="750"/>
      <c r="AH63" s="750"/>
      <c r="AI63" s="750"/>
      <c r="AJ63" s="769" t="s">
        <v>199</v>
      </c>
      <c r="AK63" s="769" t="s">
        <v>199</v>
      </c>
      <c r="AL63" s="769" t="s">
        <v>199</v>
      </c>
      <c r="AM63" s="750"/>
      <c r="AN63" s="750"/>
      <c r="AO63" s="750"/>
      <c r="AP63" s="750"/>
      <c r="AQ63" s="750"/>
      <c r="AR63" s="750"/>
      <c r="AS63" s="750"/>
      <c r="AT63" s="750"/>
      <c r="AU63" s="750"/>
      <c r="AV63" s="750"/>
      <c r="AW63" s="750"/>
      <c r="AX63" s="750"/>
    </row>
    <row r="64" ht="15" customHeight="1" spans="2:50">
      <c r="B64" s="801"/>
      <c r="C64" s="784"/>
      <c r="D64" s="784"/>
      <c r="E64" s="784"/>
      <c r="F64" s="769" t="s">
        <v>199</v>
      </c>
      <c r="G64" s="769" t="s">
        <v>199</v>
      </c>
      <c r="H64" s="769" t="s">
        <v>199</v>
      </c>
      <c r="I64" s="750"/>
      <c r="J64" s="750"/>
      <c r="K64" s="750"/>
      <c r="L64" s="750"/>
      <c r="M64" s="750"/>
      <c r="N64" s="750"/>
      <c r="O64" s="750"/>
      <c r="P64" s="750"/>
      <c r="Q64" s="750"/>
      <c r="R64" s="750"/>
      <c r="S64" s="750"/>
      <c r="T64" s="750"/>
      <c r="U64" s="769" t="s">
        <v>199</v>
      </c>
      <c r="V64" s="769" t="s">
        <v>199</v>
      </c>
      <c r="W64" s="769" t="s">
        <v>199</v>
      </c>
      <c r="X64" s="750"/>
      <c r="Y64" s="750"/>
      <c r="Z64" s="750"/>
      <c r="AA64" s="750"/>
      <c r="AB64" s="750"/>
      <c r="AC64" s="750"/>
      <c r="AD64" s="750"/>
      <c r="AE64" s="750"/>
      <c r="AF64" s="750"/>
      <c r="AG64" s="750"/>
      <c r="AH64" s="750"/>
      <c r="AI64" s="750"/>
      <c r="AJ64" s="769" t="s">
        <v>199</v>
      </c>
      <c r="AK64" s="769" t="s">
        <v>199</v>
      </c>
      <c r="AL64" s="769" t="s">
        <v>199</v>
      </c>
      <c r="AM64" s="750"/>
      <c r="AN64" s="750"/>
      <c r="AO64" s="750"/>
      <c r="AP64" s="750"/>
      <c r="AQ64" s="750"/>
      <c r="AR64" s="750"/>
      <c r="AS64" s="750"/>
      <c r="AT64" s="750"/>
      <c r="AU64" s="750"/>
      <c r="AV64" s="750"/>
      <c r="AW64" s="750"/>
      <c r="AX64" s="750"/>
    </row>
    <row r="65" ht="15" customHeight="1" spans="2:50">
      <c r="B65" s="801"/>
      <c r="C65" s="784"/>
      <c r="D65" s="784"/>
      <c r="E65" s="784"/>
      <c r="F65" s="769" t="s">
        <v>199</v>
      </c>
      <c r="G65" s="769" t="s">
        <v>199</v>
      </c>
      <c r="H65" s="769" t="s">
        <v>199</v>
      </c>
      <c r="I65" s="750"/>
      <c r="J65" s="750"/>
      <c r="K65" s="750"/>
      <c r="L65" s="750"/>
      <c r="M65" s="750"/>
      <c r="N65" s="750"/>
      <c r="O65" s="750"/>
      <c r="P65" s="750"/>
      <c r="Q65" s="750"/>
      <c r="R65" s="750"/>
      <c r="S65" s="750"/>
      <c r="T65" s="750"/>
      <c r="U65" s="769" t="s">
        <v>199</v>
      </c>
      <c r="V65" s="769" t="s">
        <v>199</v>
      </c>
      <c r="W65" s="769" t="s">
        <v>199</v>
      </c>
      <c r="X65" s="750"/>
      <c r="Y65" s="750"/>
      <c r="Z65" s="750"/>
      <c r="AA65" s="750"/>
      <c r="AB65" s="750"/>
      <c r="AC65" s="750"/>
      <c r="AD65" s="750"/>
      <c r="AE65" s="750"/>
      <c r="AF65" s="750"/>
      <c r="AG65" s="750"/>
      <c r="AH65" s="750"/>
      <c r="AI65" s="750"/>
      <c r="AJ65" s="769" t="s">
        <v>199</v>
      </c>
      <c r="AK65" s="769" t="s">
        <v>199</v>
      </c>
      <c r="AL65" s="769" t="s">
        <v>199</v>
      </c>
      <c r="AM65" s="750"/>
      <c r="AN65" s="750"/>
      <c r="AO65" s="750"/>
      <c r="AP65" s="750"/>
      <c r="AQ65" s="750"/>
      <c r="AR65" s="750"/>
      <c r="AS65" s="750"/>
      <c r="AT65" s="750"/>
      <c r="AU65" s="750"/>
      <c r="AV65" s="750"/>
      <c r="AW65" s="750"/>
      <c r="AX65" s="750"/>
    </row>
    <row r="66" ht="15" customHeight="1" spans="2:50">
      <c r="B66" s="801"/>
      <c r="C66" s="786"/>
      <c r="D66" s="786"/>
      <c r="E66" s="784"/>
      <c r="F66" s="769" t="s">
        <v>199</v>
      </c>
      <c r="G66" s="769" t="s">
        <v>199</v>
      </c>
      <c r="H66" s="769" t="s">
        <v>199</v>
      </c>
      <c r="I66" s="750"/>
      <c r="J66" s="750"/>
      <c r="K66" s="750"/>
      <c r="L66" s="750"/>
      <c r="M66" s="750"/>
      <c r="N66" s="750"/>
      <c r="O66" s="750"/>
      <c r="P66" s="750"/>
      <c r="Q66" s="750"/>
      <c r="R66" s="750"/>
      <c r="S66" s="750"/>
      <c r="T66" s="750"/>
      <c r="U66" s="769" t="s">
        <v>199</v>
      </c>
      <c r="V66" s="769" t="s">
        <v>199</v>
      </c>
      <c r="W66" s="769" t="s">
        <v>199</v>
      </c>
      <c r="X66" s="750"/>
      <c r="Y66" s="750"/>
      <c r="Z66" s="750"/>
      <c r="AA66" s="750"/>
      <c r="AB66" s="750"/>
      <c r="AC66" s="750"/>
      <c r="AD66" s="750"/>
      <c r="AE66" s="750"/>
      <c r="AF66" s="750"/>
      <c r="AG66" s="750"/>
      <c r="AH66" s="750"/>
      <c r="AI66" s="750"/>
      <c r="AJ66" s="769" t="s">
        <v>199</v>
      </c>
      <c r="AK66" s="769" t="s">
        <v>199</v>
      </c>
      <c r="AL66" s="769" t="s">
        <v>199</v>
      </c>
      <c r="AM66" s="750"/>
      <c r="AN66" s="750"/>
      <c r="AO66" s="750"/>
      <c r="AP66" s="750"/>
      <c r="AQ66" s="750"/>
      <c r="AR66" s="750"/>
      <c r="AS66" s="750"/>
      <c r="AT66" s="750"/>
      <c r="AU66" s="750"/>
      <c r="AV66" s="750"/>
      <c r="AW66" s="750"/>
      <c r="AX66" s="750"/>
    </row>
    <row r="67" ht="15" customHeight="1" spans="2:50">
      <c r="B67" s="801"/>
      <c r="C67" s="784"/>
      <c r="D67" s="784"/>
      <c r="E67" s="784"/>
      <c r="F67" s="769" t="s">
        <v>199</v>
      </c>
      <c r="G67" s="769" t="s">
        <v>199</v>
      </c>
      <c r="H67" s="769" t="s">
        <v>199</v>
      </c>
      <c r="I67" s="750"/>
      <c r="J67" s="750"/>
      <c r="K67" s="750"/>
      <c r="L67" s="750"/>
      <c r="M67" s="750"/>
      <c r="N67" s="750"/>
      <c r="O67" s="750"/>
      <c r="P67" s="750"/>
      <c r="Q67" s="750"/>
      <c r="R67" s="750"/>
      <c r="S67" s="750"/>
      <c r="T67" s="750"/>
      <c r="U67" s="769" t="s">
        <v>199</v>
      </c>
      <c r="V67" s="769" t="s">
        <v>199</v>
      </c>
      <c r="W67" s="769" t="s">
        <v>199</v>
      </c>
      <c r="X67" s="750"/>
      <c r="Y67" s="750"/>
      <c r="Z67" s="750"/>
      <c r="AA67" s="750"/>
      <c r="AB67" s="750"/>
      <c r="AC67" s="750"/>
      <c r="AD67" s="750"/>
      <c r="AE67" s="750"/>
      <c r="AF67" s="750"/>
      <c r="AG67" s="750"/>
      <c r="AH67" s="750"/>
      <c r="AI67" s="750"/>
      <c r="AJ67" s="769" t="s">
        <v>199</v>
      </c>
      <c r="AK67" s="769" t="s">
        <v>199</v>
      </c>
      <c r="AL67" s="769" t="s">
        <v>199</v>
      </c>
      <c r="AM67" s="750"/>
      <c r="AN67" s="750"/>
      <c r="AO67" s="750"/>
      <c r="AP67" s="750"/>
      <c r="AQ67" s="750"/>
      <c r="AR67" s="750"/>
      <c r="AS67" s="750"/>
      <c r="AT67" s="750"/>
      <c r="AU67" s="750"/>
      <c r="AV67" s="750"/>
      <c r="AW67" s="750"/>
      <c r="AX67" s="750"/>
    </row>
    <row r="68" ht="15" customHeight="1" spans="2:50">
      <c r="B68" s="801"/>
      <c r="C68" s="784"/>
      <c r="D68" s="784"/>
      <c r="E68" s="784"/>
      <c r="F68" s="769" t="s">
        <v>199</v>
      </c>
      <c r="G68" s="769" t="s">
        <v>199</v>
      </c>
      <c r="H68" s="769" t="s">
        <v>199</v>
      </c>
      <c r="I68" s="750"/>
      <c r="J68" s="750"/>
      <c r="K68" s="750"/>
      <c r="L68" s="750"/>
      <c r="M68" s="750"/>
      <c r="N68" s="750"/>
      <c r="O68" s="750"/>
      <c r="P68" s="750"/>
      <c r="Q68" s="750"/>
      <c r="R68" s="750"/>
      <c r="S68" s="750"/>
      <c r="T68" s="750"/>
      <c r="U68" s="769" t="s">
        <v>199</v>
      </c>
      <c r="V68" s="769" t="s">
        <v>199</v>
      </c>
      <c r="W68" s="769" t="s">
        <v>199</v>
      </c>
      <c r="X68" s="750"/>
      <c r="Y68" s="750"/>
      <c r="Z68" s="750"/>
      <c r="AA68" s="750"/>
      <c r="AB68" s="750"/>
      <c r="AC68" s="750"/>
      <c r="AD68" s="750"/>
      <c r="AE68" s="750"/>
      <c r="AF68" s="750"/>
      <c r="AG68" s="750"/>
      <c r="AH68" s="750"/>
      <c r="AI68" s="750"/>
      <c r="AJ68" s="769" t="s">
        <v>199</v>
      </c>
      <c r="AK68" s="769" t="s">
        <v>199</v>
      </c>
      <c r="AL68" s="769" t="s">
        <v>199</v>
      </c>
      <c r="AM68" s="750"/>
      <c r="AN68" s="750"/>
      <c r="AO68" s="750"/>
      <c r="AP68" s="750"/>
      <c r="AQ68" s="750"/>
      <c r="AR68" s="750"/>
      <c r="AS68" s="750"/>
      <c r="AT68" s="750"/>
      <c r="AU68" s="750"/>
      <c r="AV68" s="750"/>
      <c r="AW68" s="750"/>
      <c r="AX68" s="750"/>
    </row>
    <row r="69" ht="15" customHeight="1" spans="2:50">
      <c r="B69" s="801"/>
      <c r="C69" s="784"/>
      <c r="D69" s="784"/>
      <c r="E69" s="784"/>
      <c r="F69" s="769" t="s">
        <v>199</v>
      </c>
      <c r="G69" s="769" t="s">
        <v>199</v>
      </c>
      <c r="H69" s="769" t="s">
        <v>199</v>
      </c>
      <c r="I69" s="750"/>
      <c r="J69" s="750"/>
      <c r="K69" s="750"/>
      <c r="L69" s="750"/>
      <c r="M69" s="750"/>
      <c r="N69" s="750"/>
      <c r="O69" s="750"/>
      <c r="P69" s="750"/>
      <c r="Q69" s="750"/>
      <c r="R69" s="750"/>
      <c r="S69" s="750"/>
      <c r="T69" s="750"/>
      <c r="U69" s="769" t="s">
        <v>199</v>
      </c>
      <c r="V69" s="769" t="s">
        <v>199</v>
      </c>
      <c r="W69" s="769" t="s">
        <v>199</v>
      </c>
      <c r="X69" s="750"/>
      <c r="Y69" s="750"/>
      <c r="Z69" s="750"/>
      <c r="AA69" s="750"/>
      <c r="AB69" s="750"/>
      <c r="AC69" s="750"/>
      <c r="AD69" s="750"/>
      <c r="AE69" s="750"/>
      <c r="AF69" s="750"/>
      <c r="AG69" s="750"/>
      <c r="AH69" s="750"/>
      <c r="AI69" s="750"/>
      <c r="AJ69" s="769" t="s">
        <v>199</v>
      </c>
      <c r="AK69" s="769" t="s">
        <v>199</v>
      </c>
      <c r="AL69" s="769" t="s">
        <v>199</v>
      </c>
      <c r="AM69" s="750"/>
      <c r="AN69" s="750"/>
      <c r="AO69" s="750"/>
      <c r="AP69" s="750"/>
      <c r="AQ69" s="750"/>
      <c r="AR69" s="750"/>
      <c r="AS69" s="750"/>
      <c r="AT69" s="750"/>
      <c r="AU69" s="750"/>
      <c r="AV69" s="750"/>
      <c r="AW69" s="750"/>
      <c r="AX69" s="750"/>
    </row>
    <row r="70" ht="15" customHeight="1" spans="2:50">
      <c r="B70" s="801"/>
      <c r="C70" s="784"/>
      <c r="D70" s="784"/>
      <c r="E70" s="784"/>
      <c r="F70" s="769" t="s">
        <v>199</v>
      </c>
      <c r="G70" s="769" t="s">
        <v>199</v>
      </c>
      <c r="H70" s="769" t="s">
        <v>199</v>
      </c>
      <c r="I70" s="750"/>
      <c r="J70" s="750"/>
      <c r="K70" s="750"/>
      <c r="L70" s="750"/>
      <c r="M70" s="750"/>
      <c r="N70" s="750"/>
      <c r="O70" s="750"/>
      <c r="P70" s="750"/>
      <c r="Q70" s="750"/>
      <c r="R70" s="750"/>
      <c r="S70" s="750"/>
      <c r="T70" s="750"/>
      <c r="U70" s="769" t="s">
        <v>199</v>
      </c>
      <c r="V70" s="769" t="s">
        <v>199</v>
      </c>
      <c r="W70" s="769" t="s">
        <v>199</v>
      </c>
      <c r="X70" s="750"/>
      <c r="Y70" s="750"/>
      <c r="Z70" s="750"/>
      <c r="AA70" s="750"/>
      <c r="AB70" s="750"/>
      <c r="AC70" s="750"/>
      <c r="AD70" s="750"/>
      <c r="AE70" s="750"/>
      <c r="AF70" s="750"/>
      <c r="AG70" s="750"/>
      <c r="AH70" s="750"/>
      <c r="AI70" s="750"/>
      <c r="AJ70" s="769" t="s">
        <v>199</v>
      </c>
      <c r="AK70" s="769" t="s">
        <v>199</v>
      </c>
      <c r="AL70" s="769" t="s">
        <v>199</v>
      </c>
      <c r="AM70" s="750"/>
      <c r="AN70" s="750"/>
      <c r="AO70" s="750"/>
      <c r="AP70" s="750"/>
      <c r="AQ70" s="750"/>
      <c r="AR70" s="750"/>
      <c r="AS70" s="750"/>
      <c r="AT70" s="750"/>
      <c r="AU70" s="750"/>
      <c r="AV70" s="750"/>
      <c r="AW70" s="750"/>
      <c r="AX70" s="750"/>
    </row>
    <row r="71" ht="15" customHeight="1" spans="2:50">
      <c r="B71" s="801"/>
      <c r="C71" s="785"/>
      <c r="D71" s="785"/>
      <c r="E71" s="789"/>
      <c r="F71" s="769" t="s">
        <v>199</v>
      </c>
      <c r="G71" s="769" t="s">
        <v>199</v>
      </c>
      <c r="H71" s="769" t="s">
        <v>199</v>
      </c>
      <c r="I71" s="751"/>
      <c r="J71" s="751"/>
      <c r="K71" s="751"/>
      <c r="L71" s="751"/>
      <c r="M71" s="751"/>
      <c r="N71" s="751"/>
      <c r="O71" s="751"/>
      <c r="P71" s="751"/>
      <c r="Q71" s="751"/>
      <c r="R71" s="751"/>
      <c r="S71" s="751"/>
      <c r="T71" s="751"/>
      <c r="U71" s="769" t="s">
        <v>199</v>
      </c>
      <c r="V71" s="769" t="s">
        <v>199</v>
      </c>
      <c r="W71" s="769" t="s">
        <v>199</v>
      </c>
      <c r="X71" s="751"/>
      <c r="Y71" s="751"/>
      <c r="Z71" s="751"/>
      <c r="AA71" s="751"/>
      <c r="AB71" s="751"/>
      <c r="AC71" s="751"/>
      <c r="AD71" s="751"/>
      <c r="AE71" s="751"/>
      <c r="AF71" s="751"/>
      <c r="AG71" s="751"/>
      <c r="AH71" s="751"/>
      <c r="AI71" s="751"/>
      <c r="AJ71" s="769" t="s">
        <v>199</v>
      </c>
      <c r="AK71" s="769" t="s">
        <v>199</v>
      </c>
      <c r="AL71" s="769" t="s">
        <v>199</v>
      </c>
      <c r="AM71" s="751"/>
      <c r="AN71" s="751"/>
      <c r="AO71" s="751"/>
      <c r="AP71" s="751"/>
      <c r="AQ71" s="751"/>
      <c r="AR71" s="751"/>
      <c r="AS71" s="751"/>
      <c r="AT71" s="751"/>
      <c r="AU71" s="751"/>
      <c r="AV71" s="751"/>
      <c r="AW71" s="751"/>
      <c r="AX71" s="751"/>
    </row>
    <row r="72" ht="15" customHeight="1" spans="2:50">
      <c r="B72" s="801"/>
      <c r="C72" s="785"/>
      <c r="D72" s="785"/>
      <c r="E72" s="789"/>
      <c r="F72" s="769" t="s">
        <v>199</v>
      </c>
      <c r="G72" s="769" t="s">
        <v>199</v>
      </c>
      <c r="H72" s="769" t="s">
        <v>199</v>
      </c>
      <c r="I72" s="751"/>
      <c r="J72" s="751"/>
      <c r="K72" s="751"/>
      <c r="L72" s="751"/>
      <c r="M72" s="751"/>
      <c r="N72" s="751"/>
      <c r="O72" s="751"/>
      <c r="P72" s="751"/>
      <c r="Q72" s="751"/>
      <c r="R72" s="751"/>
      <c r="S72" s="751"/>
      <c r="T72" s="751"/>
      <c r="U72" s="769" t="s">
        <v>199</v>
      </c>
      <c r="V72" s="769" t="s">
        <v>199</v>
      </c>
      <c r="W72" s="769" t="s">
        <v>199</v>
      </c>
      <c r="X72" s="751"/>
      <c r="Y72" s="751"/>
      <c r="Z72" s="751"/>
      <c r="AA72" s="751"/>
      <c r="AB72" s="751"/>
      <c r="AC72" s="751"/>
      <c r="AD72" s="751"/>
      <c r="AE72" s="751"/>
      <c r="AF72" s="751"/>
      <c r="AG72" s="751"/>
      <c r="AH72" s="751"/>
      <c r="AI72" s="751"/>
      <c r="AJ72" s="769" t="s">
        <v>199</v>
      </c>
      <c r="AK72" s="769" t="s">
        <v>199</v>
      </c>
      <c r="AL72" s="769" t="s">
        <v>199</v>
      </c>
      <c r="AM72" s="751"/>
      <c r="AN72" s="751"/>
      <c r="AO72" s="751"/>
      <c r="AP72" s="751"/>
      <c r="AQ72" s="751"/>
      <c r="AR72" s="751"/>
      <c r="AS72" s="751"/>
      <c r="AT72" s="751"/>
      <c r="AU72" s="751"/>
      <c r="AV72" s="751"/>
      <c r="AW72" s="751"/>
      <c r="AX72" s="751"/>
    </row>
    <row r="73" ht="15" customHeight="1" spans="2:50">
      <c r="B73" s="801"/>
      <c r="C73" s="785"/>
      <c r="D73" s="785"/>
      <c r="E73" s="789"/>
      <c r="F73" s="769" t="s">
        <v>199</v>
      </c>
      <c r="G73" s="769" t="s">
        <v>199</v>
      </c>
      <c r="H73" s="769" t="s">
        <v>199</v>
      </c>
      <c r="I73" s="751"/>
      <c r="J73" s="751"/>
      <c r="K73" s="751"/>
      <c r="L73" s="751"/>
      <c r="M73" s="751"/>
      <c r="N73" s="751"/>
      <c r="O73" s="751"/>
      <c r="P73" s="751"/>
      <c r="Q73" s="751"/>
      <c r="R73" s="751"/>
      <c r="S73" s="751"/>
      <c r="T73" s="751"/>
      <c r="U73" s="769" t="s">
        <v>199</v>
      </c>
      <c r="V73" s="769" t="s">
        <v>199</v>
      </c>
      <c r="W73" s="769" t="s">
        <v>199</v>
      </c>
      <c r="X73" s="751"/>
      <c r="Y73" s="751"/>
      <c r="Z73" s="751"/>
      <c r="AA73" s="751"/>
      <c r="AB73" s="751"/>
      <c r="AC73" s="751"/>
      <c r="AD73" s="751"/>
      <c r="AE73" s="751"/>
      <c r="AF73" s="751"/>
      <c r="AG73" s="751"/>
      <c r="AH73" s="751"/>
      <c r="AI73" s="751"/>
      <c r="AJ73" s="769" t="s">
        <v>199</v>
      </c>
      <c r="AK73" s="769" t="s">
        <v>199</v>
      </c>
      <c r="AL73" s="769" t="s">
        <v>199</v>
      </c>
      <c r="AM73" s="751"/>
      <c r="AN73" s="751"/>
      <c r="AO73" s="751"/>
      <c r="AP73" s="751"/>
      <c r="AQ73" s="751"/>
      <c r="AR73" s="751"/>
      <c r="AS73" s="751"/>
      <c r="AT73" s="751"/>
      <c r="AU73" s="751"/>
      <c r="AV73" s="751"/>
      <c r="AW73" s="751"/>
      <c r="AX73" s="751"/>
    </row>
    <row r="74" ht="15" customHeight="1" spans="2:50">
      <c r="B74" s="801"/>
      <c r="C74" s="785"/>
      <c r="D74" s="785"/>
      <c r="E74" s="793"/>
      <c r="F74" s="769" t="s">
        <v>199</v>
      </c>
      <c r="G74" s="769" t="s">
        <v>199</v>
      </c>
      <c r="H74" s="769" t="s">
        <v>199</v>
      </c>
      <c r="I74" s="751"/>
      <c r="J74" s="751"/>
      <c r="K74" s="751"/>
      <c r="L74" s="751"/>
      <c r="M74" s="751"/>
      <c r="N74" s="751"/>
      <c r="O74" s="751"/>
      <c r="P74" s="751"/>
      <c r="Q74" s="751"/>
      <c r="R74" s="751"/>
      <c r="S74" s="751"/>
      <c r="T74" s="751"/>
      <c r="U74" s="769" t="s">
        <v>199</v>
      </c>
      <c r="V74" s="769" t="s">
        <v>199</v>
      </c>
      <c r="W74" s="769" t="s">
        <v>199</v>
      </c>
      <c r="X74" s="751"/>
      <c r="Y74" s="751"/>
      <c r="Z74" s="751"/>
      <c r="AA74" s="751"/>
      <c r="AB74" s="751"/>
      <c r="AC74" s="751"/>
      <c r="AD74" s="751"/>
      <c r="AE74" s="751"/>
      <c r="AF74" s="751"/>
      <c r="AG74" s="751"/>
      <c r="AH74" s="751"/>
      <c r="AI74" s="751"/>
      <c r="AJ74" s="769" t="s">
        <v>199</v>
      </c>
      <c r="AK74" s="769" t="s">
        <v>199</v>
      </c>
      <c r="AL74" s="769" t="s">
        <v>199</v>
      </c>
      <c r="AM74" s="751"/>
      <c r="AN74" s="751"/>
      <c r="AO74" s="751"/>
      <c r="AP74" s="751"/>
      <c r="AQ74" s="751"/>
      <c r="AR74" s="751"/>
      <c r="AS74" s="751"/>
      <c r="AT74" s="751"/>
      <c r="AU74" s="751"/>
      <c r="AV74" s="751"/>
      <c r="AW74" s="751"/>
      <c r="AX74" s="751"/>
    </row>
    <row r="75" ht="15" customHeight="1" spans="2:50">
      <c r="B75" s="801"/>
      <c r="C75" s="785"/>
      <c r="D75" s="785"/>
      <c r="E75" s="789"/>
      <c r="F75" s="769" t="s">
        <v>199</v>
      </c>
      <c r="G75" s="769" t="s">
        <v>199</v>
      </c>
      <c r="H75" s="769" t="s">
        <v>199</v>
      </c>
      <c r="I75" s="751"/>
      <c r="J75" s="751"/>
      <c r="K75" s="751"/>
      <c r="L75" s="751"/>
      <c r="M75" s="751"/>
      <c r="N75" s="751"/>
      <c r="O75" s="751"/>
      <c r="P75" s="751"/>
      <c r="Q75" s="751"/>
      <c r="R75" s="751"/>
      <c r="S75" s="751"/>
      <c r="T75" s="751"/>
      <c r="U75" s="769" t="s">
        <v>199</v>
      </c>
      <c r="V75" s="769" t="s">
        <v>199</v>
      </c>
      <c r="W75" s="769" t="s">
        <v>199</v>
      </c>
      <c r="X75" s="751"/>
      <c r="Y75" s="751"/>
      <c r="Z75" s="751"/>
      <c r="AA75" s="751"/>
      <c r="AB75" s="751"/>
      <c r="AC75" s="751"/>
      <c r="AD75" s="751"/>
      <c r="AE75" s="751"/>
      <c r="AF75" s="751"/>
      <c r="AG75" s="751"/>
      <c r="AH75" s="751"/>
      <c r="AI75" s="751"/>
      <c r="AJ75" s="769" t="s">
        <v>199</v>
      </c>
      <c r="AK75" s="769" t="s">
        <v>199</v>
      </c>
      <c r="AL75" s="769" t="s">
        <v>199</v>
      </c>
      <c r="AM75" s="751"/>
      <c r="AN75" s="751"/>
      <c r="AO75" s="751"/>
      <c r="AP75" s="751"/>
      <c r="AQ75" s="751"/>
      <c r="AR75" s="751"/>
      <c r="AS75" s="751"/>
      <c r="AT75" s="751"/>
      <c r="AU75" s="751"/>
      <c r="AV75" s="751"/>
      <c r="AW75" s="751"/>
      <c r="AX75" s="751"/>
    </row>
    <row r="76" ht="15" customHeight="1" spans="2:50">
      <c r="B76" s="801"/>
      <c r="C76" s="785"/>
      <c r="D76" s="785"/>
      <c r="E76" s="793"/>
      <c r="F76" s="769" t="s">
        <v>199</v>
      </c>
      <c r="G76" s="769" t="s">
        <v>199</v>
      </c>
      <c r="H76" s="769" t="s">
        <v>199</v>
      </c>
      <c r="I76" s="751"/>
      <c r="J76" s="751"/>
      <c r="K76" s="751"/>
      <c r="L76" s="751"/>
      <c r="M76" s="751"/>
      <c r="N76" s="751"/>
      <c r="O76" s="751"/>
      <c r="P76" s="751"/>
      <c r="Q76" s="751"/>
      <c r="R76" s="751"/>
      <c r="S76" s="751"/>
      <c r="T76" s="751"/>
      <c r="U76" s="769" t="s">
        <v>199</v>
      </c>
      <c r="V76" s="769" t="s">
        <v>199</v>
      </c>
      <c r="W76" s="769" t="s">
        <v>199</v>
      </c>
      <c r="X76" s="751"/>
      <c r="Y76" s="751"/>
      <c r="Z76" s="751"/>
      <c r="AA76" s="751"/>
      <c r="AB76" s="751"/>
      <c r="AC76" s="751"/>
      <c r="AD76" s="751"/>
      <c r="AE76" s="751"/>
      <c r="AF76" s="751"/>
      <c r="AG76" s="751"/>
      <c r="AH76" s="751"/>
      <c r="AI76" s="751"/>
      <c r="AJ76" s="769" t="s">
        <v>199</v>
      </c>
      <c r="AK76" s="769" t="s">
        <v>199</v>
      </c>
      <c r="AL76" s="769" t="s">
        <v>199</v>
      </c>
      <c r="AM76" s="751"/>
      <c r="AN76" s="751"/>
      <c r="AO76" s="751"/>
      <c r="AP76" s="751"/>
      <c r="AQ76" s="751"/>
      <c r="AR76" s="751"/>
      <c r="AS76" s="751"/>
      <c r="AT76" s="751"/>
      <c r="AU76" s="751"/>
      <c r="AV76" s="751"/>
      <c r="AW76" s="751"/>
      <c r="AX76" s="751"/>
    </row>
    <row r="77" ht="15" customHeight="1" spans="2:50">
      <c r="B77" s="801"/>
      <c r="C77" s="785"/>
      <c r="D77" s="785"/>
      <c r="E77" s="789"/>
      <c r="F77" s="769" t="s">
        <v>199</v>
      </c>
      <c r="G77" s="769" t="s">
        <v>199</v>
      </c>
      <c r="H77" s="769" t="s">
        <v>199</v>
      </c>
      <c r="I77" s="751"/>
      <c r="J77" s="751"/>
      <c r="K77" s="751"/>
      <c r="L77" s="751"/>
      <c r="M77" s="751"/>
      <c r="N77" s="751"/>
      <c r="O77" s="751"/>
      <c r="P77" s="751"/>
      <c r="Q77" s="751"/>
      <c r="R77" s="751"/>
      <c r="S77" s="751"/>
      <c r="T77" s="751"/>
      <c r="U77" s="769" t="s">
        <v>199</v>
      </c>
      <c r="V77" s="769" t="s">
        <v>199</v>
      </c>
      <c r="W77" s="769" t="s">
        <v>199</v>
      </c>
      <c r="X77" s="751"/>
      <c r="Y77" s="751"/>
      <c r="Z77" s="751"/>
      <c r="AA77" s="751"/>
      <c r="AB77" s="751"/>
      <c r="AC77" s="751"/>
      <c r="AD77" s="751"/>
      <c r="AE77" s="751"/>
      <c r="AF77" s="751"/>
      <c r="AG77" s="751"/>
      <c r="AH77" s="751"/>
      <c r="AI77" s="751"/>
      <c r="AJ77" s="769" t="s">
        <v>199</v>
      </c>
      <c r="AK77" s="769" t="s">
        <v>199</v>
      </c>
      <c r="AL77" s="769" t="s">
        <v>199</v>
      </c>
      <c r="AM77" s="751"/>
      <c r="AN77" s="751"/>
      <c r="AO77" s="751"/>
      <c r="AP77" s="751"/>
      <c r="AQ77" s="751"/>
      <c r="AR77" s="751"/>
      <c r="AS77" s="751"/>
      <c r="AT77" s="751"/>
      <c r="AU77" s="751"/>
      <c r="AV77" s="751"/>
      <c r="AW77" s="751"/>
      <c r="AX77" s="751"/>
    </row>
    <row r="78" ht="15" customHeight="1" spans="2:50">
      <c r="B78" s="801"/>
      <c r="C78" s="785"/>
      <c r="D78" s="785"/>
      <c r="E78" s="789"/>
      <c r="F78" s="769" t="s">
        <v>199</v>
      </c>
      <c r="G78" s="769" t="s">
        <v>199</v>
      </c>
      <c r="H78" s="769" t="s">
        <v>199</v>
      </c>
      <c r="I78" s="751"/>
      <c r="J78" s="751"/>
      <c r="K78" s="751"/>
      <c r="L78" s="751"/>
      <c r="M78" s="751"/>
      <c r="N78" s="751"/>
      <c r="O78" s="751"/>
      <c r="P78" s="751"/>
      <c r="Q78" s="751"/>
      <c r="R78" s="751"/>
      <c r="S78" s="751"/>
      <c r="T78" s="751"/>
      <c r="U78" s="769" t="s">
        <v>199</v>
      </c>
      <c r="V78" s="769" t="s">
        <v>199</v>
      </c>
      <c r="W78" s="769" t="s">
        <v>199</v>
      </c>
      <c r="X78" s="751"/>
      <c r="Y78" s="751"/>
      <c r="Z78" s="751"/>
      <c r="AA78" s="751"/>
      <c r="AB78" s="751"/>
      <c r="AC78" s="751"/>
      <c r="AD78" s="751"/>
      <c r="AE78" s="751"/>
      <c r="AF78" s="751"/>
      <c r="AG78" s="751"/>
      <c r="AH78" s="751"/>
      <c r="AI78" s="751"/>
      <c r="AJ78" s="769" t="s">
        <v>199</v>
      </c>
      <c r="AK78" s="769" t="s">
        <v>199</v>
      </c>
      <c r="AL78" s="769" t="s">
        <v>199</v>
      </c>
      <c r="AM78" s="751"/>
      <c r="AN78" s="751"/>
      <c r="AO78" s="751"/>
      <c r="AP78" s="751"/>
      <c r="AQ78" s="751"/>
      <c r="AR78" s="751"/>
      <c r="AS78" s="751"/>
      <c r="AT78" s="751"/>
      <c r="AU78" s="751"/>
      <c r="AV78" s="751"/>
      <c r="AW78" s="751"/>
      <c r="AX78" s="751"/>
    </row>
    <row r="79" ht="15" customHeight="1" spans="2:50">
      <c r="B79" s="801"/>
      <c r="C79" s="785"/>
      <c r="D79" s="785"/>
      <c r="E79" s="793"/>
      <c r="F79" s="769" t="s">
        <v>199</v>
      </c>
      <c r="G79" s="769" t="s">
        <v>199</v>
      </c>
      <c r="H79" s="769" t="s">
        <v>199</v>
      </c>
      <c r="I79" s="751"/>
      <c r="J79" s="751"/>
      <c r="K79" s="751"/>
      <c r="L79" s="751"/>
      <c r="M79" s="751"/>
      <c r="N79" s="751"/>
      <c r="O79" s="751"/>
      <c r="P79" s="751"/>
      <c r="Q79" s="751"/>
      <c r="R79" s="751"/>
      <c r="S79" s="751"/>
      <c r="T79" s="751"/>
      <c r="U79" s="769" t="s">
        <v>199</v>
      </c>
      <c r="V79" s="769" t="s">
        <v>199</v>
      </c>
      <c r="W79" s="769" t="s">
        <v>199</v>
      </c>
      <c r="X79" s="751"/>
      <c r="Y79" s="751"/>
      <c r="Z79" s="751"/>
      <c r="AA79" s="751"/>
      <c r="AB79" s="751"/>
      <c r="AC79" s="751"/>
      <c r="AD79" s="751"/>
      <c r="AE79" s="751"/>
      <c r="AF79" s="751"/>
      <c r="AG79" s="751"/>
      <c r="AH79" s="751"/>
      <c r="AI79" s="751"/>
      <c r="AJ79" s="769" t="s">
        <v>199</v>
      </c>
      <c r="AK79" s="769" t="s">
        <v>199</v>
      </c>
      <c r="AL79" s="769" t="s">
        <v>199</v>
      </c>
      <c r="AM79" s="751"/>
      <c r="AN79" s="751"/>
      <c r="AO79" s="751"/>
      <c r="AP79" s="751"/>
      <c r="AQ79" s="751"/>
      <c r="AR79" s="751"/>
      <c r="AS79" s="751"/>
      <c r="AT79" s="751"/>
      <c r="AU79" s="751"/>
      <c r="AV79" s="751"/>
      <c r="AW79" s="751"/>
      <c r="AX79" s="751"/>
    </row>
    <row r="80" ht="15" customHeight="1" spans="2:50">
      <c r="B80" s="801"/>
      <c r="C80" s="785"/>
      <c r="D80" s="785"/>
      <c r="E80" s="793"/>
      <c r="F80" s="769" t="s">
        <v>199</v>
      </c>
      <c r="G80" s="769" t="s">
        <v>199</v>
      </c>
      <c r="H80" s="769" t="s">
        <v>199</v>
      </c>
      <c r="I80" s="751"/>
      <c r="J80" s="751"/>
      <c r="K80" s="751"/>
      <c r="L80" s="751"/>
      <c r="M80" s="751"/>
      <c r="N80" s="751"/>
      <c r="O80" s="751"/>
      <c r="P80" s="751"/>
      <c r="Q80" s="751"/>
      <c r="R80" s="751"/>
      <c r="S80" s="751"/>
      <c r="T80" s="751"/>
      <c r="U80" s="769" t="s">
        <v>199</v>
      </c>
      <c r="V80" s="769" t="s">
        <v>199</v>
      </c>
      <c r="W80" s="769" t="s">
        <v>199</v>
      </c>
      <c r="X80" s="751"/>
      <c r="Y80" s="751"/>
      <c r="Z80" s="751"/>
      <c r="AA80" s="751"/>
      <c r="AB80" s="751"/>
      <c r="AC80" s="751"/>
      <c r="AD80" s="751"/>
      <c r="AE80" s="751"/>
      <c r="AF80" s="751"/>
      <c r="AG80" s="751"/>
      <c r="AH80" s="751"/>
      <c r="AI80" s="751"/>
      <c r="AJ80" s="769" t="s">
        <v>199</v>
      </c>
      <c r="AK80" s="769" t="s">
        <v>199</v>
      </c>
      <c r="AL80" s="769" t="s">
        <v>199</v>
      </c>
      <c r="AM80" s="751"/>
      <c r="AN80" s="751"/>
      <c r="AO80" s="751"/>
      <c r="AP80" s="751"/>
      <c r="AQ80" s="751"/>
      <c r="AR80" s="751"/>
      <c r="AS80" s="751"/>
      <c r="AT80" s="751"/>
      <c r="AU80" s="751"/>
      <c r="AV80" s="751"/>
      <c r="AW80" s="751"/>
      <c r="AX80" s="751"/>
    </row>
    <row r="81" ht="15" customHeight="1" spans="2:50">
      <c r="B81" s="801"/>
      <c r="C81" s="785"/>
      <c r="D81" s="785"/>
      <c r="E81" s="793"/>
      <c r="F81" s="769" t="s">
        <v>199</v>
      </c>
      <c r="G81" s="769" t="s">
        <v>199</v>
      </c>
      <c r="H81" s="769" t="s">
        <v>199</v>
      </c>
      <c r="I81" s="751"/>
      <c r="J81" s="751"/>
      <c r="K81" s="751"/>
      <c r="L81" s="751"/>
      <c r="M81" s="751"/>
      <c r="N81" s="751"/>
      <c r="O81" s="751"/>
      <c r="P81" s="751"/>
      <c r="Q81" s="751"/>
      <c r="R81" s="751"/>
      <c r="S81" s="751"/>
      <c r="T81" s="751"/>
      <c r="U81" s="769" t="s">
        <v>199</v>
      </c>
      <c r="V81" s="769" t="s">
        <v>199</v>
      </c>
      <c r="W81" s="769" t="s">
        <v>199</v>
      </c>
      <c r="X81" s="751"/>
      <c r="Y81" s="751"/>
      <c r="Z81" s="751"/>
      <c r="AA81" s="751"/>
      <c r="AB81" s="751"/>
      <c r="AC81" s="751"/>
      <c r="AD81" s="751"/>
      <c r="AE81" s="751"/>
      <c r="AF81" s="751"/>
      <c r="AG81" s="751"/>
      <c r="AH81" s="751"/>
      <c r="AI81" s="751"/>
      <c r="AJ81" s="769" t="s">
        <v>199</v>
      </c>
      <c r="AK81" s="769" t="s">
        <v>199</v>
      </c>
      <c r="AL81" s="769" t="s">
        <v>199</v>
      </c>
      <c r="AM81" s="751"/>
      <c r="AN81" s="751"/>
      <c r="AO81" s="751"/>
      <c r="AP81" s="751"/>
      <c r="AQ81" s="751"/>
      <c r="AR81" s="751"/>
      <c r="AS81" s="751"/>
      <c r="AT81" s="751"/>
      <c r="AU81" s="751"/>
      <c r="AV81" s="751"/>
      <c r="AW81" s="751"/>
      <c r="AX81" s="751"/>
    </row>
    <row r="82" ht="15" customHeight="1" spans="2:50">
      <c r="B82" s="801"/>
      <c r="C82" s="785"/>
      <c r="D82" s="785"/>
      <c r="E82" s="789"/>
      <c r="F82" s="769" t="s">
        <v>199</v>
      </c>
      <c r="G82" s="769" t="s">
        <v>199</v>
      </c>
      <c r="H82" s="769" t="s">
        <v>199</v>
      </c>
      <c r="I82" s="751"/>
      <c r="J82" s="751"/>
      <c r="K82" s="751"/>
      <c r="L82" s="751"/>
      <c r="M82" s="751"/>
      <c r="N82" s="751"/>
      <c r="O82" s="751"/>
      <c r="P82" s="751"/>
      <c r="Q82" s="751"/>
      <c r="R82" s="751"/>
      <c r="S82" s="751"/>
      <c r="T82" s="751"/>
      <c r="U82" s="769" t="s">
        <v>199</v>
      </c>
      <c r="V82" s="769" t="s">
        <v>199</v>
      </c>
      <c r="W82" s="769" t="s">
        <v>199</v>
      </c>
      <c r="X82" s="751"/>
      <c r="Y82" s="751"/>
      <c r="Z82" s="751"/>
      <c r="AA82" s="751"/>
      <c r="AB82" s="751"/>
      <c r="AC82" s="751"/>
      <c r="AD82" s="751"/>
      <c r="AE82" s="751"/>
      <c r="AF82" s="751"/>
      <c r="AG82" s="751"/>
      <c r="AH82" s="751"/>
      <c r="AI82" s="751"/>
      <c r="AJ82" s="769" t="s">
        <v>199</v>
      </c>
      <c r="AK82" s="769" t="s">
        <v>199</v>
      </c>
      <c r="AL82" s="769" t="s">
        <v>199</v>
      </c>
      <c r="AM82" s="751"/>
      <c r="AN82" s="751"/>
      <c r="AO82" s="751"/>
      <c r="AP82" s="751"/>
      <c r="AQ82" s="751"/>
      <c r="AR82" s="751"/>
      <c r="AS82" s="751"/>
      <c r="AT82" s="751"/>
      <c r="AU82" s="751"/>
      <c r="AV82" s="751"/>
      <c r="AW82" s="751"/>
      <c r="AX82" s="751"/>
    </row>
    <row r="83" ht="15" customHeight="1" spans="2:50">
      <c r="B83" s="801"/>
      <c r="C83" s="785"/>
      <c r="D83" s="785"/>
      <c r="E83" s="789"/>
      <c r="F83" s="769" t="s">
        <v>199</v>
      </c>
      <c r="G83" s="769" t="s">
        <v>199</v>
      </c>
      <c r="H83" s="769" t="s">
        <v>199</v>
      </c>
      <c r="I83" s="751"/>
      <c r="J83" s="751"/>
      <c r="K83" s="751"/>
      <c r="L83" s="751"/>
      <c r="M83" s="751"/>
      <c r="N83" s="751"/>
      <c r="O83" s="751"/>
      <c r="P83" s="751"/>
      <c r="Q83" s="751"/>
      <c r="R83" s="751"/>
      <c r="S83" s="751"/>
      <c r="T83" s="751"/>
      <c r="U83" s="769" t="s">
        <v>199</v>
      </c>
      <c r="V83" s="769" t="s">
        <v>199</v>
      </c>
      <c r="W83" s="769" t="s">
        <v>199</v>
      </c>
      <c r="X83" s="751"/>
      <c r="Y83" s="751"/>
      <c r="Z83" s="751"/>
      <c r="AA83" s="751"/>
      <c r="AB83" s="751"/>
      <c r="AC83" s="751"/>
      <c r="AD83" s="751"/>
      <c r="AE83" s="751"/>
      <c r="AF83" s="751"/>
      <c r="AG83" s="751"/>
      <c r="AH83" s="751"/>
      <c r="AI83" s="751"/>
      <c r="AJ83" s="769" t="s">
        <v>199</v>
      </c>
      <c r="AK83" s="769" t="s">
        <v>199</v>
      </c>
      <c r="AL83" s="769" t="s">
        <v>199</v>
      </c>
      <c r="AM83" s="751"/>
      <c r="AN83" s="751"/>
      <c r="AO83" s="751"/>
      <c r="AP83" s="751"/>
      <c r="AQ83" s="751"/>
      <c r="AR83" s="751"/>
      <c r="AS83" s="751"/>
      <c r="AT83" s="751"/>
      <c r="AU83" s="751"/>
      <c r="AV83" s="751"/>
      <c r="AW83" s="751"/>
      <c r="AX83" s="751"/>
    </row>
    <row r="84" ht="15" customHeight="1" spans="2:50">
      <c r="B84" s="801"/>
      <c r="C84" s="785"/>
      <c r="D84" s="785"/>
      <c r="E84" s="789"/>
      <c r="F84" s="769" t="s">
        <v>199</v>
      </c>
      <c r="G84" s="769" t="s">
        <v>199</v>
      </c>
      <c r="H84" s="769" t="s">
        <v>199</v>
      </c>
      <c r="I84" s="751"/>
      <c r="J84" s="751"/>
      <c r="K84" s="751"/>
      <c r="L84" s="751"/>
      <c r="M84" s="751"/>
      <c r="N84" s="751"/>
      <c r="O84" s="751"/>
      <c r="P84" s="751"/>
      <c r="Q84" s="751"/>
      <c r="R84" s="751"/>
      <c r="S84" s="751"/>
      <c r="T84" s="751"/>
      <c r="U84" s="769" t="s">
        <v>199</v>
      </c>
      <c r="V84" s="769" t="s">
        <v>199</v>
      </c>
      <c r="W84" s="769" t="s">
        <v>199</v>
      </c>
      <c r="X84" s="751"/>
      <c r="Y84" s="751"/>
      <c r="Z84" s="751"/>
      <c r="AA84" s="751"/>
      <c r="AB84" s="751"/>
      <c r="AC84" s="751"/>
      <c r="AD84" s="751"/>
      <c r="AE84" s="751"/>
      <c r="AF84" s="751"/>
      <c r="AG84" s="751"/>
      <c r="AH84" s="751"/>
      <c r="AI84" s="751"/>
      <c r="AJ84" s="769" t="s">
        <v>199</v>
      </c>
      <c r="AK84" s="769" t="s">
        <v>199</v>
      </c>
      <c r="AL84" s="769" t="s">
        <v>199</v>
      </c>
      <c r="AM84" s="751"/>
      <c r="AN84" s="751"/>
      <c r="AO84" s="751"/>
      <c r="AP84" s="751"/>
      <c r="AQ84" s="751"/>
      <c r="AR84" s="751"/>
      <c r="AS84" s="751"/>
      <c r="AT84" s="751"/>
      <c r="AU84" s="751"/>
      <c r="AV84" s="751"/>
      <c r="AW84" s="751"/>
      <c r="AX84" s="751"/>
    </row>
    <row r="85" ht="15" customHeight="1" spans="2:50">
      <c r="B85" s="801"/>
      <c r="C85" s="784"/>
      <c r="D85" s="784"/>
      <c r="E85" s="784"/>
      <c r="F85" s="769" t="s">
        <v>199</v>
      </c>
      <c r="G85" s="769" t="s">
        <v>199</v>
      </c>
      <c r="H85" s="769" t="s">
        <v>199</v>
      </c>
      <c r="I85" s="750"/>
      <c r="J85" s="750"/>
      <c r="K85" s="750"/>
      <c r="L85" s="750"/>
      <c r="M85" s="750"/>
      <c r="N85" s="750"/>
      <c r="O85" s="750"/>
      <c r="P85" s="750"/>
      <c r="Q85" s="750"/>
      <c r="R85" s="750"/>
      <c r="S85" s="750"/>
      <c r="T85" s="750"/>
      <c r="U85" s="769" t="s">
        <v>199</v>
      </c>
      <c r="V85" s="769" t="s">
        <v>199</v>
      </c>
      <c r="W85" s="769" t="s">
        <v>199</v>
      </c>
      <c r="X85" s="750"/>
      <c r="Y85" s="750"/>
      <c r="Z85" s="750"/>
      <c r="AA85" s="750"/>
      <c r="AB85" s="750"/>
      <c r="AC85" s="750"/>
      <c r="AD85" s="750"/>
      <c r="AE85" s="750"/>
      <c r="AF85" s="750"/>
      <c r="AG85" s="750"/>
      <c r="AH85" s="750"/>
      <c r="AI85" s="750"/>
      <c r="AJ85" s="769" t="s">
        <v>199</v>
      </c>
      <c r="AK85" s="769" t="s">
        <v>199</v>
      </c>
      <c r="AL85" s="769" t="s">
        <v>199</v>
      </c>
      <c r="AM85" s="750"/>
      <c r="AN85" s="750"/>
      <c r="AO85" s="750"/>
      <c r="AP85" s="750"/>
      <c r="AQ85" s="750"/>
      <c r="AR85" s="750"/>
      <c r="AS85" s="750"/>
      <c r="AT85" s="750"/>
      <c r="AU85" s="750"/>
      <c r="AV85" s="750"/>
      <c r="AW85" s="750"/>
      <c r="AX85" s="750"/>
    </row>
    <row r="86" ht="15" customHeight="1" spans="2:50">
      <c r="B86" s="801"/>
      <c r="C86" s="784"/>
      <c r="D86" s="784"/>
      <c r="E86" s="784"/>
      <c r="F86" s="769" t="s">
        <v>199</v>
      </c>
      <c r="G86" s="769" t="s">
        <v>199</v>
      </c>
      <c r="H86" s="769" t="s">
        <v>199</v>
      </c>
      <c r="I86" s="750"/>
      <c r="J86" s="750"/>
      <c r="K86" s="750"/>
      <c r="L86" s="750"/>
      <c r="M86" s="750"/>
      <c r="N86" s="750"/>
      <c r="O86" s="750"/>
      <c r="P86" s="750"/>
      <c r="Q86" s="750"/>
      <c r="R86" s="750"/>
      <c r="S86" s="750"/>
      <c r="T86" s="750"/>
      <c r="U86" s="769" t="s">
        <v>199</v>
      </c>
      <c r="V86" s="769" t="s">
        <v>199</v>
      </c>
      <c r="W86" s="769" t="s">
        <v>199</v>
      </c>
      <c r="X86" s="750"/>
      <c r="Y86" s="750"/>
      <c r="Z86" s="750"/>
      <c r="AA86" s="750"/>
      <c r="AB86" s="750"/>
      <c r="AC86" s="750"/>
      <c r="AD86" s="750"/>
      <c r="AE86" s="750"/>
      <c r="AF86" s="750"/>
      <c r="AG86" s="750"/>
      <c r="AH86" s="750"/>
      <c r="AI86" s="750"/>
      <c r="AJ86" s="769" t="s">
        <v>199</v>
      </c>
      <c r="AK86" s="769" t="s">
        <v>199</v>
      </c>
      <c r="AL86" s="769" t="s">
        <v>199</v>
      </c>
      <c r="AM86" s="750"/>
      <c r="AN86" s="750"/>
      <c r="AO86" s="750"/>
      <c r="AP86" s="750"/>
      <c r="AQ86" s="750"/>
      <c r="AR86" s="750"/>
      <c r="AS86" s="750"/>
      <c r="AT86" s="750"/>
      <c r="AU86" s="750"/>
      <c r="AV86" s="750"/>
      <c r="AW86" s="750"/>
      <c r="AX86" s="750"/>
    </row>
    <row r="87" ht="15" customHeight="1" spans="2:50">
      <c r="B87" s="801"/>
      <c r="C87" s="784"/>
      <c r="D87" s="784"/>
      <c r="E87" s="784"/>
      <c r="F87" s="769" t="s">
        <v>199</v>
      </c>
      <c r="G87" s="769" t="s">
        <v>199</v>
      </c>
      <c r="H87" s="769" t="s">
        <v>199</v>
      </c>
      <c r="I87" s="750"/>
      <c r="J87" s="750"/>
      <c r="K87" s="750"/>
      <c r="L87" s="750"/>
      <c r="M87" s="750"/>
      <c r="N87" s="750"/>
      <c r="O87" s="750"/>
      <c r="P87" s="750"/>
      <c r="Q87" s="750"/>
      <c r="R87" s="750"/>
      <c r="S87" s="750"/>
      <c r="T87" s="750"/>
      <c r="U87" s="769" t="s">
        <v>199</v>
      </c>
      <c r="V87" s="769" t="s">
        <v>199</v>
      </c>
      <c r="W87" s="769" t="s">
        <v>199</v>
      </c>
      <c r="X87" s="750"/>
      <c r="Y87" s="750"/>
      <c r="Z87" s="750"/>
      <c r="AA87" s="750"/>
      <c r="AB87" s="750"/>
      <c r="AC87" s="750"/>
      <c r="AD87" s="750"/>
      <c r="AE87" s="750"/>
      <c r="AF87" s="750"/>
      <c r="AG87" s="750"/>
      <c r="AH87" s="750"/>
      <c r="AI87" s="750"/>
      <c r="AJ87" s="769" t="s">
        <v>199</v>
      </c>
      <c r="AK87" s="769" t="s">
        <v>199</v>
      </c>
      <c r="AL87" s="769" t="s">
        <v>199</v>
      </c>
      <c r="AM87" s="750"/>
      <c r="AN87" s="750"/>
      <c r="AO87" s="750"/>
      <c r="AP87" s="750"/>
      <c r="AQ87" s="750"/>
      <c r="AR87" s="750"/>
      <c r="AS87" s="750"/>
      <c r="AT87" s="750"/>
      <c r="AU87" s="750"/>
      <c r="AV87" s="750"/>
      <c r="AW87" s="750"/>
      <c r="AX87" s="750"/>
    </row>
    <row r="88" ht="15" customHeight="1" spans="2:50">
      <c r="B88" s="801"/>
      <c r="C88" s="784"/>
      <c r="D88" s="784"/>
      <c r="E88" s="784"/>
      <c r="F88" s="769" t="s">
        <v>199</v>
      </c>
      <c r="G88" s="769" t="s">
        <v>199</v>
      </c>
      <c r="H88" s="769" t="s">
        <v>199</v>
      </c>
      <c r="I88" s="750">
        <v>0</v>
      </c>
      <c r="J88" s="750">
        <v>0</v>
      </c>
      <c r="K88" s="750">
        <v>0</v>
      </c>
      <c r="L88" s="750">
        <v>0</v>
      </c>
      <c r="M88" s="750">
        <v>0</v>
      </c>
      <c r="N88" s="750">
        <v>0</v>
      </c>
      <c r="O88" s="750">
        <v>0</v>
      </c>
      <c r="P88" s="750">
        <v>0</v>
      </c>
      <c r="Q88" s="750">
        <v>0</v>
      </c>
      <c r="R88" s="750">
        <v>0</v>
      </c>
      <c r="S88" s="750">
        <v>0</v>
      </c>
      <c r="T88" s="750">
        <v>0</v>
      </c>
      <c r="U88" s="769" t="s">
        <v>199</v>
      </c>
      <c r="V88" s="769" t="s">
        <v>199</v>
      </c>
      <c r="W88" s="769" t="s">
        <v>199</v>
      </c>
      <c r="X88" s="750">
        <v>0</v>
      </c>
      <c r="Y88" s="750">
        <v>0</v>
      </c>
      <c r="Z88" s="750">
        <v>0</v>
      </c>
      <c r="AA88" s="750">
        <v>0</v>
      </c>
      <c r="AB88" s="750">
        <v>0</v>
      </c>
      <c r="AC88" s="750">
        <v>0</v>
      </c>
      <c r="AD88" s="750">
        <v>0</v>
      </c>
      <c r="AE88" s="750">
        <v>0</v>
      </c>
      <c r="AF88" s="750">
        <v>0</v>
      </c>
      <c r="AG88" s="750">
        <v>0</v>
      </c>
      <c r="AH88" s="750">
        <v>0</v>
      </c>
      <c r="AI88" s="750">
        <v>0</v>
      </c>
      <c r="AJ88" s="769" t="s">
        <v>199</v>
      </c>
      <c r="AK88" s="769" t="s">
        <v>199</v>
      </c>
      <c r="AL88" s="769" t="s">
        <v>199</v>
      </c>
      <c r="AM88" s="750">
        <v>0</v>
      </c>
      <c r="AN88" s="750">
        <v>0</v>
      </c>
      <c r="AO88" s="750">
        <v>0</v>
      </c>
      <c r="AP88" s="750">
        <v>0</v>
      </c>
      <c r="AQ88" s="750">
        <v>0</v>
      </c>
      <c r="AR88" s="750">
        <v>0</v>
      </c>
      <c r="AS88" s="750">
        <v>0</v>
      </c>
      <c r="AT88" s="750">
        <v>0</v>
      </c>
      <c r="AU88" s="750">
        <v>0</v>
      </c>
      <c r="AV88" s="750">
        <v>0</v>
      </c>
      <c r="AW88" s="750">
        <v>0</v>
      </c>
      <c r="AX88" s="750">
        <v>0</v>
      </c>
    </row>
    <row r="89" ht="15" customHeight="1" spans="2:50">
      <c r="B89" s="801"/>
      <c r="C89" s="784"/>
      <c r="D89" s="784"/>
      <c r="E89" s="784" t="s">
        <v>1534</v>
      </c>
      <c r="F89" s="769" t="s">
        <v>199</v>
      </c>
      <c r="G89" s="769" t="s">
        <v>199</v>
      </c>
      <c r="H89" s="769" t="s">
        <v>199</v>
      </c>
      <c r="I89" s="750">
        <v>0</v>
      </c>
      <c r="J89" s="750">
        <v>0</v>
      </c>
      <c r="K89" s="750">
        <v>0</v>
      </c>
      <c r="L89" s="750">
        <v>0</v>
      </c>
      <c r="M89" s="750">
        <v>0</v>
      </c>
      <c r="N89" s="750">
        <v>0</v>
      </c>
      <c r="O89" s="750">
        <v>0</v>
      </c>
      <c r="P89" s="750">
        <v>0</v>
      </c>
      <c r="Q89" s="750">
        <v>0</v>
      </c>
      <c r="R89" s="750">
        <v>0</v>
      </c>
      <c r="S89" s="750">
        <v>0</v>
      </c>
      <c r="T89" s="750">
        <v>0</v>
      </c>
      <c r="U89" s="769" t="s">
        <v>199</v>
      </c>
      <c r="V89" s="769" t="s">
        <v>199</v>
      </c>
      <c r="W89" s="769" t="s">
        <v>199</v>
      </c>
      <c r="X89" s="750">
        <v>0</v>
      </c>
      <c r="Y89" s="750">
        <v>0</v>
      </c>
      <c r="Z89" s="750">
        <v>0</v>
      </c>
      <c r="AA89" s="750">
        <v>0</v>
      </c>
      <c r="AB89" s="750">
        <v>0</v>
      </c>
      <c r="AC89" s="750">
        <v>0</v>
      </c>
      <c r="AD89" s="750">
        <v>0</v>
      </c>
      <c r="AE89" s="750">
        <v>0</v>
      </c>
      <c r="AF89" s="750">
        <v>0</v>
      </c>
      <c r="AG89" s="750">
        <v>0</v>
      </c>
      <c r="AH89" s="750">
        <v>0</v>
      </c>
      <c r="AI89" s="750">
        <v>0</v>
      </c>
      <c r="AJ89" s="769" t="s">
        <v>199</v>
      </c>
      <c r="AK89" s="769" t="s">
        <v>199</v>
      </c>
      <c r="AL89" s="769" t="s">
        <v>199</v>
      </c>
      <c r="AM89" s="750">
        <v>0</v>
      </c>
      <c r="AN89" s="750">
        <v>0</v>
      </c>
      <c r="AO89" s="750">
        <v>0</v>
      </c>
      <c r="AP89" s="750">
        <v>0</v>
      </c>
      <c r="AQ89" s="750">
        <v>0</v>
      </c>
      <c r="AR89" s="750">
        <v>0</v>
      </c>
      <c r="AS89" s="750">
        <v>0</v>
      </c>
      <c r="AT89" s="750">
        <v>0</v>
      </c>
      <c r="AU89" s="750">
        <v>0</v>
      </c>
      <c r="AV89" s="750">
        <v>0</v>
      </c>
      <c r="AW89" s="750">
        <v>0</v>
      </c>
      <c r="AX89" s="750">
        <v>0</v>
      </c>
    </row>
    <row r="90" ht="15" customHeight="1" spans="2:50">
      <c r="B90" s="801"/>
      <c r="C90" s="784"/>
      <c r="D90" s="784"/>
      <c r="E90" s="784" t="s">
        <v>1534</v>
      </c>
      <c r="F90" s="769" t="s">
        <v>199</v>
      </c>
      <c r="G90" s="769" t="s">
        <v>199</v>
      </c>
      <c r="H90" s="769" t="s">
        <v>199</v>
      </c>
      <c r="I90" s="750">
        <v>0</v>
      </c>
      <c r="J90" s="750">
        <v>0</v>
      </c>
      <c r="K90" s="750">
        <v>0</v>
      </c>
      <c r="L90" s="750">
        <v>0</v>
      </c>
      <c r="M90" s="750">
        <v>0</v>
      </c>
      <c r="N90" s="750">
        <v>0</v>
      </c>
      <c r="O90" s="750">
        <v>0</v>
      </c>
      <c r="P90" s="750">
        <v>0</v>
      </c>
      <c r="Q90" s="750">
        <v>0</v>
      </c>
      <c r="R90" s="750">
        <v>0</v>
      </c>
      <c r="S90" s="750">
        <v>0</v>
      </c>
      <c r="T90" s="750">
        <v>0</v>
      </c>
      <c r="U90" s="769" t="s">
        <v>199</v>
      </c>
      <c r="V90" s="769" t="s">
        <v>199</v>
      </c>
      <c r="W90" s="769" t="s">
        <v>199</v>
      </c>
      <c r="X90" s="750">
        <v>0</v>
      </c>
      <c r="Y90" s="750">
        <v>0</v>
      </c>
      <c r="Z90" s="750">
        <v>0</v>
      </c>
      <c r="AA90" s="750">
        <v>0</v>
      </c>
      <c r="AB90" s="750">
        <v>0</v>
      </c>
      <c r="AC90" s="750">
        <v>0</v>
      </c>
      <c r="AD90" s="750">
        <v>0</v>
      </c>
      <c r="AE90" s="750">
        <v>0</v>
      </c>
      <c r="AF90" s="750">
        <v>0</v>
      </c>
      <c r="AG90" s="750">
        <v>0</v>
      </c>
      <c r="AH90" s="750">
        <v>0</v>
      </c>
      <c r="AI90" s="750">
        <v>0</v>
      </c>
      <c r="AJ90" s="769" t="s">
        <v>199</v>
      </c>
      <c r="AK90" s="769" t="s">
        <v>199</v>
      </c>
      <c r="AL90" s="769" t="s">
        <v>199</v>
      </c>
      <c r="AM90" s="750">
        <v>0</v>
      </c>
      <c r="AN90" s="750">
        <v>0</v>
      </c>
      <c r="AO90" s="750">
        <v>0</v>
      </c>
      <c r="AP90" s="750">
        <v>0</v>
      </c>
      <c r="AQ90" s="750">
        <v>0</v>
      </c>
      <c r="AR90" s="750">
        <v>0</v>
      </c>
      <c r="AS90" s="750">
        <v>0</v>
      </c>
      <c r="AT90" s="750">
        <v>0</v>
      </c>
      <c r="AU90" s="750">
        <v>0</v>
      </c>
      <c r="AV90" s="750">
        <v>0</v>
      </c>
      <c r="AW90" s="750">
        <v>0</v>
      </c>
      <c r="AX90" s="750">
        <v>0</v>
      </c>
    </row>
    <row r="91" ht="15" customHeight="1" spans="2:50">
      <c r="B91" s="801"/>
      <c r="C91" s="784"/>
      <c r="D91" s="784"/>
      <c r="E91" s="784" t="s">
        <v>1534</v>
      </c>
      <c r="F91" s="769" t="s">
        <v>199</v>
      </c>
      <c r="G91" s="769" t="s">
        <v>199</v>
      </c>
      <c r="H91" s="769" t="s">
        <v>199</v>
      </c>
      <c r="I91" s="750">
        <v>0</v>
      </c>
      <c r="J91" s="750">
        <v>0</v>
      </c>
      <c r="K91" s="750">
        <v>0</v>
      </c>
      <c r="L91" s="750">
        <v>0</v>
      </c>
      <c r="M91" s="750">
        <v>0</v>
      </c>
      <c r="N91" s="750">
        <v>0</v>
      </c>
      <c r="O91" s="750">
        <v>0</v>
      </c>
      <c r="P91" s="750">
        <v>0</v>
      </c>
      <c r="Q91" s="750">
        <v>0</v>
      </c>
      <c r="R91" s="750">
        <v>0</v>
      </c>
      <c r="S91" s="750">
        <v>0</v>
      </c>
      <c r="T91" s="750">
        <v>0</v>
      </c>
      <c r="U91" s="769" t="s">
        <v>199</v>
      </c>
      <c r="V91" s="769" t="s">
        <v>199</v>
      </c>
      <c r="W91" s="769" t="s">
        <v>199</v>
      </c>
      <c r="X91" s="750">
        <v>0</v>
      </c>
      <c r="Y91" s="750">
        <v>0</v>
      </c>
      <c r="Z91" s="750">
        <v>0</v>
      </c>
      <c r="AA91" s="750">
        <v>0</v>
      </c>
      <c r="AB91" s="750">
        <v>0</v>
      </c>
      <c r="AC91" s="750">
        <v>0</v>
      </c>
      <c r="AD91" s="750">
        <v>0</v>
      </c>
      <c r="AE91" s="750">
        <v>0</v>
      </c>
      <c r="AF91" s="750">
        <v>0</v>
      </c>
      <c r="AG91" s="750">
        <v>0</v>
      </c>
      <c r="AH91" s="750">
        <v>0</v>
      </c>
      <c r="AI91" s="750">
        <v>0</v>
      </c>
      <c r="AJ91" s="769" t="s">
        <v>199</v>
      </c>
      <c r="AK91" s="769" t="s">
        <v>199</v>
      </c>
      <c r="AL91" s="769" t="s">
        <v>199</v>
      </c>
      <c r="AM91" s="750">
        <v>0</v>
      </c>
      <c r="AN91" s="750">
        <v>0</v>
      </c>
      <c r="AO91" s="750">
        <v>0</v>
      </c>
      <c r="AP91" s="750">
        <v>0</v>
      </c>
      <c r="AQ91" s="750">
        <v>0</v>
      </c>
      <c r="AR91" s="750">
        <v>0</v>
      </c>
      <c r="AS91" s="750">
        <v>0</v>
      </c>
      <c r="AT91" s="750">
        <v>0</v>
      </c>
      <c r="AU91" s="750">
        <v>0</v>
      </c>
      <c r="AV91" s="750">
        <v>0</v>
      </c>
      <c r="AW91" s="750">
        <v>0</v>
      </c>
      <c r="AX91" s="750">
        <v>0</v>
      </c>
    </row>
    <row r="92" ht="15" customHeight="1" spans="2:50">
      <c r="B92" s="801"/>
      <c r="C92" s="784"/>
      <c r="D92" s="784"/>
      <c r="E92" s="784" t="s">
        <v>1534</v>
      </c>
      <c r="F92" s="769" t="s">
        <v>199</v>
      </c>
      <c r="G92" s="769" t="s">
        <v>199</v>
      </c>
      <c r="H92" s="769" t="s">
        <v>199</v>
      </c>
      <c r="I92" s="750">
        <v>0</v>
      </c>
      <c r="J92" s="750">
        <v>0</v>
      </c>
      <c r="K92" s="750">
        <v>0</v>
      </c>
      <c r="L92" s="750">
        <v>0</v>
      </c>
      <c r="M92" s="750">
        <v>0</v>
      </c>
      <c r="N92" s="750">
        <v>0</v>
      </c>
      <c r="O92" s="750">
        <v>0</v>
      </c>
      <c r="P92" s="750">
        <v>0</v>
      </c>
      <c r="Q92" s="750">
        <v>0</v>
      </c>
      <c r="R92" s="750">
        <v>0</v>
      </c>
      <c r="S92" s="750">
        <v>0</v>
      </c>
      <c r="T92" s="750">
        <v>0</v>
      </c>
      <c r="U92" s="769" t="s">
        <v>199</v>
      </c>
      <c r="V92" s="769" t="s">
        <v>199</v>
      </c>
      <c r="W92" s="769" t="s">
        <v>199</v>
      </c>
      <c r="X92" s="750">
        <v>0</v>
      </c>
      <c r="Y92" s="750">
        <v>0</v>
      </c>
      <c r="Z92" s="750">
        <v>0</v>
      </c>
      <c r="AA92" s="750">
        <v>0</v>
      </c>
      <c r="AB92" s="750">
        <v>0</v>
      </c>
      <c r="AC92" s="750">
        <v>0</v>
      </c>
      <c r="AD92" s="750">
        <v>0</v>
      </c>
      <c r="AE92" s="750">
        <v>0</v>
      </c>
      <c r="AF92" s="750">
        <v>0</v>
      </c>
      <c r="AG92" s="750">
        <v>0</v>
      </c>
      <c r="AH92" s="750">
        <v>0</v>
      </c>
      <c r="AI92" s="750">
        <v>0</v>
      </c>
      <c r="AJ92" s="769" t="s">
        <v>199</v>
      </c>
      <c r="AK92" s="769" t="s">
        <v>199</v>
      </c>
      <c r="AL92" s="769" t="s">
        <v>199</v>
      </c>
      <c r="AM92" s="750">
        <v>0</v>
      </c>
      <c r="AN92" s="750">
        <v>0</v>
      </c>
      <c r="AO92" s="750">
        <v>0</v>
      </c>
      <c r="AP92" s="750">
        <v>0</v>
      </c>
      <c r="AQ92" s="750">
        <v>0</v>
      </c>
      <c r="AR92" s="750">
        <v>0</v>
      </c>
      <c r="AS92" s="750">
        <v>0</v>
      </c>
      <c r="AT92" s="750">
        <v>0</v>
      </c>
      <c r="AU92" s="750">
        <v>0</v>
      </c>
      <c r="AV92" s="750">
        <v>0</v>
      </c>
      <c r="AW92" s="750">
        <v>0</v>
      </c>
      <c r="AX92" s="750">
        <v>0</v>
      </c>
    </row>
    <row r="93" ht="15" customHeight="1" spans="2:50">
      <c r="B93" s="801"/>
      <c r="C93" s="784"/>
      <c r="D93" s="784"/>
      <c r="E93" s="784" t="s">
        <v>1534</v>
      </c>
      <c r="F93" s="769" t="s">
        <v>199</v>
      </c>
      <c r="G93" s="769" t="s">
        <v>199</v>
      </c>
      <c r="H93" s="769" t="s">
        <v>199</v>
      </c>
      <c r="I93" s="750">
        <v>0</v>
      </c>
      <c r="J93" s="750">
        <v>0</v>
      </c>
      <c r="K93" s="750">
        <v>0</v>
      </c>
      <c r="L93" s="750">
        <v>0</v>
      </c>
      <c r="M93" s="750">
        <v>0</v>
      </c>
      <c r="N93" s="750">
        <v>0</v>
      </c>
      <c r="O93" s="750">
        <v>0</v>
      </c>
      <c r="P93" s="750">
        <v>0</v>
      </c>
      <c r="Q93" s="750">
        <v>0</v>
      </c>
      <c r="R93" s="750">
        <v>0</v>
      </c>
      <c r="S93" s="750">
        <v>0</v>
      </c>
      <c r="T93" s="750">
        <v>0</v>
      </c>
      <c r="U93" s="769" t="s">
        <v>199</v>
      </c>
      <c r="V93" s="769" t="s">
        <v>199</v>
      </c>
      <c r="W93" s="769" t="s">
        <v>199</v>
      </c>
      <c r="X93" s="750">
        <v>0</v>
      </c>
      <c r="Y93" s="750">
        <v>0</v>
      </c>
      <c r="Z93" s="750">
        <v>0</v>
      </c>
      <c r="AA93" s="750">
        <v>0</v>
      </c>
      <c r="AB93" s="750">
        <v>0</v>
      </c>
      <c r="AC93" s="750">
        <v>0</v>
      </c>
      <c r="AD93" s="750">
        <v>0</v>
      </c>
      <c r="AE93" s="750">
        <v>0</v>
      </c>
      <c r="AF93" s="750">
        <v>0</v>
      </c>
      <c r="AG93" s="750">
        <v>0</v>
      </c>
      <c r="AH93" s="750">
        <v>0</v>
      </c>
      <c r="AI93" s="750">
        <v>0</v>
      </c>
      <c r="AJ93" s="769" t="s">
        <v>199</v>
      </c>
      <c r="AK93" s="769" t="s">
        <v>199</v>
      </c>
      <c r="AL93" s="769" t="s">
        <v>199</v>
      </c>
      <c r="AM93" s="750">
        <v>0</v>
      </c>
      <c r="AN93" s="750">
        <v>0</v>
      </c>
      <c r="AO93" s="750">
        <v>0</v>
      </c>
      <c r="AP93" s="750">
        <v>0</v>
      </c>
      <c r="AQ93" s="750">
        <v>0</v>
      </c>
      <c r="AR93" s="750">
        <v>0</v>
      </c>
      <c r="AS93" s="750">
        <v>0</v>
      </c>
      <c r="AT93" s="750">
        <v>0</v>
      </c>
      <c r="AU93" s="750">
        <v>0</v>
      </c>
      <c r="AV93" s="750">
        <v>0</v>
      </c>
      <c r="AW93" s="750">
        <v>0</v>
      </c>
      <c r="AX93" s="750">
        <v>0</v>
      </c>
    </row>
    <row r="94" ht="15" customHeight="1" spans="2:50">
      <c r="B94" s="801"/>
      <c r="C94" s="784"/>
      <c r="D94" s="784"/>
      <c r="E94" s="784" t="s">
        <v>1534</v>
      </c>
      <c r="F94" s="769" t="s">
        <v>199</v>
      </c>
      <c r="G94" s="769" t="s">
        <v>199</v>
      </c>
      <c r="H94" s="769" t="s">
        <v>199</v>
      </c>
      <c r="I94" s="750">
        <v>0</v>
      </c>
      <c r="J94" s="750">
        <v>0</v>
      </c>
      <c r="K94" s="750">
        <v>0</v>
      </c>
      <c r="L94" s="750">
        <v>0</v>
      </c>
      <c r="M94" s="750">
        <v>0</v>
      </c>
      <c r="N94" s="750">
        <v>0</v>
      </c>
      <c r="O94" s="750">
        <v>0</v>
      </c>
      <c r="P94" s="750">
        <v>0</v>
      </c>
      <c r="Q94" s="750">
        <v>0</v>
      </c>
      <c r="R94" s="750">
        <v>0</v>
      </c>
      <c r="S94" s="750">
        <v>0</v>
      </c>
      <c r="T94" s="750">
        <v>0</v>
      </c>
      <c r="U94" s="769" t="s">
        <v>199</v>
      </c>
      <c r="V94" s="769" t="s">
        <v>199</v>
      </c>
      <c r="W94" s="769" t="s">
        <v>199</v>
      </c>
      <c r="X94" s="750">
        <v>0</v>
      </c>
      <c r="Y94" s="750">
        <v>0</v>
      </c>
      <c r="Z94" s="750">
        <v>0</v>
      </c>
      <c r="AA94" s="750">
        <v>0</v>
      </c>
      <c r="AB94" s="750">
        <v>0</v>
      </c>
      <c r="AC94" s="750">
        <v>0</v>
      </c>
      <c r="AD94" s="750">
        <v>0</v>
      </c>
      <c r="AE94" s="750">
        <v>0</v>
      </c>
      <c r="AF94" s="750">
        <v>0</v>
      </c>
      <c r="AG94" s="750">
        <v>0</v>
      </c>
      <c r="AH94" s="750">
        <v>0</v>
      </c>
      <c r="AI94" s="750">
        <v>0</v>
      </c>
      <c r="AJ94" s="769" t="s">
        <v>199</v>
      </c>
      <c r="AK94" s="769" t="s">
        <v>199</v>
      </c>
      <c r="AL94" s="769" t="s">
        <v>199</v>
      </c>
      <c r="AM94" s="750">
        <v>0</v>
      </c>
      <c r="AN94" s="750">
        <v>0</v>
      </c>
      <c r="AO94" s="750">
        <v>0</v>
      </c>
      <c r="AP94" s="750">
        <v>0</v>
      </c>
      <c r="AQ94" s="750">
        <v>0</v>
      </c>
      <c r="AR94" s="750">
        <v>0</v>
      </c>
      <c r="AS94" s="750">
        <v>0</v>
      </c>
      <c r="AT94" s="750">
        <v>0</v>
      </c>
      <c r="AU94" s="750">
        <v>0</v>
      </c>
      <c r="AV94" s="750">
        <v>0</v>
      </c>
      <c r="AW94" s="750">
        <v>0</v>
      </c>
      <c r="AX94" s="750">
        <v>0</v>
      </c>
    </row>
    <row r="95" ht="15" customHeight="1" spans="2:50">
      <c r="B95" s="801"/>
      <c r="C95" s="784"/>
      <c r="D95" s="784"/>
      <c r="E95" s="784" t="s">
        <v>1534</v>
      </c>
      <c r="F95" s="769" t="s">
        <v>199</v>
      </c>
      <c r="G95" s="769" t="s">
        <v>199</v>
      </c>
      <c r="H95" s="769" t="s">
        <v>199</v>
      </c>
      <c r="I95" s="750">
        <v>0</v>
      </c>
      <c r="J95" s="750">
        <v>0</v>
      </c>
      <c r="K95" s="750">
        <v>0</v>
      </c>
      <c r="L95" s="750">
        <v>0</v>
      </c>
      <c r="M95" s="750">
        <v>0</v>
      </c>
      <c r="N95" s="750">
        <v>0</v>
      </c>
      <c r="O95" s="750">
        <v>0</v>
      </c>
      <c r="P95" s="750">
        <v>0</v>
      </c>
      <c r="Q95" s="750">
        <v>0</v>
      </c>
      <c r="R95" s="750">
        <v>0</v>
      </c>
      <c r="S95" s="750">
        <v>0</v>
      </c>
      <c r="T95" s="750">
        <v>0</v>
      </c>
      <c r="U95" s="769" t="s">
        <v>199</v>
      </c>
      <c r="V95" s="769" t="s">
        <v>199</v>
      </c>
      <c r="W95" s="769" t="s">
        <v>199</v>
      </c>
      <c r="X95" s="750">
        <v>0</v>
      </c>
      <c r="Y95" s="750">
        <v>0</v>
      </c>
      <c r="Z95" s="750">
        <v>0</v>
      </c>
      <c r="AA95" s="750">
        <v>0</v>
      </c>
      <c r="AB95" s="750">
        <v>0</v>
      </c>
      <c r="AC95" s="750">
        <v>0</v>
      </c>
      <c r="AD95" s="750">
        <v>0</v>
      </c>
      <c r="AE95" s="750">
        <v>0</v>
      </c>
      <c r="AF95" s="750">
        <v>0</v>
      </c>
      <c r="AG95" s="750">
        <v>0</v>
      </c>
      <c r="AH95" s="750">
        <v>0</v>
      </c>
      <c r="AI95" s="750">
        <v>0</v>
      </c>
      <c r="AJ95" s="769" t="s">
        <v>199</v>
      </c>
      <c r="AK95" s="769" t="s">
        <v>199</v>
      </c>
      <c r="AL95" s="769" t="s">
        <v>199</v>
      </c>
      <c r="AM95" s="750">
        <v>0</v>
      </c>
      <c r="AN95" s="750">
        <v>0</v>
      </c>
      <c r="AO95" s="750">
        <v>0</v>
      </c>
      <c r="AP95" s="750">
        <v>0</v>
      </c>
      <c r="AQ95" s="750">
        <v>0</v>
      </c>
      <c r="AR95" s="750">
        <v>0</v>
      </c>
      <c r="AS95" s="750">
        <v>0</v>
      </c>
      <c r="AT95" s="750">
        <v>0</v>
      </c>
      <c r="AU95" s="750">
        <v>0</v>
      </c>
      <c r="AV95" s="750">
        <v>0</v>
      </c>
      <c r="AW95" s="750">
        <v>0</v>
      </c>
      <c r="AX95" s="750">
        <v>0</v>
      </c>
    </row>
    <row r="96" ht="15" customHeight="1" spans="2:50">
      <c r="B96" s="801"/>
      <c r="C96" s="784"/>
      <c r="D96" s="784"/>
      <c r="E96" s="784" t="s">
        <v>1534</v>
      </c>
      <c r="F96" s="769" t="s">
        <v>199</v>
      </c>
      <c r="G96" s="769" t="s">
        <v>199</v>
      </c>
      <c r="H96" s="769" t="s">
        <v>199</v>
      </c>
      <c r="I96" s="750">
        <v>0</v>
      </c>
      <c r="J96" s="750">
        <v>0</v>
      </c>
      <c r="K96" s="750">
        <v>0</v>
      </c>
      <c r="L96" s="750">
        <v>0</v>
      </c>
      <c r="M96" s="750">
        <v>0</v>
      </c>
      <c r="N96" s="750">
        <v>0</v>
      </c>
      <c r="O96" s="750">
        <v>0</v>
      </c>
      <c r="P96" s="750">
        <v>0</v>
      </c>
      <c r="Q96" s="750">
        <v>0</v>
      </c>
      <c r="R96" s="750">
        <v>0</v>
      </c>
      <c r="S96" s="750">
        <v>0</v>
      </c>
      <c r="T96" s="750">
        <v>0</v>
      </c>
      <c r="U96" s="769" t="s">
        <v>199</v>
      </c>
      <c r="V96" s="769" t="s">
        <v>199</v>
      </c>
      <c r="W96" s="769" t="s">
        <v>199</v>
      </c>
      <c r="X96" s="750">
        <v>0</v>
      </c>
      <c r="Y96" s="750">
        <v>0</v>
      </c>
      <c r="Z96" s="750">
        <v>0</v>
      </c>
      <c r="AA96" s="750">
        <v>0</v>
      </c>
      <c r="AB96" s="750">
        <v>0</v>
      </c>
      <c r="AC96" s="750">
        <v>0</v>
      </c>
      <c r="AD96" s="750">
        <v>0</v>
      </c>
      <c r="AE96" s="750">
        <v>0</v>
      </c>
      <c r="AF96" s="750">
        <v>0</v>
      </c>
      <c r="AG96" s="750">
        <v>0</v>
      </c>
      <c r="AH96" s="750">
        <v>0</v>
      </c>
      <c r="AI96" s="750">
        <v>0</v>
      </c>
      <c r="AJ96" s="769" t="s">
        <v>199</v>
      </c>
      <c r="AK96" s="769" t="s">
        <v>199</v>
      </c>
      <c r="AL96" s="769" t="s">
        <v>199</v>
      </c>
      <c r="AM96" s="750">
        <v>0</v>
      </c>
      <c r="AN96" s="750">
        <v>0</v>
      </c>
      <c r="AO96" s="750">
        <v>0</v>
      </c>
      <c r="AP96" s="750">
        <v>0</v>
      </c>
      <c r="AQ96" s="750">
        <v>0</v>
      </c>
      <c r="AR96" s="750">
        <v>0</v>
      </c>
      <c r="AS96" s="750">
        <v>0</v>
      </c>
      <c r="AT96" s="750">
        <v>0</v>
      </c>
      <c r="AU96" s="750">
        <v>0</v>
      </c>
      <c r="AV96" s="750">
        <v>0</v>
      </c>
      <c r="AW96" s="750">
        <v>0</v>
      </c>
      <c r="AX96" s="750">
        <v>0</v>
      </c>
    </row>
    <row r="97" ht="15" customHeight="1" spans="2:50">
      <c r="B97" s="801"/>
      <c r="C97" s="784"/>
      <c r="D97" s="784"/>
      <c r="E97" s="784" t="s">
        <v>1534</v>
      </c>
      <c r="F97" s="769" t="s">
        <v>199</v>
      </c>
      <c r="G97" s="769" t="s">
        <v>199</v>
      </c>
      <c r="H97" s="769" t="s">
        <v>199</v>
      </c>
      <c r="I97" s="750">
        <v>0</v>
      </c>
      <c r="J97" s="750">
        <v>0</v>
      </c>
      <c r="K97" s="750">
        <v>0</v>
      </c>
      <c r="L97" s="750">
        <v>0</v>
      </c>
      <c r="M97" s="750">
        <v>0</v>
      </c>
      <c r="N97" s="750">
        <v>0</v>
      </c>
      <c r="O97" s="750">
        <v>0</v>
      </c>
      <c r="P97" s="750">
        <v>0</v>
      </c>
      <c r="Q97" s="750">
        <v>0</v>
      </c>
      <c r="R97" s="750">
        <v>0</v>
      </c>
      <c r="S97" s="750">
        <v>0</v>
      </c>
      <c r="T97" s="750">
        <v>0</v>
      </c>
      <c r="U97" s="769" t="s">
        <v>199</v>
      </c>
      <c r="V97" s="769" t="s">
        <v>199</v>
      </c>
      <c r="W97" s="769" t="s">
        <v>199</v>
      </c>
      <c r="X97" s="750">
        <v>0</v>
      </c>
      <c r="Y97" s="750">
        <v>0</v>
      </c>
      <c r="Z97" s="750">
        <v>0</v>
      </c>
      <c r="AA97" s="750">
        <v>0</v>
      </c>
      <c r="AB97" s="750">
        <v>0</v>
      </c>
      <c r="AC97" s="750">
        <v>0</v>
      </c>
      <c r="AD97" s="750">
        <v>0</v>
      </c>
      <c r="AE97" s="750">
        <v>0</v>
      </c>
      <c r="AF97" s="750">
        <v>0</v>
      </c>
      <c r="AG97" s="750">
        <v>0</v>
      </c>
      <c r="AH97" s="750">
        <v>0</v>
      </c>
      <c r="AI97" s="750">
        <v>0</v>
      </c>
      <c r="AJ97" s="769" t="s">
        <v>199</v>
      </c>
      <c r="AK97" s="769" t="s">
        <v>199</v>
      </c>
      <c r="AL97" s="769" t="s">
        <v>199</v>
      </c>
      <c r="AM97" s="750">
        <v>0</v>
      </c>
      <c r="AN97" s="750">
        <v>0</v>
      </c>
      <c r="AO97" s="750">
        <v>0</v>
      </c>
      <c r="AP97" s="750">
        <v>0</v>
      </c>
      <c r="AQ97" s="750">
        <v>0</v>
      </c>
      <c r="AR97" s="750">
        <v>0</v>
      </c>
      <c r="AS97" s="750">
        <v>0</v>
      </c>
      <c r="AT97" s="750">
        <v>0</v>
      </c>
      <c r="AU97" s="750">
        <v>0</v>
      </c>
      <c r="AV97" s="750">
        <v>0</v>
      </c>
      <c r="AW97" s="750">
        <v>0</v>
      </c>
      <c r="AX97" s="750">
        <v>0</v>
      </c>
    </row>
    <row r="98" ht="15" customHeight="1" spans="2:50">
      <c r="B98" s="801"/>
      <c r="C98" s="784"/>
      <c r="D98" s="784"/>
      <c r="E98" s="784" t="s">
        <v>1534</v>
      </c>
      <c r="F98" s="769" t="s">
        <v>199</v>
      </c>
      <c r="G98" s="769" t="s">
        <v>199</v>
      </c>
      <c r="H98" s="769" t="s">
        <v>199</v>
      </c>
      <c r="I98" s="750">
        <v>0</v>
      </c>
      <c r="J98" s="750">
        <v>0</v>
      </c>
      <c r="K98" s="750">
        <v>0</v>
      </c>
      <c r="L98" s="750">
        <v>0</v>
      </c>
      <c r="M98" s="750">
        <v>0</v>
      </c>
      <c r="N98" s="750">
        <v>0</v>
      </c>
      <c r="O98" s="750">
        <v>0</v>
      </c>
      <c r="P98" s="750">
        <v>0</v>
      </c>
      <c r="Q98" s="750">
        <v>0</v>
      </c>
      <c r="R98" s="750">
        <v>0</v>
      </c>
      <c r="S98" s="750">
        <v>0</v>
      </c>
      <c r="T98" s="750">
        <v>0</v>
      </c>
      <c r="U98" s="769" t="s">
        <v>199</v>
      </c>
      <c r="V98" s="769" t="s">
        <v>199</v>
      </c>
      <c r="W98" s="769" t="s">
        <v>199</v>
      </c>
      <c r="X98" s="750">
        <v>0</v>
      </c>
      <c r="Y98" s="750">
        <v>0</v>
      </c>
      <c r="Z98" s="750">
        <v>0</v>
      </c>
      <c r="AA98" s="750">
        <v>0</v>
      </c>
      <c r="AB98" s="750">
        <v>0</v>
      </c>
      <c r="AC98" s="750">
        <v>0</v>
      </c>
      <c r="AD98" s="750">
        <v>0</v>
      </c>
      <c r="AE98" s="750">
        <v>0</v>
      </c>
      <c r="AF98" s="750">
        <v>0</v>
      </c>
      <c r="AG98" s="750">
        <v>0</v>
      </c>
      <c r="AH98" s="750">
        <v>0</v>
      </c>
      <c r="AI98" s="750">
        <v>0</v>
      </c>
      <c r="AJ98" s="769" t="s">
        <v>199</v>
      </c>
      <c r="AK98" s="769" t="s">
        <v>199</v>
      </c>
      <c r="AL98" s="769" t="s">
        <v>199</v>
      </c>
      <c r="AM98" s="750">
        <v>0</v>
      </c>
      <c r="AN98" s="750">
        <v>0</v>
      </c>
      <c r="AO98" s="750">
        <v>0</v>
      </c>
      <c r="AP98" s="750">
        <v>0</v>
      </c>
      <c r="AQ98" s="750">
        <v>0</v>
      </c>
      <c r="AR98" s="750">
        <v>0</v>
      </c>
      <c r="AS98" s="750">
        <v>0</v>
      </c>
      <c r="AT98" s="750">
        <v>0</v>
      </c>
      <c r="AU98" s="750">
        <v>0</v>
      </c>
      <c r="AV98" s="750">
        <v>0</v>
      </c>
      <c r="AW98" s="750">
        <v>0</v>
      </c>
      <c r="AX98" s="750">
        <v>0</v>
      </c>
    </row>
    <row r="99" ht="15" customHeight="1" spans="2:50">
      <c r="B99" s="801"/>
      <c r="C99" s="784"/>
      <c r="D99" s="784"/>
      <c r="E99" s="784" t="s">
        <v>1534</v>
      </c>
      <c r="F99" s="769" t="s">
        <v>199</v>
      </c>
      <c r="G99" s="769" t="s">
        <v>199</v>
      </c>
      <c r="H99" s="769" t="s">
        <v>199</v>
      </c>
      <c r="I99" s="750">
        <v>0</v>
      </c>
      <c r="J99" s="750">
        <v>0</v>
      </c>
      <c r="K99" s="750">
        <v>0</v>
      </c>
      <c r="L99" s="750">
        <v>0</v>
      </c>
      <c r="M99" s="750">
        <v>0</v>
      </c>
      <c r="N99" s="750">
        <v>0</v>
      </c>
      <c r="O99" s="750">
        <v>0</v>
      </c>
      <c r="P99" s="750">
        <v>0</v>
      </c>
      <c r="Q99" s="750">
        <v>0</v>
      </c>
      <c r="R99" s="750">
        <v>0</v>
      </c>
      <c r="S99" s="750">
        <v>0</v>
      </c>
      <c r="T99" s="750">
        <v>0</v>
      </c>
      <c r="U99" s="769" t="s">
        <v>199</v>
      </c>
      <c r="V99" s="769" t="s">
        <v>199</v>
      </c>
      <c r="W99" s="769" t="s">
        <v>199</v>
      </c>
      <c r="X99" s="750">
        <v>0</v>
      </c>
      <c r="Y99" s="750">
        <v>0</v>
      </c>
      <c r="Z99" s="750">
        <v>0</v>
      </c>
      <c r="AA99" s="750">
        <v>0</v>
      </c>
      <c r="AB99" s="750">
        <v>0</v>
      </c>
      <c r="AC99" s="750">
        <v>0</v>
      </c>
      <c r="AD99" s="750">
        <v>0</v>
      </c>
      <c r="AE99" s="750">
        <v>0</v>
      </c>
      <c r="AF99" s="750">
        <v>0</v>
      </c>
      <c r="AG99" s="750">
        <v>0</v>
      </c>
      <c r="AH99" s="750">
        <v>0</v>
      </c>
      <c r="AI99" s="750">
        <v>0</v>
      </c>
      <c r="AJ99" s="769" t="s">
        <v>199</v>
      </c>
      <c r="AK99" s="769" t="s">
        <v>199</v>
      </c>
      <c r="AL99" s="769" t="s">
        <v>199</v>
      </c>
      <c r="AM99" s="750">
        <v>0</v>
      </c>
      <c r="AN99" s="750">
        <v>0</v>
      </c>
      <c r="AO99" s="750">
        <v>0</v>
      </c>
      <c r="AP99" s="750">
        <v>0</v>
      </c>
      <c r="AQ99" s="750">
        <v>0</v>
      </c>
      <c r="AR99" s="750">
        <v>0</v>
      </c>
      <c r="AS99" s="750">
        <v>0</v>
      </c>
      <c r="AT99" s="750">
        <v>0</v>
      </c>
      <c r="AU99" s="750">
        <v>0</v>
      </c>
      <c r="AV99" s="750">
        <v>0</v>
      </c>
      <c r="AW99" s="750">
        <v>0</v>
      </c>
      <c r="AX99" s="750">
        <v>0</v>
      </c>
    </row>
    <row r="100" ht="15" customHeight="1" spans="2:50">
      <c r="B100" s="801"/>
      <c r="C100" s="784"/>
      <c r="D100" s="784"/>
      <c r="E100" s="784" t="s">
        <v>1534</v>
      </c>
      <c r="F100" s="769" t="s">
        <v>199</v>
      </c>
      <c r="G100" s="769" t="s">
        <v>199</v>
      </c>
      <c r="H100" s="769" t="s">
        <v>199</v>
      </c>
      <c r="I100" s="750">
        <v>0</v>
      </c>
      <c r="J100" s="750">
        <v>0</v>
      </c>
      <c r="K100" s="750">
        <v>0</v>
      </c>
      <c r="L100" s="750">
        <v>0</v>
      </c>
      <c r="M100" s="750">
        <v>0</v>
      </c>
      <c r="N100" s="750">
        <v>0</v>
      </c>
      <c r="O100" s="750">
        <v>0</v>
      </c>
      <c r="P100" s="750">
        <v>0</v>
      </c>
      <c r="Q100" s="750">
        <v>0</v>
      </c>
      <c r="R100" s="750">
        <v>0</v>
      </c>
      <c r="S100" s="750">
        <v>0</v>
      </c>
      <c r="T100" s="750">
        <v>0</v>
      </c>
      <c r="U100" s="769" t="s">
        <v>199</v>
      </c>
      <c r="V100" s="769" t="s">
        <v>199</v>
      </c>
      <c r="W100" s="769" t="s">
        <v>199</v>
      </c>
      <c r="X100" s="750">
        <v>0</v>
      </c>
      <c r="Y100" s="750">
        <v>0</v>
      </c>
      <c r="Z100" s="750">
        <v>0</v>
      </c>
      <c r="AA100" s="750">
        <v>0</v>
      </c>
      <c r="AB100" s="750">
        <v>0</v>
      </c>
      <c r="AC100" s="750">
        <v>0</v>
      </c>
      <c r="AD100" s="750">
        <v>0</v>
      </c>
      <c r="AE100" s="750">
        <v>0</v>
      </c>
      <c r="AF100" s="750">
        <v>0</v>
      </c>
      <c r="AG100" s="750">
        <v>0</v>
      </c>
      <c r="AH100" s="750">
        <v>0</v>
      </c>
      <c r="AI100" s="750">
        <v>0</v>
      </c>
      <c r="AJ100" s="769" t="s">
        <v>199</v>
      </c>
      <c r="AK100" s="769" t="s">
        <v>199</v>
      </c>
      <c r="AL100" s="769" t="s">
        <v>199</v>
      </c>
      <c r="AM100" s="750">
        <v>0</v>
      </c>
      <c r="AN100" s="750">
        <v>0</v>
      </c>
      <c r="AO100" s="750">
        <v>0</v>
      </c>
      <c r="AP100" s="750">
        <v>0</v>
      </c>
      <c r="AQ100" s="750">
        <v>0</v>
      </c>
      <c r="AR100" s="750">
        <v>0</v>
      </c>
      <c r="AS100" s="750">
        <v>0</v>
      </c>
      <c r="AT100" s="750">
        <v>0</v>
      </c>
      <c r="AU100" s="750">
        <v>0</v>
      </c>
      <c r="AV100" s="750">
        <v>0</v>
      </c>
      <c r="AW100" s="750">
        <v>0</v>
      </c>
      <c r="AX100" s="750">
        <v>0</v>
      </c>
    </row>
    <row r="101" ht="15" customHeight="1" spans="2:50">
      <c r="B101" s="801"/>
      <c r="C101" s="784"/>
      <c r="D101" s="784"/>
      <c r="E101" s="784" t="s">
        <v>1534</v>
      </c>
      <c r="F101" s="769" t="s">
        <v>199</v>
      </c>
      <c r="G101" s="769" t="s">
        <v>199</v>
      </c>
      <c r="H101" s="769" t="s">
        <v>199</v>
      </c>
      <c r="I101" s="750">
        <v>0</v>
      </c>
      <c r="J101" s="750">
        <v>0</v>
      </c>
      <c r="K101" s="750">
        <v>0</v>
      </c>
      <c r="L101" s="750">
        <v>0</v>
      </c>
      <c r="M101" s="750">
        <v>0</v>
      </c>
      <c r="N101" s="750">
        <v>0</v>
      </c>
      <c r="O101" s="750">
        <v>0</v>
      </c>
      <c r="P101" s="750">
        <v>0</v>
      </c>
      <c r="Q101" s="750">
        <v>0</v>
      </c>
      <c r="R101" s="750">
        <v>0</v>
      </c>
      <c r="S101" s="750">
        <v>0</v>
      </c>
      <c r="T101" s="750">
        <v>0</v>
      </c>
      <c r="U101" s="769" t="s">
        <v>199</v>
      </c>
      <c r="V101" s="769" t="s">
        <v>199</v>
      </c>
      <c r="W101" s="769" t="s">
        <v>199</v>
      </c>
      <c r="X101" s="750">
        <v>0</v>
      </c>
      <c r="Y101" s="750">
        <v>0</v>
      </c>
      <c r="Z101" s="750">
        <v>0</v>
      </c>
      <c r="AA101" s="750">
        <v>0</v>
      </c>
      <c r="AB101" s="750">
        <v>0</v>
      </c>
      <c r="AC101" s="750">
        <v>0</v>
      </c>
      <c r="AD101" s="750">
        <v>0</v>
      </c>
      <c r="AE101" s="750">
        <v>0</v>
      </c>
      <c r="AF101" s="750">
        <v>0</v>
      </c>
      <c r="AG101" s="750">
        <v>0</v>
      </c>
      <c r="AH101" s="750">
        <v>0</v>
      </c>
      <c r="AI101" s="750">
        <v>0</v>
      </c>
      <c r="AJ101" s="769" t="s">
        <v>199</v>
      </c>
      <c r="AK101" s="769" t="s">
        <v>199</v>
      </c>
      <c r="AL101" s="769" t="s">
        <v>199</v>
      </c>
      <c r="AM101" s="750">
        <v>0</v>
      </c>
      <c r="AN101" s="750">
        <v>0</v>
      </c>
      <c r="AO101" s="750">
        <v>0</v>
      </c>
      <c r="AP101" s="750">
        <v>0</v>
      </c>
      <c r="AQ101" s="750">
        <v>0</v>
      </c>
      <c r="AR101" s="750">
        <v>0</v>
      </c>
      <c r="AS101" s="750">
        <v>0</v>
      </c>
      <c r="AT101" s="750">
        <v>0</v>
      </c>
      <c r="AU101" s="750">
        <v>0</v>
      </c>
      <c r="AV101" s="750">
        <v>0</v>
      </c>
      <c r="AW101" s="750">
        <v>0</v>
      </c>
      <c r="AX101" s="750">
        <v>0</v>
      </c>
    </row>
    <row r="102" ht="15" customHeight="1" spans="2:50">
      <c r="B102" s="801"/>
      <c r="C102" s="784"/>
      <c r="D102" s="784"/>
      <c r="E102" s="784" t="s">
        <v>1534</v>
      </c>
      <c r="F102" s="769" t="s">
        <v>199</v>
      </c>
      <c r="G102" s="769" t="s">
        <v>199</v>
      </c>
      <c r="H102" s="769" t="s">
        <v>199</v>
      </c>
      <c r="I102" s="750">
        <v>0</v>
      </c>
      <c r="J102" s="750">
        <v>0</v>
      </c>
      <c r="K102" s="750">
        <v>0</v>
      </c>
      <c r="L102" s="750">
        <v>0</v>
      </c>
      <c r="M102" s="750">
        <v>0</v>
      </c>
      <c r="N102" s="750">
        <v>0</v>
      </c>
      <c r="O102" s="750">
        <v>0</v>
      </c>
      <c r="P102" s="750">
        <v>0</v>
      </c>
      <c r="Q102" s="750">
        <v>0</v>
      </c>
      <c r="R102" s="750">
        <v>0</v>
      </c>
      <c r="S102" s="750">
        <v>0</v>
      </c>
      <c r="T102" s="750">
        <v>0</v>
      </c>
      <c r="U102" s="769" t="s">
        <v>199</v>
      </c>
      <c r="V102" s="769" t="s">
        <v>199</v>
      </c>
      <c r="W102" s="769" t="s">
        <v>199</v>
      </c>
      <c r="X102" s="750">
        <v>0</v>
      </c>
      <c r="Y102" s="750">
        <v>0</v>
      </c>
      <c r="Z102" s="750">
        <v>0</v>
      </c>
      <c r="AA102" s="750">
        <v>0</v>
      </c>
      <c r="AB102" s="750">
        <v>0</v>
      </c>
      <c r="AC102" s="750">
        <v>0</v>
      </c>
      <c r="AD102" s="750">
        <v>0</v>
      </c>
      <c r="AE102" s="750">
        <v>0</v>
      </c>
      <c r="AF102" s="750">
        <v>0</v>
      </c>
      <c r="AG102" s="750">
        <v>0</v>
      </c>
      <c r="AH102" s="750">
        <v>0</v>
      </c>
      <c r="AI102" s="750">
        <v>0</v>
      </c>
      <c r="AJ102" s="769" t="s">
        <v>199</v>
      </c>
      <c r="AK102" s="769" t="s">
        <v>199</v>
      </c>
      <c r="AL102" s="769" t="s">
        <v>199</v>
      </c>
      <c r="AM102" s="750">
        <v>0</v>
      </c>
      <c r="AN102" s="750">
        <v>0</v>
      </c>
      <c r="AO102" s="750">
        <v>0</v>
      </c>
      <c r="AP102" s="750">
        <v>0</v>
      </c>
      <c r="AQ102" s="750">
        <v>0</v>
      </c>
      <c r="AR102" s="750">
        <v>0</v>
      </c>
      <c r="AS102" s="750">
        <v>0</v>
      </c>
      <c r="AT102" s="750">
        <v>0</v>
      </c>
      <c r="AU102" s="750">
        <v>0</v>
      </c>
      <c r="AV102" s="750">
        <v>0</v>
      </c>
      <c r="AW102" s="750">
        <v>0</v>
      </c>
      <c r="AX102" s="750">
        <v>0</v>
      </c>
    </row>
    <row r="103" ht="15" customHeight="1" spans="2:50">
      <c r="B103" s="801"/>
      <c r="C103" s="784"/>
      <c r="D103" s="784"/>
      <c r="E103" s="784" t="s">
        <v>1534</v>
      </c>
      <c r="F103" s="769" t="s">
        <v>199</v>
      </c>
      <c r="G103" s="769" t="s">
        <v>199</v>
      </c>
      <c r="H103" s="769" t="s">
        <v>199</v>
      </c>
      <c r="I103" s="750">
        <v>0</v>
      </c>
      <c r="J103" s="750">
        <v>0</v>
      </c>
      <c r="K103" s="750">
        <v>0</v>
      </c>
      <c r="L103" s="750">
        <v>0</v>
      </c>
      <c r="M103" s="750">
        <v>0</v>
      </c>
      <c r="N103" s="750">
        <v>0</v>
      </c>
      <c r="O103" s="750">
        <v>0</v>
      </c>
      <c r="P103" s="750">
        <v>0</v>
      </c>
      <c r="Q103" s="750">
        <v>0</v>
      </c>
      <c r="R103" s="750">
        <v>0</v>
      </c>
      <c r="S103" s="750">
        <v>0</v>
      </c>
      <c r="T103" s="750">
        <v>0</v>
      </c>
      <c r="U103" s="769" t="s">
        <v>199</v>
      </c>
      <c r="V103" s="769" t="s">
        <v>199</v>
      </c>
      <c r="W103" s="769" t="s">
        <v>199</v>
      </c>
      <c r="X103" s="750">
        <v>0</v>
      </c>
      <c r="Y103" s="750">
        <v>0</v>
      </c>
      <c r="Z103" s="750">
        <v>0</v>
      </c>
      <c r="AA103" s="750">
        <v>0</v>
      </c>
      <c r="AB103" s="750">
        <v>0</v>
      </c>
      <c r="AC103" s="750">
        <v>0</v>
      </c>
      <c r="AD103" s="750">
        <v>0</v>
      </c>
      <c r="AE103" s="750">
        <v>0</v>
      </c>
      <c r="AF103" s="750">
        <v>0</v>
      </c>
      <c r="AG103" s="750">
        <v>0</v>
      </c>
      <c r="AH103" s="750">
        <v>0</v>
      </c>
      <c r="AI103" s="750">
        <v>0</v>
      </c>
      <c r="AJ103" s="769" t="s">
        <v>199</v>
      </c>
      <c r="AK103" s="769" t="s">
        <v>199</v>
      </c>
      <c r="AL103" s="769" t="s">
        <v>199</v>
      </c>
      <c r="AM103" s="750">
        <v>0</v>
      </c>
      <c r="AN103" s="750">
        <v>0</v>
      </c>
      <c r="AO103" s="750">
        <v>0</v>
      </c>
      <c r="AP103" s="750">
        <v>0</v>
      </c>
      <c r="AQ103" s="750">
        <v>0</v>
      </c>
      <c r="AR103" s="750">
        <v>0</v>
      </c>
      <c r="AS103" s="750">
        <v>0</v>
      </c>
      <c r="AT103" s="750">
        <v>0</v>
      </c>
      <c r="AU103" s="750">
        <v>0</v>
      </c>
      <c r="AV103" s="750">
        <v>0</v>
      </c>
      <c r="AW103" s="750">
        <v>0</v>
      </c>
      <c r="AX103" s="750">
        <v>0</v>
      </c>
    </row>
    <row r="104" ht="15" customHeight="1" spans="2:50">
      <c r="B104" s="801"/>
      <c r="C104" s="784"/>
      <c r="D104" s="784"/>
      <c r="E104" s="784" t="s">
        <v>1534</v>
      </c>
      <c r="F104" s="769" t="s">
        <v>199</v>
      </c>
      <c r="G104" s="769" t="s">
        <v>199</v>
      </c>
      <c r="H104" s="769" t="s">
        <v>199</v>
      </c>
      <c r="I104" s="750">
        <v>0</v>
      </c>
      <c r="J104" s="750">
        <v>0</v>
      </c>
      <c r="K104" s="750">
        <v>0</v>
      </c>
      <c r="L104" s="750">
        <v>0</v>
      </c>
      <c r="M104" s="750">
        <v>0</v>
      </c>
      <c r="N104" s="750">
        <v>0</v>
      </c>
      <c r="O104" s="750">
        <v>0</v>
      </c>
      <c r="P104" s="750">
        <v>0</v>
      </c>
      <c r="Q104" s="750">
        <v>0</v>
      </c>
      <c r="R104" s="750">
        <v>0</v>
      </c>
      <c r="S104" s="750">
        <v>0</v>
      </c>
      <c r="T104" s="750">
        <v>0</v>
      </c>
      <c r="U104" s="769" t="s">
        <v>199</v>
      </c>
      <c r="V104" s="769" t="s">
        <v>199</v>
      </c>
      <c r="W104" s="769" t="s">
        <v>199</v>
      </c>
      <c r="X104" s="750">
        <v>0</v>
      </c>
      <c r="Y104" s="750">
        <v>0</v>
      </c>
      <c r="Z104" s="750">
        <v>0</v>
      </c>
      <c r="AA104" s="750">
        <v>0</v>
      </c>
      <c r="AB104" s="750">
        <v>0</v>
      </c>
      <c r="AC104" s="750">
        <v>0</v>
      </c>
      <c r="AD104" s="750">
        <v>0</v>
      </c>
      <c r="AE104" s="750">
        <v>0</v>
      </c>
      <c r="AF104" s="750">
        <v>0</v>
      </c>
      <c r="AG104" s="750">
        <v>0</v>
      </c>
      <c r="AH104" s="750">
        <v>0</v>
      </c>
      <c r="AI104" s="750">
        <v>0</v>
      </c>
      <c r="AJ104" s="769" t="s">
        <v>199</v>
      </c>
      <c r="AK104" s="769" t="s">
        <v>199</v>
      </c>
      <c r="AL104" s="769" t="s">
        <v>199</v>
      </c>
      <c r="AM104" s="750">
        <v>0</v>
      </c>
      <c r="AN104" s="750">
        <v>0</v>
      </c>
      <c r="AO104" s="750">
        <v>0</v>
      </c>
      <c r="AP104" s="750">
        <v>0</v>
      </c>
      <c r="AQ104" s="750">
        <v>0</v>
      </c>
      <c r="AR104" s="750">
        <v>0</v>
      </c>
      <c r="AS104" s="750">
        <v>0</v>
      </c>
      <c r="AT104" s="750">
        <v>0</v>
      </c>
      <c r="AU104" s="750">
        <v>0</v>
      </c>
      <c r="AV104" s="750">
        <v>0</v>
      </c>
      <c r="AW104" s="750">
        <v>0</v>
      </c>
      <c r="AX104" s="750">
        <v>0</v>
      </c>
    </row>
    <row r="105" ht="15" customHeight="1" spans="2:50">
      <c r="B105" s="801"/>
      <c r="C105" s="784"/>
      <c r="D105" s="784"/>
      <c r="E105" s="784" t="s">
        <v>1534</v>
      </c>
      <c r="F105" s="769" t="s">
        <v>199</v>
      </c>
      <c r="G105" s="769" t="s">
        <v>199</v>
      </c>
      <c r="H105" s="769" t="s">
        <v>199</v>
      </c>
      <c r="I105" s="750">
        <v>0</v>
      </c>
      <c r="J105" s="750">
        <v>0</v>
      </c>
      <c r="K105" s="750">
        <v>0</v>
      </c>
      <c r="L105" s="750">
        <v>0</v>
      </c>
      <c r="M105" s="750">
        <v>0</v>
      </c>
      <c r="N105" s="750">
        <v>0</v>
      </c>
      <c r="O105" s="750">
        <v>0</v>
      </c>
      <c r="P105" s="750">
        <v>0</v>
      </c>
      <c r="Q105" s="750">
        <v>0</v>
      </c>
      <c r="R105" s="750">
        <v>0</v>
      </c>
      <c r="S105" s="750">
        <v>0</v>
      </c>
      <c r="T105" s="750">
        <v>0</v>
      </c>
      <c r="U105" s="769" t="s">
        <v>199</v>
      </c>
      <c r="V105" s="769" t="s">
        <v>199</v>
      </c>
      <c r="W105" s="769" t="s">
        <v>199</v>
      </c>
      <c r="X105" s="750">
        <v>0</v>
      </c>
      <c r="Y105" s="750">
        <v>0</v>
      </c>
      <c r="Z105" s="750">
        <v>0</v>
      </c>
      <c r="AA105" s="750">
        <v>0</v>
      </c>
      <c r="AB105" s="750">
        <v>0</v>
      </c>
      <c r="AC105" s="750">
        <v>0</v>
      </c>
      <c r="AD105" s="750">
        <v>0</v>
      </c>
      <c r="AE105" s="750">
        <v>0</v>
      </c>
      <c r="AF105" s="750">
        <v>0</v>
      </c>
      <c r="AG105" s="750">
        <v>0</v>
      </c>
      <c r="AH105" s="750">
        <v>0</v>
      </c>
      <c r="AI105" s="750">
        <v>0</v>
      </c>
      <c r="AJ105" s="769" t="s">
        <v>199</v>
      </c>
      <c r="AK105" s="769" t="s">
        <v>199</v>
      </c>
      <c r="AL105" s="769" t="s">
        <v>199</v>
      </c>
      <c r="AM105" s="750">
        <v>0</v>
      </c>
      <c r="AN105" s="750">
        <v>0</v>
      </c>
      <c r="AO105" s="750">
        <v>0</v>
      </c>
      <c r="AP105" s="750">
        <v>0</v>
      </c>
      <c r="AQ105" s="750">
        <v>0</v>
      </c>
      <c r="AR105" s="750">
        <v>0</v>
      </c>
      <c r="AS105" s="750">
        <v>0</v>
      </c>
      <c r="AT105" s="750">
        <v>0</v>
      </c>
      <c r="AU105" s="750">
        <v>0</v>
      </c>
      <c r="AV105" s="750">
        <v>0</v>
      </c>
      <c r="AW105" s="750">
        <v>0</v>
      </c>
      <c r="AX105" s="750">
        <v>0</v>
      </c>
    </row>
    <row r="106" ht="15" customHeight="1" spans="2:50">
      <c r="B106" s="801"/>
      <c r="C106" s="784"/>
      <c r="D106" s="784"/>
      <c r="E106" s="784" t="s">
        <v>1534</v>
      </c>
      <c r="F106" s="769" t="s">
        <v>199</v>
      </c>
      <c r="G106" s="769" t="s">
        <v>199</v>
      </c>
      <c r="H106" s="769" t="s">
        <v>199</v>
      </c>
      <c r="I106" s="750">
        <v>0</v>
      </c>
      <c r="J106" s="750">
        <v>0</v>
      </c>
      <c r="K106" s="750">
        <v>0</v>
      </c>
      <c r="L106" s="750">
        <v>0</v>
      </c>
      <c r="M106" s="750">
        <v>0</v>
      </c>
      <c r="N106" s="750">
        <v>0</v>
      </c>
      <c r="O106" s="750">
        <v>0</v>
      </c>
      <c r="P106" s="750">
        <v>0</v>
      </c>
      <c r="Q106" s="750">
        <v>0</v>
      </c>
      <c r="R106" s="750">
        <v>0</v>
      </c>
      <c r="S106" s="750">
        <v>0</v>
      </c>
      <c r="T106" s="750">
        <v>0</v>
      </c>
      <c r="U106" s="769" t="s">
        <v>199</v>
      </c>
      <c r="V106" s="769" t="s">
        <v>199</v>
      </c>
      <c r="W106" s="769" t="s">
        <v>199</v>
      </c>
      <c r="X106" s="750">
        <v>0</v>
      </c>
      <c r="Y106" s="750">
        <v>0</v>
      </c>
      <c r="Z106" s="750">
        <v>0</v>
      </c>
      <c r="AA106" s="750">
        <v>0</v>
      </c>
      <c r="AB106" s="750">
        <v>0</v>
      </c>
      <c r="AC106" s="750">
        <v>0</v>
      </c>
      <c r="AD106" s="750">
        <v>0</v>
      </c>
      <c r="AE106" s="750">
        <v>0</v>
      </c>
      <c r="AF106" s="750">
        <v>0</v>
      </c>
      <c r="AG106" s="750">
        <v>0</v>
      </c>
      <c r="AH106" s="750">
        <v>0</v>
      </c>
      <c r="AI106" s="750">
        <v>0</v>
      </c>
      <c r="AJ106" s="769" t="s">
        <v>199</v>
      </c>
      <c r="AK106" s="769" t="s">
        <v>199</v>
      </c>
      <c r="AL106" s="769" t="s">
        <v>199</v>
      </c>
      <c r="AM106" s="750">
        <v>0</v>
      </c>
      <c r="AN106" s="750">
        <v>0</v>
      </c>
      <c r="AO106" s="750">
        <v>0</v>
      </c>
      <c r="AP106" s="750">
        <v>0</v>
      </c>
      <c r="AQ106" s="750">
        <v>0</v>
      </c>
      <c r="AR106" s="750">
        <v>0</v>
      </c>
      <c r="AS106" s="750">
        <v>0</v>
      </c>
      <c r="AT106" s="750">
        <v>0</v>
      </c>
      <c r="AU106" s="750">
        <v>0</v>
      </c>
      <c r="AV106" s="750">
        <v>0</v>
      </c>
      <c r="AW106" s="750">
        <v>0</v>
      </c>
      <c r="AX106" s="750">
        <v>0</v>
      </c>
    </row>
    <row r="107" ht="15" customHeight="1" spans="2:50">
      <c r="B107" s="801"/>
      <c r="C107" s="784"/>
      <c r="D107" s="784"/>
      <c r="E107" s="784" t="s">
        <v>1534</v>
      </c>
      <c r="F107" s="769" t="s">
        <v>199</v>
      </c>
      <c r="G107" s="769" t="s">
        <v>199</v>
      </c>
      <c r="H107" s="769" t="s">
        <v>199</v>
      </c>
      <c r="I107" s="750">
        <v>0</v>
      </c>
      <c r="J107" s="750">
        <v>0</v>
      </c>
      <c r="K107" s="750">
        <v>0</v>
      </c>
      <c r="L107" s="750">
        <v>0</v>
      </c>
      <c r="M107" s="750">
        <v>0</v>
      </c>
      <c r="N107" s="750">
        <v>0</v>
      </c>
      <c r="O107" s="750">
        <v>0</v>
      </c>
      <c r="P107" s="750">
        <v>0</v>
      </c>
      <c r="Q107" s="750">
        <v>0</v>
      </c>
      <c r="R107" s="750">
        <v>0</v>
      </c>
      <c r="S107" s="750">
        <v>0</v>
      </c>
      <c r="T107" s="750">
        <v>0</v>
      </c>
      <c r="U107" s="769" t="s">
        <v>199</v>
      </c>
      <c r="V107" s="769" t="s">
        <v>199</v>
      </c>
      <c r="W107" s="769" t="s">
        <v>199</v>
      </c>
      <c r="X107" s="750">
        <v>0</v>
      </c>
      <c r="Y107" s="750">
        <v>0</v>
      </c>
      <c r="Z107" s="750">
        <v>0</v>
      </c>
      <c r="AA107" s="750">
        <v>0</v>
      </c>
      <c r="AB107" s="750">
        <v>0</v>
      </c>
      <c r="AC107" s="750">
        <v>0</v>
      </c>
      <c r="AD107" s="750">
        <v>0</v>
      </c>
      <c r="AE107" s="750">
        <v>0</v>
      </c>
      <c r="AF107" s="750">
        <v>0</v>
      </c>
      <c r="AG107" s="750">
        <v>0</v>
      </c>
      <c r="AH107" s="750">
        <v>0</v>
      </c>
      <c r="AI107" s="750">
        <v>0</v>
      </c>
      <c r="AJ107" s="769" t="s">
        <v>199</v>
      </c>
      <c r="AK107" s="769" t="s">
        <v>199</v>
      </c>
      <c r="AL107" s="769" t="s">
        <v>199</v>
      </c>
      <c r="AM107" s="750">
        <v>0</v>
      </c>
      <c r="AN107" s="750">
        <v>0</v>
      </c>
      <c r="AO107" s="750">
        <v>0</v>
      </c>
      <c r="AP107" s="750">
        <v>0</v>
      </c>
      <c r="AQ107" s="750">
        <v>0</v>
      </c>
      <c r="AR107" s="750">
        <v>0</v>
      </c>
      <c r="AS107" s="750">
        <v>0</v>
      </c>
      <c r="AT107" s="750">
        <v>0</v>
      </c>
      <c r="AU107" s="750">
        <v>0</v>
      </c>
      <c r="AV107" s="750">
        <v>0</v>
      </c>
      <c r="AW107" s="750">
        <v>0</v>
      </c>
      <c r="AX107" s="750">
        <v>0</v>
      </c>
    </row>
    <row r="108" ht="15" customHeight="1" spans="2:50">
      <c r="B108" s="801"/>
      <c r="C108" s="784"/>
      <c r="D108" s="784"/>
      <c r="E108" s="784" t="s">
        <v>1534</v>
      </c>
      <c r="F108" s="769" t="s">
        <v>199</v>
      </c>
      <c r="G108" s="769" t="s">
        <v>199</v>
      </c>
      <c r="H108" s="769" t="s">
        <v>199</v>
      </c>
      <c r="I108" s="750">
        <v>0</v>
      </c>
      <c r="J108" s="750">
        <v>0</v>
      </c>
      <c r="K108" s="750">
        <v>0</v>
      </c>
      <c r="L108" s="750">
        <v>0</v>
      </c>
      <c r="M108" s="750">
        <v>0</v>
      </c>
      <c r="N108" s="750">
        <v>0</v>
      </c>
      <c r="O108" s="750">
        <v>0</v>
      </c>
      <c r="P108" s="750">
        <v>0</v>
      </c>
      <c r="Q108" s="750">
        <v>0</v>
      </c>
      <c r="R108" s="750">
        <v>0</v>
      </c>
      <c r="S108" s="750">
        <v>0</v>
      </c>
      <c r="T108" s="750">
        <v>0</v>
      </c>
      <c r="U108" s="769" t="s">
        <v>199</v>
      </c>
      <c r="V108" s="769" t="s">
        <v>199</v>
      </c>
      <c r="W108" s="769" t="s">
        <v>199</v>
      </c>
      <c r="X108" s="750">
        <v>0</v>
      </c>
      <c r="Y108" s="750">
        <v>0</v>
      </c>
      <c r="Z108" s="750">
        <v>0</v>
      </c>
      <c r="AA108" s="750">
        <v>0</v>
      </c>
      <c r="AB108" s="750">
        <v>0</v>
      </c>
      <c r="AC108" s="750">
        <v>0</v>
      </c>
      <c r="AD108" s="750">
        <v>0</v>
      </c>
      <c r="AE108" s="750">
        <v>0</v>
      </c>
      <c r="AF108" s="750">
        <v>0</v>
      </c>
      <c r="AG108" s="750">
        <v>0</v>
      </c>
      <c r="AH108" s="750">
        <v>0</v>
      </c>
      <c r="AI108" s="750">
        <v>0</v>
      </c>
      <c r="AJ108" s="769" t="s">
        <v>199</v>
      </c>
      <c r="AK108" s="769" t="s">
        <v>199</v>
      </c>
      <c r="AL108" s="769" t="s">
        <v>199</v>
      </c>
      <c r="AM108" s="750">
        <v>0</v>
      </c>
      <c r="AN108" s="750">
        <v>0</v>
      </c>
      <c r="AO108" s="750">
        <v>0</v>
      </c>
      <c r="AP108" s="750">
        <v>0</v>
      </c>
      <c r="AQ108" s="750">
        <v>0</v>
      </c>
      <c r="AR108" s="750">
        <v>0</v>
      </c>
      <c r="AS108" s="750">
        <v>0</v>
      </c>
      <c r="AT108" s="750">
        <v>0</v>
      </c>
      <c r="AU108" s="750">
        <v>0</v>
      </c>
      <c r="AV108" s="750">
        <v>0</v>
      </c>
      <c r="AW108" s="750">
        <v>0</v>
      </c>
      <c r="AX108" s="750">
        <v>0</v>
      </c>
    </row>
    <row r="109" ht="15" customHeight="1" spans="2:50">
      <c r="B109" s="801"/>
      <c r="C109" s="784"/>
      <c r="D109" s="784"/>
      <c r="E109" s="784" t="s">
        <v>1534</v>
      </c>
      <c r="F109" s="769" t="s">
        <v>199</v>
      </c>
      <c r="G109" s="769" t="s">
        <v>199</v>
      </c>
      <c r="H109" s="769" t="s">
        <v>199</v>
      </c>
      <c r="I109" s="750">
        <v>0</v>
      </c>
      <c r="J109" s="750">
        <v>0</v>
      </c>
      <c r="K109" s="750">
        <v>0</v>
      </c>
      <c r="L109" s="750">
        <v>0</v>
      </c>
      <c r="M109" s="750">
        <v>0</v>
      </c>
      <c r="N109" s="750">
        <v>0</v>
      </c>
      <c r="O109" s="750">
        <v>0</v>
      </c>
      <c r="P109" s="750">
        <v>0</v>
      </c>
      <c r="Q109" s="750">
        <v>0</v>
      </c>
      <c r="R109" s="750">
        <v>0</v>
      </c>
      <c r="S109" s="750">
        <v>0</v>
      </c>
      <c r="T109" s="750">
        <v>0</v>
      </c>
      <c r="U109" s="769" t="s">
        <v>199</v>
      </c>
      <c r="V109" s="769" t="s">
        <v>199</v>
      </c>
      <c r="W109" s="769" t="s">
        <v>199</v>
      </c>
      <c r="X109" s="750">
        <v>0</v>
      </c>
      <c r="Y109" s="750">
        <v>0</v>
      </c>
      <c r="Z109" s="750">
        <v>0</v>
      </c>
      <c r="AA109" s="750">
        <v>0</v>
      </c>
      <c r="AB109" s="750">
        <v>0</v>
      </c>
      <c r="AC109" s="750">
        <v>0</v>
      </c>
      <c r="AD109" s="750">
        <v>0</v>
      </c>
      <c r="AE109" s="750">
        <v>0</v>
      </c>
      <c r="AF109" s="750">
        <v>0</v>
      </c>
      <c r="AG109" s="750">
        <v>0</v>
      </c>
      <c r="AH109" s="750">
        <v>0</v>
      </c>
      <c r="AI109" s="750">
        <v>0</v>
      </c>
      <c r="AJ109" s="769" t="s">
        <v>199</v>
      </c>
      <c r="AK109" s="769" t="s">
        <v>199</v>
      </c>
      <c r="AL109" s="769" t="s">
        <v>199</v>
      </c>
      <c r="AM109" s="750">
        <v>0</v>
      </c>
      <c r="AN109" s="750">
        <v>0</v>
      </c>
      <c r="AO109" s="750">
        <v>0</v>
      </c>
      <c r="AP109" s="750">
        <v>0</v>
      </c>
      <c r="AQ109" s="750">
        <v>0</v>
      </c>
      <c r="AR109" s="750">
        <v>0</v>
      </c>
      <c r="AS109" s="750">
        <v>0</v>
      </c>
      <c r="AT109" s="750">
        <v>0</v>
      </c>
      <c r="AU109" s="750">
        <v>0</v>
      </c>
      <c r="AV109" s="750">
        <v>0</v>
      </c>
      <c r="AW109" s="750">
        <v>0</v>
      </c>
      <c r="AX109" s="750">
        <v>0</v>
      </c>
    </row>
    <row r="110" ht="15" customHeight="1" spans="2:50">
      <c r="B110" s="801"/>
      <c r="C110" s="784"/>
      <c r="D110" s="784"/>
      <c r="E110" s="784" t="s">
        <v>1534</v>
      </c>
      <c r="F110" s="769" t="s">
        <v>199</v>
      </c>
      <c r="G110" s="769" t="s">
        <v>199</v>
      </c>
      <c r="H110" s="769" t="s">
        <v>199</v>
      </c>
      <c r="I110" s="750">
        <v>0</v>
      </c>
      <c r="J110" s="750">
        <v>0</v>
      </c>
      <c r="K110" s="750">
        <v>0</v>
      </c>
      <c r="L110" s="750">
        <v>0</v>
      </c>
      <c r="M110" s="750">
        <v>0</v>
      </c>
      <c r="N110" s="750">
        <v>0</v>
      </c>
      <c r="O110" s="750">
        <v>0</v>
      </c>
      <c r="P110" s="750">
        <v>0</v>
      </c>
      <c r="Q110" s="750">
        <v>0</v>
      </c>
      <c r="R110" s="750">
        <v>0</v>
      </c>
      <c r="S110" s="750">
        <v>0</v>
      </c>
      <c r="T110" s="750">
        <v>0</v>
      </c>
      <c r="U110" s="769" t="s">
        <v>199</v>
      </c>
      <c r="V110" s="769" t="s">
        <v>199</v>
      </c>
      <c r="W110" s="769" t="s">
        <v>199</v>
      </c>
      <c r="X110" s="750">
        <v>0</v>
      </c>
      <c r="Y110" s="750">
        <v>0</v>
      </c>
      <c r="Z110" s="750">
        <v>0</v>
      </c>
      <c r="AA110" s="750">
        <v>0</v>
      </c>
      <c r="AB110" s="750">
        <v>0</v>
      </c>
      <c r="AC110" s="750">
        <v>0</v>
      </c>
      <c r="AD110" s="750">
        <v>0</v>
      </c>
      <c r="AE110" s="750">
        <v>0</v>
      </c>
      <c r="AF110" s="750">
        <v>0</v>
      </c>
      <c r="AG110" s="750">
        <v>0</v>
      </c>
      <c r="AH110" s="750">
        <v>0</v>
      </c>
      <c r="AI110" s="750">
        <v>0</v>
      </c>
      <c r="AJ110" s="769" t="s">
        <v>199</v>
      </c>
      <c r="AK110" s="769" t="s">
        <v>199</v>
      </c>
      <c r="AL110" s="769" t="s">
        <v>199</v>
      </c>
      <c r="AM110" s="750">
        <v>0</v>
      </c>
      <c r="AN110" s="750">
        <v>0</v>
      </c>
      <c r="AO110" s="750">
        <v>0</v>
      </c>
      <c r="AP110" s="750">
        <v>0</v>
      </c>
      <c r="AQ110" s="750">
        <v>0</v>
      </c>
      <c r="AR110" s="750">
        <v>0</v>
      </c>
      <c r="AS110" s="750">
        <v>0</v>
      </c>
      <c r="AT110" s="750">
        <v>0</v>
      </c>
      <c r="AU110" s="750">
        <v>0</v>
      </c>
      <c r="AV110" s="750">
        <v>0</v>
      </c>
      <c r="AW110" s="750">
        <v>0</v>
      </c>
      <c r="AX110" s="750">
        <v>0</v>
      </c>
    </row>
    <row r="111" ht="15" customHeight="1" spans="2:50">
      <c r="B111" s="801"/>
      <c r="C111" s="784"/>
      <c r="D111" s="784"/>
      <c r="E111" s="784" t="s">
        <v>1534</v>
      </c>
      <c r="F111" s="769" t="s">
        <v>199</v>
      </c>
      <c r="G111" s="769" t="s">
        <v>199</v>
      </c>
      <c r="H111" s="769" t="s">
        <v>199</v>
      </c>
      <c r="I111" s="750">
        <v>0</v>
      </c>
      <c r="J111" s="750">
        <v>0</v>
      </c>
      <c r="K111" s="750">
        <v>0</v>
      </c>
      <c r="L111" s="750">
        <v>0</v>
      </c>
      <c r="M111" s="750">
        <v>0</v>
      </c>
      <c r="N111" s="750">
        <v>0</v>
      </c>
      <c r="O111" s="750">
        <v>0</v>
      </c>
      <c r="P111" s="750">
        <v>0</v>
      </c>
      <c r="Q111" s="750">
        <v>0</v>
      </c>
      <c r="R111" s="750">
        <v>0</v>
      </c>
      <c r="S111" s="750">
        <v>0</v>
      </c>
      <c r="T111" s="750">
        <v>0</v>
      </c>
      <c r="U111" s="769" t="s">
        <v>199</v>
      </c>
      <c r="V111" s="769" t="s">
        <v>199</v>
      </c>
      <c r="W111" s="769" t="s">
        <v>199</v>
      </c>
      <c r="X111" s="750">
        <v>0</v>
      </c>
      <c r="Y111" s="750">
        <v>0</v>
      </c>
      <c r="Z111" s="750">
        <v>0</v>
      </c>
      <c r="AA111" s="750">
        <v>0</v>
      </c>
      <c r="AB111" s="750">
        <v>0</v>
      </c>
      <c r="AC111" s="750">
        <v>0</v>
      </c>
      <c r="AD111" s="750">
        <v>0</v>
      </c>
      <c r="AE111" s="750">
        <v>0</v>
      </c>
      <c r="AF111" s="750">
        <v>0</v>
      </c>
      <c r="AG111" s="750">
        <v>0</v>
      </c>
      <c r="AH111" s="750">
        <v>0</v>
      </c>
      <c r="AI111" s="750">
        <v>0</v>
      </c>
      <c r="AJ111" s="769" t="s">
        <v>199</v>
      </c>
      <c r="AK111" s="769" t="s">
        <v>199</v>
      </c>
      <c r="AL111" s="769" t="s">
        <v>199</v>
      </c>
      <c r="AM111" s="750">
        <v>0</v>
      </c>
      <c r="AN111" s="750">
        <v>0</v>
      </c>
      <c r="AO111" s="750">
        <v>0</v>
      </c>
      <c r="AP111" s="750">
        <v>0</v>
      </c>
      <c r="AQ111" s="750">
        <v>0</v>
      </c>
      <c r="AR111" s="750">
        <v>0</v>
      </c>
      <c r="AS111" s="750">
        <v>0</v>
      </c>
      <c r="AT111" s="750">
        <v>0</v>
      </c>
      <c r="AU111" s="750">
        <v>0</v>
      </c>
      <c r="AV111" s="750">
        <v>0</v>
      </c>
      <c r="AW111" s="750">
        <v>0</v>
      </c>
      <c r="AX111" s="750">
        <v>0</v>
      </c>
    </row>
    <row r="112" ht="15" customHeight="1" spans="2:50">
      <c r="B112" s="801"/>
      <c r="C112" s="784"/>
      <c r="D112" s="784"/>
      <c r="E112" s="784" t="s">
        <v>1534</v>
      </c>
      <c r="F112" s="769" t="s">
        <v>199</v>
      </c>
      <c r="G112" s="769" t="s">
        <v>199</v>
      </c>
      <c r="H112" s="769" t="s">
        <v>199</v>
      </c>
      <c r="I112" s="750">
        <v>0</v>
      </c>
      <c r="J112" s="750">
        <v>0</v>
      </c>
      <c r="K112" s="750">
        <v>0</v>
      </c>
      <c r="L112" s="750">
        <v>0</v>
      </c>
      <c r="M112" s="750">
        <v>0</v>
      </c>
      <c r="N112" s="750">
        <v>0</v>
      </c>
      <c r="O112" s="750">
        <v>0</v>
      </c>
      <c r="P112" s="750">
        <v>0</v>
      </c>
      <c r="Q112" s="750">
        <v>0</v>
      </c>
      <c r="R112" s="750">
        <v>0</v>
      </c>
      <c r="S112" s="750">
        <v>0</v>
      </c>
      <c r="T112" s="750">
        <v>0</v>
      </c>
      <c r="U112" s="769" t="s">
        <v>199</v>
      </c>
      <c r="V112" s="769" t="s">
        <v>199</v>
      </c>
      <c r="W112" s="769" t="s">
        <v>199</v>
      </c>
      <c r="X112" s="750">
        <v>0</v>
      </c>
      <c r="Y112" s="750">
        <v>0</v>
      </c>
      <c r="Z112" s="750">
        <v>0</v>
      </c>
      <c r="AA112" s="750">
        <v>0</v>
      </c>
      <c r="AB112" s="750">
        <v>0</v>
      </c>
      <c r="AC112" s="750">
        <v>0</v>
      </c>
      <c r="AD112" s="750">
        <v>0</v>
      </c>
      <c r="AE112" s="750">
        <v>0</v>
      </c>
      <c r="AF112" s="750">
        <v>0</v>
      </c>
      <c r="AG112" s="750">
        <v>0</v>
      </c>
      <c r="AH112" s="750">
        <v>0</v>
      </c>
      <c r="AI112" s="750">
        <v>0</v>
      </c>
      <c r="AJ112" s="769" t="s">
        <v>199</v>
      </c>
      <c r="AK112" s="769" t="s">
        <v>199</v>
      </c>
      <c r="AL112" s="769" t="s">
        <v>199</v>
      </c>
      <c r="AM112" s="750">
        <v>0</v>
      </c>
      <c r="AN112" s="750">
        <v>0</v>
      </c>
      <c r="AO112" s="750">
        <v>0</v>
      </c>
      <c r="AP112" s="750">
        <v>0</v>
      </c>
      <c r="AQ112" s="750">
        <v>0</v>
      </c>
      <c r="AR112" s="750">
        <v>0</v>
      </c>
      <c r="AS112" s="750">
        <v>0</v>
      </c>
      <c r="AT112" s="750">
        <v>0</v>
      </c>
      <c r="AU112" s="750">
        <v>0</v>
      </c>
      <c r="AV112" s="750">
        <v>0</v>
      </c>
      <c r="AW112" s="750">
        <v>0</v>
      </c>
      <c r="AX112" s="750">
        <v>0</v>
      </c>
    </row>
    <row r="113" ht="15" customHeight="1" spans="2:50">
      <c r="B113" s="801"/>
      <c r="C113" s="784"/>
      <c r="D113" s="784"/>
      <c r="E113" s="784" t="s">
        <v>1534</v>
      </c>
      <c r="F113" s="769" t="s">
        <v>199</v>
      </c>
      <c r="G113" s="769" t="s">
        <v>199</v>
      </c>
      <c r="H113" s="769" t="s">
        <v>199</v>
      </c>
      <c r="I113" s="750">
        <v>0</v>
      </c>
      <c r="J113" s="750">
        <v>0</v>
      </c>
      <c r="K113" s="750">
        <v>0</v>
      </c>
      <c r="L113" s="750">
        <v>0</v>
      </c>
      <c r="M113" s="750">
        <v>0</v>
      </c>
      <c r="N113" s="750">
        <v>0</v>
      </c>
      <c r="O113" s="750">
        <v>0</v>
      </c>
      <c r="P113" s="750">
        <v>0</v>
      </c>
      <c r="Q113" s="750">
        <v>0</v>
      </c>
      <c r="R113" s="750">
        <v>0</v>
      </c>
      <c r="S113" s="750">
        <v>0</v>
      </c>
      <c r="T113" s="750">
        <v>0</v>
      </c>
      <c r="U113" s="769" t="s">
        <v>199</v>
      </c>
      <c r="V113" s="769" t="s">
        <v>199</v>
      </c>
      <c r="W113" s="769" t="s">
        <v>199</v>
      </c>
      <c r="X113" s="750">
        <v>0</v>
      </c>
      <c r="Y113" s="750">
        <v>0</v>
      </c>
      <c r="Z113" s="750">
        <v>0</v>
      </c>
      <c r="AA113" s="750">
        <v>0</v>
      </c>
      <c r="AB113" s="750">
        <v>0</v>
      </c>
      <c r="AC113" s="750">
        <v>0</v>
      </c>
      <c r="AD113" s="750">
        <v>0</v>
      </c>
      <c r="AE113" s="750">
        <v>0</v>
      </c>
      <c r="AF113" s="750">
        <v>0</v>
      </c>
      <c r="AG113" s="750">
        <v>0</v>
      </c>
      <c r="AH113" s="750">
        <v>0</v>
      </c>
      <c r="AI113" s="750">
        <v>0</v>
      </c>
      <c r="AJ113" s="769" t="s">
        <v>199</v>
      </c>
      <c r="AK113" s="769" t="s">
        <v>199</v>
      </c>
      <c r="AL113" s="769" t="s">
        <v>199</v>
      </c>
      <c r="AM113" s="750">
        <v>0</v>
      </c>
      <c r="AN113" s="750">
        <v>0</v>
      </c>
      <c r="AO113" s="750">
        <v>0</v>
      </c>
      <c r="AP113" s="750">
        <v>0</v>
      </c>
      <c r="AQ113" s="750">
        <v>0</v>
      </c>
      <c r="AR113" s="750">
        <v>0</v>
      </c>
      <c r="AS113" s="750">
        <v>0</v>
      </c>
      <c r="AT113" s="750">
        <v>0</v>
      </c>
      <c r="AU113" s="750">
        <v>0</v>
      </c>
      <c r="AV113" s="750">
        <v>0</v>
      </c>
      <c r="AW113" s="750">
        <v>0</v>
      </c>
      <c r="AX113" s="750">
        <v>0</v>
      </c>
    </row>
    <row r="114" ht="15" customHeight="1" spans="2:50">
      <c r="B114" s="801"/>
      <c r="C114" s="784"/>
      <c r="D114" s="784"/>
      <c r="E114" s="784" t="s">
        <v>1534</v>
      </c>
      <c r="F114" s="769" t="s">
        <v>199</v>
      </c>
      <c r="G114" s="769" t="s">
        <v>199</v>
      </c>
      <c r="H114" s="769" t="s">
        <v>199</v>
      </c>
      <c r="I114" s="750">
        <v>0</v>
      </c>
      <c r="J114" s="750">
        <v>0</v>
      </c>
      <c r="K114" s="750">
        <v>0</v>
      </c>
      <c r="L114" s="750">
        <v>0</v>
      </c>
      <c r="M114" s="750">
        <v>0</v>
      </c>
      <c r="N114" s="750">
        <v>0</v>
      </c>
      <c r="O114" s="750">
        <v>0</v>
      </c>
      <c r="P114" s="750">
        <v>0</v>
      </c>
      <c r="Q114" s="750">
        <v>0</v>
      </c>
      <c r="R114" s="750">
        <v>0</v>
      </c>
      <c r="S114" s="750">
        <v>0</v>
      </c>
      <c r="T114" s="750">
        <v>0</v>
      </c>
      <c r="U114" s="769" t="s">
        <v>199</v>
      </c>
      <c r="V114" s="769" t="s">
        <v>199</v>
      </c>
      <c r="W114" s="769" t="s">
        <v>199</v>
      </c>
      <c r="X114" s="750">
        <v>0</v>
      </c>
      <c r="Y114" s="750">
        <v>0</v>
      </c>
      <c r="Z114" s="750">
        <v>0</v>
      </c>
      <c r="AA114" s="750">
        <v>0</v>
      </c>
      <c r="AB114" s="750">
        <v>0</v>
      </c>
      <c r="AC114" s="750">
        <v>0</v>
      </c>
      <c r="AD114" s="750">
        <v>0</v>
      </c>
      <c r="AE114" s="750">
        <v>0</v>
      </c>
      <c r="AF114" s="750">
        <v>0</v>
      </c>
      <c r="AG114" s="750">
        <v>0</v>
      </c>
      <c r="AH114" s="750">
        <v>0</v>
      </c>
      <c r="AI114" s="750">
        <v>0</v>
      </c>
      <c r="AJ114" s="769" t="s">
        <v>199</v>
      </c>
      <c r="AK114" s="769" t="s">
        <v>199</v>
      </c>
      <c r="AL114" s="769" t="s">
        <v>199</v>
      </c>
      <c r="AM114" s="750">
        <v>0</v>
      </c>
      <c r="AN114" s="750">
        <v>0</v>
      </c>
      <c r="AO114" s="750">
        <v>0</v>
      </c>
      <c r="AP114" s="750">
        <v>0</v>
      </c>
      <c r="AQ114" s="750">
        <v>0</v>
      </c>
      <c r="AR114" s="750">
        <v>0</v>
      </c>
      <c r="AS114" s="750">
        <v>0</v>
      </c>
      <c r="AT114" s="750">
        <v>0</v>
      </c>
      <c r="AU114" s="750">
        <v>0</v>
      </c>
      <c r="AV114" s="750">
        <v>0</v>
      </c>
      <c r="AW114" s="750">
        <v>0</v>
      </c>
      <c r="AX114" s="750">
        <v>0</v>
      </c>
    </row>
    <row r="115" ht="15" customHeight="1" spans="2:50">
      <c r="B115" s="801"/>
      <c r="C115" s="784"/>
      <c r="D115" s="784"/>
      <c r="E115" s="784" t="s">
        <v>1534</v>
      </c>
      <c r="F115" s="769" t="s">
        <v>199</v>
      </c>
      <c r="G115" s="769" t="s">
        <v>199</v>
      </c>
      <c r="H115" s="769" t="s">
        <v>199</v>
      </c>
      <c r="I115" s="750">
        <v>0</v>
      </c>
      <c r="J115" s="750">
        <v>0</v>
      </c>
      <c r="K115" s="750">
        <v>0</v>
      </c>
      <c r="L115" s="750">
        <v>0</v>
      </c>
      <c r="M115" s="750">
        <v>0</v>
      </c>
      <c r="N115" s="750">
        <v>0</v>
      </c>
      <c r="O115" s="750">
        <v>0</v>
      </c>
      <c r="P115" s="750">
        <v>0</v>
      </c>
      <c r="Q115" s="750">
        <v>0</v>
      </c>
      <c r="R115" s="750">
        <v>0</v>
      </c>
      <c r="S115" s="750">
        <v>0</v>
      </c>
      <c r="T115" s="750">
        <v>0</v>
      </c>
      <c r="U115" s="769" t="s">
        <v>199</v>
      </c>
      <c r="V115" s="769" t="s">
        <v>199</v>
      </c>
      <c r="W115" s="769" t="s">
        <v>199</v>
      </c>
      <c r="X115" s="750">
        <v>0</v>
      </c>
      <c r="Y115" s="750">
        <v>0</v>
      </c>
      <c r="Z115" s="750">
        <v>0</v>
      </c>
      <c r="AA115" s="750">
        <v>0</v>
      </c>
      <c r="AB115" s="750">
        <v>0</v>
      </c>
      <c r="AC115" s="750">
        <v>0</v>
      </c>
      <c r="AD115" s="750">
        <v>0</v>
      </c>
      <c r="AE115" s="750">
        <v>0</v>
      </c>
      <c r="AF115" s="750">
        <v>0</v>
      </c>
      <c r="AG115" s="750">
        <v>0</v>
      </c>
      <c r="AH115" s="750">
        <v>0</v>
      </c>
      <c r="AI115" s="750">
        <v>0</v>
      </c>
      <c r="AJ115" s="769" t="s">
        <v>199</v>
      </c>
      <c r="AK115" s="769" t="s">
        <v>199</v>
      </c>
      <c r="AL115" s="769" t="s">
        <v>199</v>
      </c>
      <c r="AM115" s="750">
        <v>0</v>
      </c>
      <c r="AN115" s="750">
        <v>0</v>
      </c>
      <c r="AO115" s="750">
        <v>0</v>
      </c>
      <c r="AP115" s="750">
        <v>0</v>
      </c>
      <c r="AQ115" s="750">
        <v>0</v>
      </c>
      <c r="AR115" s="750">
        <v>0</v>
      </c>
      <c r="AS115" s="750">
        <v>0</v>
      </c>
      <c r="AT115" s="750">
        <v>0</v>
      </c>
      <c r="AU115" s="750">
        <v>0</v>
      </c>
      <c r="AV115" s="750">
        <v>0</v>
      </c>
      <c r="AW115" s="750">
        <v>0</v>
      </c>
      <c r="AX115" s="750">
        <v>0</v>
      </c>
    </row>
    <row r="116" ht="15" customHeight="1" spans="2:50">
      <c r="B116" s="801"/>
      <c r="C116" s="784"/>
      <c r="D116" s="784"/>
      <c r="E116" s="784" t="s">
        <v>1534</v>
      </c>
      <c r="F116" s="769" t="s">
        <v>199</v>
      </c>
      <c r="G116" s="769" t="s">
        <v>199</v>
      </c>
      <c r="H116" s="769" t="s">
        <v>199</v>
      </c>
      <c r="I116" s="750">
        <v>0</v>
      </c>
      <c r="J116" s="750">
        <v>0</v>
      </c>
      <c r="K116" s="750">
        <v>0</v>
      </c>
      <c r="L116" s="750">
        <v>0</v>
      </c>
      <c r="M116" s="750">
        <v>0</v>
      </c>
      <c r="N116" s="750">
        <v>0</v>
      </c>
      <c r="O116" s="750">
        <v>0</v>
      </c>
      <c r="P116" s="750">
        <v>0</v>
      </c>
      <c r="Q116" s="750">
        <v>0</v>
      </c>
      <c r="R116" s="750">
        <v>0</v>
      </c>
      <c r="S116" s="750">
        <v>0</v>
      </c>
      <c r="T116" s="750">
        <v>0</v>
      </c>
      <c r="U116" s="769" t="s">
        <v>199</v>
      </c>
      <c r="V116" s="769" t="s">
        <v>199</v>
      </c>
      <c r="W116" s="769" t="s">
        <v>199</v>
      </c>
      <c r="X116" s="750">
        <v>0</v>
      </c>
      <c r="Y116" s="750">
        <v>0</v>
      </c>
      <c r="Z116" s="750">
        <v>0</v>
      </c>
      <c r="AA116" s="750">
        <v>0</v>
      </c>
      <c r="AB116" s="750">
        <v>0</v>
      </c>
      <c r="AC116" s="750">
        <v>0</v>
      </c>
      <c r="AD116" s="750">
        <v>0</v>
      </c>
      <c r="AE116" s="750">
        <v>0</v>
      </c>
      <c r="AF116" s="750">
        <v>0</v>
      </c>
      <c r="AG116" s="750">
        <v>0</v>
      </c>
      <c r="AH116" s="750">
        <v>0</v>
      </c>
      <c r="AI116" s="750">
        <v>0</v>
      </c>
      <c r="AJ116" s="769" t="s">
        <v>199</v>
      </c>
      <c r="AK116" s="769" t="s">
        <v>199</v>
      </c>
      <c r="AL116" s="769" t="s">
        <v>199</v>
      </c>
      <c r="AM116" s="750">
        <v>0</v>
      </c>
      <c r="AN116" s="750">
        <v>0</v>
      </c>
      <c r="AO116" s="750">
        <v>0</v>
      </c>
      <c r="AP116" s="750">
        <v>0</v>
      </c>
      <c r="AQ116" s="750">
        <v>0</v>
      </c>
      <c r="AR116" s="750">
        <v>0</v>
      </c>
      <c r="AS116" s="750">
        <v>0</v>
      </c>
      <c r="AT116" s="750">
        <v>0</v>
      </c>
      <c r="AU116" s="750">
        <v>0</v>
      </c>
      <c r="AV116" s="750">
        <v>0</v>
      </c>
      <c r="AW116" s="750">
        <v>0</v>
      </c>
      <c r="AX116" s="750">
        <v>0</v>
      </c>
    </row>
    <row r="117" ht="15" customHeight="1" spans="2:50">
      <c r="B117" s="801"/>
      <c r="C117" s="784"/>
      <c r="D117" s="784"/>
      <c r="E117" s="784" t="s">
        <v>1534</v>
      </c>
      <c r="F117" s="769" t="s">
        <v>199</v>
      </c>
      <c r="G117" s="769" t="s">
        <v>199</v>
      </c>
      <c r="H117" s="769" t="s">
        <v>199</v>
      </c>
      <c r="I117" s="750">
        <v>0</v>
      </c>
      <c r="J117" s="750">
        <v>0</v>
      </c>
      <c r="K117" s="750">
        <v>0</v>
      </c>
      <c r="L117" s="750">
        <v>0</v>
      </c>
      <c r="M117" s="750">
        <v>0</v>
      </c>
      <c r="N117" s="750">
        <v>0</v>
      </c>
      <c r="O117" s="750">
        <v>0</v>
      </c>
      <c r="P117" s="750">
        <v>0</v>
      </c>
      <c r="Q117" s="750">
        <v>0</v>
      </c>
      <c r="R117" s="750">
        <v>0</v>
      </c>
      <c r="S117" s="750">
        <v>0</v>
      </c>
      <c r="T117" s="750">
        <v>0</v>
      </c>
      <c r="U117" s="769" t="s">
        <v>199</v>
      </c>
      <c r="V117" s="769" t="s">
        <v>199</v>
      </c>
      <c r="W117" s="769" t="s">
        <v>199</v>
      </c>
      <c r="X117" s="750">
        <v>0</v>
      </c>
      <c r="Y117" s="750">
        <v>0</v>
      </c>
      <c r="Z117" s="750">
        <v>0</v>
      </c>
      <c r="AA117" s="750">
        <v>0</v>
      </c>
      <c r="AB117" s="750">
        <v>0</v>
      </c>
      <c r="AC117" s="750">
        <v>0</v>
      </c>
      <c r="AD117" s="750">
        <v>0</v>
      </c>
      <c r="AE117" s="750">
        <v>0</v>
      </c>
      <c r="AF117" s="750">
        <v>0</v>
      </c>
      <c r="AG117" s="750">
        <v>0</v>
      </c>
      <c r="AH117" s="750">
        <v>0</v>
      </c>
      <c r="AI117" s="750">
        <v>0</v>
      </c>
      <c r="AJ117" s="769" t="s">
        <v>199</v>
      </c>
      <c r="AK117" s="769" t="s">
        <v>199</v>
      </c>
      <c r="AL117" s="769" t="s">
        <v>199</v>
      </c>
      <c r="AM117" s="750">
        <v>0</v>
      </c>
      <c r="AN117" s="750">
        <v>0</v>
      </c>
      <c r="AO117" s="750">
        <v>0</v>
      </c>
      <c r="AP117" s="750">
        <v>0</v>
      </c>
      <c r="AQ117" s="750">
        <v>0</v>
      </c>
      <c r="AR117" s="750">
        <v>0</v>
      </c>
      <c r="AS117" s="750">
        <v>0</v>
      </c>
      <c r="AT117" s="750">
        <v>0</v>
      </c>
      <c r="AU117" s="750">
        <v>0</v>
      </c>
      <c r="AV117" s="750">
        <v>0</v>
      </c>
      <c r="AW117" s="750">
        <v>0</v>
      </c>
      <c r="AX117" s="750">
        <v>0</v>
      </c>
    </row>
    <row r="118" ht="15" customHeight="1" spans="2:50">
      <c r="B118" s="801"/>
      <c r="C118" s="784"/>
      <c r="D118" s="784"/>
      <c r="E118" s="784" t="s">
        <v>1534</v>
      </c>
      <c r="F118" s="769" t="s">
        <v>199</v>
      </c>
      <c r="G118" s="769" t="s">
        <v>199</v>
      </c>
      <c r="H118" s="769" t="s">
        <v>199</v>
      </c>
      <c r="I118" s="750">
        <v>0</v>
      </c>
      <c r="J118" s="750">
        <v>0</v>
      </c>
      <c r="K118" s="750">
        <v>0</v>
      </c>
      <c r="L118" s="750">
        <v>0</v>
      </c>
      <c r="M118" s="750">
        <v>0</v>
      </c>
      <c r="N118" s="750">
        <v>0</v>
      </c>
      <c r="O118" s="750">
        <v>0</v>
      </c>
      <c r="P118" s="750">
        <v>0</v>
      </c>
      <c r="Q118" s="750">
        <v>0</v>
      </c>
      <c r="R118" s="750">
        <v>0</v>
      </c>
      <c r="S118" s="750">
        <v>0</v>
      </c>
      <c r="T118" s="750">
        <v>0</v>
      </c>
      <c r="U118" s="769" t="s">
        <v>199</v>
      </c>
      <c r="V118" s="769" t="s">
        <v>199</v>
      </c>
      <c r="W118" s="769" t="s">
        <v>199</v>
      </c>
      <c r="X118" s="750">
        <v>0</v>
      </c>
      <c r="Y118" s="750">
        <v>0</v>
      </c>
      <c r="Z118" s="750">
        <v>0</v>
      </c>
      <c r="AA118" s="750">
        <v>0</v>
      </c>
      <c r="AB118" s="750">
        <v>0</v>
      </c>
      <c r="AC118" s="750">
        <v>0</v>
      </c>
      <c r="AD118" s="750">
        <v>0</v>
      </c>
      <c r="AE118" s="750">
        <v>0</v>
      </c>
      <c r="AF118" s="750">
        <v>0</v>
      </c>
      <c r="AG118" s="750">
        <v>0</v>
      </c>
      <c r="AH118" s="750">
        <v>0</v>
      </c>
      <c r="AI118" s="750">
        <v>0</v>
      </c>
      <c r="AJ118" s="769" t="s">
        <v>199</v>
      </c>
      <c r="AK118" s="769" t="s">
        <v>199</v>
      </c>
      <c r="AL118" s="769" t="s">
        <v>199</v>
      </c>
      <c r="AM118" s="750">
        <v>0</v>
      </c>
      <c r="AN118" s="750">
        <v>0</v>
      </c>
      <c r="AO118" s="750">
        <v>0</v>
      </c>
      <c r="AP118" s="750">
        <v>0</v>
      </c>
      <c r="AQ118" s="750">
        <v>0</v>
      </c>
      <c r="AR118" s="750">
        <v>0</v>
      </c>
      <c r="AS118" s="750">
        <v>0</v>
      </c>
      <c r="AT118" s="750">
        <v>0</v>
      </c>
      <c r="AU118" s="750">
        <v>0</v>
      </c>
      <c r="AV118" s="750">
        <v>0</v>
      </c>
      <c r="AW118" s="750">
        <v>0</v>
      </c>
      <c r="AX118" s="750">
        <v>0</v>
      </c>
    </row>
    <row r="119" ht="15" customHeight="1" spans="2:50">
      <c r="B119" s="801"/>
      <c r="C119" s="784"/>
      <c r="D119" s="784"/>
      <c r="E119" s="784" t="s">
        <v>1534</v>
      </c>
      <c r="F119" s="769" t="s">
        <v>199</v>
      </c>
      <c r="G119" s="769" t="s">
        <v>199</v>
      </c>
      <c r="H119" s="769" t="s">
        <v>199</v>
      </c>
      <c r="I119" s="750">
        <v>0</v>
      </c>
      <c r="J119" s="750">
        <v>0</v>
      </c>
      <c r="K119" s="750">
        <v>0</v>
      </c>
      <c r="L119" s="750">
        <v>0</v>
      </c>
      <c r="M119" s="750">
        <v>0</v>
      </c>
      <c r="N119" s="750">
        <v>0</v>
      </c>
      <c r="O119" s="750">
        <v>0</v>
      </c>
      <c r="P119" s="750">
        <v>0</v>
      </c>
      <c r="Q119" s="750">
        <v>0</v>
      </c>
      <c r="R119" s="750">
        <v>0</v>
      </c>
      <c r="S119" s="750">
        <v>0</v>
      </c>
      <c r="T119" s="750">
        <v>0</v>
      </c>
      <c r="U119" s="769" t="s">
        <v>199</v>
      </c>
      <c r="V119" s="769" t="s">
        <v>199</v>
      </c>
      <c r="W119" s="769" t="s">
        <v>199</v>
      </c>
      <c r="X119" s="750">
        <v>0</v>
      </c>
      <c r="Y119" s="750">
        <v>0</v>
      </c>
      <c r="Z119" s="750">
        <v>0</v>
      </c>
      <c r="AA119" s="750">
        <v>0</v>
      </c>
      <c r="AB119" s="750">
        <v>0</v>
      </c>
      <c r="AC119" s="750">
        <v>0</v>
      </c>
      <c r="AD119" s="750">
        <v>0</v>
      </c>
      <c r="AE119" s="750">
        <v>0</v>
      </c>
      <c r="AF119" s="750">
        <v>0</v>
      </c>
      <c r="AG119" s="750">
        <v>0</v>
      </c>
      <c r="AH119" s="750">
        <v>0</v>
      </c>
      <c r="AI119" s="750">
        <v>0</v>
      </c>
      <c r="AJ119" s="769" t="s">
        <v>199</v>
      </c>
      <c r="AK119" s="769" t="s">
        <v>199</v>
      </c>
      <c r="AL119" s="769" t="s">
        <v>199</v>
      </c>
      <c r="AM119" s="750">
        <v>0</v>
      </c>
      <c r="AN119" s="750">
        <v>0</v>
      </c>
      <c r="AO119" s="750">
        <v>0</v>
      </c>
      <c r="AP119" s="750">
        <v>0</v>
      </c>
      <c r="AQ119" s="750">
        <v>0</v>
      </c>
      <c r="AR119" s="750">
        <v>0</v>
      </c>
      <c r="AS119" s="750">
        <v>0</v>
      </c>
      <c r="AT119" s="750">
        <v>0</v>
      </c>
      <c r="AU119" s="750">
        <v>0</v>
      </c>
      <c r="AV119" s="750">
        <v>0</v>
      </c>
      <c r="AW119" s="750">
        <v>0</v>
      </c>
      <c r="AX119" s="750">
        <v>0</v>
      </c>
    </row>
  </sheetData>
  <mergeCells count="20">
    <mergeCell ref="I21:T21"/>
    <mergeCell ref="X21:AI21"/>
    <mergeCell ref="AM21:AX21"/>
    <mergeCell ref="B21:B22"/>
    <mergeCell ref="C21:C22"/>
    <mergeCell ref="D21:D22"/>
    <mergeCell ref="E21:E22"/>
    <mergeCell ref="F17:F18"/>
    <mergeCell ref="F21:F22"/>
    <mergeCell ref="G17:G18"/>
    <mergeCell ref="G21:G22"/>
    <mergeCell ref="H21:H22"/>
    <mergeCell ref="U21:U22"/>
    <mergeCell ref="V21:V22"/>
    <mergeCell ref="W21:W22"/>
    <mergeCell ref="AJ21:AJ22"/>
    <mergeCell ref="AK21:AK22"/>
    <mergeCell ref="AL21:AL22"/>
    <mergeCell ref="B11:E14"/>
    <mergeCell ref="B15:E16"/>
  </mergeCells>
  <hyperlinks>
    <hyperlink ref="A1" location="目录!A1" display="← 返回目录"/>
  </hyperlinks>
  <pageMargins left="0.7" right="0.7" top="0.75" bottom="0.75" header="0.3" footer="0.3"/>
  <pageSetup paperSize="1" orientation="portrait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4">
    <tabColor rgb="FF00B0F0"/>
  </sheetPr>
  <dimension ref="A1:BM119"/>
  <sheetViews>
    <sheetView showGridLines="0" showZeros="0" zoomScale="85" zoomScaleNormal="85" topLeftCell="A10" workbookViewId="0">
      <pane xSplit="1" ySplit="15" topLeftCell="B25" activePane="bottomRight" state="frozen"/>
      <selection/>
      <selection pane="topRight"/>
      <selection pane="bottomLeft"/>
      <selection pane="bottomRight" activeCell="E35" sqref="E35"/>
    </sheetView>
  </sheetViews>
  <sheetFormatPr defaultColWidth="8.725" defaultRowHeight="11.25"/>
  <cols>
    <col min="1" max="1" width="1.63333333333333" style="1" customWidth="1"/>
    <col min="2" max="2" width="19.3666666666667" style="1" customWidth="1"/>
    <col min="3" max="3" width="12.6333333333333" style="1" customWidth="1"/>
    <col min="4" max="4" width="12.725" style="1" customWidth="1"/>
    <col min="5" max="5" width="15.6333333333333" style="1" customWidth="1"/>
    <col min="6" max="6" width="11.6333333333333" style="1" customWidth="1"/>
    <col min="7" max="7" width="10.0916666666667" style="1" customWidth="1"/>
    <col min="8" max="8" width="11" style="1" customWidth="1"/>
    <col min="9" max="9" width="13.5416666666667" style="1" customWidth="1"/>
    <col min="10" max="12" width="12.6333333333333" style="1" customWidth="1"/>
    <col min="13" max="13" width="15.3666666666667" style="1" customWidth="1"/>
    <col min="14" max="24" width="11.1833333333333" style="1" customWidth="1"/>
    <col min="25" max="32" width="9.725" style="1" customWidth="1"/>
    <col min="33" max="33" width="10.5416666666667" style="1" customWidth="1"/>
    <col min="34" max="35" width="9.725" style="1" customWidth="1"/>
    <col min="36" max="36" width="12.2666666666667" style="1" customWidth="1"/>
    <col min="37" max="37" width="10.1833333333333" style="1" customWidth="1"/>
    <col min="38" max="50" width="8.725" style="1" customWidth="1"/>
    <col min="51" max="51" width="14" style="1" customWidth="1"/>
    <col min="52" max="52" width="10.1833333333333" style="1" customWidth="1"/>
    <col min="53" max="82" width="8.725" style="1" customWidth="1"/>
    <col min="83" max="16384" width="8.725" style="1"/>
  </cols>
  <sheetData>
    <row r="1" ht="16.5" hidden="1" customHeight="1" spans="1:17">
      <c r="A1" s="162" t="s">
        <v>185</v>
      </c>
      <c r="B1" s="1" t="s">
        <v>1435</v>
      </c>
      <c r="C1" s="1" t="s">
        <v>1436</v>
      </c>
    </row>
    <row r="2" ht="16.5" hidden="1" customHeight="1" spans="1:17">
      <c r="B2" s="754" t="s">
        <v>1437</v>
      </c>
      <c r="C2" s="1" t="s">
        <v>1438</v>
      </c>
    </row>
    <row r="3" ht="16.5" hidden="1" customHeight="1" spans="1:17">
      <c r="B3" s="754" t="s">
        <v>1439</v>
      </c>
      <c r="C3" s="1" t="s">
        <v>340</v>
      </c>
    </row>
    <row r="4" ht="16.5" hidden="1" customHeight="1" spans="1:17">
      <c r="B4" s="754" t="s">
        <v>1440</v>
      </c>
      <c r="C4" s="1" t="s">
        <v>1441</v>
      </c>
    </row>
    <row r="5" ht="16.5" hidden="1" customHeight="1" spans="1:17">
      <c r="B5" s="754" t="s">
        <v>1442</v>
      </c>
      <c r="C5" s="1" t="s">
        <v>1443</v>
      </c>
    </row>
    <row r="6" ht="16.5" hidden="1" customHeight="1" spans="1:17">
      <c r="B6" s="754" t="s">
        <v>333</v>
      </c>
      <c r="C6" s="1" t="s">
        <v>1444</v>
      </c>
    </row>
    <row r="7" ht="16.5" hidden="1" customHeight="1" spans="1:17">
      <c r="B7" s="754" t="s">
        <v>1445</v>
      </c>
      <c r="C7" s="1" t="s">
        <v>1446</v>
      </c>
    </row>
    <row r="8" ht="9" hidden="1" customHeight="1" spans="1:17">
      <c r="B8" s="754"/>
    </row>
    <row r="9" ht="9" hidden="1" customHeight="1"/>
    <row r="10" ht="3.65" customHeight="1" spans="1:17">
      <c r="B10" s="755"/>
      <c r="E10" s="756"/>
      <c r="F10" s="756"/>
    </row>
    <row r="11" ht="13" customHeight="1" spans="1:17">
      <c r="B11" s="492" t="s">
        <v>1590</v>
      </c>
      <c r="C11" s="492"/>
      <c r="D11" s="492"/>
      <c r="E11" s="492"/>
      <c r="F11" s="7" t="s">
        <v>1404</v>
      </c>
      <c r="G11" s="8" t="s">
        <v>1405</v>
      </c>
      <c r="H11" s="8"/>
      <c r="I11" s="8"/>
      <c r="J11" s="8"/>
      <c r="K11" s="8"/>
      <c r="L11" s="8"/>
      <c r="M11" s="8"/>
      <c r="N11" s="8"/>
      <c r="O11" s="8"/>
      <c r="P11" s="8"/>
      <c r="Q11" s="70"/>
    </row>
    <row r="12" ht="13" customHeight="1" spans="1:17">
      <c r="B12" s="492"/>
      <c r="C12" s="492"/>
      <c r="D12" s="492"/>
      <c r="E12" s="492"/>
      <c r="F12" s="12"/>
      <c r="G12" s="13" t="s">
        <v>1591</v>
      </c>
      <c r="H12" s="13"/>
      <c r="I12" s="13"/>
      <c r="J12" s="13"/>
      <c r="K12" s="13"/>
      <c r="L12" s="13"/>
      <c r="M12" s="14"/>
      <c r="N12" s="14"/>
      <c r="O12" s="14"/>
      <c r="P12" s="14"/>
      <c r="Q12" s="71"/>
    </row>
    <row r="13" customHeight="1" spans="1:17">
      <c r="B13" s="492"/>
      <c r="C13" s="492"/>
      <c r="D13" s="492"/>
      <c r="E13" s="492"/>
      <c r="F13" s="12"/>
      <c r="G13" s="13" t="s">
        <v>1592</v>
      </c>
      <c r="H13" s="13"/>
      <c r="I13" s="13"/>
      <c r="J13" s="13"/>
      <c r="K13" s="13"/>
      <c r="L13" s="13"/>
      <c r="M13" s="15"/>
      <c r="N13" s="15"/>
      <c r="O13" s="15"/>
      <c r="P13" s="14"/>
      <c r="Q13" s="71"/>
    </row>
    <row r="14" customHeight="1" spans="1:17">
      <c r="B14" s="492"/>
      <c r="C14" s="492"/>
      <c r="D14" s="492"/>
      <c r="E14" s="492"/>
      <c r="F14" s="12"/>
      <c r="G14" s="13" t="s">
        <v>1408</v>
      </c>
      <c r="H14" s="13"/>
      <c r="I14" s="13"/>
      <c r="J14" s="13"/>
      <c r="K14" s="13"/>
      <c r="L14" s="13"/>
      <c r="M14" s="15"/>
      <c r="N14" s="15"/>
      <c r="O14" s="15"/>
      <c r="P14" s="14"/>
      <c r="Q14" s="71"/>
    </row>
    <row r="15" customHeight="1" spans="1:17">
      <c r="B15" s="292" t="s">
        <v>1451</v>
      </c>
      <c r="C15" s="292"/>
      <c r="D15" s="292"/>
      <c r="E15" s="292"/>
      <c r="F15" s="12"/>
      <c r="G15" s="22"/>
      <c r="H15" s="22"/>
      <c r="I15" s="13"/>
      <c r="J15" s="13"/>
      <c r="K15" s="13"/>
      <c r="L15" s="13"/>
      <c r="M15" s="15"/>
      <c r="N15" s="15"/>
      <c r="O15" s="15"/>
      <c r="P15" s="14"/>
      <c r="Q15" s="71"/>
    </row>
    <row r="16" customHeight="1" spans="1:17">
      <c r="B16" s="292"/>
      <c r="C16" s="292"/>
      <c r="D16" s="292"/>
      <c r="E16" s="292"/>
      <c r="F16" s="26" t="s">
        <v>1452</v>
      </c>
      <c r="G16" s="27"/>
      <c r="H16" s="27"/>
      <c r="I16" s="28"/>
      <c r="J16" s="28"/>
      <c r="K16" s="28"/>
      <c r="L16" s="28"/>
      <c r="M16" s="29"/>
      <c r="N16" s="29"/>
      <c r="O16" s="29"/>
      <c r="P16" s="30"/>
      <c r="Q16" s="72"/>
    </row>
    <row r="17" ht="4.5" customHeight="1" spans="2:65">
      <c r="F17" s="31"/>
      <c r="G17" s="32">
        <v>0</v>
      </c>
      <c r="H17" s="32"/>
      <c r="L17" s="33"/>
      <c r="M17" s="34"/>
      <c r="N17" s="34"/>
      <c r="O17" s="34"/>
    </row>
    <row r="18" ht="10.5" customHeight="1" spans="2:65">
      <c r="F18" s="35"/>
      <c r="G18" s="32"/>
      <c r="H18" s="32"/>
      <c r="AM18" s="1" t="s">
        <v>1453</v>
      </c>
      <c r="BB18" s="1" t="s">
        <v>1453</v>
      </c>
    </row>
    <row r="19" ht="15" customHeight="1" spans="2:65">
      <c r="B19" s="36" t="s">
        <v>1411</v>
      </c>
      <c r="C19" s="37" t="s">
        <v>1412</v>
      </c>
      <c r="D19" s="36" t="s">
        <v>188</v>
      </c>
      <c r="E19" s="37" t="s">
        <v>1413</v>
      </c>
      <c r="F19" s="36" t="s">
        <v>1364</v>
      </c>
      <c r="G19" s="37" t="s">
        <v>1396</v>
      </c>
      <c r="H19" s="36" t="s">
        <v>1414</v>
      </c>
      <c r="I19" s="38" t="s">
        <v>1359</v>
      </c>
    </row>
    <row r="20" ht="15.5" customHeight="1"/>
    <row r="21" s="753" customFormat="1" ht="22.5" customHeight="1" spans="2:65">
      <c r="B21" s="760" t="s">
        <v>188</v>
      </c>
      <c r="C21" s="760" t="s">
        <v>489</v>
      </c>
      <c r="D21" s="760" t="s">
        <v>1369</v>
      </c>
      <c r="E21" s="760" t="s">
        <v>493</v>
      </c>
      <c r="F21" s="759" t="s">
        <v>1593</v>
      </c>
      <c r="G21" s="759" t="s">
        <v>1594</v>
      </c>
      <c r="H21" s="759" t="s">
        <v>1595</v>
      </c>
      <c r="I21" s="761" t="s">
        <v>1594</v>
      </c>
      <c r="J21" s="762"/>
      <c r="K21" s="762"/>
      <c r="L21" s="762"/>
      <c r="M21" s="762"/>
      <c r="N21" s="762"/>
      <c r="O21" s="762"/>
      <c r="P21" s="762"/>
      <c r="Q21" s="762"/>
      <c r="R21" s="762"/>
      <c r="S21" s="762"/>
      <c r="T21" s="762"/>
      <c r="U21" s="759" t="s">
        <v>1596</v>
      </c>
      <c r="V21" s="759" t="s">
        <v>1597</v>
      </c>
      <c r="W21" s="759" t="s">
        <v>1598</v>
      </c>
      <c r="X21" s="795" t="s">
        <v>1599</v>
      </c>
      <c r="Y21" s="796"/>
      <c r="Z21" s="796"/>
      <c r="AA21" s="796"/>
      <c r="AB21" s="796"/>
      <c r="AC21" s="796"/>
      <c r="AD21" s="796"/>
      <c r="AE21" s="796"/>
      <c r="AF21" s="796"/>
      <c r="AG21" s="796"/>
      <c r="AH21" s="796"/>
      <c r="AI21" s="796"/>
      <c r="AJ21" s="759" t="s">
        <v>1600</v>
      </c>
      <c r="AK21" s="759" t="s">
        <v>1601</v>
      </c>
      <c r="AL21" s="759" t="s">
        <v>1602</v>
      </c>
      <c r="AM21" s="795" t="s">
        <v>1603</v>
      </c>
      <c r="AN21" s="796"/>
      <c r="AO21" s="796"/>
      <c r="AP21" s="796"/>
      <c r="AQ21" s="796"/>
      <c r="AR21" s="796"/>
      <c r="AS21" s="796"/>
      <c r="AT21" s="796"/>
      <c r="AU21" s="796"/>
      <c r="AV21" s="796"/>
      <c r="AW21" s="796"/>
      <c r="AX21" s="796"/>
      <c r="AY21" s="759" t="s">
        <v>1604</v>
      </c>
      <c r="AZ21" s="759" t="s">
        <v>1605</v>
      </c>
      <c r="BA21" s="759" t="s">
        <v>1606</v>
      </c>
      <c r="BB21" s="766" t="s">
        <v>1607</v>
      </c>
      <c r="BC21" s="766"/>
      <c r="BD21" s="766"/>
      <c r="BE21" s="766"/>
      <c r="BF21" s="766"/>
      <c r="BG21" s="766"/>
      <c r="BH21" s="766"/>
      <c r="BI21" s="766"/>
      <c r="BJ21" s="766"/>
      <c r="BK21" s="766"/>
      <c r="BL21" s="766"/>
      <c r="BM21" s="766"/>
    </row>
    <row r="22" s="753" customFormat="1" ht="22.5" customHeight="1" spans="2:65">
      <c r="B22" s="765"/>
      <c r="C22" s="765"/>
      <c r="D22" s="765"/>
      <c r="E22" s="765"/>
      <c r="F22" s="764"/>
      <c r="G22" s="764"/>
      <c r="H22" s="764"/>
      <c r="I22" s="766" t="s">
        <v>304</v>
      </c>
      <c r="J22" s="766" t="s">
        <v>305</v>
      </c>
      <c r="K22" s="766" t="s">
        <v>306</v>
      </c>
      <c r="L22" s="766" t="s">
        <v>307</v>
      </c>
      <c r="M22" s="766" t="s">
        <v>308</v>
      </c>
      <c r="N22" s="766" t="s">
        <v>309</v>
      </c>
      <c r="O22" s="766" t="s">
        <v>310</v>
      </c>
      <c r="P22" s="766" t="s">
        <v>311</v>
      </c>
      <c r="Q22" s="766" t="s">
        <v>312</v>
      </c>
      <c r="R22" s="766" t="s">
        <v>313</v>
      </c>
      <c r="S22" s="766" t="s">
        <v>314</v>
      </c>
      <c r="T22" s="766" t="s">
        <v>315</v>
      </c>
      <c r="U22" s="764"/>
      <c r="V22" s="764"/>
      <c r="W22" s="764"/>
      <c r="X22" s="732" t="s">
        <v>304</v>
      </c>
      <c r="Y22" s="732" t="s">
        <v>305</v>
      </c>
      <c r="Z22" s="732" t="s">
        <v>306</v>
      </c>
      <c r="AA22" s="732" t="s">
        <v>307</v>
      </c>
      <c r="AB22" s="732" t="s">
        <v>308</v>
      </c>
      <c r="AC22" s="732" t="s">
        <v>309</v>
      </c>
      <c r="AD22" s="732" t="s">
        <v>310</v>
      </c>
      <c r="AE22" s="732" t="s">
        <v>311</v>
      </c>
      <c r="AF22" s="732" t="s">
        <v>312</v>
      </c>
      <c r="AG22" s="732" t="s">
        <v>313</v>
      </c>
      <c r="AH22" s="732" t="s">
        <v>314</v>
      </c>
      <c r="AI22" s="732" t="s">
        <v>315</v>
      </c>
      <c r="AJ22" s="764"/>
      <c r="AK22" s="764"/>
      <c r="AL22" s="764"/>
      <c r="AM22" s="732" t="s">
        <v>304</v>
      </c>
      <c r="AN22" s="732" t="s">
        <v>305</v>
      </c>
      <c r="AO22" s="732" t="s">
        <v>306</v>
      </c>
      <c r="AP22" s="732" t="s">
        <v>307</v>
      </c>
      <c r="AQ22" s="732" t="s">
        <v>308</v>
      </c>
      <c r="AR22" s="732" t="s">
        <v>309</v>
      </c>
      <c r="AS22" s="732" t="s">
        <v>310</v>
      </c>
      <c r="AT22" s="732" t="s">
        <v>311</v>
      </c>
      <c r="AU22" s="732" t="s">
        <v>312</v>
      </c>
      <c r="AV22" s="732" t="s">
        <v>313</v>
      </c>
      <c r="AW22" s="732" t="s">
        <v>314</v>
      </c>
      <c r="AX22" s="732" t="s">
        <v>315</v>
      </c>
      <c r="AY22" s="764"/>
      <c r="AZ22" s="764"/>
      <c r="BA22" s="764"/>
      <c r="BB22" s="766" t="s">
        <v>304</v>
      </c>
      <c r="BC22" s="766" t="s">
        <v>305</v>
      </c>
      <c r="BD22" s="766" t="s">
        <v>306</v>
      </c>
      <c r="BE22" s="766" t="s">
        <v>307</v>
      </c>
      <c r="BF22" s="766" t="s">
        <v>308</v>
      </c>
      <c r="BG22" s="766" t="s">
        <v>309</v>
      </c>
      <c r="BH22" s="766" t="s">
        <v>310</v>
      </c>
      <c r="BI22" s="766" t="s">
        <v>311</v>
      </c>
      <c r="BJ22" s="766" t="s">
        <v>312</v>
      </c>
      <c r="BK22" s="766" t="s">
        <v>313</v>
      </c>
      <c r="BL22" s="766" t="s">
        <v>314</v>
      </c>
      <c r="BM22" s="766" t="s">
        <v>315</v>
      </c>
    </row>
    <row r="23" s="753" customFormat="1" ht="22.5" customHeight="1" spans="2:65">
      <c r="B23" s="766" t="s">
        <v>1421</v>
      </c>
      <c r="C23" s="766" t="s">
        <v>1421</v>
      </c>
      <c r="D23" s="766" t="s">
        <v>1421</v>
      </c>
      <c r="E23" s="766" t="s">
        <v>1421</v>
      </c>
      <c r="F23" s="763" t="s">
        <v>1421</v>
      </c>
      <c r="G23" s="763" t="s">
        <v>1464</v>
      </c>
      <c r="H23" s="763" t="s">
        <v>199</v>
      </c>
      <c r="I23" s="766" t="s">
        <v>1421</v>
      </c>
      <c r="J23" s="766" t="s">
        <v>1421</v>
      </c>
      <c r="K23" s="766" t="s">
        <v>1421</v>
      </c>
      <c r="L23" s="766" t="s">
        <v>1421</v>
      </c>
      <c r="M23" s="766" t="s">
        <v>1421</v>
      </c>
      <c r="N23" s="766" t="s">
        <v>1421</v>
      </c>
      <c r="O23" s="766" t="s">
        <v>1421</v>
      </c>
      <c r="P23" s="766" t="s">
        <v>1421</v>
      </c>
      <c r="Q23" s="766" t="s">
        <v>1421</v>
      </c>
      <c r="R23" s="766" t="s">
        <v>1421</v>
      </c>
      <c r="S23" s="766" t="s">
        <v>1421</v>
      </c>
      <c r="T23" s="766" t="s">
        <v>1421</v>
      </c>
      <c r="U23" s="763" t="s">
        <v>1421</v>
      </c>
      <c r="V23" s="763" t="s">
        <v>1464</v>
      </c>
      <c r="W23" s="763" t="s">
        <v>199</v>
      </c>
      <c r="X23" s="746" t="s">
        <v>1465</v>
      </c>
      <c r="Y23" s="746" t="s">
        <v>1465</v>
      </c>
      <c r="Z23" s="746" t="s">
        <v>1465</v>
      </c>
      <c r="AA23" s="746" t="s">
        <v>1465</v>
      </c>
      <c r="AB23" s="746" t="s">
        <v>1465</v>
      </c>
      <c r="AC23" s="746" t="s">
        <v>1465</v>
      </c>
      <c r="AD23" s="746" t="s">
        <v>1465</v>
      </c>
      <c r="AE23" s="746" t="s">
        <v>1465</v>
      </c>
      <c r="AF23" s="746" t="s">
        <v>1465</v>
      </c>
      <c r="AG23" s="746" t="s">
        <v>1465</v>
      </c>
      <c r="AH23" s="746" t="s">
        <v>1465</v>
      </c>
      <c r="AI23" s="746" t="s">
        <v>1465</v>
      </c>
      <c r="AJ23" s="763" t="s">
        <v>1421</v>
      </c>
      <c r="AK23" s="763" t="s">
        <v>1464</v>
      </c>
      <c r="AL23" s="763" t="s">
        <v>199</v>
      </c>
      <c r="AM23" s="746" t="s">
        <v>1465</v>
      </c>
      <c r="AN23" s="746" t="s">
        <v>1465</v>
      </c>
      <c r="AO23" s="746" t="s">
        <v>1465</v>
      </c>
      <c r="AP23" s="746" t="s">
        <v>1465</v>
      </c>
      <c r="AQ23" s="746" t="s">
        <v>1465</v>
      </c>
      <c r="AR23" s="746" t="s">
        <v>1465</v>
      </c>
      <c r="AS23" s="746" t="s">
        <v>1465</v>
      </c>
      <c r="AT23" s="746" t="s">
        <v>1465</v>
      </c>
      <c r="AU23" s="746" t="s">
        <v>1465</v>
      </c>
      <c r="AV23" s="746" t="s">
        <v>1465</v>
      </c>
      <c r="AW23" s="746" t="s">
        <v>1465</v>
      </c>
      <c r="AX23" s="746" t="s">
        <v>1465</v>
      </c>
      <c r="AY23" s="763" t="s">
        <v>1421</v>
      </c>
      <c r="AZ23" s="763" t="s">
        <v>1464</v>
      </c>
      <c r="BA23" s="763" t="s">
        <v>199</v>
      </c>
      <c r="BB23" s="766" t="s">
        <v>199</v>
      </c>
      <c r="BC23" s="766" t="s">
        <v>199</v>
      </c>
      <c r="BD23" s="766" t="s">
        <v>199</v>
      </c>
      <c r="BE23" s="766" t="s">
        <v>199</v>
      </c>
      <c r="BF23" s="766" t="s">
        <v>199</v>
      </c>
      <c r="BG23" s="766" t="s">
        <v>199</v>
      </c>
      <c r="BH23" s="766" t="s">
        <v>199</v>
      </c>
      <c r="BI23" s="766" t="s">
        <v>199</v>
      </c>
      <c r="BJ23" s="766" t="s">
        <v>199</v>
      </c>
      <c r="BK23" s="766" t="s">
        <v>199</v>
      </c>
      <c r="BL23" s="766" t="s">
        <v>199</v>
      </c>
      <c r="BM23" s="766" t="s">
        <v>199</v>
      </c>
    </row>
    <row r="24" ht="20.5" customHeight="1" spans="2:65">
      <c r="B24" s="767" t="s">
        <v>281</v>
      </c>
      <c r="C24" s="768" t="s">
        <v>1466</v>
      </c>
      <c r="D24" s="768" t="s">
        <v>1466</v>
      </c>
      <c r="E24" s="768" t="s">
        <v>1466</v>
      </c>
      <c r="F24" s="768"/>
      <c r="G24" s="769" t="s">
        <v>1464</v>
      </c>
      <c r="H24" s="769" t="s">
        <v>199</v>
      </c>
      <c r="I24" s="769" t="s">
        <v>1464</v>
      </c>
      <c r="J24" s="769" t="s">
        <v>1464</v>
      </c>
      <c r="K24" s="769" t="s">
        <v>1464</v>
      </c>
      <c r="L24" s="769" t="s">
        <v>1464</v>
      </c>
      <c r="M24" s="769" t="s">
        <v>1464</v>
      </c>
      <c r="N24" s="769" t="s">
        <v>1464</v>
      </c>
      <c r="O24" s="769" t="s">
        <v>1464</v>
      </c>
      <c r="P24" s="769" t="s">
        <v>1464</v>
      </c>
      <c r="Q24" s="769" t="s">
        <v>1464</v>
      </c>
      <c r="R24" s="769" t="s">
        <v>1464</v>
      </c>
      <c r="S24" s="769" t="s">
        <v>1464</v>
      </c>
      <c r="T24" s="769" t="s">
        <v>1464</v>
      </c>
      <c r="U24" s="768"/>
      <c r="V24" s="769" t="s">
        <v>1464</v>
      </c>
      <c r="W24" s="769" t="s">
        <v>199</v>
      </c>
      <c r="X24" s="769" t="s">
        <v>1464</v>
      </c>
      <c r="Y24" s="769" t="s">
        <v>1464</v>
      </c>
      <c r="Z24" s="769" t="s">
        <v>1464</v>
      </c>
      <c r="AA24" s="769" t="s">
        <v>1464</v>
      </c>
      <c r="AB24" s="769" t="s">
        <v>1464</v>
      </c>
      <c r="AC24" s="769" t="s">
        <v>1464</v>
      </c>
      <c r="AD24" s="769" t="s">
        <v>1464</v>
      </c>
      <c r="AE24" s="769" t="s">
        <v>1464</v>
      </c>
      <c r="AF24" s="769" t="s">
        <v>1464</v>
      </c>
      <c r="AG24" s="769" t="s">
        <v>1464</v>
      </c>
      <c r="AH24" s="769" t="s">
        <v>1464</v>
      </c>
      <c r="AI24" s="769" t="s">
        <v>1464</v>
      </c>
      <c r="AJ24" s="768"/>
      <c r="AK24" s="769" t="s">
        <v>1464</v>
      </c>
      <c r="AL24" s="769" t="s">
        <v>199</v>
      </c>
      <c r="AM24" s="769" t="s">
        <v>1464</v>
      </c>
      <c r="AN24" s="769" t="s">
        <v>1464</v>
      </c>
      <c r="AO24" s="769" t="s">
        <v>1464</v>
      </c>
      <c r="AP24" s="769" t="s">
        <v>1464</v>
      </c>
      <c r="AQ24" s="769" t="s">
        <v>1464</v>
      </c>
      <c r="AR24" s="769" t="s">
        <v>1464</v>
      </c>
      <c r="AS24" s="769" t="s">
        <v>1464</v>
      </c>
      <c r="AT24" s="769" t="s">
        <v>1464</v>
      </c>
      <c r="AU24" s="769" t="s">
        <v>1464</v>
      </c>
      <c r="AV24" s="769" t="s">
        <v>1464</v>
      </c>
      <c r="AW24" s="769" t="s">
        <v>1464</v>
      </c>
      <c r="AX24" s="769" t="s">
        <v>1464</v>
      </c>
      <c r="AY24" s="768"/>
      <c r="AZ24" s="769" t="s">
        <v>1464</v>
      </c>
      <c r="BA24" s="769" t="s">
        <v>199</v>
      </c>
      <c r="BB24" s="769" t="s">
        <v>1464</v>
      </c>
      <c r="BC24" s="769" t="s">
        <v>1464</v>
      </c>
      <c r="BD24" s="769" t="s">
        <v>1464</v>
      </c>
      <c r="BE24" s="769" t="s">
        <v>1464</v>
      </c>
      <c r="BF24" s="769" t="s">
        <v>1464</v>
      </c>
      <c r="BG24" s="769" t="s">
        <v>1464</v>
      </c>
      <c r="BH24" s="769" t="s">
        <v>1464</v>
      </c>
      <c r="BI24" s="769" t="s">
        <v>1464</v>
      </c>
      <c r="BJ24" s="769" t="s">
        <v>1464</v>
      </c>
      <c r="BK24" s="769" t="s">
        <v>1464</v>
      </c>
      <c r="BL24" s="769" t="s">
        <v>1464</v>
      </c>
      <c r="BM24" s="769" t="s">
        <v>1464</v>
      </c>
    </row>
    <row r="25" ht="15" customHeight="1" spans="2:65">
      <c r="B25" s="799"/>
      <c r="C25" s="770" t="s">
        <v>1424</v>
      </c>
      <c r="D25" s="770"/>
      <c r="E25" s="770" t="s">
        <v>1425</v>
      </c>
      <c r="F25" s="770"/>
      <c r="G25" s="769" t="s">
        <v>1464</v>
      </c>
      <c r="H25" s="769" t="s">
        <v>199</v>
      </c>
      <c r="I25" s="748"/>
      <c r="J25" s="800"/>
      <c r="K25" s="800"/>
      <c r="L25" s="800"/>
      <c r="M25" s="800"/>
      <c r="N25" s="800"/>
      <c r="O25" s="800"/>
      <c r="P25" s="800"/>
      <c r="Q25" s="800"/>
      <c r="R25" s="800"/>
      <c r="S25" s="748"/>
      <c r="T25" s="748"/>
      <c r="U25" s="770"/>
      <c r="V25" s="769" t="s">
        <v>1464</v>
      </c>
      <c r="W25" s="769" t="s">
        <v>199</v>
      </c>
      <c r="X25" s="748"/>
      <c r="Y25" s="800"/>
      <c r="Z25" s="800"/>
      <c r="AA25" s="800"/>
      <c r="AB25" s="800"/>
      <c r="AC25" s="800"/>
      <c r="AD25" s="800"/>
      <c r="AE25" s="800"/>
      <c r="AF25" s="800"/>
      <c r="AG25" s="800"/>
      <c r="AH25" s="748"/>
      <c r="AI25" s="748"/>
      <c r="AJ25" s="770"/>
      <c r="AK25" s="769" t="s">
        <v>1464</v>
      </c>
      <c r="AL25" s="769" t="s">
        <v>199</v>
      </c>
      <c r="AM25" s="748"/>
      <c r="AN25" s="800"/>
      <c r="AO25" s="800"/>
      <c r="AP25" s="800"/>
      <c r="AQ25" s="800"/>
      <c r="AR25" s="800"/>
      <c r="AS25" s="800"/>
      <c r="AT25" s="800"/>
      <c r="AU25" s="800"/>
      <c r="AV25" s="800"/>
      <c r="AW25" s="748"/>
      <c r="AX25" s="748"/>
      <c r="AY25" s="770"/>
      <c r="AZ25" s="769" t="s">
        <v>1464</v>
      </c>
      <c r="BA25" s="769" t="s">
        <v>199</v>
      </c>
      <c r="BB25" s="748"/>
      <c r="BC25" s="800"/>
      <c r="BD25" s="800"/>
      <c r="BE25" s="800"/>
      <c r="BF25" s="800"/>
      <c r="BG25" s="800"/>
      <c r="BH25" s="800"/>
      <c r="BI25" s="800"/>
      <c r="BJ25" s="800"/>
      <c r="BK25" s="800"/>
      <c r="BL25" s="748"/>
      <c r="BM25" s="748"/>
    </row>
    <row r="26" ht="15" customHeight="1" spans="2:65">
      <c r="B26" s="799"/>
      <c r="C26" s="770"/>
      <c r="D26" s="770"/>
      <c r="E26" s="770" t="s">
        <v>1426</v>
      </c>
      <c r="F26" s="770"/>
      <c r="G26" s="769" t="s">
        <v>1464</v>
      </c>
      <c r="H26" s="769" t="s">
        <v>199</v>
      </c>
      <c r="I26" s="748"/>
      <c r="J26" s="748"/>
      <c r="K26" s="748"/>
      <c r="L26" s="748"/>
      <c r="M26" s="800"/>
      <c r="N26" s="800"/>
      <c r="O26" s="800"/>
      <c r="P26" s="800"/>
      <c r="Q26" s="800"/>
      <c r="R26" s="800"/>
      <c r="S26" s="748"/>
      <c r="T26" s="748"/>
      <c r="U26" s="770"/>
      <c r="V26" s="769" t="s">
        <v>1464</v>
      </c>
      <c r="W26" s="769" t="s">
        <v>199</v>
      </c>
      <c r="X26" s="748"/>
      <c r="Y26" s="748"/>
      <c r="Z26" s="748"/>
      <c r="AA26" s="748"/>
      <c r="AB26" s="800"/>
      <c r="AC26" s="800"/>
      <c r="AD26" s="800"/>
      <c r="AE26" s="800"/>
      <c r="AF26" s="800"/>
      <c r="AG26" s="800"/>
      <c r="AH26" s="748"/>
      <c r="AI26" s="748"/>
      <c r="AJ26" s="770"/>
      <c r="AK26" s="769" t="s">
        <v>1464</v>
      </c>
      <c r="AL26" s="769" t="s">
        <v>199</v>
      </c>
      <c r="AM26" s="748"/>
      <c r="AN26" s="748"/>
      <c r="AO26" s="748"/>
      <c r="AP26" s="748"/>
      <c r="AQ26" s="800"/>
      <c r="AR26" s="800"/>
      <c r="AS26" s="800"/>
      <c r="AT26" s="800"/>
      <c r="AU26" s="800"/>
      <c r="AV26" s="800"/>
      <c r="AW26" s="748"/>
      <c r="AX26" s="748"/>
      <c r="AY26" s="770"/>
      <c r="AZ26" s="769" t="s">
        <v>1464</v>
      </c>
      <c r="BA26" s="769" t="s">
        <v>199</v>
      </c>
      <c r="BB26" s="748"/>
      <c r="BC26" s="748"/>
      <c r="BD26" s="748"/>
      <c r="BE26" s="748"/>
      <c r="BF26" s="800"/>
      <c r="BG26" s="800"/>
      <c r="BH26" s="800"/>
      <c r="BI26" s="800"/>
      <c r="BJ26" s="800"/>
      <c r="BK26" s="800"/>
      <c r="BL26" s="748"/>
      <c r="BM26" s="748"/>
    </row>
    <row r="27" ht="15" customHeight="1" spans="2:65">
      <c r="B27" s="801"/>
      <c r="C27" s="770" t="s">
        <v>1568</v>
      </c>
      <c r="D27" s="770"/>
      <c r="E27" s="770"/>
      <c r="F27" s="770"/>
      <c r="G27" s="769" t="s">
        <v>1464</v>
      </c>
      <c r="H27" s="769" t="s">
        <v>199</v>
      </c>
      <c r="I27" s="800"/>
      <c r="J27" s="800"/>
      <c r="K27" s="800"/>
      <c r="L27" s="800"/>
      <c r="M27" s="800"/>
      <c r="N27" s="800"/>
      <c r="O27" s="800"/>
      <c r="P27" s="800"/>
      <c r="Q27" s="800"/>
      <c r="R27" s="800"/>
      <c r="S27" s="748"/>
      <c r="T27" s="748"/>
      <c r="U27" s="770"/>
      <c r="V27" s="769" t="s">
        <v>1464</v>
      </c>
      <c r="W27" s="769" t="s">
        <v>199</v>
      </c>
      <c r="X27" s="800"/>
      <c r="Y27" s="800"/>
      <c r="Z27" s="800"/>
      <c r="AA27" s="800"/>
      <c r="AB27" s="800"/>
      <c r="AC27" s="800"/>
      <c r="AD27" s="800"/>
      <c r="AE27" s="800"/>
      <c r="AF27" s="800"/>
      <c r="AG27" s="800"/>
      <c r="AH27" s="748"/>
      <c r="AI27" s="748"/>
      <c r="AJ27" s="770"/>
      <c r="AK27" s="769" t="s">
        <v>1464</v>
      </c>
      <c r="AL27" s="769" t="s">
        <v>199</v>
      </c>
      <c r="AM27" s="800"/>
      <c r="AN27" s="800"/>
      <c r="AO27" s="800"/>
      <c r="AP27" s="800"/>
      <c r="AQ27" s="800"/>
      <c r="AR27" s="800"/>
      <c r="AS27" s="800"/>
      <c r="AT27" s="800"/>
      <c r="AU27" s="800"/>
      <c r="AV27" s="800"/>
      <c r="AW27" s="748"/>
      <c r="AX27" s="748"/>
      <c r="AY27" s="770"/>
      <c r="AZ27" s="769" t="s">
        <v>1464</v>
      </c>
      <c r="BA27" s="769" t="s">
        <v>199</v>
      </c>
      <c r="BB27" s="800"/>
      <c r="BC27" s="800"/>
      <c r="BD27" s="800"/>
      <c r="BE27" s="800"/>
      <c r="BF27" s="800"/>
      <c r="BG27" s="800"/>
      <c r="BH27" s="800"/>
      <c r="BI27" s="800"/>
      <c r="BJ27" s="800"/>
      <c r="BK27" s="800"/>
      <c r="BL27" s="748"/>
      <c r="BM27" s="748"/>
    </row>
    <row r="28" ht="15" customHeight="1" spans="2:65">
      <c r="B28" s="801"/>
      <c r="C28" s="770"/>
      <c r="D28" s="770"/>
      <c r="E28" s="770"/>
      <c r="F28" s="770"/>
      <c r="G28" s="769" t="s">
        <v>1464</v>
      </c>
      <c r="H28" s="769" t="s">
        <v>199</v>
      </c>
      <c r="I28" s="800"/>
      <c r="J28" s="800"/>
      <c r="K28" s="800"/>
      <c r="L28" s="800"/>
      <c r="M28" s="800"/>
      <c r="N28" s="800"/>
      <c r="O28" s="800"/>
      <c r="P28" s="748"/>
      <c r="Q28" s="800"/>
      <c r="R28" s="748"/>
      <c r="S28" s="748"/>
      <c r="T28" s="748"/>
      <c r="U28" s="770"/>
      <c r="V28" s="769" t="s">
        <v>1464</v>
      </c>
      <c r="W28" s="769" t="s">
        <v>199</v>
      </c>
      <c r="X28" s="800"/>
      <c r="Y28" s="800"/>
      <c r="Z28" s="800"/>
      <c r="AA28" s="800"/>
      <c r="AB28" s="800"/>
      <c r="AC28" s="800"/>
      <c r="AD28" s="800"/>
      <c r="AE28" s="748"/>
      <c r="AF28" s="800"/>
      <c r="AG28" s="748"/>
      <c r="AH28" s="748"/>
      <c r="AI28" s="748"/>
      <c r="AJ28" s="770"/>
      <c r="AK28" s="769" t="s">
        <v>1464</v>
      </c>
      <c r="AL28" s="769" t="s">
        <v>199</v>
      </c>
      <c r="AM28" s="800"/>
      <c r="AN28" s="800"/>
      <c r="AO28" s="800"/>
      <c r="AP28" s="800"/>
      <c r="AQ28" s="800"/>
      <c r="AR28" s="800"/>
      <c r="AS28" s="800"/>
      <c r="AT28" s="748"/>
      <c r="AU28" s="800"/>
      <c r="AV28" s="748"/>
      <c r="AW28" s="748"/>
      <c r="AX28" s="748"/>
      <c r="AY28" s="770"/>
      <c r="AZ28" s="769" t="s">
        <v>1464</v>
      </c>
      <c r="BA28" s="769" t="s">
        <v>199</v>
      </c>
      <c r="BB28" s="800"/>
      <c r="BC28" s="800"/>
      <c r="BD28" s="800"/>
      <c r="BE28" s="800"/>
      <c r="BF28" s="800"/>
      <c r="BG28" s="800"/>
      <c r="BH28" s="800"/>
      <c r="BI28" s="748"/>
      <c r="BJ28" s="800"/>
      <c r="BK28" s="748"/>
      <c r="BL28" s="748"/>
      <c r="BM28" s="748"/>
    </row>
    <row r="29" ht="15" customHeight="1" spans="2:65">
      <c r="B29" s="801"/>
      <c r="C29" s="770"/>
      <c r="D29" s="770"/>
      <c r="E29" s="770"/>
      <c r="F29" s="770"/>
      <c r="G29" s="769" t="s">
        <v>1464</v>
      </c>
      <c r="H29" s="769" t="s">
        <v>199</v>
      </c>
      <c r="I29" s="748"/>
      <c r="J29" s="748"/>
      <c r="K29" s="748"/>
      <c r="L29" s="748"/>
      <c r="M29" s="748"/>
      <c r="N29" s="748"/>
      <c r="O29" s="748"/>
      <c r="P29" s="748"/>
      <c r="Q29" s="800"/>
      <c r="R29" s="800"/>
      <c r="S29" s="749"/>
      <c r="T29" s="749"/>
      <c r="U29" s="770"/>
      <c r="V29" s="769" t="s">
        <v>1464</v>
      </c>
      <c r="W29" s="769" t="s">
        <v>199</v>
      </c>
      <c r="X29" s="748"/>
      <c r="Y29" s="748"/>
      <c r="Z29" s="748"/>
      <c r="AA29" s="748"/>
      <c r="AB29" s="748"/>
      <c r="AC29" s="748"/>
      <c r="AD29" s="748"/>
      <c r="AE29" s="748"/>
      <c r="AF29" s="800"/>
      <c r="AG29" s="800"/>
      <c r="AH29" s="749"/>
      <c r="AI29" s="749"/>
      <c r="AJ29" s="770"/>
      <c r="AK29" s="769" t="s">
        <v>1464</v>
      </c>
      <c r="AL29" s="769" t="s">
        <v>199</v>
      </c>
      <c r="AM29" s="748"/>
      <c r="AN29" s="748"/>
      <c r="AO29" s="748"/>
      <c r="AP29" s="748"/>
      <c r="AQ29" s="748"/>
      <c r="AR29" s="748"/>
      <c r="AS29" s="748"/>
      <c r="AT29" s="748"/>
      <c r="AU29" s="800"/>
      <c r="AV29" s="800"/>
      <c r="AW29" s="749"/>
      <c r="AX29" s="749"/>
      <c r="AY29" s="770"/>
      <c r="AZ29" s="769" t="s">
        <v>1464</v>
      </c>
      <c r="BA29" s="769" t="s">
        <v>199</v>
      </c>
      <c r="BB29" s="748"/>
      <c r="BC29" s="748"/>
      <c r="BD29" s="748"/>
      <c r="BE29" s="748"/>
      <c r="BF29" s="748"/>
      <c r="BG29" s="748"/>
      <c r="BH29" s="748"/>
      <c r="BI29" s="748"/>
      <c r="BJ29" s="800"/>
      <c r="BK29" s="800"/>
      <c r="BL29" s="749"/>
      <c r="BM29" s="749"/>
    </row>
    <row r="30" ht="15" customHeight="1" spans="2:65">
      <c r="B30" s="801"/>
      <c r="C30" s="770"/>
      <c r="D30" s="770"/>
      <c r="E30" s="770"/>
      <c r="F30" s="770"/>
      <c r="G30" s="769" t="s">
        <v>1464</v>
      </c>
      <c r="H30" s="769" t="s">
        <v>199</v>
      </c>
      <c r="I30" s="800"/>
      <c r="J30" s="800"/>
      <c r="K30" s="800"/>
      <c r="L30" s="800"/>
      <c r="M30" s="800"/>
      <c r="N30" s="800"/>
      <c r="O30" s="800"/>
      <c r="P30" s="800"/>
      <c r="Q30" s="800"/>
      <c r="R30" s="800"/>
      <c r="S30" s="749"/>
      <c r="T30" s="749"/>
      <c r="U30" s="770"/>
      <c r="V30" s="769" t="s">
        <v>1464</v>
      </c>
      <c r="W30" s="769" t="s">
        <v>199</v>
      </c>
      <c r="X30" s="800"/>
      <c r="Y30" s="800"/>
      <c r="Z30" s="800"/>
      <c r="AA30" s="800"/>
      <c r="AB30" s="800"/>
      <c r="AC30" s="800"/>
      <c r="AD30" s="800"/>
      <c r="AE30" s="800"/>
      <c r="AF30" s="800"/>
      <c r="AG30" s="800"/>
      <c r="AH30" s="749"/>
      <c r="AI30" s="749"/>
      <c r="AJ30" s="770"/>
      <c r="AK30" s="769" t="s">
        <v>1464</v>
      </c>
      <c r="AL30" s="769" t="s">
        <v>199</v>
      </c>
      <c r="AM30" s="800"/>
      <c r="AN30" s="800"/>
      <c r="AO30" s="800"/>
      <c r="AP30" s="800"/>
      <c r="AQ30" s="800"/>
      <c r="AR30" s="800"/>
      <c r="AS30" s="800"/>
      <c r="AT30" s="800"/>
      <c r="AU30" s="800"/>
      <c r="AV30" s="800"/>
      <c r="AW30" s="749"/>
      <c r="AX30" s="749"/>
      <c r="AY30" s="770"/>
      <c r="AZ30" s="769" t="s">
        <v>1464</v>
      </c>
      <c r="BA30" s="769" t="s">
        <v>199</v>
      </c>
      <c r="BB30" s="800"/>
      <c r="BC30" s="800"/>
      <c r="BD30" s="800"/>
      <c r="BE30" s="800"/>
      <c r="BF30" s="800"/>
      <c r="BG30" s="800"/>
      <c r="BH30" s="800"/>
      <c r="BI30" s="800"/>
      <c r="BJ30" s="800"/>
      <c r="BK30" s="800"/>
      <c r="BL30" s="749"/>
      <c r="BM30" s="749"/>
    </row>
    <row r="31" ht="15" customHeight="1" spans="2:65">
      <c r="B31" s="801"/>
      <c r="C31" s="770"/>
      <c r="D31" s="770"/>
      <c r="E31" s="770"/>
      <c r="F31" s="770"/>
      <c r="G31" s="769" t="s">
        <v>1464</v>
      </c>
      <c r="H31" s="769" t="s">
        <v>199</v>
      </c>
      <c r="I31" s="750"/>
      <c r="J31" s="750"/>
      <c r="K31" s="750"/>
      <c r="L31" s="750"/>
      <c r="M31" s="750"/>
      <c r="N31" s="750"/>
      <c r="O31" s="750"/>
      <c r="P31" s="750"/>
      <c r="Q31" s="750"/>
      <c r="R31" s="750"/>
      <c r="S31" s="750"/>
      <c r="T31" s="750"/>
      <c r="U31" s="770"/>
      <c r="V31" s="769" t="s">
        <v>1464</v>
      </c>
      <c r="W31" s="769" t="s">
        <v>199</v>
      </c>
      <c r="X31" s="750"/>
      <c r="Y31" s="750"/>
      <c r="Z31" s="750"/>
      <c r="AA31" s="750"/>
      <c r="AB31" s="750"/>
      <c r="AC31" s="750"/>
      <c r="AD31" s="750"/>
      <c r="AE31" s="750"/>
      <c r="AF31" s="750"/>
      <c r="AG31" s="750"/>
      <c r="AH31" s="750"/>
      <c r="AI31" s="750"/>
      <c r="AJ31" s="770"/>
      <c r="AK31" s="769" t="s">
        <v>1464</v>
      </c>
      <c r="AL31" s="769" t="s">
        <v>199</v>
      </c>
      <c r="AM31" s="750"/>
      <c r="AN31" s="750"/>
      <c r="AO31" s="750"/>
      <c r="AP31" s="750"/>
      <c r="AQ31" s="750"/>
      <c r="AR31" s="750"/>
      <c r="AS31" s="750"/>
      <c r="AT31" s="750"/>
      <c r="AU31" s="750"/>
      <c r="AV31" s="750"/>
      <c r="AW31" s="750"/>
      <c r="AX31" s="750"/>
      <c r="AY31" s="770"/>
      <c r="AZ31" s="769" t="s">
        <v>1464</v>
      </c>
      <c r="BA31" s="769" t="s">
        <v>199</v>
      </c>
      <c r="BB31" s="750"/>
      <c r="BC31" s="750"/>
      <c r="BD31" s="750"/>
      <c r="BE31" s="750"/>
      <c r="BF31" s="750"/>
      <c r="BG31" s="750"/>
      <c r="BH31" s="750"/>
      <c r="BI31" s="750"/>
      <c r="BJ31" s="750"/>
      <c r="BK31" s="750"/>
      <c r="BL31" s="750"/>
      <c r="BM31" s="750"/>
    </row>
    <row r="32" ht="15" customHeight="1" spans="2:65">
      <c r="B32" s="801"/>
      <c r="C32" s="770"/>
      <c r="D32" s="770"/>
      <c r="E32" s="770"/>
      <c r="F32" s="770"/>
      <c r="G32" s="769" t="s">
        <v>1464</v>
      </c>
      <c r="H32" s="769" t="s">
        <v>199</v>
      </c>
      <c r="I32" s="750"/>
      <c r="J32" s="750"/>
      <c r="K32" s="750"/>
      <c r="L32" s="750"/>
      <c r="M32" s="750"/>
      <c r="N32" s="750"/>
      <c r="O32" s="750"/>
      <c r="P32" s="750"/>
      <c r="Q32" s="750"/>
      <c r="R32" s="750"/>
      <c r="S32" s="750"/>
      <c r="T32" s="750"/>
      <c r="U32" s="770"/>
      <c r="V32" s="769" t="s">
        <v>1464</v>
      </c>
      <c r="W32" s="769" t="s">
        <v>199</v>
      </c>
      <c r="X32" s="750"/>
      <c r="Y32" s="750"/>
      <c r="Z32" s="750"/>
      <c r="AA32" s="750"/>
      <c r="AB32" s="750"/>
      <c r="AC32" s="750"/>
      <c r="AD32" s="750"/>
      <c r="AE32" s="750"/>
      <c r="AF32" s="750"/>
      <c r="AG32" s="750"/>
      <c r="AH32" s="750"/>
      <c r="AI32" s="750"/>
      <c r="AJ32" s="770"/>
      <c r="AK32" s="769" t="s">
        <v>1464</v>
      </c>
      <c r="AL32" s="769" t="s">
        <v>199</v>
      </c>
      <c r="AM32" s="750"/>
      <c r="AN32" s="750"/>
      <c r="AO32" s="750"/>
      <c r="AP32" s="750"/>
      <c r="AQ32" s="750"/>
      <c r="AR32" s="750"/>
      <c r="AS32" s="750"/>
      <c r="AT32" s="750"/>
      <c r="AU32" s="750"/>
      <c r="AV32" s="750"/>
      <c r="AW32" s="750"/>
      <c r="AX32" s="750"/>
      <c r="AY32" s="770"/>
      <c r="AZ32" s="769" t="s">
        <v>1464</v>
      </c>
      <c r="BA32" s="769" t="s">
        <v>199</v>
      </c>
      <c r="BB32" s="750"/>
      <c r="BC32" s="750"/>
      <c r="BD32" s="750"/>
      <c r="BE32" s="750"/>
      <c r="BF32" s="750"/>
      <c r="BG32" s="750"/>
      <c r="BH32" s="750"/>
      <c r="BI32" s="750"/>
      <c r="BJ32" s="750"/>
      <c r="BK32" s="750"/>
      <c r="BL32" s="750"/>
      <c r="BM32" s="750"/>
    </row>
    <row r="33" ht="15" customHeight="1" spans="2:65">
      <c r="B33" s="801"/>
      <c r="C33" s="785"/>
      <c r="D33" s="785"/>
      <c r="E33" s="784"/>
      <c r="F33" s="770"/>
      <c r="G33" s="769" t="s">
        <v>1464</v>
      </c>
      <c r="H33" s="769" t="s">
        <v>199</v>
      </c>
      <c r="I33" s="750"/>
      <c r="J33" s="750"/>
      <c r="K33" s="750"/>
      <c r="L33" s="750"/>
      <c r="M33" s="750"/>
      <c r="N33" s="750"/>
      <c r="O33" s="750"/>
      <c r="P33" s="750"/>
      <c r="Q33" s="750"/>
      <c r="R33" s="750"/>
      <c r="S33" s="750"/>
      <c r="T33" s="750"/>
      <c r="U33" s="770"/>
      <c r="V33" s="769" t="s">
        <v>1464</v>
      </c>
      <c r="W33" s="769" t="s">
        <v>199</v>
      </c>
      <c r="X33" s="750"/>
      <c r="Y33" s="750"/>
      <c r="Z33" s="750"/>
      <c r="AA33" s="750"/>
      <c r="AB33" s="750"/>
      <c r="AC33" s="750"/>
      <c r="AD33" s="750"/>
      <c r="AE33" s="750"/>
      <c r="AF33" s="750"/>
      <c r="AG33" s="750"/>
      <c r="AH33" s="750"/>
      <c r="AI33" s="750"/>
      <c r="AJ33" s="770"/>
      <c r="AK33" s="769" t="s">
        <v>1464</v>
      </c>
      <c r="AL33" s="769" t="s">
        <v>199</v>
      </c>
      <c r="AM33" s="750"/>
      <c r="AN33" s="750"/>
      <c r="AO33" s="750"/>
      <c r="AP33" s="750"/>
      <c r="AQ33" s="750"/>
      <c r="AR33" s="750"/>
      <c r="AS33" s="750"/>
      <c r="AT33" s="750"/>
      <c r="AU33" s="750"/>
      <c r="AV33" s="750"/>
      <c r="AW33" s="750"/>
      <c r="AX33" s="750"/>
      <c r="AY33" s="770"/>
      <c r="AZ33" s="769" t="s">
        <v>1464</v>
      </c>
      <c r="BA33" s="769" t="s">
        <v>199</v>
      </c>
      <c r="BB33" s="750"/>
      <c r="BC33" s="750"/>
      <c r="BD33" s="750"/>
      <c r="BE33" s="750"/>
      <c r="BF33" s="750"/>
      <c r="BG33" s="750"/>
      <c r="BH33" s="750"/>
      <c r="BI33" s="750"/>
      <c r="BJ33" s="750"/>
      <c r="BK33" s="750"/>
      <c r="BL33" s="750"/>
      <c r="BM33" s="750"/>
    </row>
    <row r="34" ht="15" customHeight="1" spans="2:65">
      <c r="B34" s="801"/>
      <c r="C34" s="785"/>
      <c r="D34" s="785"/>
      <c r="E34" s="784"/>
      <c r="F34" s="770"/>
      <c r="G34" s="769" t="s">
        <v>1464</v>
      </c>
      <c r="H34" s="769" t="s">
        <v>199</v>
      </c>
      <c r="I34" s="750"/>
      <c r="J34" s="750"/>
      <c r="K34" s="750"/>
      <c r="L34" s="750"/>
      <c r="M34" s="750"/>
      <c r="N34" s="750"/>
      <c r="O34" s="750"/>
      <c r="P34" s="750"/>
      <c r="Q34" s="750"/>
      <c r="R34" s="750"/>
      <c r="S34" s="750"/>
      <c r="T34" s="750"/>
      <c r="U34" s="770"/>
      <c r="V34" s="769" t="s">
        <v>1464</v>
      </c>
      <c r="W34" s="769" t="s">
        <v>199</v>
      </c>
      <c r="X34" s="750"/>
      <c r="Y34" s="750"/>
      <c r="Z34" s="750"/>
      <c r="AA34" s="750"/>
      <c r="AB34" s="750"/>
      <c r="AC34" s="750"/>
      <c r="AD34" s="750"/>
      <c r="AE34" s="750"/>
      <c r="AF34" s="750"/>
      <c r="AG34" s="750"/>
      <c r="AH34" s="750"/>
      <c r="AI34" s="750"/>
      <c r="AJ34" s="770"/>
      <c r="AK34" s="769" t="s">
        <v>1464</v>
      </c>
      <c r="AL34" s="769" t="s">
        <v>199</v>
      </c>
      <c r="AM34" s="750"/>
      <c r="AN34" s="750"/>
      <c r="AO34" s="750"/>
      <c r="AP34" s="750"/>
      <c r="AQ34" s="750"/>
      <c r="AR34" s="750"/>
      <c r="AS34" s="750"/>
      <c r="AT34" s="750"/>
      <c r="AU34" s="750"/>
      <c r="AV34" s="750"/>
      <c r="AW34" s="750"/>
      <c r="AX34" s="750"/>
      <c r="AY34" s="770"/>
      <c r="AZ34" s="769" t="s">
        <v>1464</v>
      </c>
      <c r="BA34" s="769" t="s">
        <v>199</v>
      </c>
      <c r="BB34" s="750"/>
      <c r="BC34" s="750"/>
      <c r="BD34" s="750"/>
      <c r="BE34" s="750"/>
      <c r="BF34" s="750"/>
      <c r="BG34" s="750"/>
      <c r="BH34" s="750"/>
      <c r="BI34" s="750"/>
      <c r="BJ34" s="750"/>
      <c r="BK34" s="750"/>
      <c r="BL34" s="750"/>
      <c r="BM34" s="750"/>
    </row>
    <row r="35" ht="15" customHeight="1" spans="2:65">
      <c r="B35" s="801"/>
      <c r="C35" s="785"/>
      <c r="D35" s="785"/>
      <c r="E35" s="784"/>
      <c r="F35" s="770"/>
      <c r="G35" s="769" t="s">
        <v>1464</v>
      </c>
      <c r="H35" s="769" t="s">
        <v>199</v>
      </c>
      <c r="I35" s="750"/>
      <c r="J35" s="750"/>
      <c r="K35" s="750"/>
      <c r="L35" s="750"/>
      <c r="M35" s="750"/>
      <c r="N35" s="750"/>
      <c r="O35" s="750"/>
      <c r="P35" s="750"/>
      <c r="Q35" s="750"/>
      <c r="R35" s="750"/>
      <c r="S35" s="750"/>
      <c r="T35" s="750"/>
      <c r="U35" s="770"/>
      <c r="V35" s="769" t="s">
        <v>1464</v>
      </c>
      <c r="W35" s="769" t="s">
        <v>199</v>
      </c>
      <c r="X35" s="750"/>
      <c r="Y35" s="750"/>
      <c r="Z35" s="750"/>
      <c r="AA35" s="750"/>
      <c r="AB35" s="750"/>
      <c r="AC35" s="750"/>
      <c r="AD35" s="750"/>
      <c r="AE35" s="750"/>
      <c r="AF35" s="750"/>
      <c r="AG35" s="750"/>
      <c r="AH35" s="750"/>
      <c r="AI35" s="750"/>
      <c r="AJ35" s="770"/>
      <c r="AK35" s="769" t="s">
        <v>1464</v>
      </c>
      <c r="AL35" s="769" t="s">
        <v>199</v>
      </c>
      <c r="AM35" s="750"/>
      <c r="AN35" s="750"/>
      <c r="AO35" s="750"/>
      <c r="AP35" s="750"/>
      <c r="AQ35" s="750"/>
      <c r="AR35" s="750"/>
      <c r="AS35" s="750"/>
      <c r="AT35" s="750"/>
      <c r="AU35" s="750"/>
      <c r="AV35" s="750"/>
      <c r="AW35" s="750"/>
      <c r="AX35" s="750"/>
      <c r="AY35" s="770"/>
      <c r="AZ35" s="769" t="s">
        <v>1464</v>
      </c>
      <c r="BA35" s="769" t="s">
        <v>199</v>
      </c>
      <c r="BB35" s="750"/>
      <c r="BC35" s="750"/>
      <c r="BD35" s="750"/>
      <c r="BE35" s="750"/>
      <c r="BF35" s="750"/>
      <c r="BG35" s="750"/>
      <c r="BH35" s="750"/>
      <c r="BI35" s="750"/>
      <c r="BJ35" s="750"/>
      <c r="BK35" s="750"/>
      <c r="BL35" s="750"/>
      <c r="BM35" s="750"/>
    </row>
    <row r="36" ht="15" customHeight="1" spans="2:65">
      <c r="B36" s="801"/>
      <c r="C36" s="785"/>
      <c r="D36" s="785"/>
      <c r="E36" s="784"/>
      <c r="F36" s="770"/>
      <c r="G36" s="769" t="s">
        <v>1464</v>
      </c>
      <c r="H36" s="769" t="s">
        <v>199</v>
      </c>
      <c r="I36" s="750"/>
      <c r="J36" s="750"/>
      <c r="K36" s="750"/>
      <c r="L36" s="750"/>
      <c r="M36" s="750"/>
      <c r="N36" s="750"/>
      <c r="O36" s="750"/>
      <c r="P36" s="750"/>
      <c r="Q36" s="750"/>
      <c r="R36" s="750"/>
      <c r="S36" s="750"/>
      <c r="T36" s="750"/>
      <c r="U36" s="770"/>
      <c r="V36" s="769" t="s">
        <v>1464</v>
      </c>
      <c r="W36" s="769" t="s">
        <v>199</v>
      </c>
      <c r="X36" s="750"/>
      <c r="Y36" s="750"/>
      <c r="Z36" s="750"/>
      <c r="AA36" s="750"/>
      <c r="AB36" s="750"/>
      <c r="AC36" s="750"/>
      <c r="AD36" s="750"/>
      <c r="AE36" s="750"/>
      <c r="AF36" s="750"/>
      <c r="AG36" s="750"/>
      <c r="AH36" s="750"/>
      <c r="AI36" s="750"/>
      <c r="AJ36" s="770"/>
      <c r="AK36" s="769" t="s">
        <v>1464</v>
      </c>
      <c r="AL36" s="769" t="s">
        <v>199</v>
      </c>
      <c r="AM36" s="750"/>
      <c r="AN36" s="750"/>
      <c r="AO36" s="750"/>
      <c r="AP36" s="750"/>
      <c r="AQ36" s="750"/>
      <c r="AR36" s="750"/>
      <c r="AS36" s="750"/>
      <c r="AT36" s="750"/>
      <c r="AU36" s="750"/>
      <c r="AV36" s="750"/>
      <c r="AW36" s="750"/>
      <c r="AX36" s="750"/>
      <c r="AY36" s="770"/>
      <c r="AZ36" s="769" t="s">
        <v>1464</v>
      </c>
      <c r="BA36" s="769" t="s">
        <v>199</v>
      </c>
      <c r="BB36" s="750"/>
      <c r="BC36" s="750"/>
      <c r="BD36" s="750"/>
      <c r="BE36" s="750"/>
      <c r="BF36" s="750"/>
      <c r="BG36" s="750"/>
      <c r="BH36" s="750"/>
      <c r="BI36" s="750"/>
      <c r="BJ36" s="750"/>
      <c r="BK36" s="750"/>
      <c r="BL36" s="750"/>
      <c r="BM36" s="750"/>
    </row>
    <row r="37" ht="15" customHeight="1" spans="2:65">
      <c r="B37" s="801"/>
      <c r="C37" s="784"/>
      <c r="D37" s="784"/>
      <c r="E37" s="784"/>
      <c r="F37" s="770"/>
      <c r="G37" s="769" t="s">
        <v>1464</v>
      </c>
      <c r="H37" s="769" t="s">
        <v>199</v>
      </c>
      <c r="I37" s="750"/>
      <c r="J37" s="750"/>
      <c r="K37" s="750"/>
      <c r="L37" s="750"/>
      <c r="M37" s="750"/>
      <c r="N37" s="750"/>
      <c r="O37" s="750"/>
      <c r="P37" s="750"/>
      <c r="Q37" s="750"/>
      <c r="R37" s="750"/>
      <c r="S37" s="750"/>
      <c r="T37" s="750"/>
      <c r="U37" s="770"/>
      <c r="V37" s="769" t="s">
        <v>1464</v>
      </c>
      <c r="W37" s="769" t="s">
        <v>199</v>
      </c>
      <c r="X37" s="750"/>
      <c r="Y37" s="750"/>
      <c r="Z37" s="750"/>
      <c r="AA37" s="750"/>
      <c r="AB37" s="750"/>
      <c r="AC37" s="750"/>
      <c r="AD37" s="750"/>
      <c r="AE37" s="750"/>
      <c r="AF37" s="750"/>
      <c r="AG37" s="750"/>
      <c r="AH37" s="750"/>
      <c r="AI37" s="750"/>
      <c r="AJ37" s="770"/>
      <c r="AK37" s="769" t="s">
        <v>1464</v>
      </c>
      <c r="AL37" s="769" t="s">
        <v>199</v>
      </c>
      <c r="AM37" s="750"/>
      <c r="AN37" s="750"/>
      <c r="AO37" s="750"/>
      <c r="AP37" s="750"/>
      <c r="AQ37" s="750"/>
      <c r="AR37" s="750"/>
      <c r="AS37" s="750"/>
      <c r="AT37" s="750"/>
      <c r="AU37" s="750"/>
      <c r="AV37" s="750"/>
      <c r="AW37" s="750"/>
      <c r="AX37" s="750"/>
      <c r="AY37" s="770"/>
      <c r="AZ37" s="769" t="s">
        <v>1464</v>
      </c>
      <c r="BA37" s="769" t="s">
        <v>199</v>
      </c>
      <c r="BB37" s="750"/>
      <c r="BC37" s="750"/>
      <c r="BD37" s="750"/>
      <c r="BE37" s="750"/>
      <c r="BF37" s="750"/>
      <c r="BG37" s="750"/>
      <c r="BH37" s="750"/>
      <c r="BI37" s="750"/>
      <c r="BJ37" s="750"/>
      <c r="BK37" s="750"/>
      <c r="BL37" s="750"/>
      <c r="BM37" s="750"/>
    </row>
    <row r="38" ht="15" customHeight="1" spans="2:65">
      <c r="B38" s="801"/>
      <c r="C38" s="784"/>
      <c r="D38" s="784"/>
      <c r="E38" s="784"/>
      <c r="F38" s="770"/>
      <c r="G38" s="769" t="s">
        <v>1464</v>
      </c>
      <c r="H38" s="769" t="s">
        <v>199</v>
      </c>
      <c r="I38" s="750"/>
      <c r="J38" s="750"/>
      <c r="K38" s="750"/>
      <c r="L38" s="750"/>
      <c r="M38" s="750"/>
      <c r="N38" s="750"/>
      <c r="O38" s="750"/>
      <c r="P38" s="750"/>
      <c r="Q38" s="750"/>
      <c r="R38" s="750"/>
      <c r="S38" s="750"/>
      <c r="T38" s="750"/>
      <c r="U38" s="770"/>
      <c r="V38" s="769" t="s">
        <v>1464</v>
      </c>
      <c r="W38" s="769" t="s">
        <v>199</v>
      </c>
      <c r="X38" s="750"/>
      <c r="Y38" s="750"/>
      <c r="Z38" s="750"/>
      <c r="AA38" s="750"/>
      <c r="AB38" s="750"/>
      <c r="AC38" s="750"/>
      <c r="AD38" s="750"/>
      <c r="AE38" s="750"/>
      <c r="AF38" s="750"/>
      <c r="AG38" s="750"/>
      <c r="AH38" s="750"/>
      <c r="AI38" s="750"/>
      <c r="AJ38" s="770"/>
      <c r="AK38" s="769" t="s">
        <v>1464</v>
      </c>
      <c r="AL38" s="769" t="s">
        <v>199</v>
      </c>
      <c r="AM38" s="750"/>
      <c r="AN38" s="750"/>
      <c r="AO38" s="750"/>
      <c r="AP38" s="750"/>
      <c r="AQ38" s="750"/>
      <c r="AR38" s="750"/>
      <c r="AS38" s="750"/>
      <c r="AT38" s="750"/>
      <c r="AU38" s="750"/>
      <c r="AV38" s="750"/>
      <c r="AW38" s="750"/>
      <c r="AX38" s="750"/>
      <c r="AY38" s="770"/>
      <c r="AZ38" s="769" t="s">
        <v>1464</v>
      </c>
      <c r="BA38" s="769" t="s">
        <v>199</v>
      </c>
      <c r="BB38" s="750"/>
      <c r="BC38" s="750"/>
      <c r="BD38" s="750"/>
      <c r="BE38" s="750"/>
      <c r="BF38" s="750"/>
      <c r="BG38" s="750"/>
      <c r="BH38" s="750"/>
      <c r="BI38" s="750"/>
      <c r="BJ38" s="750"/>
      <c r="BK38" s="750"/>
      <c r="BL38" s="750"/>
      <c r="BM38" s="750"/>
    </row>
    <row r="39" ht="15" customHeight="1" spans="2:65">
      <c r="B39" s="801"/>
      <c r="C39" s="784"/>
      <c r="D39" s="784"/>
      <c r="E39" s="784"/>
      <c r="F39" s="770"/>
      <c r="G39" s="769" t="s">
        <v>1464</v>
      </c>
      <c r="H39" s="769" t="s">
        <v>199</v>
      </c>
      <c r="I39" s="750"/>
      <c r="J39" s="750"/>
      <c r="K39" s="750"/>
      <c r="L39" s="750"/>
      <c r="M39" s="750"/>
      <c r="N39" s="750"/>
      <c r="O39" s="750"/>
      <c r="P39" s="750"/>
      <c r="Q39" s="750"/>
      <c r="R39" s="750"/>
      <c r="S39" s="750"/>
      <c r="T39" s="750"/>
      <c r="U39" s="770"/>
      <c r="V39" s="769" t="s">
        <v>1464</v>
      </c>
      <c r="W39" s="769" t="s">
        <v>199</v>
      </c>
      <c r="X39" s="750"/>
      <c r="Y39" s="750"/>
      <c r="Z39" s="750"/>
      <c r="AA39" s="750"/>
      <c r="AB39" s="750"/>
      <c r="AC39" s="750"/>
      <c r="AD39" s="750"/>
      <c r="AE39" s="750"/>
      <c r="AF39" s="750"/>
      <c r="AG39" s="750"/>
      <c r="AH39" s="750"/>
      <c r="AI39" s="750"/>
      <c r="AJ39" s="770"/>
      <c r="AK39" s="769" t="s">
        <v>1464</v>
      </c>
      <c r="AL39" s="769" t="s">
        <v>199</v>
      </c>
      <c r="AM39" s="750"/>
      <c r="AN39" s="750"/>
      <c r="AO39" s="750"/>
      <c r="AP39" s="750"/>
      <c r="AQ39" s="750"/>
      <c r="AR39" s="750"/>
      <c r="AS39" s="750"/>
      <c r="AT39" s="750"/>
      <c r="AU39" s="750"/>
      <c r="AV39" s="750"/>
      <c r="AW39" s="750"/>
      <c r="AX39" s="750"/>
      <c r="AY39" s="770"/>
      <c r="AZ39" s="769" t="s">
        <v>1464</v>
      </c>
      <c r="BA39" s="769" t="s">
        <v>199</v>
      </c>
      <c r="BB39" s="750"/>
      <c r="BC39" s="750"/>
      <c r="BD39" s="750"/>
      <c r="BE39" s="750"/>
      <c r="BF39" s="750"/>
      <c r="BG39" s="750"/>
      <c r="BH39" s="750"/>
      <c r="BI39" s="750"/>
      <c r="BJ39" s="750"/>
      <c r="BK39" s="750"/>
      <c r="BL39" s="750"/>
      <c r="BM39" s="750"/>
    </row>
    <row r="40" ht="15" customHeight="1" spans="2:65">
      <c r="B40" s="801"/>
      <c r="C40" s="784"/>
      <c r="D40" s="784"/>
      <c r="E40" s="784"/>
      <c r="F40" s="770"/>
      <c r="G40" s="769" t="s">
        <v>1464</v>
      </c>
      <c r="H40" s="769" t="s">
        <v>199</v>
      </c>
      <c r="I40" s="750"/>
      <c r="J40" s="750"/>
      <c r="K40" s="750"/>
      <c r="L40" s="750"/>
      <c r="M40" s="750"/>
      <c r="N40" s="750"/>
      <c r="O40" s="750"/>
      <c r="P40" s="750"/>
      <c r="Q40" s="750"/>
      <c r="R40" s="750"/>
      <c r="S40" s="750"/>
      <c r="T40" s="750"/>
      <c r="U40" s="770"/>
      <c r="V40" s="769" t="s">
        <v>1464</v>
      </c>
      <c r="W40" s="769" t="s">
        <v>199</v>
      </c>
      <c r="X40" s="750"/>
      <c r="Y40" s="750"/>
      <c r="Z40" s="750"/>
      <c r="AA40" s="750"/>
      <c r="AB40" s="750"/>
      <c r="AC40" s="750"/>
      <c r="AD40" s="750"/>
      <c r="AE40" s="750"/>
      <c r="AF40" s="750"/>
      <c r="AG40" s="750"/>
      <c r="AH40" s="750"/>
      <c r="AI40" s="750"/>
      <c r="AJ40" s="770"/>
      <c r="AK40" s="769" t="s">
        <v>1464</v>
      </c>
      <c r="AL40" s="769" t="s">
        <v>199</v>
      </c>
      <c r="AM40" s="750"/>
      <c r="AN40" s="750"/>
      <c r="AO40" s="750"/>
      <c r="AP40" s="750"/>
      <c r="AQ40" s="750"/>
      <c r="AR40" s="750"/>
      <c r="AS40" s="750"/>
      <c r="AT40" s="750"/>
      <c r="AU40" s="750"/>
      <c r="AV40" s="750"/>
      <c r="AW40" s="750"/>
      <c r="AX40" s="750"/>
      <c r="AY40" s="770"/>
      <c r="AZ40" s="769" t="s">
        <v>1464</v>
      </c>
      <c r="BA40" s="769" t="s">
        <v>199</v>
      </c>
      <c r="BB40" s="750"/>
      <c r="BC40" s="750"/>
      <c r="BD40" s="750"/>
      <c r="BE40" s="750"/>
      <c r="BF40" s="750"/>
      <c r="BG40" s="750"/>
      <c r="BH40" s="750"/>
      <c r="BI40" s="750"/>
      <c r="BJ40" s="750"/>
      <c r="BK40" s="750"/>
      <c r="BL40" s="750"/>
      <c r="BM40" s="750"/>
    </row>
    <row r="41" ht="15" customHeight="1" spans="2:65">
      <c r="B41" s="801"/>
      <c r="C41" s="784"/>
      <c r="D41" s="784"/>
      <c r="E41" s="784"/>
      <c r="F41" s="770"/>
      <c r="G41" s="769" t="s">
        <v>1464</v>
      </c>
      <c r="H41" s="769" t="s">
        <v>199</v>
      </c>
      <c r="I41" s="750"/>
      <c r="J41" s="750"/>
      <c r="K41" s="750"/>
      <c r="L41" s="750"/>
      <c r="M41" s="750"/>
      <c r="N41" s="750"/>
      <c r="O41" s="750"/>
      <c r="P41" s="750"/>
      <c r="Q41" s="750"/>
      <c r="R41" s="750"/>
      <c r="S41" s="750"/>
      <c r="T41" s="750"/>
      <c r="U41" s="770"/>
      <c r="V41" s="769" t="s">
        <v>1464</v>
      </c>
      <c r="W41" s="769" t="s">
        <v>199</v>
      </c>
      <c r="X41" s="750"/>
      <c r="Y41" s="750"/>
      <c r="Z41" s="750"/>
      <c r="AA41" s="750"/>
      <c r="AB41" s="750"/>
      <c r="AC41" s="750"/>
      <c r="AD41" s="750"/>
      <c r="AE41" s="750"/>
      <c r="AF41" s="750"/>
      <c r="AG41" s="750"/>
      <c r="AH41" s="750"/>
      <c r="AI41" s="750"/>
      <c r="AJ41" s="770"/>
      <c r="AK41" s="769" t="s">
        <v>1464</v>
      </c>
      <c r="AL41" s="769" t="s">
        <v>199</v>
      </c>
      <c r="AM41" s="750"/>
      <c r="AN41" s="750"/>
      <c r="AO41" s="750"/>
      <c r="AP41" s="750"/>
      <c r="AQ41" s="750"/>
      <c r="AR41" s="750"/>
      <c r="AS41" s="750"/>
      <c r="AT41" s="750"/>
      <c r="AU41" s="750"/>
      <c r="AV41" s="750"/>
      <c r="AW41" s="750"/>
      <c r="AX41" s="750"/>
      <c r="AY41" s="770"/>
      <c r="AZ41" s="769" t="s">
        <v>1464</v>
      </c>
      <c r="BA41" s="769" t="s">
        <v>199</v>
      </c>
      <c r="BB41" s="750"/>
      <c r="BC41" s="750"/>
      <c r="BD41" s="750"/>
      <c r="BE41" s="750"/>
      <c r="BF41" s="750"/>
      <c r="BG41" s="750"/>
      <c r="BH41" s="750"/>
      <c r="BI41" s="750"/>
      <c r="BJ41" s="750"/>
      <c r="BK41" s="750"/>
      <c r="BL41" s="750"/>
      <c r="BM41" s="750"/>
    </row>
    <row r="42" ht="15" customHeight="1" spans="2:65">
      <c r="B42" s="801"/>
      <c r="C42" s="784"/>
      <c r="D42" s="784"/>
      <c r="E42" s="784"/>
      <c r="F42" s="770"/>
      <c r="G42" s="769" t="s">
        <v>1464</v>
      </c>
      <c r="H42" s="769" t="s">
        <v>199</v>
      </c>
      <c r="I42" s="750"/>
      <c r="J42" s="750"/>
      <c r="K42" s="750"/>
      <c r="L42" s="750"/>
      <c r="M42" s="750"/>
      <c r="N42" s="750"/>
      <c r="O42" s="750"/>
      <c r="P42" s="750"/>
      <c r="Q42" s="750"/>
      <c r="R42" s="750"/>
      <c r="S42" s="750"/>
      <c r="T42" s="750"/>
      <c r="U42" s="770"/>
      <c r="V42" s="769" t="s">
        <v>1464</v>
      </c>
      <c r="W42" s="769" t="s">
        <v>199</v>
      </c>
      <c r="X42" s="750"/>
      <c r="Y42" s="750"/>
      <c r="Z42" s="750"/>
      <c r="AA42" s="750"/>
      <c r="AB42" s="750"/>
      <c r="AC42" s="750"/>
      <c r="AD42" s="750"/>
      <c r="AE42" s="750"/>
      <c r="AF42" s="750"/>
      <c r="AG42" s="750"/>
      <c r="AH42" s="750"/>
      <c r="AI42" s="750"/>
      <c r="AJ42" s="770"/>
      <c r="AK42" s="769" t="s">
        <v>1464</v>
      </c>
      <c r="AL42" s="769" t="s">
        <v>199</v>
      </c>
      <c r="AM42" s="750"/>
      <c r="AN42" s="750"/>
      <c r="AO42" s="750"/>
      <c r="AP42" s="750"/>
      <c r="AQ42" s="750"/>
      <c r="AR42" s="750"/>
      <c r="AS42" s="750"/>
      <c r="AT42" s="750"/>
      <c r="AU42" s="750"/>
      <c r="AV42" s="750"/>
      <c r="AW42" s="750"/>
      <c r="AX42" s="750"/>
      <c r="AY42" s="770"/>
      <c r="AZ42" s="769" t="s">
        <v>1464</v>
      </c>
      <c r="BA42" s="769" t="s">
        <v>199</v>
      </c>
      <c r="BB42" s="750"/>
      <c r="BC42" s="750"/>
      <c r="BD42" s="750"/>
      <c r="BE42" s="750"/>
      <c r="BF42" s="750"/>
      <c r="BG42" s="750"/>
      <c r="BH42" s="750"/>
      <c r="BI42" s="750"/>
      <c r="BJ42" s="750"/>
      <c r="BK42" s="750"/>
      <c r="BL42" s="750"/>
      <c r="BM42" s="750"/>
    </row>
    <row r="43" ht="15" customHeight="1" spans="2:65">
      <c r="B43" s="801"/>
      <c r="C43" s="784"/>
      <c r="D43" s="784"/>
      <c r="E43" s="784"/>
      <c r="F43" s="770"/>
      <c r="G43" s="769" t="s">
        <v>1464</v>
      </c>
      <c r="H43" s="769" t="s">
        <v>199</v>
      </c>
      <c r="I43" s="750"/>
      <c r="J43" s="750"/>
      <c r="K43" s="750"/>
      <c r="L43" s="750"/>
      <c r="M43" s="750"/>
      <c r="N43" s="750"/>
      <c r="O43" s="750"/>
      <c r="P43" s="750"/>
      <c r="Q43" s="750"/>
      <c r="R43" s="750"/>
      <c r="S43" s="750"/>
      <c r="T43" s="750"/>
      <c r="U43" s="770"/>
      <c r="V43" s="769" t="s">
        <v>1464</v>
      </c>
      <c r="W43" s="769" t="s">
        <v>199</v>
      </c>
      <c r="X43" s="750"/>
      <c r="Y43" s="750"/>
      <c r="Z43" s="750"/>
      <c r="AA43" s="750"/>
      <c r="AB43" s="750"/>
      <c r="AC43" s="750"/>
      <c r="AD43" s="750"/>
      <c r="AE43" s="750"/>
      <c r="AF43" s="750"/>
      <c r="AG43" s="750"/>
      <c r="AH43" s="750"/>
      <c r="AI43" s="750"/>
      <c r="AJ43" s="770"/>
      <c r="AK43" s="769" t="s">
        <v>1464</v>
      </c>
      <c r="AL43" s="769" t="s">
        <v>199</v>
      </c>
      <c r="AM43" s="750"/>
      <c r="AN43" s="750"/>
      <c r="AO43" s="750"/>
      <c r="AP43" s="750"/>
      <c r="AQ43" s="750"/>
      <c r="AR43" s="750"/>
      <c r="AS43" s="750"/>
      <c r="AT43" s="750"/>
      <c r="AU43" s="750"/>
      <c r="AV43" s="750"/>
      <c r="AW43" s="750"/>
      <c r="AX43" s="750"/>
      <c r="AY43" s="770"/>
      <c r="AZ43" s="769" t="s">
        <v>1464</v>
      </c>
      <c r="BA43" s="769" t="s">
        <v>199</v>
      </c>
      <c r="BB43" s="750"/>
      <c r="BC43" s="750"/>
      <c r="BD43" s="750"/>
      <c r="BE43" s="750"/>
      <c r="BF43" s="750"/>
      <c r="BG43" s="750"/>
      <c r="BH43" s="750"/>
      <c r="BI43" s="750"/>
      <c r="BJ43" s="750"/>
      <c r="BK43" s="750"/>
      <c r="BL43" s="750"/>
      <c r="BM43" s="750"/>
    </row>
    <row r="44" ht="15" customHeight="1" spans="2:65">
      <c r="B44" s="801"/>
      <c r="C44" s="784"/>
      <c r="D44" s="784"/>
      <c r="E44" s="784"/>
      <c r="F44" s="770"/>
      <c r="G44" s="769" t="s">
        <v>1464</v>
      </c>
      <c r="H44" s="769" t="s">
        <v>199</v>
      </c>
      <c r="I44" s="750"/>
      <c r="J44" s="750"/>
      <c r="K44" s="750"/>
      <c r="L44" s="750"/>
      <c r="M44" s="750"/>
      <c r="N44" s="750"/>
      <c r="O44" s="750"/>
      <c r="P44" s="750"/>
      <c r="Q44" s="750"/>
      <c r="R44" s="750"/>
      <c r="S44" s="750"/>
      <c r="T44" s="750"/>
      <c r="U44" s="770"/>
      <c r="V44" s="769" t="s">
        <v>1464</v>
      </c>
      <c r="W44" s="769" t="s">
        <v>199</v>
      </c>
      <c r="X44" s="750"/>
      <c r="Y44" s="750"/>
      <c r="Z44" s="750"/>
      <c r="AA44" s="750"/>
      <c r="AB44" s="750"/>
      <c r="AC44" s="750"/>
      <c r="AD44" s="750"/>
      <c r="AE44" s="750"/>
      <c r="AF44" s="750"/>
      <c r="AG44" s="750"/>
      <c r="AH44" s="750"/>
      <c r="AI44" s="750"/>
      <c r="AJ44" s="770"/>
      <c r="AK44" s="769" t="s">
        <v>1464</v>
      </c>
      <c r="AL44" s="769" t="s">
        <v>199</v>
      </c>
      <c r="AM44" s="750"/>
      <c r="AN44" s="750"/>
      <c r="AO44" s="750"/>
      <c r="AP44" s="750"/>
      <c r="AQ44" s="750"/>
      <c r="AR44" s="750"/>
      <c r="AS44" s="750"/>
      <c r="AT44" s="750"/>
      <c r="AU44" s="750"/>
      <c r="AV44" s="750"/>
      <c r="AW44" s="750"/>
      <c r="AX44" s="750"/>
      <c r="AY44" s="770"/>
      <c r="AZ44" s="769" t="s">
        <v>1464</v>
      </c>
      <c r="BA44" s="769" t="s">
        <v>199</v>
      </c>
      <c r="BB44" s="750"/>
      <c r="BC44" s="750"/>
      <c r="BD44" s="750"/>
      <c r="BE44" s="750"/>
      <c r="BF44" s="750"/>
      <c r="BG44" s="750"/>
      <c r="BH44" s="750"/>
      <c r="BI44" s="750"/>
      <c r="BJ44" s="750"/>
      <c r="BK44" s="750"/>
      <c r="BL44" s="750"/>
      <c r="BM44" s="750"/>
    </row>
    <row r="45" ht="15" customHeight="1" spans="2:65">
      <c r="B45" s="801"/>
      <c r="C45" s="784"/>
      <c r="D45" s="784"/>
      <c r="E45" s="784"/>
      <c r="F45" s="770"/>
      <c r="G45" s="769" t="s">
        <v>1464</v>
      </c>
      <c r="H45" s="769" t="s">
        <v>199</v>
      </c>
      <c r="I45" s="750"/>
      <c r="J45" s="750"/>
      <c r="K45" s="750"/>
      <c r="L45" s="750"/>
      <c r="M45" s="750"/>
      <c r="N45" s="750"/>
      <c r="O45" s="750"/>
      <c r="P45" s="750"/>
      <c r="Q45" s="750"/>
      <c r="R45" s="750"/>
      <c r="S45" s="750"/>
      <c r="T45" s="750"/>
      <c r="U45" s="770"/>
      <c r="V45" s="769" t="s">
        <v>1464</v>
      </c>
      <c r="W45" s="769" t="s">
        <v>199</v>
      </c>
      <c r="X45" s="750"/>
      <c r="Y45" s="750"/>
      <c r="Z45" s="750"/>
      <c r="AA45" s="750"/>
      <c r="AB45" s="750"/>
      <c r="AC45" s="750"/>
      <c r="AD45" s="750"/>
      <c r="AE45" s="750"/>
      <c r="AF45" s="750"/>
      <c r="AG45" s="750"/>
      <c r="AH45" s="750"/>
      <c r="AI45" s="750"/>
      <c r="AJ45" s="770"/>
      <c r="AK45" s="769" t="s">
        <v>1464</v>
      </c>
      <c r="AL45" s="769" t="s">
        <v>199</v>
      </c>
      <c r="AM45" s="750"/>
      <c r="AN45" s="750"/>
      <c r="AO45" s="750"/>
      <c r="AP45" s="750"/>
      <c r="AQ45" s="750"/>
      <c r="AR45" s="750"/>
      <c r="AS45" s="750"/>
      <c r="AT45" s="750"/>
      <c r="AU45" s="750"/>
      <c r="AV45" s="750"/>
      <c r="AW45" s="750"/>
      <c r="AX45" s="750"/>
      <c r="AY45" s="770"/>
      <c r="AZ45" s="769" t="s">
        <v>1464</v>
      </c>
      <c r="BA45" s="769" t="s">
        <v>199</v>
      </c>
      <c r="BB45" s="750"/>
      <c r="BC45" s="750"/>
      <c r="BD45" s="750"/>
      <c r="BE45" s="750"/>
      <c r="BF45" s="750"/>
      <c r="BG45" s="750"/>
      <c r="BH45" s="750"/>
      <c r="BI45" s="750"/>
      <c r="BJ45" s="750"/>
      <c r="BK45" s="750"/>
      <c r="BL45" s="750"/>
      <c r="BM45" s="750"/>
    </row>
    <row r="46" ht="15" customHeight="1" spans="2:65">
      <c r="B46" s="801"/>
      <c r="C46" s="786"/>
      <c r="D46" s="786"/>
      <c r="E46" s="784"/>
      <c r="F46" s="770"/>
      <c r="G46" s="769" t="s">
        <v>1464</v>
      </c>
      <c r="H46" s="769" t="s">
        <v>199</v>
      </c>
      <c r="I46" s="750"/>
      <c r="J46" s="750"/>
      <c r="K46" s="750"/>
      <c r="L46" s="750"/>
      <c r="M46" s="750"/>
      <c r="N46" s="750"/>
      <c r="O46" s="750"/>
      <c r="P46" s="750"/>
      <c r="Q46" s="750"/>
      <c r="R46" s="750"/>
      <c r="S46" s="750"/>
      <c r="T46" s="750"/>
      <c r="U46" s="770"/>
      <c r="V46" s="769" t="s">
        <v>1464</v>
      </c>
      <c r="W46" s="769" t="s">
        <v>199</v>
      </c>
      <c r="X46" s="750"/>
      <c r="Y46" s="750"/>
      <c r="Z46" s="750"/>
      <c r="AA46" s="750"/>
      <c r="AB46" s="750"/>
      <c r="AC46" s="750"/>
      <c r="AD46" s="750"/>
      <c r="AE46" s="750"/>
      <c r="AF46" s="750"/>
      <c r="AG46" s="750"/>
      <c r="AH46" s="750"/>
      <c r="AI46" s="750"/>
      <c r="AJ46" s="770"/>
      <c r="AK46" s="769" t="s">
        <v>1464</v>
      </c>
      <c r="AL46" s="769" t="s">
        <v>199</v>
      </c>
      <c r="AM46" s="750"/>
      <c r="AN46" s="750"/>
      <c r="AO46" s="750"/>
      <c r="AP46" s="750"/>
      <c r="AQ46" s="750"/>
      <c r="AR46" s="750"/>
      <c r="AS46" s="750"/>
      <c r="AT46" s="750"/>
      <c r="AU46" s="750"/>
      <c r="AV46" s="750"/>
      <c r="AW46" s="750"/>
      <c r="AX46" s="750"/>
      <c r="AY46" s="770"/>
      <c r="AZ46" s="769" t="s">
        <v>1464</v>
      </c>
      <c r="BA46" s="769" t="s">
        <v>199</v>
      </c>
      <c r="BB46" s="750"/>
      <c r="BC46" s="750"/>
      <c r="BD46" s="750"/>
      <c r="BE46" s="750"/>
      <c r="BF46" s="750"/>
      <c r="BG46" s="750"/>
      <c r="BH46" s="750"/>
      <c r="BI46" s="750"/>
      <c r="BJ46" s="750"/>
      <c r="BK46" s="750"/>
      <c r="BL46" s="750"/>
      <c r="BM46" s="750"/>
    </row>
    <row r="47" ht="15" customHeight="1" spans="2:65">
      <c r="B47" s="801"/>
      <c r="C47" s="786"/>
      <c r="D47" s="786"/>
      <c r="E47" s="784"/>
      <c r="F47" s="770"/>
      <c r="G47" s="769" t="s">
        <v>1464</v>
      </c>
      <c r="H47" s="769" t="s">
        <v>199</v>
      </c>
      <c r="I47" s="750"/>
      <c r="J47" s="750"/>
      <c r="K47" s="750"/>
      <c r="L47" s="750"/>
      <c r="M47" s="750"/>
      <c r="N47" s="750"/>
      <c r="O47" s="750"/>
      <c r="P47" s="750"/>
      <c r="Q47" s="750"/>
      <c r="R47" s="750"/>
      <c r="S47" s="750"/>
      <c r="T47" s="750"/>
      <c r="U47" s="770"/>
      <c r="V47" s="769" t="s">
        <v>1464</v>
      </c>
      <c r="W47" s="769" t="s">
        <v>199</v>
      </c>
      <c r="X47" s="750"/>
      <c r="Y47" s="750"/>
      <c r="Z47" s="750"/>
      <c r="AA47" s="750"/>
      <c r="AB47" s="750"/>
      <c r="AC47" s="750"/>
      <c r="AD47" s="750"/>
      <c r="AE47" s="750"/>
      <c r="AF47" s="750"/>
      <c r="AG47" s="750"/>
      <c r="AH47" s="750"/>
      <c r="AI47" s="750"/>
      <c r="AJ47" s="770"/>
      <c r="AK47" s="769" t="s">
        <v>1464</v>
      </c>
      <c r="AL47" s="769" t="s">
        <v>199</v>
      </c>
      <c r="AM47" s="750"/>
      <c r="AN47" s="750"/>
      <c r="AO47" s="750"/>
      <c r="AP47" s="750"/>
      <c r="AQ47" s="750"/>
      <c r="AR47" s="750"/>
      <c r="AS47" s="750"/>
      <c r="AT47" s="750"/>
      <c r="AU47" s="750"/>
      <c r="AV47" s="750"/>
      <c r="AW47" s="750"/>
      <c r="AX47" s="750"/>
      <c r="AY47" s="770"/>
      <c r="AZ47" s="769" t="s">
        <v>1464</v>
      </c>
      <c r="BA47" s="769" t="s">
        <v>199</v>
      </c>
      <c r="BB47" s="750"/>
      <c r="BC47" s="750"/>
      <c r="BD47" s="750"/>
      <c r="BE47" s="750"/>
      <c r="BF47" s="750"/>
      <c r="BG47" s="750"/>
      <c r="BH47" s="750"/>
      <c r="BI47" s="750"/>
      <c r="BJ47" s="750"/>
      <c r="BK47" s="750"/>
      <c r="BL47" s="750"/>
      <c r="BM47" s="750"/>
    </row>
    <row r="48" ht="15" customHeight="1" spans="2:65">
      <c r="B48" s="801"/>
      <c r="C48" s="786"/>
      <c r="D48" s="786"/>
      <c r="E48" s="784"/>
      <c r="F48" s="770"/>
      <c r="G48" s="769" t="s">
        <v>1464</v>
      </c>
      <c r="H48" s="769" t="s">
        <v>199</v>
      </c>
      <c r="I48" s="750"/>
      <c r="J48" s="750"/>
      <c r="K48" s="750"/>
      <c r="L48" s="750"/>
      <c r="M48" s="750"/>
      <c r="N48" s="750"/>
      <c r="O48" s="750"/>
      <c r="P48" s="750"/>
      <c r="Q48" s="750"/>
      <c r="R48" s="750"/>
      <c r="S48" s="750"/>
      <c r="T48" s="750"/>
      <c r="U48" s="770"/>
      <c r="V48" s="769" t="s">
        <v>1464</v>
      </c>
      <c r="W48" s="769" t="s">
        <v>199</v>
      </c>
      <c r="X48" s="750"/>
      <c r="Y48" s="750"/>
      <c r="Z48" s="750"/>
      <c r="AA48" s="750"/>
      <c r="AB48" s="750"/>
      <c r="AC48" s="750"/>
      <c r="AD48" s="750"/>
      <c r="AE48" s="750"/>
      <c r="AF48" s="750"/>
      <c r="AG48" s="750"/>
      <c r="AH48" s="750"/>
      <c r="AI48" s="750"/>
      <c r="AJ48" s="770"/>
      <c r="AK48" s="769" t="s">
        <v>1464</v>
      </c>
      <c r="AL48" s="769" t="s">
        <v>199</v>
      </c>
      <c r="AM48" s="750"/>
      <c r="AN48" s="750"/>
      <c r="AO48" s="750"/>
      <c r="AP48" s="750"/>
      <c r="AQ48" s="750"/>
      <c r="AR48" s="750"/>
      <c r="AS48" s="750"/>
      <c r="AT48" s="750"/>
      <c r="AU48" s="750"/>
      <c r="AV48" s="750"/>
      <c r="AW48" s="750"/>
      <c r="AX48" s="750"/>
      <c r="AY48" s="770"/>
      <c r="AZ48" s="769" t="s">
        <v>1464</v>
      </c>
      <c r="BA48" s="769" t="s">
        <v>199</v>
      </c>
      <c r="BB48" s="750"/>
      <c r="BC48" s="750"/>
      <c r="BD48" s="750"/>
      <c r="BE48" s="750"/>
      <c r="BF48" s="750"/>
      <c r="BG48" s="750"/>
      <c r="BH48" s="750"/>
      <c r="BI48" s="750"/>
      <c r="BJ48" s="750"/>
      <c r="BK48" s="750"/>
      <c r="BL48" s="750"/>
      <c r="BM48" s="750"/>
    </row>
    <row r="49" ht="15" customHeight="1" spans="2:65">
      <c r="B49" s="801"/>
      <c r="C49" s="786"/>
      <c r="D49" s="786"/>
      <c r="E49" s="784"/>
      <c r="F49" s="770"/>
      <c r="G49" s="769" t="s">
        <v>1464</v>
      </c>
      <c r="H49" s="769" t="s">
        <v>199</v>
      </c>
      <c r="I49" s="750"/>
      <c r="J49" s="750"/>
      <c r="K49" s="750"/>
      <c r="L49" s="750"/>
      <c r="M49" s="750"/>
      <c r="N49" s="750"/>
      <c r="O49" s="750"/>
      <c r="P49" s="750"/>
      <c r="Q49" s="750"/>
      <c r="R49" s="750"/>
      <c r="S49" s="750"/>
      <c r="T49" s="750"/>
      <c r="U49" s="770"/>
      <c r="V49" s="769" t="s">
        <v>1464</v>
      </c>
      <c r="W49" s="769" t="s">
        <v>199</v>
      </c>
      <c r="X49" s="750"/>
      <c r="Y49" s="750"/>
      <c r="Z49" s="750"/>
      <c r="AA49" s="750"/>
      <c r="AB49" s="750"/>
      <c r="AC49" s="750"/>
      <c r="AD49" s="750"/>
      <c r="AE49" s="750"/>
      <c r="AF49" s="750"/>
      <c r="AG49" s="750"/>
      <c r="AH49" s="750"/>
      <c r="AI49" s="750"/>
      <c r="AJ49" s="770"/>
      <c r="AK49" s="769" t="s">
        <v>1464</v>
      </c>
      <c r="AL49" s="769" t="s">
        <v>199</v>
      </c>
      <c r="AM49" s="750"/>
      <c r="AN49" s="750"/>
      <c r="AO49" s="750"/>
      <c r="AP49" s="750"/>
      <c r="AQ49" s="750"/>
      <c r="AR49" s="750"/>
      <c r="AS49" s="750"/>
      <c r="AT49" s="750"/>
      <c r="AU49" s="750"/>
      <c r="AV49" s="750"/>
      <c r="AW49" s="750"/>
      <c r="AX49" s="750"/>
      <c r="AY49" s="770"/>
      <c r="AZ49" s="769" t="s">
        <v>1464</v>
      </c>
      <c r="BA49" s="769" t="s">
        <v>199</v>
      </c>
      <c r="BB49" s="750"/>
      <c r="BC49" s="750"/>
      <c r="BD49" s="750"/>
      <c r="BE49" s="750"/>
      <c r="BF49" s="750"/>
      <c r="BG49" s="750"/>
      <c r="BH49" s="750"/>
      <c r="BI49" s="750"/>
      <c r="BJ49" s="750"/>
      <c r="BK49" s="750"/>
      <c r="BL49" s="750"/>
      <c r="BM49" s="750"/>
    </row>
    <row r="50" ht="15" customHeight="1" spans="2:65">
      <c r="B50" s="801"/>
      <c r="C50" s="784"/>
      <c r="D50" s="784"/>
      <c r="E50" s="784"/>
      <c r="F50" s="770"/>
      <c r="G50" s="769" t="s">
        <v>1464</v>
      </c>
      <c r="H50" s="769" t="s">
        <v>199</v>
      </c>
      <c r="I50" s="750"/>
      <c r="J50" s="750"/>
      <c r="K50" s="750"/>
      <c r="L50" s="750"/>
      <c r="M50" s="750"/>
      <c r="N50" s="750"/>
      <c r="O50" s="750"/>
      <c r="P50" s="750"/>
      <c r="Q50" s="750"/>
      <c r="R50" s="750"/>
      <c r="S50" s="750"/>
      <c r="T50" s="750"/>
      <c r="U50" s="770"/>
      <c r="V50" s="769" t="s">
        <v>1464</v>
      </c>
      <c r="W50" s="769" t="s">
        <v>199</v>
      </c>
      <c r="X50" s="750"/>
      <c r="Y50" s="750"/>
      <c r="Z50" s="750"/>
      <c r="AA50" s="750"/>
      <c r="AB50" s="750"/>
      <c r="AC50" s="750"/>
      <c r="AD50" s="750"/>
      <c r="AE50" s="750"/>
      <c r="AF50" s="750"/>
      <c r="AG50" s="750"/>
      <c r="AH50" s="750"/>
      <c r="AI50" s="750"/>
      <c r="AJ50" s="770"/>
      <c r="AK50" s="769" t="s">
        <v>1464</v>
      </c>
      <c r="AL50" s="769" t="s">
        <v>199</v>
      </c>
      <c r="AM50" s="750"/>
      <c r="AN50" s="750"/>
      <c r="AO50" s="750"/>
      <c r="AP50" s="750"/>
      <c r="AQ50" s="750"/>
      <c r="AR50" s="750"/>
      <c r="AS50" s="750"/>
      <c r="AT50" s="750"/>
      <c r="AU50" s="750"/>
      <c r="AV50" s="750"/>
      <c r="AW50" s="750"/>
      <c r="AX50" s="750"/>
      <c r="AY50" s="770"/>
      <c r="AZ50" s="769" t="s">
        <v>1464</v>
      </c>
      <c r="BA50" s="769" t="s">
        <v>199</v>
      </c>
      <c r="BB50" s="750"/>
      <c r="BC50" s="750"/>
      <c r="BD50" s="750"/>
      <c r="BE50" s="750"/>
      <c r="BF50" s="750"/>
      <c r="BG50" s="750"/>
      <c r="BH50" s="750"/>
      <c r="BI50" s="750"/>
      <c r="BJ50" s="750"/>
      <c r="BK50" s="750"/>
      <c r="BL50" s="750"/>
      <c r="BM50" s="750"/>
    </row>
    <row r="51" ht="15" customHeight="1" spans="2:65">
      <c r="B51" s="801"/>
      <c r="C51" s="784"/>
      <c r="D51" s="784"/>
      <c r="E51" s="784"/>
      <c r="F51" s="770"/>
      <c r="G51" s="769" t="s">
        <v>1464</v>
      </c>
      <c r="H51" s="769" t="s">
        <v>199</v>
      </c>
      <c r="I51" s="750"/>
      <c r="J51" s="750"/>
      <c r="K51" s="750"/>
      <c r="L51" s="750"/>
      <c r="M51" s="750"/>
      <c r="N51" s="750"/>
      <c r="O51" s="750"/>
      <c r="P51" s="750"/>
      <c r="Q51" s="750"/>
      <c r="R51" s="750"/>
      <c r="S51" s="750"/>
      <c r="T51" s="750"/>
      <c r="U51" s="770"/>
      <c r="V51" s="769" t="s">
        <v>1464</v>
      </c>
      <c r="W51" s="769" t="s">
        <v>199</v>
      </c>
      <c r="X51" s="750"/>
      <c r="Y51" s="750"/>
      <c r="Z51" s="750"/>
      <c r="AA51" s="750"/>
      <c r="AB51" s="750"/>
      <c r="AC51" s="750"/>
      <c r="AD51" s="750"/>
      <c r="AE51" s="750"/>
      <c r="AF51" s="750"/>
      <c r="AG51" s="750"/>
      <c r="AH51" s="750"/>
      <c r="AI51" s="750"/>
      <c r="AJ51" s="770"/>
      <c r="AK51" s="769" t="s">
        <v>1464</v>
      </c>
      <c r="AL51" s="769" t="s">
        <v>199</v>
      </c>
      <c r="AM51" s="750"/>
      <c r="AN51" s="750"/>
      <c r="AO51" s="750"/>
      <c r="AP51" s="750"/>
      <c r="AQ51" s="750"/>
      <c r="AR51" s="750"/>
      <c r="AS51" s="750"/>
      <c r="AT51" s="750"/>
      <c r="AU51" s="750"/>
      <c r="AV51" s="750"/>
      <c r="AW51" s="750"/>
      <c r="AX51" s="750"/>
      <c r="AY51" s="770"/>
      <c r="AZ51" s="769" t="s">
        <v>1464</v>
      </c>
      <c r="BA51" s="769" t="s">
        <v>199</v>
      </c>
      <c r="BB51" s="750"/>
      <c r="BC51" s="750"/>
      <c r="BD51" s="750"/>
      <c r="BE51" s="750"/>
      <c r="BF51" s="750"/>
      <c r="BG51" s="750"/>
      <c r="BH51" s="750"/>
      <c r="BI51" s="750"/>
      <c r="BJ51" s="750"/>
      <c r="BK51" s="750"/>
      <c r="BL51" s="750"/>
      <c r="BM51" s="750"/>
    </row>
    <row r="52" ht="15" customHeight="1" spans="2:65">
      <c r="B52" s="801"/>
      <c r="C52" s="784"/>
      <c r="D52" s="784"/>
      <c r="E52" s="784"/>
      <c r="F52" s="770"/>
      <c r="G52" s="769" t="s">
        <v>1464</v>
      </c>
      <c r="H52" s="769" t="s">
        <v>199</v>
      </c>
      <c r="I52" s="750"/>
      <c r="J52" s="750"/>
      <c r="K52" s="750"/>
      <c r="L52" s="750"/>
      <c r="M52" s="750"/>
      <c r="N52" s="750"/>
      <c r="O52" s="750"/>
      <c r="P52" s="750"/>
      <c r="Q52" s="750"/>
      <c r="R52" s="750"/>
      <c r="S52" s="750"/>
      <c r="T52" s="750"/>
      <c r="U52" s="770"/>
      <c r="V52" s="769" t="s">
        <v>1464</v>
      </c>
      <c r="W52" s="769" t="s">
        <v>199</v>
      </c>
      <c r="X52" s="750"/>
      <c r="Y52" s="750"/>
      <c r="Z52" s="750"/>
      <c r="AA52" s="750"/>
      <c r="AB52" s="750"/>
      <c r="AC52" s="750"/>
      <c r="AD52" s="750"/>
      <c r="AE52" s="750"/>
      <c r="AF52" s="750"/>
      <c r="AG52" s="750"/>
      <c r="AH52" s="750"/>
      <c r="AI52" s="750"/>
      <c r="AJ52" s="770"/>
      <c r="AK52" s="769" t="s">
        <v>1464</v>
      </c>
      <c r="AL52" s="769" t="s">
        <v>199</v>
      </c>
      <c r="AM52" s="750"/>
      <c r="AN52" s="750"/>
      <c r="AO52" s="750"/>
      <c r="AP52" s="750"/>
      <c r="AQ52" s="750"/>
      <c r="AR52" s="750"/>
      <c r="AS52" s="750"/>
      <c r="AT52" s="750"/>
      <c r="AU52" s="750"/>
      <c r="AV52" s="750"/>
      <c r="AW52" s="750"/>
      <c r="AX52" s="750"/>
      <c r="AY52" s="770"/>
      <c r="AZ52" s="769" t="s">
        <v>1464</v>
      </c>
      <c r="BA52" s="769" t="s">
        <v>199</v>
      </c>
      <c r="BB52" s="750"/>
      <c r="BC52" s="750"/>
      <c r="BD52" s="750"/>
      <c r="BE52" s="750"/>
      <c r="BF52" s="750"/>
      <c r="BG52" s="750"/>
      <c r="BH52" s="750"/>
      <c r="BI52" s="750"/>
      <c r="BJ52" s="750"/>
      <c r="BK52" s="750"/>
      <c r="BL52" s="750"/>
      <c r="BM52" s="750"/>
    </row>
    <row r="53" ht="15" customHeight="1" spans="2:65">
      <c r="B53" s="801"/>
      <c r="C53" s="784"/>
      <c r="D53" s="784"/>
      <c r="E53" s="784"/>
      <c r="F53" s="770"/>
      <c r="G53" s="769" t="s">
        <v>1464</v>
      </c>
      <c r="H53" s="769" t="s">
        <v>199</v>
      </c>
      <c r="I53" s="750"/>
      <c r="J53" s="750"/>
      <c r="K53" s="750"/>
      <c r="L53" s="750"/>
      <c r="M53" s="750"/>
      <c r="N53" s="750"/>
      <c r="O53" s="750"/>
      <c r="P53" s="750"/>
      <c r="Q53" s="750"/>
      <c r="R53" s="750"/>
      <c r="S53" s="750"/>
      <c r="T53" s="750"/>
      <c r="U53" s="770"/>
      <c r="V53" s="769" t="s">
        <v>1464</v>
      </c>
      <c r="W53" s="769" t="s">
        <v>199</v>
      </c>
      <c r="X53" s="750"/>
      <c r="Y53" s="750"/>
      <c r="Z53" s="750"/>
      <c r="AA53" s="750"/>
      <c r="AB53" s="750"/>
      <c r="AC53" s="750"/>
      <c r="AD53" s="750"/>
      <c r="AE53" s="750"/>
      <c r="AF53" s="750"/>
      <c r="AG53" s="750"/>
      <c r="AH53" s="750"/>
      <c r="AI53" s="750"/>
      <c r="AJ53" s="770"/>
      <c r="AK53" s="769" t="s">
        <v>1464</v>
      </c>
      <c r="AL53" s="769" t="s">
        <v>199</v>
      </c>
      <c r="AM53" s="750"/>
      <c r="AN53" s="750"/>
      <c r="AO53" s="750"/>
      <c r="AP53" s="750"/>
      <c r="AQ53" s="750"/>
      <c r="AR53" s="750"/>
      <c r="AS53" s="750"/>
      <c r="AT53" s="750"/>
      <c r="AU53" s="750"/>
      <c r="AV53" s="750"/>
      <c r="AW53" s="750"/>
      <c r="AX53" s="750"/>
      <c r="AY53" s="770"/>
      <c r="AZ53" s="769" t="s">
        <v>1464</v>
      </c>
      <c r="BA53" s="769" t="s">
        <v>199</v>
      </c>
      <c r="BB53" s="750"/>
      <c r="BC53" s="750"/>
      <c r="BD53" s="750"/>
      <c r="BE53" s="750"/>
      <c r="BF53" s="750"/>
      <c r="BG53" s="750"/>
      <c r="BH53" s="750"/>
      <c r="BI53" s="750"/>
      <c r="BJ53" s="750"/>
      <c r="BK53" s="750"/>
      <c r="BL53" s="750"/>
      <c r="BM53" s="750"/>
    </row>
    <row r="54" ht="15" customHeight="1" spans="2:65">
      <c r="B54" s="801"/>
      <c r="C54" s="784"/>
      <c r="D54" s="784"/>
      <c r="E54" s="784"/>
      <c r="F54" s="770"/>
      <c r="G54" s="769" t="s">
        <v>1464</v>
      </c>
      <c r="H54" s="769" t="s">
        <v>199</v>
      </c>
      <c r="I54" s="750"/>
      <c r="J54" s="750"/>
      <c r="K54" s="750"/>
      <c r="L54" s="750"/>
      <c r="M54" s="750"/>
      <c r="N54" s="750"/>
      <c r="O54" s="750"/>
      <c r="P54" s="750"/>
      <c r="Q54" s="788"/>
      <c r="R54" s="750"/>
      <c r="S54" s="750"/>
      <c r="T54" s="750"/>
      <c r="U54" s="770"/>
      <c r="V54" s="769" t="s">
        <v>1464</v>
      </c>
      <c r="W54" s="769" t="s">
        <v>199</v>
      </c>
      <c r="X54" s="750"/>
      <c r="Y54" s="750"/>
      <c r="Z54" s="750"/>
      <c r="AA54" s="750"/>
      <c r="AB54" s="750"/>
      <c r="AC54" s="750"/>
      <c r="AD54" s="750"/>
      <c r="AE54" s="750"/>
      <c r="AF54" s="788"/>
      <c r="AG54" s="750"/>
      <c r="AH54" s="750"/>
      <c r="AI54" s="750"/>
      <c r="AJ54" s="770"/>
      <c r="AK54" s="769" t="s">
        <v>1464</v>
      </c>
      <c r="AL54" s="769" t="s">
        <v>199</v>
      </c>
      <c r="AM54" s="750"/>
      <c r="AN54" s="750"/>
      <c r="AO54" s="750"/>
      <c r="AP54" s="750"/>
      <c r="AQ54" s="750"/>
      <c r="AR54" s="750"/>
      <c r="AS54" s="750"/>
      <c r="AT54" s="750"/>
      <c r="AU54" s="788"/>
      <c r="AV54" s="750"/>
      <c r="AW54" s="750"/>
      <c r="AX54" s="750"/>
      <c r="AY54" s="770"/>
      <c r="AZ54" s="769" t="s">
        <v>1464</v>
      </c>
      <c r="BA54" s="769" t="s">
        <v>199</v>
      </c>
      <c r="BB54" s="750"/>
      <c r="BC54" s="750"/>
      <c r="BD54" s="750"/>
      <c r="BE54" s="750"/>
      <c r="BF54" s="750"/>
      <c r="BG54" s="750"/>
      <c r="BH54" s="750"/>
      <c r="BI54" s="750"/>
      <c r="BJ54" s="788"/>
      <c r="BK54" s="750"/>
      <c r="BL54" s="750"/>
      <c r="BM54" s="750"/>
    </row>
    <row r="55" ht="15" customHeight="1" spans="2:65">
      <c r="B55" s="801"/>
      <c r="C55" s="784"/>
      <c r="D55" s="784"/>
      <c r="E55" s="784"/>
      <c r="F55" s="770"/>
      <c r="G55" s="769" t="s">
        <v>1464</v>
      </c>
      <c r="H55" s="769" t="s">
        <v>199</v>
      </c>
      <c r="I55" s="750"/>
      <c r="J55" s="750"/>
      <c r="K55" s="750"/>
      <c r="L55" s="750"/>
      <c r="M55" s="750"/>
      <c r="N55" s="750"/>
      <c r="O55" s="750"/>
      <c r="P55" s="750"/>
      <c r="Q55" s="750"/>
      <c r="R55" s="750"/>
      <c r="S55" s="750"/>
      <c r="T55" s="750"/>
      <c r="U55" s="770"/>
      <c r="V55" s="769" t="s">
        <v>1464</v>
      </c>
      <c r="W55" s="769" t="s">
        <v>199</v>
      </c>
      <c r="X55" s="750"/>
      <c r="Y55" s="750"/>
      <c r="Z55" s="750"/>
      <c r="AA55" s="750"/>
      <c r="AB55" s="750"/>
      <c r="AC55" s="750"/>
      <c r="AD55" s="750"/>
      <c r="AE55" s="750"/>
      <c r="AF55" s="750"/>
      <c r="AG55" s="750"/>
      <c r="AH55" s="750"/>
      <c r="AI55" s="750"/>
      <c r="AJ55" s="770"/>
      <c r="AK55" s="769" t="s">
        <v>1464</v>
      </c>
      <c r="AL55" s="769" t="s">
        <v>199</v>
      </c>
      <c r="AM55" s="750"/>
      <c r="AN55" s="750"/>
      <c r="AO55" s="750"/>
      <c r="AP55" s="750"/>
      <c r="AQ55" s="750"/>
      <c r="AR55" s="750"/>
      <c r="AS55" s="750"/>
      <c r="AT55" s="750"/>
      <c r="AU55" s="750"/>
      <c r="AV55" s="750"/>
      <c r="AW55" s="750"/>
      <c r="AX55" s="750"/>
      <c r="AY55" s="770"/>
      <c r="AZ55" s="769" t="s">
        <v>1464</v>
      </c>
      <c r="BA55" s="769" t="s">
        <v>199</v>
      </c>
      <c r="BB55" s="750"/>
      <c r="BC55" s="750"/>
      <c r="BD55" s="750"/>
      <c r="BE55" s="750"/>
      <c r="BF55" s="750"/>
      <c r="BG55" s="750"/>
      <c r="BH55" s="750"/>
      <c r="BI55" s="750"/>
      <c r="BJ55" s="750"/>
      <c r="BK55" s="750"/>
      <c r="BL55" s="750"/>
      <c r="BM55" s="750"/>
    </row>
    <row r="56" ht="15" customHeight="1" spans="2:65">
      <c r="B56" s="801"/>
      <c r="C56" s="784"/>
      <c r="D56" s="784"/>
      <c r="E56" s="784"/>
      <c r="F56" s="770"/>
      <c r="G56" s="769" t="s">
        <v>1464</v>
      </c>
      <c r="H56" s="769" t="s">
        <v>199</v>
      </c>
      <c r="I56" s="750"/>
      <c r="J56" s="750"/>
      <c r="K56" s="750"/>
      <c r="L56" s="750"/>
      <c r="M56" s="750"/>
      <c r="N56" s="750"/>
      <c r="O56" s="750"/>
      <c r="P56" s="750"/>
      <c r="Q56" s="750"/>
      <c r="R56" s="750"/>
      <c r="S56" s="750"/>
      <c r="T56" s="750"/>
      <c r="U56" s="770"/>
      <c r="V56" s="769" t="s">
        <v>1464</v>
      </c>
      <c r="W56" s="769" t="s">
        <v>199</v>
      </c>
      <c r="X56" s="750"/>
      <c r="Y56" s="750"/>
      <c r="Z56" s="750"/>
      <c r="AA56" s="750"/>
      <c r="AB56" s="750"/>
      <c r="AC56" s="750"/>
      <c r="AD56" s="750"/>
      <c r="AE56" s="750"/>
      <c r="AF56" s="750"/>
      <c r="AG56" s="750"/>
      <c r="AH56" s="750"/>
      <c r="AI56" s="750"/>
      <c r="AJ56" s="770"/>
      <c r="AK56" s="769" t="s">
        <v>1464</v>
      </c>
      <c r="AL56" s="769" t="s">
        <v>199</v>
      </c>
      <c r="AM56" s="750"/>
      <c r="AN56" s="750"/>
      <c r="AO56" s="750"/>
      <c r="AP56" s="750"/>
      <c r="AQ56" s="750"/>
      <c r="AR56" s="750"/>
      <c r="AS56" s="750"/>
      <c r="AT56" s="750"/>
      <c r="AU56" s="750"/>
      <c r="AV56" s="750"/>
      <c r="AW56" s="750"/>
      <c r="AX56" s="750"/>
      <c r="AY56" s="770"/>
      <c r="AZ56" s="769" t="s">
        <v>1464</v>
      </c>
      <c r="BA56" s="769" t="s">
        <v>199</v>
      </c>
      <c r="BB56" s="750"/>
      <c r="BC56" s="750"/>
      <c r="BD56" s="750"/>
      <c r="BE56" s="750"/>
      <c r="BF56" s="750"/>
      <c r="BG56" s="750"/>
      <c r="BH56" s="750"/>
      <c r="BI56" s="750"/>
      <c r="BJ56" s="750"/>
      <c r="BK56" s="750"/>
      <c r="BL56" s="750"/>
      <c r="BM56" s="750"/>
    </row>
    <row r="57" ht="15" customHeight="1" spans="2:65">
      <c r="B57" s="801"/>
      <c r="C57" s="784"/>
      <c r="D57" s="784"/>
      <c r="E57" s="784"/>
      <c r="F57" s="770"/>
      <c r="G57" s="769" t="s">
        <v>1464</v>
      </c>
      <c r="H57" s="769" t="s">
        <v>199</v>
      </c>
      <c r="I57" s="750"/>
      <c r="J57" s="750"/>
      <c r="K57" s="750"/>
      <c r="L57" s="750"/>
      <c r="M57" s="750"/>
      <c r="N57" s="750"/>
      <c r="O57" s="750"/>
      <c r="P57" s="750"/>
      <c r="Q57" s="750"/>
      <c r="R57" s="750"/>
      <c r="S57" s="750"/>
      <c r="T57" s="750"/>
      <c r="U57" s="770"/>
      <c r="V57" s="769" t="s">
        <v>1464</v>
      </c>
      <c r="W57" s="769" t="s">
        <v>199</v>
      </c>
      <c r="X57" s="750"/>
      <c r="Y57" s="750"/>
      <c r="Z57" s="750"/>
      <c r="AA57" s="750"/>
      <c r="AB57" s="750"/>
      <c r="AC57" s="750"/>
      <c r="AD57" s="750"/>
      <c r="AE57" s="750"/>
      <c r="AF57" s="750"/>
      <c r="AG57" s="750"/>
      <c r="AH57" s="750"/>
      <c r="AI57" s="750"/>
      <c r="AJ57" s="770"/>
      <c r="AK57" s="769" t="s">
        <v>1464</v>
      </c>
      <c r="AL57" s="769" t="s">
        <v>199</v>
      </c>
      <c r="AM57" s="750"/>
      <c r="AN57" s="750"/>
      <c r="AO57" s="750"/>
      <c r="AP57" s="750"/>
      <c r="AQ57" s="750"/>
      <c r="AR57" s="750"/>
      <c r="AS57" s="750"/>
      <c r="AT57" s="750"/>
      <c r="AU57" s="750"/>
      <c r="AV57" s="750"/>
      <c r="AW57" s="750"/>
      <c r="AX57" s="750"/>
      <c r="AY57" s="770"/>
      <c r="AZ57" s="769" t="s">
        <v>1464</v>
      </c>
      <c r="BA57" s="769" t="s">
        <v>199</v>
      </c>
      <c r="BB57" s="750"/>
      <c r="BC57" s="750"/>
      <c r="BD57" s="750"/>
      <c r="BE57" s="750"/>
      <c r="BF57" s="750"/>
      <c r="BG57" s="750"/>
      <c r="BH57" s="750"/>
      <c r="BI57" s="750"/>
      <c r="BJ57" s="750"/>
      <c r="BK57" s="750"/>
      <c r="BL57" s="750"/>
      <c r="BM57" s="750"/>
    </row>
    <row r="58" ht="15" customHeight="1" spans="2:65">
      <c r="B58" s="801"/>
      <c r="C58" s="784"/>
      <c r="D58" s="784"/>
      <c r="E58" s="784"/>
      <c r="F58" s="770"/>
      <c r="G58" s="769" t="s">
        <v>1464</v>
      </c>
      <c r="H58" s="769" t="s">
        <v>199</v>
      </c>
      <c r="I58" s="750"/>
      <c r="J58" s="750"/>
      <c r="K58" s="750"/>
      <c r="L58" s="750"/>
      <c r="M58" s="750"/>
      <c r="N58" s="750"/>
      <c r="O58" s="750"/>
      <c r="P58" s="750"/>
      <c r="Q58" s="750"/>
      <c r="R58" s="750"/>
      <c r="S58" s="750"/>
      <c r="T58" s="750"/>
      <c r="U58" s="770"/>
      <c r="V58" s="769" t="s">
        <v>1464</v>
      </c>
      <c r="W58" s="769" t="s">
        <v>199</v>
      </c>
      <c r="X58" s="750"/>
      <c r="Y58" s="750"/>
      <c r="Z58" s="750"/>
      <c r="AA58" s="750"/>
      <c r="AB58" s="750"/>
      <c r="AC58" s="750"/>
      <c r="AD58" s="750"/>
      <c r="AE58" s="750"/>
      <c r="AF58" s="750"/>
      <c r="AG58" s="750"/>
      <c r="AH58" s="750"/>
      <c r="AI58" s="750"/>
      <c r="AJ58" s="770"/>
      <c r="AK58" s="769" t="s">
        <v>1464</v>
      </c>
      <c r="AL58" s="769" t="s">
        <v>199</v>
      </c>
      <c r="AM58" s="750"/>
      <c r="AN58" s="750"/>
      <c r="AO58" s="750"/>
      <c r="AP58" s="750"/>
      <c r="AQ58" s="750"/>
      <c r="AR58" s="750"/>
      <c r="AS58" s="750"/>
      <c r="AT58" s="750"/>
      <c r="AU58" s="750"/>
      <c r="AV58" s="750"/>
      <c r="AW58" s="750"/>
      <c r="AX58" s="750"/>
      <c r="AY58" s="770"/>
      <c r="AZ58" s="769" t="s">
        <v>1464</v>
      </c>
      <c r="BA58" s="769" t="s">
        <v>199</v>
      </c>
      <c r="BB58" s="750"/>
      <c r="BC58" s="750"/>
      <c r="BD58" s="750"/>
      <c r="BE58" s="750"/>
      <c r="BF58" s="750"/>
      <c r="BG58" s="750"/>
      <c r="BH58" s="750"/>
      <c r="BI58" s="750"/>
      <c r="BJ58" s="750"/>
      <c r="BK58" s="750"/>
      <c r="BL58" s="750"/>
      <c r="BM58" s="750"/>
    </row>
    <row r="59" ht="15" customHeight="1" spans="2:65">
      <c r="B59" s="801"/>
      <c r="C59" s="784"/>
      <c r="D59" s="784"/>
      <c r="E59" s="784"/>
      <c r="F59" s="770"/>
      <c r="G59" s="769" t="s">
        <v>1464</v>
      </c>
      <c r="H59" s="769" t="s">
        <v>199</v>
      </c>
      <c r="I59" s="750"/>
      <c r="J59" s="750"/>
      <c r="K59" s="750"/>
      <c r="L59" s="750"/>
      <c r="M59" s="750"/>
      <c r="N59" s="750"/>
      <c r="O59" s="750"/>
      <c r="P59" s="750"/>
      <c r="Q59" s="750"/>
      <c r="R59" s="750"/>
      <c r="S59" s="750"/>
      <c r="T59" s="750"/>
      <c r="U59" s="770"/>
      <c r="V59" s="769" t="s">
        <v>1464</v>
      </c>
      <c r="W59" s="769" t="s">
        <v>199</v>
      </c>
      <c r="X59" s="750"/>
      <c r="Y59" s="750"/>
      <c r="Z59" s="750"/>
      <c r="AA59" s="750"/>
      <c r="AB59" s="750"/>
      <c r="AC59" s="750"/>
      <c r="AD59" s="750"/>
      <c r="AE59" s="750"/>
      <c r="AF59" s="750"/>
      <c r="AG59" s="750"/>
      <c r="AH59" s="750"/>
      <c r="AI59" s="750"/>
      <c r="AJ59" s="770"/>
      <c r="AK59" s="769" t="s">
        <v>1464</v>
      </c>
      <c r="AL59" s="769" t="s">
        <v>199</v>
      </c>
      <c r="AM59" s="750"/>
      <c r="AN59" s="750"/>
      <c r="AO59" s="750"/>
      <c r="AP59" s="750"/>
      <c r="AQ59" s="750"/>
      <c r="AR59" s="750"/>
      <c r="AS59" s="750"/>
      <c r="AT59" s="750"/>
      <c r="AU59" s="750"/>
      <c r="AV59" s="750"/>
      <c r="AW59" s="750"/>
      <c r="AX59" s="750"/>
      <c r="AY59" s="770"/>
      <c r="AZ59" s="769" t="s">
        <v>1464</v>
      </c>
      <c r="BA59" s="769" t="s">
        <v>199</v>
      </c>
      <c r="BB59" s="750"/>
      <c r="BC59" s="750"/>
      <c r="BD59" s="750"/>
      <c r="BE59" s="750"/>
      <c r="BF59" s="750"/>
      <c r="BG59" s="750"/>
      <c r="BH59" s="750"/>
      <c r="BI59" s="750"/>
      <c r="BJ59" s="750"/>
      <c r="BK59" s="750"/>
      <c r="BL59" s="750"/>
      <c r="BM59" s="750"/>
    </row>
    <row r="60" ht="15" customHeight="1" spans="2:65">
      <c r="B60" s="801"/>
      <c r="C60" s="784"/>
      <c r="D60" s="784"/>
      <c r="E60" s="784"/>
      <c r="F60" s="770"/>
      <c r="G60" s="769" t="s">
        <v>1464</v>
      </c>
      <c r="H60" s="769" t="s">
        <v>199</v>
      </c>
      <c r="I60" s="750"/>
      <c r="J60" s="750"/>
      <c r="K60" s="750"/>
      <c r="L60" s="750"/>
      <c r="M60" s="750"/>
      <c r="N60" s="750"/>
      <c r="O60" s="750"/>
      <c r="P60" s="750"/>
      <c r="Q60" s="750"/>
      <c r="R60" s="750"/>
      <c r="S60" s="750"/>
      <c r="T60" s="750"/>
      <c r="U60" s="770"/>
      <c r="V60" s="769" t="s">
        <v>1464</v>
      </c>
      <c r="W60" s="769" t="s">
        <v>199</v>
      </c>
      <c r="X60" s="750"/>
      <c r="Y60" s="750"/>
      <c r="Z60" s="750"/>
      <c r="AA60" s="750"/>
      <c r="AB60" s="750"/>
      <c r="AC60" s="750"/>
      <c r="AD60" s="750"/>
      <c r="AE60" s="750"/>
      <c r="AF60" s="750"/>
      <c r="AG60" s="750"/>
      <c r="AH60" s="750"/>
      <c r="AI60" s="750"/>
      <c r="AJ60" s="770"/>
      <c r="AK60" s="769" t="s">
        <v>1464</v>
      </c>
      <c r="AL60" s="769" t="s">
        <v>199</v>
      </c>
      <c r="AM60" s="750"/>
      <c r="AN60" s="750"/>
      <c r="AO60" s="750"/>
      <c r="AP60" s="750"/>
      <c r="AQ60" s="750"/>
      <c r="AR60" s="750"/>
      <c r="AS60" s="750"/>
      <c r="AT60" s="750"/>
      <c r="AU60" s="750"/>
      <c r="AV60" s="750"/>
      <c r="AW60" s="750"/>
      <c r="AX60" s="750"/>
      <c r="AY60" s="770"/>
      <c r="AZ60" s="769" t="s">
        <v>1464</v>
      </c>
      <c r="BA60" s="769" t="s">
        <v>199</v>
      </c>
      <c r="BB60" s="750"/>
      <c r="BC60" s="750"/>
      <c r="BD60" s="750"/>
      <c r="BE60" s="750"/>
      <c r="BF60" s="750"/>
      <c r="BG60" s="750"/>
      <c r="BH60" s="750"/>
      <c r="BI60" s="750"/>
      <c r="BJ60" s="750"/>
      <c r="BK60" s="750"/>
      <c r="BL60" s="750"/>
      <c r="BM60" s="750"/>
    </row>
    <row r="61" ht="15" customHeight="1" spans="2:65">
      <c r="B61" s="801"/>
      <c r="C61" s="784"/>
      <c r="D61" s="784"/>
      <c r="E61" s="784"/>
      <c r="F61" s="770"/>
      <c r="G61" s="769" t="s">
        <v>1464</v>
      </c>
      <c r="H61" s="769" t="s">
        <v>199</v>
      </c>
      <c r="I61" s="750"/>
      <c r="J61" s="750"/>
      <c r="K61" s="750"/>
      <c r="L61" s="750"/>
      <c r="M61" s="750"/>
      <c r="N61" s="750"/>
      <c r="O61" s="750"/>
      <c r="P61" s="750"/>
      <c r="Q61" s="750"/>
      <c r="R61" s="750"/>
      <c r="S61" s="750"/>
      <c r="T61" s="750"/>
      <c r="U61" s="770"/>
      <c r="V61" s="769" t="s">
        <v>1464</v>
      </c>
      <c r="W61" s="769" t="s">
        <v>199</v>
      </c>
      <c r="X61" s="750"/>
      <c r="Y61" s="750"/>
      <c r="Z61" s="750"/>
      <c r="AA61" s="750"/>
      <c r="AB61" s="750"/>
      <c r="AC61" s="750"/>
      <c r="AD61" s="750"/>
      <c r="AE61" s="750"/>
      <c r="AF61" s="750"/>
      <c r="AG61" s="750"/>
      <c r="AH61" s="750"/>
      <c r="AI61" s="750"/>
      <c r="AJ61" s="770"/>
      <c r="AK61" s="769" t="s">
        <v>1464</v>
      </c>
      <c r="AL61" s="769" t="s">
        <v>199</v>
      </c>
      <c r="AM61" s="750"/>
      <c r="AN61" s="750"/>
      <c r="AO61" s="750"/>
      <c r="AP61" s="750"/>
      <c r="AQ61" s="750"/>
      <c r="AR61" s="750"/>
      <c r="AS61" s="750"/>
      <c r="AT61" s="750"/>
      <c r="AU61" s="750"/>
      <c r="AV61" s="750"/>
      <c r="AW61" s="750"/>
      <c r="AX61" s="750"/>
      <c r="AY61" s="770"/>
      <c r="AZ61" s="769" t="s">
        <v>1464</v>
      </c>
      <c r="BA61" s="769" t="s">
        <v>199</v>
      </c>
      <c r="BB61" s="750"/>
      <c r="BC61" s="750"/>
      <c r="BD61" s="750"/>
      <c r="BE61" s="750"/>
      <c r="BF61" s="750"/>
      <c r="BG61" s="750"/>
      <c r="BH61" s="750"/>
      <c r="BI61" s="750"/>
      <c r="BJ61" s="750"/>
      <c r="BK61" s="750"/>
      <c r="BL61" s="750"/>
      <c r="BM61" s="750"/>
    </row>
    <row r="62" ht="15" customHeight="1" spans="2:65">
      <c r="B62" s="801"/>
      <c r="C62" s="784"/>
      <c r="D62" s="784"/>
      <c r="E62" s="784"/>
      <c r="F62" s="770"/>
      <c r="G62" s="769" t="s">
        <v>1464</v>
      </c>
      <c r="H62" s="769" t="s">
        <v>199</v>
      </c>
      <c r="I62" s="750"/>
      <c r="J62" s="750"/>
      <c r="K62" s="750"/>
      <c r="L62" s="750"/>
      <c r="M62" s="750"/>
      <c r="N62" s="750"/>
      <c r="O62" s="750"/>
      <c r="P62" s="750"/>
      <c r="Q62" s="750"/>
      <c r="R62" s="750"/>
      <c r="S62" s="750"/>
      <c r="T62" s="750"/>
      <c r="U62" s="770"/>
      <c r="V62" s="769" t="s">
        <v>1464</v>
      </c>
      <c r="W62" s="769" t="s">
        <v>199</v>
      </c>
      <c r="X62" s="750"/>
      <c r="Y62" s="750"/>
      <c r="Z62" s="750"/>
      <c r="AA62" s="750"/>
      <c r="AB62" s="750"/>
      <c r="AC62" s="750"/>
      <c r="AD62" s="750"/>
      <c r="AE62" s="750"/>
      <c r="AF62" s="750"/>
      <c r="AG62" s="750"/>
      <c r="AH62" s="750"/>
      <c r="AI62" s="750"/>
      <c r="AJ62" s="770"/>
      <c r="AK62" s="769" t="s">
        <v>1464</v>
      </c>
      <c r="AL62" s="769" t="s">
        <v>199</v>
      </c>
      <c r="AM62" s="750"/>
      <c r="AN62" s="750"/>
      <c r="AO62" s="750"/>
      <c r="AP62" s="750"/>
      <c r="AQ62" s="750"/>
      <c r="AR62" s="750"/>
      <c r="AS62" s="750"/>
      <c r="AT62" s="750"/>
      <c r="AU62" s="750"/>
      <c r="AV62" s="750"/>
      <c r="AW62" s="750"/>
      <c r="AX62" s="750"/>
      <c r="AY62" s="770"/>
      <c r="AZ62" s="769" t="s">
        <v>1464</v>
      </c>
      <c r="BA62" s="769" t="s">
        <v>199</v>
      </c>
      <c r="BB62" s="750"/>
      <c r="BC62" s="750"/>
      <c r="BD62" s="750"/>
      <c r="BE62" s="750"/>
      <c r="BF62" s="750"/>
      <c r="BG62" s="750"/>
      <c r="BH62" s="750"/>
      <c r="BI62" s="750"/>
      <c r="BJ62" s="750"/>
      <c r="BK62" s="750"/>
      <c r="BL62" s="750"/>
      <c r="BM62" s="750"/>
    </row>
    <row r="63" ht="15" customHeight="1" spans="2:65">
      <c r="B63" s="801"/>
      <c r="C63" s="784"/>
      <c r="D63" s="784"/>
      <c r="E63" s="784"/>
      <c r="F63" s="770"/>
      <c r="G63" s="769" t="s">
        <v>1464</v>
      </c>
      <c r="H63" s="769" t="s">
        <v>199</v>
      </c>
      <c r="I63" s="750"/>
      <c r="J63" s="750"/>
      <c r="K63" s="750"/>
      <c r="L63" s="750"/>
      <c r="M63" s="750"/>
      <c r="N63" s="750"/>
      <c r="O63" s="750"/>
      <c r="P63" s="750"/>
      <c r="Q63" s="750"/>
      <c r="R63" s="750"/>
      <c r="S63" s="750"/>
      <c r="T63" s="750"/>
      <c r="U63" s="770"/>
      <c r="V63" s="769" t="s">
        <v>1464</v>
      </c>
      <c r="W63" s="769" t="s">
        <v>199</v>
      </c>
      <c r="X63" s="750"/>
      <c r="Y63" s="750"/>
      <c r="Z63" s="750"/>
      <c r="AA63" s="750"/>
      <c r="AB63" s="750"/>
      <c r="AC63" s="750"/>
      <c r="AD63" s="750"/>
      <c r="AE63" s="750"/>
      <c r="AF63" s="750"/>
      <c r="AG63" s="750"/>
      <c r="AH63" s="750"/>
      <c r="AI63" s="750"/>
      <c r="AJ63" s="770"/>
      <c r="AK63" s="769" t="s">
        <v>1464</v>
      </c>
      <c r="AL63" s="769" t="s">
        <v>199</v>
      </c>
      <c r="AM63" s="750"/>
      <c r="AN63" s="750"/>
      <c r="AO63" s="750"/>
      <c r="AP63" s="750"/>
      <c r="AQ63" s="750"/>
      <c r="AR63" s="750"/>
      <c r="AS63" s="750"/>
      <c r="AT63" s="750"/>
      <c r="AU63" s="750"/>
      <c r="AV63" s="750"/>
      <c r="AW63" s="750"/>
      <c r="AX63" s="750"/>
      <c r="AY63" s="770"/>
      <c r="AZ63" s="769" t="s">
        <v>1464</v>
      </c>
      <c r="BA63" s="769" t="s">
        <v>199</v>
      </c>
      <c r="BB63" s="750"/>
      <c r="BC63" s="750"/>
      <c r="BD63" s="750"/>
      <c r="BE63" s="750"/>
      <c r="BF63" s="750"/>
      <c r="BG63" s="750"/>
      <c r="BH63" s="750"/>
      <c r="BI63" s="750"/>
      <c r="BJ63" s="750"/>
      <c r="BK63" s="750"/>
      <c r="BL63" s="750"/>
      <c r="BM63" s="750"/>
    </row>
    <row r="64" ht="15" customHeight="1" spans="2:65">
      <c r="B64" s="801"/>
      <c r="C64" s="784"/>
      <c r="D64" s="784"/>
      <c r="E64" s="784"/>
      <c r="F64" s="770"/>
      <c r="G64" s="769" t="s">
        <v>1464</v>
      </c>
      <c r="H64" s="769" t="s">
        <v>199</v>
      </c>
      <c r="I64" s="750"/>
      <c r="J64" s="750"/>
      <c r="K64" s="750"/>
      <c r="L64" s="750"/>
      <c r="M64" s="750"/>
      <c r="N64" s="750"/>
      <c r="O64" s="750"/>
      <c r="P64" s="750"/>
      <c r="Q64" s="750"/>
      <c r="R64" s="750"/>
      <c r="S64" s="750"/>
      <c r="T64" s="750"/>
      <c r="U64" s="770"/>
      <c r="V64" s="769" t="s">
        <v>1464</v>
      </c>
      <c r="W64" s="769" t="s">
        <v>199</v>
      </c>
      <c r="X64" s="750"/>
      <c r="Y64" s="750"/>
      <c r="Z64" s="750"/>
      <c r="AA64" s="750"/>
      <c r="AB64" s="750"/>
      <c r="AC64" s="750"/>
      <c r="AD64" s="750"/>
      <c r="AE64" s="750"/>
      <c r="AF64" s="750"/>
      <c r="AG64" s="750"/>
      <c r="AH64" s="750"/>
      <c r="AI64" s="750"/>
      <c r="AJ64" s="770"/>
      <c r="AK64" s="769" t="s">
        <v>1464</v>
      </c>
      <c r="AL64" s="769" t="s">
        <v>199</v>
      </c>
      <c r="AM64" s="750"/>
      <c r="AN64" s="750"/>
      <c r="AO64" s="750"/>
      <c r="AP64" s="750"/>
      <c r="AQ64" s="750"/>
      <c r="AR64" s="750"/>
      <c r="AS64" s="750"/>
      <c r="AT64" s="750"/>
      <c r="AU64" s="750"/>
      <c r="AV64" s="750"/>
      <c r="AW64" s="750"/>
      <c r="AX64" s="750"/>
      <c r="AY64" s="770"/>
      <c r="AZ64" s="769" t="s">
        <v>1464</v>
      </c>
      <c r="BA64" s="769" t="s">
        <v>199</v>
      </c>
      <c r="BB64" s="750"/>
      <c r="BC64" s="750"/>
      <c r="BD64" s="750"/>
      <c r="BE64" s="750"/>
      <c r="BF64" s="750"/>
      <c r="BG64" s="750"/>
      <c r="BH64" s="750"/>
      <c r="BI64" s="750"/>
      <c r="BJ64" s="750"/>
      <c r="BK64" s="750"/>
      <c r="BL64" s="750"/>
      <c r="BM64" s="750"/>
    </row>
    <row r="65" ht="15" customHeight="1" spans="2:65">
      <c r="B65" s="801"/>
      <c r="C65" s="784"/>
      <c r="D65" s="784"/>
      <c r="E65" s="784"/>
      <c r="F65" s="770"/>
      <c r="G65" s="769" t="s">
        <v>1464</v>
      </c>
      <c r="H65" s="769" t="s">
        <v>199</v>
      </c>
      <c r="I65" s="750"/>
      <c r="J65" s="750"/>
      <c r="K65" s="750"/>
      <c r="L65" s="750"/>
      <c r="M65" s="750"/>
      <c r="N65" s="750"/>
      <c r="O65" s="750"/>
      <c r="P65" s="750"/>
      <c r="Q65" s="750"/>
      <c r="R65" s="750"/>
      <c r="S65" s="750"/>
      <c r="T65" s="750"/>
      <c r="U65" s="770"/>
      <c r="V65" s="769" t="s">
        <v>1464</v>
      </c>
      <c r="W65" s="769" t="s">
        <v>199</v>
      </c>
      <c r="X65" s="750"/>
      <c r="Y65" s="750"/>
      <c r="Z65" s="750"/>
      <c r="AA65" s="750"/>
      <c r="AB65" s="750"/>
      <c r="AC65" s="750"/>
      <c r="AD65" s="750"/>
      <c r="AE65" s="750"/>
      <c r="AF65" s="750"/>
      <c r="AG65" s="750"/>
      <c r="AH65" s="750"/>
      <c r="AI65" s="750"/>
      <c r="AJ65" s="770"/>
      <c r="AK65" s="769" t="s">
        <v>1464</v>
      </c>
      <c r="AL65" s="769" t="s">
        <v>199</v>
      </c>
      <c r="AM65" s="750"/>
      <c r="AN65" s="750"/>
      <c r="AO65" s="750"/>
      <c r="AP65" s="750"/>
      <c r="AQ65" s="750"/>
      <c r="AR65" s="750"/>
      <c r="AS65" s="750"/>
      <c r="AT65" s="750"/>
      <c r="AU65" s="750"/>
      <c r="AV65" s="750"/>
      <c r="AW65" s="750"/>
      <c r="AX65" s="750"/>
      <c r="AY65" s="770"/>
      <c r="AZ65" s="769" t="s">
        <v>1464</v>
      </c>
      <c r="BA65" s="769" t="s">
        <v>199</v>
      </c>
      <c r="BB65" s="750"/>
      <c r="BC65" s="750"/>
      <c r="BD65" s="750"/>
      <c r="BE65" s="750"/>
      <c r="BF65" s="750"/>
      <c r="BG65" s="750"/>
      <c r="BH65" s="750"/>
      <c r="BI65" s="750"/>
      <c r="BJ65" s="750"/>
      <c r="BK65" s="750"/>
      <c r="BL65" s="750"/>
      <c r="BM65" s="750"/>
    </row>
    <row r="66" ht="15" customHeight="1" spans="2:65">
      <c r="B66" s="801"/>
      <c r="C66" s="786"/>
      <c r="D66" s="786"/>
      <c r="E66" s="784"/>
      <c r="F66" s="770"/>
      <c r="G66" s="769" t="s">
        <v>1464</v>
      </c>
      <c r="H66" s="769" t="s">
        <v>199</v>
      </c>
      <c r="I66" s="750"/>
      <c r="J66" s="750"/>
      <c r="K66" s="750"/>
      <c r="L66" s="750"/>
      <c r="M66" s="750"/>
      <c r="N66" s="750"/>
      <c r="O66" s="750"/>
      <c r="P66" s="750"/>
      <c r="Q66" s="750"/>
      <c r="R66" s="750"/>
      <c r="S66" s="750"/>
      <c r="T66" s="750"/>
      <c r="U66" s="770"/>
      <c r="V66" s="769" t="s">
        <v>1464</v>
      </c>
      <c r="W66" s="769" t="s">
        <v>199</v>
      </c>
      <c r="X66" s="750"/>
      <c r="Y66" s="750"/>
      <c r="Z66" s="750"/>
      <c r="AA66" s="750"/>
      <c r="AB66" s="750"/>
      <c r="AC66" s="750"/>
      <c r="AD66" s="750"/>
      <c r="AE66" s="750"/>
      <c r="AF66" s="750"/>
      <c r="AG66" s="750"/>
      <c r="AH66" s="750"/>
      <c r="AI66" s="750"/>
      <c r="AJ66" s="770"/>
      <c r="AK66" s="769" t="s">
        <v>1464</v>
      </c>
      <c r="AL66" s="769" t="s">
        <v>199</v>
      </c>
      <c r="AM66" s="750"/>
      <c r="AN66" s="750"/>
      <c r="AO66" s="750"/>
      <c r="AP66" s="750"/>
      <c r="AQ66" s="750"/>
      <c r="AR66" s="750"/>
      <c r="AS66" s="750"/>
      <c r="AT66" s="750"/>
      <c r="AU66" s="750"/>
      <c r="AV66" s="750"/>
      <c r="AW66" s="750"/>
      <c r="AX66" s="750"/>
      <c r="AY66" s="770"/>
      <c r="AZ66" s="769" t="s">
        <v>1464</v>
      </c>
      <c r="BA66" s="769" t="s">
        <v>199</v>
      </c>
      <c r="BB66" s="750"/>
      <c r="BC66" s="750"/>
      <c r="BD66" s="750"/>
      <c r="BE66" s="750"/>
      <c r="BF66" s="750"/>
      <c r="BG66" s="750"/>
      <c r="BH66" s="750"/>
      <c r="BI66" s="750"/>
      <c r="BJ66" s="750"/>
      <c r="BK66" s="750"/>
      <c r="BL66" s="750"/>
      <c r="BM66" s="750"/>
    </row>
    <row r="67" ht="15" customHeight="1" spans="2:65">
      <c r="B67" s="801"/>
      <c r="C67" s="784"/>
      <c r="D67" s="784"/>
      <c r="E67" s="784"/>
      <c r="F67" s="770"/>
      <c r="G67" s="769" t="s">
        <v>1464</v>
      </c>
      <c r="H67" s="769" t="s">
        <v>199</v>
      </c>
      <c r="I67" s="750"/>
      <c r="J67" s="750"/>
      <c r="K67" s="750"/>
      <c r="L67" s="750"/>
      <c r="M67" s="750"/>
      <c r="N67" s="750"/>
      <c r="O67" s="750"/>
      <c r="P67" s="750"/>
      <c r="Q67" s="750"/>
      <c r="R67" s="750"/>
      <c r="S67" s="750"/>
      <c r="T67" s="750"/>
      <c r="U67" s="770"/>
      <c r="V67" s="769" t="s">
        <v>1464</v>
      </c>
      <c r="W67" s="769" t="s">
        <v>199</v>
      </c>
      <c r="X67" s="750"/>
      <c r="Y67" s="750"/>
      <c r="Z67" s="750"/>
      <c r="AA67" s="750"/>
      <c r="AB67" s="750"/>
      <c r="AC67" s="750"/>
      <c r="AD67" s="750"/>
      <c r="AE67" s="750"/>
      <c r="AF67" s="750"/>
      <c r="AG67" s="750"/>
      <c r="AH67" s="750"/>
      <c r="AI67" s="750"/>
      <c r="AJ67" s="770"/>
      <c r="AK67" s="769" t="s">
        <v>1464</v>
      </c>
      <c r="AL67" s="769" t="s">
        <v>199</v>
      </c>
      <c r="AM67" s="750"/>
      <c r="AN67" s="750"/>
      <c r="AO67" s="750"/>
      <c r="AP67" s="750"/>
      <c r="AQ67" s="750"/>
      <c r="AR67" s="750"/>
      <c r="AS67" s="750"/>
      <c r="AT67" s="750"/>
      <c r="AU67" s="750"/>
      <c r="AV67" s="750"/>
      <c r="AW67" s="750"/>
      <c r="AX67" s="750"/>
      <c r="AY67" s="770"/>
      <c r="AZ67" s="769" t="s">
        <v>1464</v>
      </c>
      <c r="BA67" s="769" t="s">
        <v>199</v>
      </c>
      <c r="BB67" s="750"/>
      <c r="BC67" s="750"/>
      <c r="BD67" s="750"/>
      <c r="BE67" s="750"/>
      <c r="BF67" s="750"/>
      <c r="BG67" s="750"/>
      <c r="BH67" s="750"/>
      <c r="BI67" s="750"/>
      <c r="BJ67" s="750"/>
      <c r="BK67" s="750"/>
      <c r="BL67" s="750"/>
      <c r="BM67" s="750"/>
    </row>
    <row r="68" ht="15" customHeight="1" spans="2:65">
      <c r="B68" s="801"/>
      <c r="C68" s="784"/>
      <c r="D68" s="784"/>
      <c r="E68" s="784"/>
      <c r="F68" s="770"/>
      <c r="G68" s="769" t="s">
        <v>1464</v>
      </c>
      <c r="H68" s="769" t="s">
        <v>199</v>
      </c>
      <c r="I68" s="750"/>
      <c r="J68" s="750"/>
      <c r="K68" s="750"/>
      <c r="L68" s="750"/>
      <c r="M68" s="750"/>
      <c r="N68" s="750"/>
      <c r="O68" s="750"/>
      <c r="P68" s="750"/>
      <c r="Q68" s="750"/>
      <c r="R68" s="750"/>
      <c r="S68" s="750"/>
      <c r="T68" s="750"/>
      <c r="U68" s="770"/>
      <c r="V68" s="769" t="s">
        <v>1464</v>
      </c>
      <c r="W68" s="769" t="s">
        <v>199</v>
      </c>
      <c r="X68" s="750"/>
      <c r="Y68" s="750"/>
      <c r="Z68" s="750"/>
      <c r="AA68" s="750"/>
      <c r="AB68" s="750"/>
      <c r="AC68" s="750"/>
      <c r="AD68" s="750"/>
      <c r="AE68" s="750"/>
      <c r="AF68" s="750"/>
      <c r="AG68" s="750"/>
      <c r="AH68" s="750"/>
      <c r="AI68" s="750"/>
      <c r="AJ68" s="770"/>
      <c r="AK68" s="769" t="s">
        <v>1464</v>
      </c>
      <c r="AL68" s="769" t="s">
        <v>199</v>
      </c>
      <c r="AM68" s="750"/>
      <c r="AN68" s="750"/>
      <c r="AO68" s="750"/>
      <c r="AP68" s="750"/>
      <c r="AQ68" s="750"/>
      <c r="AR68" s="750"/>
      <c r="AS68" s="750"/>
      <c r="AT68" s="750"/>
      <c r="AU68" s="750"/>
      <c r="AV68" s="750"/>
      <c r="AW68" s="750"/>
      <c r="AX68" s="750"/>
      <c r="AY68" s="770"/>
      <c r="AZ68" s="769" t="s">
        <v>1464</v>
      </c>
      <c r="BA68" s="769" t="s">
        <v>199</v>
      </c>
      <c r="BB68" s="750"/>
      <c r="BC68" s="750"/>
      <c r="BD68" s="750"/>
      <c r="BE68" s="750"/>
      <c r="BF68" s="750"/>
      <c r="BG68" s="750"/>
      <c r="BH68" s="750"/>
      <c r="BI68" s="750"/>
      <c r="BJ68" s="750"/>
      <c r="BK68" s="750"/>
      <c r="BL68" s="750"/>
      <c r="BM68" s="750"/>
    </row>
    <row r="69" ht="15" customHeight="1" spans="2:65">
      <c r="B69" s="801"/>
      <c r="C69" s="784"/>
      <c r="D69" s="784"/>
      <c r="E69" s="784"/>
      <c r="F69" s="770"/>
      <c r="G69" s="769" t="s">
        <v>1464</v>
      </c>
      <c r="H69" s="769" t="s">
        <v>199</v>
      </c>
      <c r="I69" s="750"/>
      <c r="J69" s="750"/>
      <c r="K69" s="750"/>
      <c r="L69" s="750"/>
      <c r="M69" s="750"/>
      <c r="N69" s="750"/>
      <c r="O69" s="750"/>
      <c r="P69" s="750"/>
      <c r="Q69" s="750"/>
      <c r="R69" s="750"/>
      <c r="S69" s="750"/>
      <c r="T69" s="750"/>
      <c r="U69" s="770"/>
      <c r="V69" s="769" t="s">
        <v>1464</v>
      </c>
      <c r="W69" s="769" t="s">
        <v>199</v>
      </c>
      <c r="X69" s="750"/>
      <c r="Y69" s="750"/>
      <c r="Z69" s="750"/>
      <c r="AA69" s="750"/>
      <c r="AB69" s="750"/>
      <c r="AC69" s="750"/>
      <c r="AD69" s="750"/>
      <c r="AE69" s="750"/>
      <c r="AF69" s="750"/>
      <c r="AG69" s="750"/>
      <c r="AH69" s="750"/>
      <c r="AI69" s="750"/>
      <c r="AJ69" s="770"/>
      <c r="AK69" s="769" t="s">
        <v>1464</v>
      </c>
      <c r="AL69" s="769" t="s">
        <v>199</v>
      </c>
      <c r="AM69" s="750"/>
      <c r="AN69" s="750"/>
      <c r="AO69" s="750"/>
      <c r="AP69" s="750"/>
      <c r="AQ69" s="750"/>
      <c r="AR69" s="750"/>
      <c r="AS69" s="750"/>
      <c r="AT69" s="750"/>
      <c r="AU69" s="750"/>
      <c r="AV69" s="750"/>
      <c r="AW69" s="750"/>
      <c r="AX69" s="750"/>
      <c r="AY69" s="770"/>
      <c r="AZ69" s="769" t="s">
        <v>1464</v>
      </c>
      <c r="BA69" s="769" t="s">
        <v>199</v>
      </c>
      <c r="BB69" s="750"/>
      <c r="BC69" s="750"/>
      <c r="BD69" s="750"/>
      <c r="BE69" s="750"/>
      <c r="BF69" s="750"/>
      <c r="BG69" s="750"/>
      <c r="BH69" s="750"/>
      <c r="BI69" s="750"/>
      <c r="BJ69" s="750"/>
      <c r="BK69" s="750"/>
      <c r="BL69" s="750"/>
      <c r="BM69" s="750"/>
    </row>
    <row r="70" ht="15" customHeight="1" spans="2:65">
      <c r="B70" s="801"/>
      <c r="C70" s="784"/>
      <c r="D70" s="784"/>
      <c r="E70" s="784"/>
      <c r="F70" s="770"/>
      <c r="G70" s="769" t="s">
        <v>1464</v>
      </c>
      <c r="H70" s="769" t="s">
        <v>199</v>
      </c>
      <c r="I70" s="750"/>
      <c r="J70" s="750"/>
      <c r="K70" s="750"/>
      <c r="L70" s="750"/>
      <c r="M70" s="750"/>
      <c r="N70" s="750"/>
      <c r="O70" s="750"/>
      <c r="P70" s="750"/>
      <c r="Q70" s="750"/>
      <c r="R70" s="750"/>
      <c r="S70" s="750"/>
      <c r="T70" s="750"/>
      <c r="U70" s="770"/>
      <c r="V70" s="769" t="s">
        <v>1464</v>
      </c>
      <c r="W70" s="769" t="s">
        <v>199</v>
      </c>
      <c r="X70" s="750"/>
      <c r="Y70" s="750"/>
      <c r="Z70" s="750"/>
      <c r="AA70" s="750"/>
      <c r="AB70" s="750"/>
      <c r="AC70" s="750"/>
      <c r="AD70" s="750"/>
      <c r="AE70" s="750"/>
      <c r="AF70" s="750"/>
      <c r="AG70" s="750"/>
      <c r="AH70" s="750"/>
      <c r="AI70" s="750"/>
      <c r="AJ70" s="770"/>
      <c r="AK70" s="769" t="s">
        <v>1464</v>
      </c>
      <c r="AL70" s="769" t="s">
        <v>199</v>
      </c>
      <c r="AM70" s="750"/>
      <c r="AN70" s="750"/>
      <c r="AO70" s="750"/>
      <c r="AP70" s="750"/>
      <c r="AQ70" s="750"/>
      <c r="AR70" s="750"/>
      <c r="AS70" s="750"/>
      <c r="AT70" s="750"/>
      <c r="AU70" s="750"/>
      <c r="AV70" s="750"/>
      <c r="AW70" s="750"/>
      <c r="AX70" s="750"/>
      <c r="AY70" s="770"/>
      <c r="AZ70" s="769" t="s">
        <v>1464</v>
      </c>
      <c r="BA70" s="769" t="s">
        <v>199</v>
      </c>
      <c r="BB70" s="750"/>
      <c r="BC70" s="750"/>
      <c r="BD70" s="750"/>
      <c r="BE70" s="750"/>
      <c r="BF70" s="750"/>
      <c r="BG70" s="750"/>
      <c r="BH70" s="750"/>
      <c r="BI70" s="750"/>
      <c r="BJ70" s="750"/>
      <c r="BK70" s="750"/>
      <c r="BL70" s="750"/>
      <c r="BM70" s="750"/>
    </row>
    <row r="71" ht="15" customHeight="1" spans="2:65">
      <c r="B71" s="801"/>
      <c r="C71" s="785"/>
      <c r="D71" s="785"/>
      <c r="E71" s="789"/>
      <c r="F71" s="770"/>
      <c r="G71" s="769" t="s">
        <v>1464</v>
      </c>
      <c r="H71" s="769" t="s">
        <v>199</v>
      </c>
      <c r="I71" s="751"/>
      <c r="J71" s="751"/>
      <c r="K71" s="751"/>
      <c r="L71" s="751"/>
      <c r="M71" s="751"/>
      <c r="N71" s="751"/>
      <c r="O71" s="751"/>
      <c r="P71" s="751"/>
      <c r="Q71" s="751"/>
      <c r="R71" s="751"/>
      <c r="S71" s="751"/>
      <c r="T71" s="751"/>
      <c r="U71" s="770"/>
      <c r="V71" s="769" t="s">
        <v>1464</v>
      </c>
      <c r="W71" s="769" t="s">
        <v>199</v>
      </c>
      <c r="X71" s="751"/>
      <c r="Y71" s="751"/>
      <c r="Z71" s="751"/>
      <c r="AA71" s="751"/>
      <c r="AB71" s="751"/>
      <c r="AC71" s="751"/>
      <c r="AD71" s="751"/>
      <c r="AE71" s="751"/>
      <c r="AF71" s="751"/>
      <c r="AG71" s="751"/>
      <c r="AH71" s="751"/>
      <c r="AI71" s="751"/>
      <c r="AJ71" s="770"/>
      <c r="AK71" s="769" t="s">
        <v>1464</v>
      </c>
      <c r="AL71" s="769" t="s">
        <v>199</v>
      </c>
      <c r="AM71" s="751"/>
      <c r="AN71" s="751"/>
      <c r="AO71" s="751"/>
      <c r="AP71" s="751"/>
      <c r="AQ71" s="751"/>
      <c r="AR71" s="751"/>
      <c r="AS71" s="751"/>
      <c r="AT71" s="751"/>
      <c r="AU71" s="751"/>
      <c r="AV71" s="751"/>
      <c r="AW71" s="751"/>
      <c r="AX71" s="751"/>
      <c r="AY71" s="770"/>
      <c r="AZ71" s="769" t="s">
        <v>1464</v>
      </c>
      <c r="BA71" s="769" t="s">
        <v>199</v>
      </c>
      <c r="BB71" s="751"/>
      <c r="BC71" s="751"/>
      <c r="BD71" s="751"/>
      <c r="BE71" s="751"/>
      <c r="BF71" s="751"/>
      <c r="BG71" s="751"/>
      <c r="BH71" s="751"/>
      <c r="BI71" s="751"/>
      <c r="BJ71" s="751"/>
      <c r="BK71" s="751"/>
      <c r="BL71" s="751"/>
      <c r="BM71" s="751"/>
    </row>
    <row r="72" ht="15" customHeight="1" spans="2:65">
      <c r="B72" s="801"/>
      <c r="C72" s="785"/>
      <c r="D72" s="785"/>
      <c r="E72" s="789"/>
      <c r="F72" s="770"/>
      <c r="G72" s="769" t="s">
        <v>1464</v>
      </c>
      <c r="H72" s="769" t="s">
        <v>199</v>
      </c>
      <c r="I72" s="751"/>
      <c r="J72" s="751"/>
      <c r="K72" s="751"/>
      <c r="L72" s="751"/>
      <c r="M72" s="751"/>
      <c r="N72" s="751"/>
      <c r="O72" s="751"/>
      <c r="P72" s="751"/>
      <c r="Q72" s="751"/>
      <c r="R72" s="751"/>
      <c r="S72" s="751"/>
      <c r="T72" s="751"/>
      <c r="U72" s="770"/>
      <c r="V72" s="769" t="s">
        <v>1464</v>
      </c>
      <c r="W72" s="769" t="s">
        <v>199</v>
      </c>
      <c r="X72" s="751"/>
      <c r="Y72" s="751"/>
      <c r="Z72" s="751"/>
      <c r="AA72" s="751"/>
      <c r="AB72" s="751"/>
      <c r="AC72" s="751"/>
      <c r="AD72" s="751"/>
      <c r="AE72" s="751"/>
      <c r="AF72" s="751"/>
      <c r="AG72" s="751"/>
      <c r="AH72" s="751"/>
      <c r="AI72" s="751"/>
      <c r="AJ72" s="770"/>
      <c r="AK72" s="769" t="s">
        <v>1464</v>
      </c>
      <c r="AL72" s="769" t="s">
        <v>199</v>
      </c>
      <c r="AM72" s="751"/>
      <c r="AN72" s="751"/>
      <c r="AO72" s="751"/>
      <c r="AP72" s="751"/>
      <c r="AQ72" s="751"/>
      <c r="AR72" s="751"/>
      <c r="AS72" s="751"/>
      <c r="AT72" s="751"/>
      <c r="AU72" s="751"/>
      <c r="AV72" s="751"/>
      <c r="AW72" s="751"/>
      <c r="AX72" s="751"/>
      <c r="AY72" s="770"/>
      <c r="AZ72" s="769" t="s">
        <v>1464</v>
      </c>
      <c r="BA72" s="769" t="s">
        <v>199</v>
      </c>
      <c r="BB72" s="751"/>
      <c r="BC72" s="751"/>
      <c r="BD72" s="751"/>
      <c r="BE72" s="751"/>
      <c r="BF72" s="751"/>
      <c r="BG72" s="751"/>
      <c r="BH72" s="751"/>
      <c r="BI72" s="751"/>
      <c r="BJ72" s="751"/>
      <c r="BK72" s="751"/>
      <c r="BL72" s="751"/>
      <c r="BM72" s="751"/>
    </row>
    <row r="73" ht="15" customHeight="1" spans="2:65">
      <c r="B73" s="801"/>
      <c r="C73" s="785"/>
      <c r="D73" s="785"/>
      <c r="E73" s="789"/>
      <c r="F73" s="792"/>
      <c r="G73" s="769" t="s">
        <v>1464</v>
      </c>
      <c r="H73" s="769" t="s">
        <v>199</v>
      </c>
      <c r="I73" s="751"/>
      <c r="J73" s="751"/>
      <c r="K73" s="751"/>
      <c r="L73" s="751"/>
      <c r="M73" s="751"/>
      <c r="N73" s="751"/>
      <c r="O73" s="751"/>
      <c r="P73" s="751"/>
      <c r="Q73" s="751"/>
      <c r="R73" s="751"/>
      <c r="S73" s="751"/>
      <c r="T73" s="751"/>
      <c r="U73" s="792"/>
      <c r="V73" s="769" t="s">
        <v>1464</v>
      </c>
      <c r="W73" s="769" t="s">
        <v>199</v>
      </c>
      <c r="X73" s="751"/>
      <c r="Y73" s="751"/>
      <c r="Z73" s="751"/>
      <c r="AA73" s="751"/>
      <c r="AB73" s="751"/>
      <c r="AC73" s="751"/>
      <c r="AD73" s="751"/>
      <c r="AE73" s="751"/>
      <c r="AF73" s="751"/>
      <c r="AG73" s="751"/>
      <c r="AH73" s="751"/>
      <c r="AI73" s="751"/>
      <c r="AJ73" s="792"/>
      <c r="AK73" s="769" t="s">
        <v>1464</v>
      </c>
      <c r="AL73" s="769" t="s">
        <v>199</v>
      </c>
      <c r="AM73" s="751"/>
      <c r="AN73" s="751"/>
      <c r="AO73" s="751"/>
      <c r="AP73" s="751"/>
      <c r="AQ73" s="751"/>
      <c r="AR73" s="751"/>
      <c r="AS73" s="751"/>
      <c r="AT73" s="751"/>
      <c r="AU73" s="751"/>
      <c r="AV73" s="751"/>
      <c r="AW73" s="751"/>
      <c r="AX73" s="751"/>
      <c r="AY73" s="792"/>
      <c r="AZ73" s="769" t="s">
        <v>1464</v>
      </c>
      <c r="BA73" s="769" t="s">
        <v>199</v>
      </c>
      <c r="BB73" s="751"/>
      <c r="BC73" s="751"/>
      <c r="BD73" s="751"/>
      <c r="BE73" s="751"/>
      <c r="BF73" s="751"/>
      <c r="BG73" s="751"/>
      <c r="BH73" s="751"/>
      <c r="BI73" s="751"/>
      <c r="BJ73" s="751"/>
      <c r="BK73" s="751"/>
      <c r="BL73" s="751"/>
      <c r="BM73" s="751"/>
    </row>
    <row r="74" ht="15" customHeight="1" spans="2:65">
      <c r="B74" s="801"/>
      <c r="C74" s="785"/>
      <c r="D74" s="785"/>
      <c r="E74" s="793"/>
      <c r="F74" s="793"/>
      <c r="G74" s="769" t="s">
        <v>1464</v>
      </c>
      <c r="H74" s="769" t="s">
        <v>199</v>
      </c>
      <c r="I74" s="751"/>
      <c r="J74" s="751"/>
      <c r="K74" s="751"/>
      <c r="L74" s="751"/>
      <c r="M74" s="751"/>
      <c r="N74" s="751"/>
      <c r="O74" s="751"/>
      <c r="P74" s="751"/>
      <c r="Q74" s="751"/>
      <c r="R74" s="751"/>
      <c r="S74" s="751"/>
      <c r="T74" s="751"/>
      <c r="U74" s="793"/>
      <c r="V74" s="769" t="s">
        <v>1464</v>
      </c>
      <c r="W74" s="769" t="s">
        <v>199</v>
      </c>
      <c r="X74" s="751"/>
      <c r="Y74" s="751"/>
      <c r="Z74" s="751"/>
      <c r="AA74" s="751"/>
      <c r="AB74" s="751"/>
      <c r="AC74" s="751"/>
      <c r="AD74" s="751"/>
      <c r="AE74" s="751"/>
      <c r="AF74" s="751"/>
      <c r="AG74" s="751"/>
      <c r="AH74" s="751"/>
      <c r="AI74" s="751"/>
      <c r="AJ74" s="793"/>
      <c r="AK74" s="769" t="s">
        <v>1464</v>
      </c>
      <c r="AL74" s="769" t="s">
        <v>199</v>
      </c>
      <c r="AM74" s="751"/>
      <c r="AN74" s="751"/>
      <c r="AO74" s="751"/>
      <c r="AP74" s="751"/>
      <c r="AQ74" s="751"/>
      <c r="AR74" s="751"/>
      <c r="AS74" s="751"/>
      <c r="AT74" s="751"/>
      <c r="AU74" s="751"/>
      <c r="AV74" s="751"/>
      <c r="AW74" s="751"/>
      <c r="AX74" s="751"/>
      <c r="AY74" s="793"/>
      <c r="AZ74" s="769" t="s">
        <v>1464</v>
      </c>
      <c r="BA74" s="769" t="s">
        <v>199</v>
      </c>
      <c r="BB74" s="751"/>
      <c r="BC74" s="751"/>
      <c r="BD74" s="751"/>
      <c r="BE74" s="751"/>
      <c r="BF74" s="751"/>
      <c r="BG74" s="751"/>
      <c r="BH74" s="751"/>
      <c r="BI74" s="751"/>
      <c r="BJ74" s="751"/>
      <c r="BK74" s="751"/>
      <c r="BL74" s="751"/>
      <c r="BM74" s="751"/>
    </row>
    <row r="75" ht="15" customHeight="1" spans="2:65">
      <c r="B75" s="801"/>
      <c r="C75" s="785"/>
      <c r="D75" s="785"/>
      <c r="E75" s="789"/>
      <c r="F75" s="793"/>
      <c r="G75" s="769" t="s">
        <v>1464</v>
      </c>
      <c r="H75" s="769" t="s">
        <v>199</v>
      </c>
      <c r="I75" s="751"/>
      <c r="J75" s="751"/>
      <c r="K75" s="751"/>
      <c r="L75" s="751"/>
      <c r="M75" s="751"/>
      <c r="N75" s="751"/>
      <c r="O75" s="751"/>
      <c r="P75" s="751"/>
      <c r="Q75" s="751"/>
      <c r="R75" s="751"/>
      <c r="S75" s="751"/>
      <c r="T75" s="751"/>
      <c r="U75" s="793"/>
      <c r="V75" s="769" t="s">
        <v>1464</v>
      </c>
      <c r="W75" s="769" t="s">
        <v>199</v>
      </c>
      <c r="X75" s="751"/>
      <c r="Y75" s="751"/>
      <c r="Z75" s="751"/>
      <c r="AA75" s="751"/>
      <c r="AB75" s="751"/>
      <c r="AC75" s="751"/>
      <c r="AD75" s="751"/>
      <c r="AE75" s="751"/>
      <c r="AF75" s="751"/>
      <c r="AG75" s="751"/>
      <c r="AH75" s="751"/>
      <c r="AI75" s="751"/>
      <c r="AJ75" s="793"/>
      <c r="AK75" s="769" t="s">
        <v>1464</v>
      </c>
      <c r="AL75" s="769" t="s">
        <v>199</v>
      </c>
      <c r="AM75" s="751"/>
      <c r="AN75" s="751"/>
      <c r="AO75" s="751"/>
      <c r="AP75" s="751"/>
      <c r="AQ75" s="751"/>
      <c r="AR75" s="751"/>
      <c r="AS75" s="751"/>
      <c r="AT75" s="751"/>
      <c r="AU75" s="751"/>
      <c r="AV75" s="751"/>
      <c r="AW75" s="751"/>
      <c r="AX75" s="751"/>
      <c r="AY75" s="793"/>
      <c r="AZ75" s="769" t="s">
        <v>1464</v>
      </c>
      <c r="BA75" s="769" t="s">
        <v>199</v>
      </c>
      <c r="BB75" s="751"/>
      <c r="BC75" s="751"/>
      <c r="BD75" s="751"/>
      <c r="BE75" s="751"/>
      <c r="BF75" s="751"/>
      <c r="BG75" s="751"/>
      <c r="BH75" s="751"/>
      <c r="BI75" s="751"/>
      <c r="BJ75" s="751"/>
      <c r="BK75" s="751"/>
      <c r="BL75" s="751"/>
      <c r="BM75" s="751"/>
    </row>
    <row r="76" ht="15" customHeight="1" spans="2:65">
      <c r="B76" s="801"/>
      <c r="C76" s="785"/>
      <c r="D76" s="785"/>
      <c r="E76" s="793"/>
      <c r="F76" s="793"/>
      <c r="G76" s="769" t="s">
        <v>1464</v>
      </c>
      <c r="H76" s="769" t="s">
        <v>199</v>
      </c>
      <c r="I76" s="751"/>
      <c r="J76" s="751"/>
      <c r="K76" s="751"/>
      <c r="L76" s="751"/>
      <c r="M76" s="751"/>
      <c r="N76" s="751"/>
      <c r="O76" s="751"/>
      <c r="P76" s="751"/>
      <c r="Q76" s="751"/>
      <c r="R76" s="751"/>
      <c r="S76" s="751"/>
      <c r="T76" s="751"/>
      <c r="U76" s="793"/>
      <c r="V76" s="769" t="s">
        <v>1464</v>
      </c>
      <c r="W76" s="769" t="s">
        <v>199</v>
      </c>
      <c r="X76" s="751"/>
      <c r="Y76" s="751"/>
      <c r="Z76" s="751"/>
      <c r="AA76" s="751"/>
      <c r="AB76" s="751"/>
      <c r="AC76" s="751"/>
      <c r="AD76" s="751"/>
      <c r="AE76" s="751"/>
      <c r="AF76" s="751"/>
      <c r="AG76" s="751"/>
      <c r="AH76" s="751"/>
      <c r="AI76" s="751"/>
      <c r="AJ76" s="793"/>
      <c r="AK76" s="769" t="s">
        <v>1464</v>
      </c>
      <c r="AL76" s="769" t="s">
        <v>199</v>
      </c>
      <c r="AM76" s="751"/>
      <c r="AN76" s="751"/>
      <c r="AO76" s="751"/>
      <c r="AP76" s="751"/>
      <c r="AQ76" s="751"/>
      <c r="AR76" s="751"/>
      <c r="AS76" s="751"/>
      <c r="AT76" s="751"/>
      <c r="AU76" s="751"/>
      <c r="AV76" s="751"/>
      <c r="AW76" s="751"/>
      <c r="AX76" s="751"/>
      <c r="AY76" s="793"/>
      <c r="AZ76" s="769" t="s">
        <v>1464</v>
      </c>
      <c r="BA76" s="769" t="s">
        <v>199</v>
      </c>
      <c r="BB76" s="751"/>
      <c r="BC76" s="751"/>
      <c r="BD76" s="751"/>
      <c r="BE76" s="751"/>
      <c r="BF76" s="751"/>
      <c r="BG76" s="751"/>
      <c r="BH76" s="751"/>
      <c r="BI76" s="751"/>
      <c r="BJ76" s="751"/>
      <c r="BK76" s="751"/>
      <c r="BL76" s="751"/>
      <c r="BM76" s="751"/>
    </row>
    <row r="77" ht="15" customHeight="1" spans="2:65">
      <c r="B77" s="801"/>
      <c r="C77" s="785"/>
      <c r="D77" s="785"/>
      <c r="E77" s="789"/>
      <c r="F77" s="793"/>
      <c r="G77" s="769" t="s">
        <v>1464</v>
      </c>
      <c r="H77" s="769" t="s">
        <v>199</v>
      </c>
      <c r="I77" s="751"/>
      <c r="J77" s="751"/>
      <c r="K77" s="751"/>
      <c r="L77" s="751"/>
      <c r="M77" s="751"/>
      <c r="N77" s="751"/>
      <c r="O77" s="751"/>
      <c r="P77" s="751"/>
      <c r="Q77" s="751"/>
      <c r="R77" s="751"/>
      <c r="S77" s="751"/>
      <c r="T77" s="751"/>
      <c r="U77" s="793"/>
      <c r="V77" s="769" t="s">
        <v>1464</v>
      </c>
      <c r="W77" s="769" t="s">
        <v>199</v>
      </c>
      <c r="X77" s="751"/>
      <c r="Y77" s="751"/>
      <c r="Z77" s="751"/>
      <c r="AA77" s="751"/>
      <c r="AB77" s="751"/>
      <c r="AC77" s="751"/>
      <c r="AD77" s="751"/>
      <c r="AE77" s="751"/>
      <c r="AF77" s="751"/>
      <c r="AG77" s="751"/>
      <c r="AH77" s="751"/>
      <c r="AI77" s="751"/>
      <c r="AJ77" s="793"/>
      <c r="AK77" s="769" t="s">
        <v>1464</v>
      </c>
      <c r="AL77" s="769" t="s">
        <v>199</v>
      </c>
      <c r="AM77" s="751"/>
      <c r="AN77" s="751"/>
      <c r="AO77" s="751"/>
      <c r="AP77" s="751"/>
      <c r="AQ77" s="751"/>
      <c r="AR77" s="751"/>
      <c r="AS77" s="751"/>
      <c r="AT77" s="751"/>
      <c r="AU77" s="751"/>
      <c r="AV77" s="751"/>
      <c r="AW77" s="751"/>
      <c r="AX77" s="751"/>
      <c r="AY77" s="793"/>
      <c r="AZ77" s="769" t="s">
        <v>1464</v>
      </c>
      <c r="BA77" s="769" t="s">
        <v>199</v>
      </c>
      <c r="BB77" s="751"/>
      <c r="BC77" s="751"/>
      <c r="BD77" s="751"/>
      <c r="BE77" s="751"/>
      <c r="BF77" s="751"/>
      <c r="BG77" s="751"/>
      <c r="BH77" s="751"/>
      <c r="BI77" s="751"/>
      <c r="BJ77" s="751"/>
      <c r="BK77" s="751"/>
      <c r="BL77" s="751"/>
      <c r="BM77" s="751"/>
    </row>
    <row r="78" ht="15" customHeight="1" spans="2:65">
      <c r="B78" s="801"/>
      <c r="C78" s="785"/>
      <c r="D78" s="785"/>
      <c r="E78" s="789"/>
      <c r="F78" s="793"/>
      <c r="G78" s="769" t="s">
        <v>1464</v>
      </c>
      <c r="H78" s="769" t="s">
        <v>199</v>
      </c>
      <c r="I78" s="751"/>
      <c r="J78" s="751"/>
      <c r="K78" s="751"/>
      <c r="L78" s="751"/>
      <c r="M78" s="751"/>
      <c r="N78" s="751"/>
      <c r="O78" s="751"/>
      <c r="P78" s="751"/>
      <c r="Q78" s="751"/>
      <c r="R78" s="751"/>
      <c r="S78" s="751"/>
      <c r="T78" s="751"/>
      <c r="U78" s="793"/>
      <c r="V78" s="769" t="s">
        <v>1464</v>
      </c>
      <c r="W78" s="769" t="s">
        <v>199</v>
      </c>
      <c r="X78" s="751"/>
      <c r="Y78" s="751"/>
      <c r="Z78" s="751"/>
      <c r="AA78" s="751"/>
      <c r="AB78" s="751"/>
      <c r="AC78" s="751"/>
      <c r="AD78" s="751"/>
      <c r="AE78" s="751"/>
      <c r="AF78" s="751"/>
      <c r="AG78" s="751"/>
      <c r="AH78" s="751"/>
      <c r="AI78" s="751"/>
      <c r="AJ78" s="793"/>
      <c r="AK78" s="769" t="s">
        <v>1464</v>
      </c>
      <c r="AL78" s="769" t="s">
        <v>199</v>
      </c>
      <c r="AM78" s="751"/>
      <c r="AN78" s="751"/>
      <c r="AO78" s="751"/>
      <c r="AP78" s="751"/>
      <c r="AQ78" s="751"/>
      <c r="AR78" s="751"/>
      <c r="AS78" s="751"/>
      <c r="AT78" s="751"/>
      <c r="AU78" s="751"/>
      <c r="AV78" s="751"/>
      <c r="AW78" s="751"/>
      <c r="AX78" s="751"/>
      <c r="AY78" s="793"/>
      <c r="AZ78" s="769" t="s">
        <v>1464</v>
      </c>
      <c r="BA78" s="769" t="s">
        <v>199</v>
      </c>
      <c r="BB78" s="751"/>
      <c r="BC78" s="751"/>
      <c r="BD78" s="751"/>
      <c r="BE78" s="751"/>
      <c r="BF78" s="751"/>
      <c r="BG78" s="751"/>
      <c r="BH78" s="751"/>
      <c r="BI78" s="751"/>
      <c r="BJ78" s="751"/>
      <c r="BK78" s="751"/>
      <c r="BL78" s="751"/>
      <c r="BM78" s="751"/>
    </row>
    <row r="79" ht="15" customHeight="1" spans="2:65">
      <c r="B79" s="801"/>
      <c r="C79" s="785"/>
      <c r="D79" s="785"/>
      <c r="E79" s="793"/>
      <c r="F79" s="793"/>
      <c r="G79" s="769" t="s">
        <v>1464</v>
      </c>
      <c r="H79" s="769" t="s">
        <v>199</v>
      </c>
      <c r="I79" s="751"/>
      <c r="J79" s="751"/>
      <c r="K79" s="751"/>
      <c r="L79" s="751"/>
      <c r="M79" s="751"/>
      <c r="N79" s="751"/>
      <c r="O79" s="751"/>
      <c r="P79" s="751"/>
      <c r="Q79" s="751"/>
      <c r="R79" s="751"/>
      <c r="S79" s="751"/>
      <c r="T79" s="751"/>
      <c r="U79" s="793"/>
      <c r="V79" s="769" t="s">
        <v>1464</v>
      </c>
      <c r="W79" s="769" t="s">
        <v>199</v>
      </c>
      <c r="X79" s="751"/>
      <c r="Y79" s="751"/>
      <c r="Z79" s="751"/>
      <c r="AA79" s="751"/>
      <c r="AB79" s="751"/>
      <c r="AC79" s="751"/>
      <c r="AD79" s="751"/>
      <c r="AE79" s="751"/>
      <c r="AF79" s="751"/>
      <c r="AG79" s="751"/>
      <c r="AH79" s="751"/>
      <c r="AI79" s="751"/>
      <c r="AJ79" s="793"/>
      <c r="AK79" s="769" t="s">
        <v>1464</v>
      </c>
      <c r="AL79" s="769" t="s">
        <v>199</v>
      </c>
      <c r="AM79" s="751"/>
      <c r="AN79" s="751"/>
      <c r="AO79" s="751"/>
      <c r="AP79" s="751"/>
      <c r="AQ79" s="751"/>
      <c r="AR79" s="751"/>
      <c r="AS79" s="751"/>
      <c r="AT79" s="751"/>
      <c r="AU79" s="751"/>
      <c r="AV79" s="751"/>
      <c r="AW79" s="751"/>
      <c r="AX79" s="751"/>
      <c r="AY79" s="793"/>
      <c r="AZ79" s="769" t="s">
        <v>1464</v>
      </c>
      <c r="BA79" s="769" t="s">
        <v>199</v>
      </c>
      <c r="BB79" s="751"/>
      <c r="BC79" s="751"/>
      <c r="BD79" s="751"/>
      <c r="BE79" s="751"/>
      <c r="BF79" s="751"/>
      <c r="BG79" s="751"/>
      <c r="BH79" s="751"/>
      <c r="BI79" s="751"/>
      <c r="BJ79" s="751"/>
      <c r="BK79" s="751"/>
      <c r="BL79" s="751"/>
      <c r="BM79" s="751"/>
    </row>
    <row r="80" ht="15" customHeight="1" spans="2:65">
      <c r="B80" s="801"/>
      <c r="C80" s="785"/>
      <c r="D80" s="785"/>
      <c r="E80" s="793"/>
      <c r="F80" s="793"/>
      <c r="G80" s="769" t="s">
        <v>1464</v>
      </c>
      <c r="H80" s="769" t="s">
        <v>199</v>
      </c>
      <c r="I80" s="751"/>
      <c r="J80" s="751"/>
      <c r="K80" s="751"/>
      <c r="L80" s="751"/>
      <c r="M80" s="751"/>
      <c r="N80" s="751"/>
      <c r="O80" s="751"/>
      <c r="P80" s="751"/>
      <c r="Q80" s="751"/>
      <c r="R80" s="751"/>
      <c r="S80" s="751"/>
      <c r="T80" s="751"/>
      <c r="U80" s="793"/>
      <c r="V80" s="769" t="s">
        <v>1464</v>
      </c>
      <c r="W80" s="769" t="s">
        <v>199</v>
      </c>
      <c r="X80" s="751"/>
      <c r="Y80" s="751"/>
      <c r="Z80" s="751"/>
      <c r="AA80" s="751"/>
      <c r="AB80" s="751"/>
      <c r="AC80" s="751"/>
      <c r="AD80" s="751"/>
      <c r="AE80" s="751"/>
      <c r="AF80" s="751"/>
      <c r="AG80" s="751"/>
      <c r="AH80" s="751"/>
      <c r="AI80" s="751"/>
      <c r="AJ80" s="793"/>
      <c r="AK80" s="769" t="s">
        <v>1464</v>
      </c>
      <c r="AL80" s="769" t="s">
        <v>199</v>
      </c>
      <c r="AM80" s="751"/>
      <c r="AN80" s="751"/>
      <c r="AO80" s="751"/>
      <c r="AP80" s="751"/>
      <c r="AQ80" s="751"/>
      <c r="AR80" s="751"/>
      <c r="AS80" s="751"/>
      <c r="AT80" s="751"/>
      <c r="AU80" s="751"/>
      <c r="AV80" s="751"/>
      <c r="AW80" s="751"/>
      <c r="AX80" s="751"/>
      <c r="AY80" s="793"/>
      <c r="AZ80" s="769" t="s">
        <v>1464</v>
      </c>
      <c r="BA80" s="769" t="s">
        <v>199</v>
      </c>
      <c r="BB80" s="751"/>
      <c r="BC80" s="751"/>
      <c r="BD80" s="751"/>
      <c r="BE80" s="751"/>
      <c r="BF80" s="751"/>
      <c r="BG80" s="751"/>
      <c r="BH80" s="751"/>
      <c r="BI80" s="751"/>
      <c r="BJ80" s="751"/>
      <c r="BK80" s="751"/>
      <c r="BL80" s="751"/>
      <c r="BM80" s="751"/>
    </row>
    <row r="81" ht="15" customHeight="1" spans="2:65">
      <c r="B81" s="801"/>
      <c r="C81" s="785"/>
      <c r="D81" s="785"/>
      <c r="E81" s="793"/>
      <c r="F81" s="793"/>
      <c r="G81" s="769" t="s">
        <v>1464</v>
      </c>
      <c r="H81" s="769" t="s">
        <v>199</v>
      </c>
      <c r="I81" s="751"/>
      <c r="J81" s="751"/>
      <c r="K81" s="751"/>
      <c r="L81" s="751"/>
      <c r="M81" s="751"/>
      <c r="N81" s="751"/>
      <c r="O81" s="751"/>
      <c r="P81" s="751"/>
      <c r="Q81" s="751"/>
      <c r="R81" s="751"/>
      <c r="S81" s="751"/>
      <c r="T81" s="751"/>
      <c r="U81" s="793"/>
      <c r="V81" s="769" t="s">
        <v>1464</v>
      </c>
      <c r="W81" s="769" t="s">
        <v>199</v>
      </c>
      <c r="X81" s="751"/>
      <c r="Y81" s="751"/>
      <c r="Z81" s="751"/>
      <c r="AA81" s="751"/>
      <c r="AB81" s="751"/>
      <c r="AC81" s="751"/>
      <c r="AD81" s="751"/>
      <c r="AE81" s="751"/>
      <c r="AF81" s="751"/>
      <c r="AG81" s="751"/>
      <c r="AH81" s="751"/>
      <c r="AI81" s="751"/>
      <c r="AJ81" s="793"/>
      <c r="AK81" s="769" t="s">
        <v>1464</v>
      </c>
      <c r="AL81" s="769" t="s">
        <v>199</v>
      </c>
      <c r="AM81" s="751"/>
      <c r="AN81" s="751"/>
      <c r="AO81" s="751"/>
      <c r="AP81" s="751"/>
      <c r="AQ81" s="751"/>
      <c r="AR81" s="751"/>
      <c r="AS81" s="751"/>
      <c r="AT81" s="751"/>
      <c r="AU81" s="751"/>
      <c r="AV81" s="751"/>
      <c r="AW81" s="751"/>
      <c r="AX81" s="751"/>
      <c r="AY81" s="793"/>
      <c r="AZ81" s="769" t="s">
        <v>1464</v>
      </c>
      <c r="BA81" s="769" t="s">
        <v>199</v>
      </c>
      <c r="BB81" s="751"/>
      <c r="BC81" s="751"/>
      <c r="BD81" s="751"/>
      <c r="BE81" s="751"/>
      <c r="BF81" s="751"/>
      <c r="BG81" s="751"/>
      <c r="BH81" s="751"/>
      <c r="BI81" s="751"/>
      <c r="BJ81" s="751"/>
      <c r="BK81" s="751"/>
      <c r="BL81" s="751"/>
      <c r="BM81" s="751"/>
    </row>
    <row r="82" ht="15" customHeight="1" spans="2:65">
      <c r="B82" s="801"/>
      <c r="C82" s="785"/>
      <c r="D82" s="785"/>
      <c r="E82" s="789"/>
      <c r="F82" s="770"/>
      <c r="G82" s="769" t="s">
        <v>1464</v>
      </c>
      <c r="H82" s="769" t="s">
        <v>199</v>
      </c>
      <c r="I82" s="751"/>
      <c r="J82" s="751"/>
      <c r="K82" s="751"/>
      <c r="L82" s="751"/>
      <c r="M82" s="751"/>
      <c r="N82" s="751"/>
      <c r="O82" s="751"/>
      <c r="P82" s="751"/>
      <c r="Q82" s="751"/>
      <c r="R82" s="751"/>
      <c r="S82" s="751"/>
      <c r="T82" s="751"/>
      <c r="U82" s="770"/>
      <c r="V82" s="769" t="s">
        <v>1464</v>
      </c>
      <c r="W82" s="769" t="s">
        <v>199</v>
      </c>
      <c r="X82" s="751"/>
      <c r="Y82" s="751"/>
      <c r="Z82" s="751"/>
      <c r="AA82" s="751"/>
      <c r="AB82" s="751"/>
      <c r="AC82" s="751"/>
      <c r="AD82" s="751"/>
      <c r="AE82" s="751"/>
      <c r="AF82" s="751"/>
      <c r="AG82" s="751"/>
      <c r="AH82" s="751"/>
      <c r="AI82" s="751"/>
      <c r="AJ82" s="770"/>
      <c r="AK82" s="769" t="s">
        <v>1464</v>
      </c>
      <c r="AL82" s="769" t="s">
        <v>199</v>
      </c>
      <c r="AM82" s="751"/>
      <c r="AN82" s="751"/>
      <c r="AO82" s="751"/>
      <c r="AP82" s="751"/>
      <c r="AQ82" s="751"/>
      <c r="AR82" s="751"/>
      <c r="AS82" s="751"/>
      <c r="AT82" s="751"/>
      <c r="AU82" s="751"/>
      <c r="AV82" s="751"/>
      <c r="AW82" s="751"/>
      <c r="AX82" s="751"/>
      <c r="AY82" s="770"/>
      <c r="AZ82" s="769" t="s">
        <v>1464</v>
      </c>
      <c r="BA82" s="769" t="s">
        <v>199</v>
      </c>
      <c r="BB82" s="751"/>
      <c r="BC82" s="751"/>
      <c r="BD82" s="751"/>
      <c r="BE82" s="751"/>
      <c r="BF82" s="751"/>
      <c r="BG82" s="751"/>
      <c r="BH82" s="751"/>
      <c r="BI82" s="751"/>
      <c r="BJ82" s="751"/>
      <c r="BK82" s="751"/>
      <c r="BL82" s="751"/>
      <c r="BM82" s="751"/>
    </row>
    <row r="83" ht="15" customHeight="1" spans="2:65">
      <c r="B83" s="801"/>
      <c r="C83" s="785"/>
      <c r="D83" s="785"/>
      <c r="E83" s="789"/>
      <c r="F83" s="770"/>
      <c r="G83" s="769" t="s">
        <v>1464</v>
      </c>
      <c r="H83" s="769" t="s">
        <v>199</v>
      </c>
      <c r="I83" s="751"/>
      <c r="J83" s="751"/>
      <c r="K83" s="751"/>
      <c r="L83" s="751"/>
      <c r="M83" s="751"/>
      <c r="N83" s="751"/>
      <c r="O83" s="751"/>
      <c r="P83" s="751"/>
      <c r="Q83" s="751"/>
      <c r="R83" s="751"/>
      <c r="S83" s="751"/>
      <c r="T83" s="751"/>
      <c r="U83" s="770"/>
      <c r="V83" s="769" t="s">
        <v>1464</v>
      </c>
      <c r="W83" s="769" t="s">
        <v>199</v>
      </c>
      <c r="X83" s="751"/>
      <c r="Y83" s="751"/>
      <c r="Z83" s="751"/>
      <c r="AA83" s="751"/>
      <c r="AB83" s="751"/>
      <c r="AC83" s="751"/>
      <c r="AD83" s="751"/>
      <c r="AE83" s="751"/>
      <c r="AF83" s="751"/>
      <c r="AG83" s="751"/>
      <c r="AH83" s="751"/>
      <c r="AI83" s="751"/>
      <c r="AJ83" s="770"/>
      <c r="AK83" s="769" t="s">
        <v>1464</v>
      </c>
      <c r="AL83" s="769" t="s">
        <v>199</v>
      </c>
      <c r="AM83" s="751"/>
      <c r="AN83" s="751"/>
      <c r="AO83" s="751"/>
      <c r="AP83" s="751"/>
      <c r="AQ83" s="751"/>
      <c r="AR83" s="751"/>
      <c r="AS83" s="751"/>
      <c r="AT83" s="751"/>
      <c r="AU83" s="751"/>
      <c r="AV83" s="751"/>
      <c r="AW83" s="751"/>
      <c r="AX83" s="751"/>
      <c r="AY83" s="770"/>
      <c r="AZ83" s="769" t="s">
        <v>1464</v>
      </c>
      <c r="BA83" s="769" t="s">
        <v>199</v>
      </c>
      <c r="BB83" s="751"/>
      <c r="BC83" s="751"/>
      <c r="BD83" s="751"/>
      <c r="BE83" s="751"/>
      <c r="BF83" s="751"/>
      <c r="BG83" s="751"/>
      <c r="BH83" s="751"/>
      <c r="BI83" s="751"/>
      <c r="BJ83" s="751"/>
      <c r="BK83" s="751"/>
      <c r="BL83" s="751"/>
      <c r="BM83" s="751"/>
    </row>
    <row r="84" ht="15" customHeight="1" spans="2:65">
      <c r="B84" s="801"/>
      <c r="C84" s="785"/>
      <c r="D84" s="785"/>
      <c r="E84" s="789"/>
      <c r="F84" s="770"/>
      <c r="G84" s="769" t="s">
        <v>1464</v>
      </c>
      <c r="H84" s="769" t="s">
        <v>199</v>
      </c>
      <c r="I84" s="751"/>
      <c r="J84" s="751"/>
      <c r="K84" s="751"/>
      <c r="L84" s="751"/>
      <c r="M84" s="751"/>
      <c r="N84" s="751"/>
      <c r="O84" s="751"/>
      <c r="P84" s="751"/>
      <c r="Q84" s="751"/>
      <c r="R84" s="751"/>
      <c r="S84" s="751"/>
      <c r="T84" s="751"/>
      <c r="U84" s="770"/>
      <c r="V84" s="769" t="s">
        <v>1464</v>
      </c>
      <c r="W84" s="769" t="s">
        <v>199</v>
      </c>
      <c r="X84" s="751"/>
      <c r="Y84" s="751"/>
      <c r="Z84" s="751"/>
      <c r="AA84" s="751"/>
      <c r="AB84" s="751"/>
      <c r="AC84" s="751"/>
      <c r="AD84" s="751"/>
      <c r="AE84" s="751"/>
      <c r="AF84" s="751"/>
      <c r="AG84" s="751"/>
      <c r="AH84" s="751"/>
      <c r="AI84" s="751"/>
      <c r="AJ84" s="770"/>
      <c r="AK84" s="769" t="s">
        <v>1464</v>
      </c>
      <c r="AL84" s="769" t="s">
        <v>199</v>
      </c>
      <c r="AM84" s="751"/>
      <c r="AN84" s="751"/>
      <c r="AO84" s="751"/>
      <c r="AP84" s="751"/>
      <c r="AQ84" s="751"/>
      <c r="AR84" s="751"/>
      <c r="AS84" s="751"/>
      <c r="AT84" s="751"/>
      <c r="AU84" s="751"/>
      <c r="AV84" s="751"/>
      <c r="AW84" s="751"/>
      <c r="AX84" s="751"/>
      <c r="AY84" s="770"/>
      <c r="AZ84" s="769" t="s">
        <v>1464</v>
      </c>
      <c r="BA84" s="769" t="s">
        <v>199</v>
      </c>
      <c r="BB84" s="751"/>
      <c r="BC84" s="751"/>
      <c r="BD84" s="751"/>
      <c r="BE84" s="751"/>
      <c r="BF84" s="751"/>
      <c r="BG84" s="751"/>
      <c r="BH84" s="751"/>
      <c r="BI84" s="751"/>
      <c r="BJ84" s="751"/>
      <c r="BK84" s="751"/>
      <c r="BL84" s="751"/>
      <c r="BM84" s="751"/>
    </row>
    <row r="85" ht="15" customHeight="1" spans="2:65">
      <c r="B85" s="801"/>
      <c r="C85" s="784"/>
      <c r="D85" s="784"/>
      <c r="E85" s="784"/>
      <c r="F85" s="770"/>
      <c r="G85" s="769" t="s">
        <v>1464</v>
      </c>
      <c r="H85" s="769" t="s">
        <v>199</v>
      </c>
      <c r="I85" s="750"/>
      <c r="J85" s="750"/>
      <c r="K85" s="750"/>
      <c r="L85" s="750"/>
      <c r="M85" s="750"/>
      <c r="N85" s="750"/>
      <c r="O85" s="750"/>
      <c r="P85" s="750"/>
      <c r="Q85" s="750"/>
      <c r="R85" s="750"/>
      <c r="S85" s="750"/>
      <c r="T85" s="750"/>
      <c r="U85" s="770"/>
      <c r="V85" s="769" t="s">
        <v>1464</v>
      </c>
      <c r="W85" s="769" t="s">
        <v>199</v>
      </c>
      <c r="X85" s="750"/>
      <c r="Y85" s="750"/>
      <c r="Z85" s="750"/>
      <c r="AA85" s="750"/>
      <c r="AB85" s="750"/>
      <c r="AC85" s="750"/>
      <c r="AD85" s="750"/>
      <c r="AE85" s="750"/>
      <c r="AF85" s="750"/>
      <c r="AG85" s="750"/>
      <c r="AH85" s="750"/>
      <c r="AI85" s="750"/>
      <c r="AJ85" s="770"/>
      <c r="AK85" s="769" t="s">
        <v>1464</v>
      </c>
      <c r="AL85" s="769" t="s">
        <v>199</v>
      </c>
      <c r="AM85" s="750"/>
      <c r="AN85" s="750"/>
      <c r="AO85" s="750"/>
      <c r="AP85" s="750"/>
      <c r="AQ85" s="750"/>
      <c r="AR85" s="750"/>
      <c r="AS85" s="750"/>
      <c r="AT85" s="750"/>
      <c r="AU85" s="750"/>
      <c r="AV85" s="750"/>
      <c r="AW85" s="750"/>
      <c r="AX85" s="750"/>
      <c r="AY85" s="770"/>
      <c r="AZ85" s="769" t="s">
        <v>1464</v>
      </c>
      <c r="BA85" s="769" t="s">
        <v>199</v>
      </c>
      <c r="BB85" s="750"/>
      <c r="BC85" s="750"/>
      <c r="BD85" s="750"/>
      <c r="BE85" s="750"/>
      <c r="BF85" s="750"/>
      <c r="BG85" s="750"/>
      <c r="BH85" s="750"/>
      <c r="BI85" s="750"/>
      <c r="BJ85" s="750"/>
      <c r="BK85" s="750"/>
      <c r="BL85" s="750"/>
      <c r="BM85" s="750"/>
    </row>
    <row r="86" ht="15" customHeight="1" spans="2:65">
      <c r="B86" s="801"/>
      <c r="C86" s="784"/>
      <c r="D86" s="784"/>
      <c r="E86" s="784"/>
      <c r="F86" s="770"/>
      <c r="G86" s="769" t="s">
        <v>1464</v>
      </c>
      <c r="H86" s="769" t="s">
        <v>199</v>
      </c>
      <c r="I86" s="750"/>
      <c r="J86" s="750"/>
      <c r="K86" s="750"/>
      <c r="L86" s="750"/>
      <c r="M86" s="750"/>
      <c r="N86" s="750"/>
      <c r="O86" s="750"/>
      <c r="P86" s="750"/>
      <c r="Q86" s="750"/>
      <c r="R86" s="750"/>
      <c r="S86" s="750"/>
      <c r="T86" s="750"/>
      <c r="U86" s="770"/>
      <c r="V86" s="769" t="s">
        <v>1464</v>
      </c>
      <c r="W86" s="769" t="s">
        <v>199</v>
      </c>
      <c r="X86" s="750"/>
      <c r="Y86" s="750"/>
      <c r="Z86" s="750"/>
      <c r="AA86" s="750"/>
      <c r="AB86" s="750"/>
      <c r="AC86" s="750"/>
      <c r="AD86" s="750"/>
      <c r="AE86" s="750"/>
      <c r="AF86" s="750"/>
      <c r="AG86" s="750"/>
      <c r="AH86" s="750"/>
      <c r="AI86" s="750"/>
      <c r="AJ86" s="770"/>
      <c r="AK86" s="769" t="s">
        <v>1464</v>
      </c>
      <c r="AL86" s="769" t="s">
        <v>199</v>
      </c>
      <c r="AM86" s="750"/>
      <c r="AN86" s="750"/>
      <c r="AO86" s="750"/>
      <c r="AP86" s="750"/>
      <c r="AQ86" s="750"/>
      <c r="AR86" s="750"/>
      <c r="AS86" s="750"/>
      <c r="AT86" s="750"/>
      <c r="AU86" s="750"/>
      <c r="AV86" s="750"/>
      <c r="AW86" s="750"/>
      <c r="AX86" s="750"/>
      <c r="AY86" s="770"/>
      <c r="AZ86" s="769" t="s">
        <v>1464</v>
      </c>
      <c r="BA86" s="769" t="s">
        <v>199</v>
      </c>
      <c r="BB86" s="750"/>
      <c r="BC86" s="750"/>
      <c r="BD86" s="750"/>
      <c r="BE86" s="750"/>
      <c r="BF86" s="750"/>
      <c r="BG86" s="750"/>
      <c r="BH86" s="750"/>
      <c r="BI86" s="750"/>
      <c r="BJ86" s="750"/>
      <c r="BK86" s="750"/>
      <c r="BL86" s="750"/>
      <c r="BM86" s="750"/>
    </row>
    <row r="87" ht="15" customHeight="1" spans="2:65">
      <c r="B87" s="801"/>
      <c r="C87" s="784"/>
      <c r="D87" s="784"/>
      <c r="E87" s="784"/>
      <c r="F87" s="770"/>
      <c r="G87" s="769" t="s">
        <v>1464</v>
      </c>
      <c r="H87" s="769" t="s">
        <v>199</v>
      </c>
      <c r="I87" s="750"/>
      <c r="J87" s="750"/>
      <c r="K87" s="750"/>
      <c r="L87" s="750"/>
      <c r="M87" s="750"/>
      <c r="N87" s="750"/>
      <c r="O87" s="750"/>
      <c r="P87" s="750"/>
      <c r="Q87" s="750"/>
      <c r="R87" s="750"/>
      <c r="S87" s="750"/>
      <c r="T87" s="750"/>
      <c r="U87" s="770"/>
      <c r="V87" s="769" t="s">
        <v>1464</v>
      </c>
      <c r="W87" s="769" t="s">
        <v>199</v>
      </c>
      <c r="X87" s="750"/>
      <c r="Y87" s="750"/>
      <c r="Z87" s="750"/>
      <c r="AA87" s="750"/>
      <c r="AB87" s="750"/>
      <c r="AC87" s="750"/>
      <c r="AD87" s="750"/>
      <c r="AE87" s="750"/>
      <c r="AF87" s="750"/>
      <c r="AG87" s="750"/>
      <c r="AH87" s="750"/>
      <c r="AI87" s="750"/>
      <c r="AJ87" s="770"/>
      <c r="AK87" s="769" t="s">
        <v>1464</v>
      </c>
      <c r="AL87" s="769" t="s">
        <v>199</v>
      </c>
      <c r="AM87" s="750"/>
      <c r="AN87" s="750"/>
      <c r="AO87" s="750"/>
      <c r="AP87" s="750"/>
      <c r="AQ87" s="750"/>
      <c r="AR87" s="750"/>
      <c r="AS87" s="750"/>
      <c r="AT87" s="750"/>
      <c r="AU87" s="750"/>
      <c r="AV87" s="750"/>
      <c r="AW87" s="750"/>
      <c r="AX87" s="750"/>
      <c r="AY87" s="770"/>
      <c r="AZ87" s="769" t="s">
        <v>1464</v>
      </c>
      <c r="BA87" s="769" t="s">
        <v>199</v>
      </c>
      <c r="BB87" s="750"/>
      <c r="BC87" s="750"/>
      <c r="BD87" s="750"/>
      <c r="BE87" s="750"/>
      <c r="BF87" s="750"/>
      <c r="BG87" s="750"/>
      <c r="BH87" s="750"/>
      <c r="BI87" s="750"/>
      <c r="BJ87" s="750"/>
      <c r="BK87" s="750"/>
      <c r="BL87" s="750"/>
      <c r="BM87" s="750"/>
    </row>
    <row r="88" ht="15" customHeight="1" spans="2:65">
      <c r="B88" s="801"/>
      <c r="C88" s="784"/>
      <c r="D88" s="784"/>
      <c r="E88" s="784"/>
      <c r="F88" s="770"/>
      <c r="G88" s="769" t="s">
        <v>1464</v>
      </c>
      <c r="H88" s="769" t="s">
        <v>199</v>
      </c>
      <c r="I88" s="750">
        <v>0</v>
      </c>
      <c r="J88" s="750">
        <v>0</v>
      </c>
      <c r="K88" s="750">
        <v>0</v>
      </c>
      <c r="L88" s="750">
        <v>0</v>
      </c>
      <c r="M88" s="750">
        <v>0</v>
      </c>
      <c r="N88" s="750">
        <v>0</v>
      </c>
      <c r="O88" s="750">
        <v>0</v>
      </c>
      <c r="P88" s="750">
        <v>0</v>
      </c>
      <c r="Q88" s="750">
        <v>0</v>
      </c>
      <c r="R88" s="750">
        <v>0</v>
      </c>
      <c r="S88" s="750">
        <v>0</v>
      </c>
      <c r="T88" s="750">
        <v>0</v>
      </c>
      <c r="U88" s="770"/>
      <c r="V88" s="769" t="s">
        <v>1464</v>
      </c>
      <c r="W88" s="769" t="s">
        <v>199</v>
      </c>
      <c r="X88" s="750">
        <v>0</v>
      </c>
      <c r="Y88" s="750">
        <v>0</v>
      </c>
      <c r="Z88" s="750">
        <v>0</v>
      </c>
      <c r="AA88" s="750">
        <v>0</v>
      </c>
      <c r="AB88" s="750">
        <v>0</v>
      </c>
      <c r="AC88" s="750">
        <v>0</v>
      </c>
      <c r="AD88" s="750">
        <v>0</v>
      </c>
      <c r="AE88" s="750">
        <v>0</v>
      </c>
      <c r="AF88" s="750">
        <v>0</v>
      </c>
      <c r="AG88" s="750">
        <v>0</v>
      </c>
      <c r="AH88" s="750">
        <v>0</v>
      </c>
      <c r="AI88" s="750">
        <v>0</v>
      </c>
      <c r="AJ88" s="770"/>
      <c r="AK88" s="769" t="s">
        <v>1464</v>
      </c>
      <c r="AL88" s="769" t="s">
        <v>199</v>
      </c>
      <c r="AM88" s="750">
        <v>0</v>
      </c>
      <c r="AN88" s="750">
        <v>0</v>
      </c>
      <c r="AO88" s="750">
        <v>0</v>
      </c>
      <c r="AP88" s="750">
        <v>0</v>
      </c>
      <c r="AQ88" s="750">
        <v>0</v>
      </c>
      <c r="AR88" s="750">
        <v>0</v>
      </c>
      <c r="AS88" s="750">
        <v>0</v>
      </c>
      <c r="AT88" s="750">
        <v>0</v>
      </c>
      <c r="AU88" s="750">
        <v>0</v>
      </c>
      <c r="AV88" s="750">
        <v>0</v>
      </c>
      <c r="AW88" s="750">
        <v>0</v>
      </c>
      <c r="AX88" s="750">
        <v>0</v>
      </c>
      <c r="AY88" s="770"/>
      <c r="AZ88" s="769" t="s">
        <v>1464</v>
      </c>
      <c r="BA88" s="769" t="s">
        <v>199</v>
      </c>
      <c r="BB88" s="750">
        <v>0</v>
      </c>
      <c r="BC88" s="750">
        <v>0</v>
      </c>
      <c r="BD88" s="750">
        <v>0</v>
      </c>
      <c r="BE88" s="750">
        <v>0</v>
      </c>
      <c r="BF88" s="750">
        <v>0</v>
      </c>
      <c r="BG88" s="750">
        <v>0</v>
      </c>
      <c r="BH88" s="750">
        <v>0</v>
      </c>
      <c r="BI88" s="750">
        <v>0</v>
      </c>
      <c r="BJ88" s="750">
        <v>0</v>
      </c>
      <c r="BK88" s="750">
        <v>0</v>
      </c>
      <c r="BL88" s="750">
        <v>0</v>
      </c>
      <c r="BM88" s="750">
        <v>0</v>
      </c>
    </row>
    <row r="89" ht="15" customHeight="1" spans="2:65">
      <c r="B89" s="801"/>
      <c r="C89" s="784"/>
      <c r="D89" s="784"/>
      <c r="E89" s="784" t="s">
        <v>1534</v>
      </c>
      <c r="F89" s="770"/>
      <c r="G89" s="769" t="s">
        <v>1464</v>
      </c>
      <c r="H89" s="769" t="s">
        <v>199</v>
      </c>
      <c r="I89" s="750">
        <v>0</v>
      </c>
      <c r="J89" s="750">
        <v>0</v>
      </c>
      <c r="K89" s="750">
        <v>0</v>
      </c>
      <c r="L89" s="750">
        <v>0</v>
      </c>
      <c r="M89" s="750">
        <v>0</v>
      </c>
      <c r="N89" s="750">
        <v>0</v>
      </c>
      <c r="O89" s="750">
        <v>0</v>
      </c>
      <c r="P89" s="750">
        <v>0</v>
      </c>
      <c r="Q89" s="750">
        <v>0</v>
      </c>
      <c r="R89" s="750">
        <v>0</v>
      </c>
      <c r="S89" s="750">
        <v>0</v>
      </c>
      <c r="T89" s="750">
        <v>0</v>
      </c>
      <c r="U89" s="770"/>
      <c r="V89" s="769" t="s">
        <v>1464</v>
      </c>
      <c r="W89" s="769" t="s">
        <v>199</v>
      </c>
      <c r="X89" s="750">
        <v>0</v>
      </c>
      <c r="Y89" s="750">
        <v>0</v>
      </c>
      <c r="Z89" s="750">
        <v>0</v>
      </c>
      <c r="AA89" s="750">
        <v>0</v>
      </c>
      <c r="AB89" s="750">
        <v>0</v>
      </c>
      <c r="AC89" s="750">
        <v>0</v>
      </c>
      <c r="AD89" s="750">
        <v>0</v>
      </c>
      <c r="AE89" s="750">
        <v>0</v>
      </c>
      <c r="AF89" s="750">
        <v>0</v>
      </c>
      <c r="AG89" s="750">
        <v>0</v>
      </c>
      <c r="AH89" s="750">
        <v>0</v>
      </c>
      <c r="AI89" s="750">
        <v>0</v>
      </c>
      <c r="AJ89" s="770"/>
      <c r="AK89" s="769" t="s">
        <v>1464</v>
      </c>
      <c r="AL89" s="769" t="s">
        <v>199</v>
      </c>
      <c r="AM89" s="750">
        <v>0</v>
      </c>
      <c r="AN89" s="750">
        <v>0</v>
      </c>
      <c r="AO89" s="750">
        <v>0</v>
      </c>
      <c r="AP89" s="750">
        <v>0</v>
      </c>
      <c r="AQ89" s="750">
        <v>0</v>
      </c>
      <c r="AR89" s="750">
        <v>0</v>
      </c>
      <c r="AS89" s="750">
        <v>0</v>
      </c>
      <c r="AT89" s="750">
        <v>0</v>
      </c>
      <c r="AU89" s="750">
        <v>0</v>
      </c>
      <c r="AV89" s="750">
        <v>0</v>
      </c>
      <c r="AW89" s="750">
        <v>0</v>
      </c>
      <c r="AX89" s="750">
        <v>0</v>
      </c>
      <c r="AY89" s="770"/>
      <c r="AZ89" s="769" t="s">
        <v>1464</v>
      </c>
      <c r="BA89" s="769" t="s">
        <v>199</v>
      </c>
      <c r="BB89" s="750">
        <v>0</v>
      </c>
      <c r="BC89" s="750">
        <v>0</v>
      </c>
      <c r="BD89" s="750">
        <v>0</v>
      </c>
      <c r="BE89" s="750">
        <v>0</v>
      </c>
      <c r="BF89" s="750">
        <v>0</v>
      </c>
      <c r="BG89" s="750">
        <v>0</v>
      </c>
      <c r="BH89" s="750">
        <v>0</v>
      </c>
      <c r="BI89" s="750">
        <v>0</v>
      </c>
      <c r="BJ89" s="750">
        <v>0</v>
      </c>
      <c r="BK89" s="750">
        <v>0</v>
      </c>
      <c r="BL89" s="750">
        <v>0</v>
      </c>
      <c r="BM89" s="750">
        <v>0</v>
      </c>
    </row>
    <row r="90" ht="15" customHeight="1" spans="2:65">
      <c r="B90" s="801"/>
      <c r="C90" s="784"/>
      <c r="D90" s="784"/>
      <c r="E90" s="784" t="s">
        <v>1534</v>
      </c>
      <c r="F90" s="770"/>
      <c r="G90" s="769" t="s">
        <v>1464</v>
      </c>
      <c r="H90" s="769" t="s">
        <v>199</v>
      </c>
      <c r="I90" s="750">
        <v>0</v>
      </c>
      <c r="J90" s="750">
        <v>0</v>
      </c>
      <c r="K90" s="750">
        <v>0</v>
      </c>
      <c r="L90" s="750">
        <v>0</v>
      </c>
      <c r="M90" s="750">
        <v>0</v>
      </c>
      <c r="N90" s="750">
        <v>0</v>
      </c>
      <c r="O90" s="750">
        <v>0</v>
      </c>
      <c r="P90" s="750">
        <v>0</v>
      </c>
      <c r="Q90" s="750">
        <v>0</v>
      </c>
      <c r="R90" s="750">
        <v>0</v>
      </c>
      <c r="S90" s="750">
        <v>0</v>
      </c>
      <c r="T90" s="750">
        <v>0</v>
      </c>
      <c r="U90" s="770"/>
      <c r="V90" s="769" t="s">
        <v>1464</v>
      </c>
      <c r="W90" s="769" t="s">
        <v>199</v>
      </c>
      <c r="X90" s="750">
        <v>0</v>
      </c>
      <c r="Y90" s="750">
        <v>0</v>
      </c>
      <c r="Z90" s="750">
        <v>0</v>
      </c>
      <c r="AA90" s="750">
        <v>0</v>
      </c>
      <c r="AB90" s="750">
        <v>0</v>
      </c>
      <c r="AC90" s="750">
        <v>0</v>
      </c>
      <c r="AD90" s="750">
        <v>0</v>
      </c>
      <c r="AE90" s="750">
        <v>0</v>
      </c>
      <c r="AF90" s="750">
        <v>0</v>
      </c>
      <c r="AG90" s="750">
        <v>0</v>
      </c>
      <c r="AH90" s="750">
        <v>0</v>
      </c>
      <c r="AI90" s="750">
        <v>0</v>
      </c>
      <c r="AJ90" s="770"/>
      <c r="AK90" s="769" t="s">
        <v>1464</v>
      </c>
      <c r="AL90" s="769" t="s">
        <v>199</v>
      </c>
      <c r="AM90" s="750">
        <v>0</v>
      </c>
      <c r="AN90" s="750">
        <v>0</v>
      </c>
      <c r="AO90" s="750">
        <v>0</v>
      </c>
      <c r="AP90" s="750">
        <v>0</v>
      </c>
      <c r="AQ90" s="750">
        <v>0</v>
      </c>
      <c r="AR90" s="750">
        <v>0</v>
      </c>
      <c r="AS90" s="750">
        <v>0</v>
      </c>
      <c r="AT90" s="750">
        <v>0</v>
      </c>
      <c r="AU90" s="750">
        <v>0</v>
      </c>
      <c r="AV90" s="750">
        <v>0</v>
      </c>
      <c r="AW90" s="750">
        <v>0</v>
      </c>
      <c r="AX90" s="750">
        <v>0</v>
      </c>
      <c r="AY90" s="770"/>
      <c r="AZ90" s="769" t="s">
        <v>1464</v>
      </c>
      <c r="BA90" s="769" t="s">
        <v>199</v>
      </c>
      <c r="BB90" s="750">
        <v>0</v>
      </c>
      <c r="BC90" s="750">
        <v>0</v>
      </c>
      <c r="BD90" s="750">
        <v>0</v>
      </c>
      <c r="BE90" s="750">
        <v>0</v>
      </c>
      <c r="BF90" s="750">
        <v>0</v>
      </c>
      <c r="BG90" s="750">
        <v>0</v>
      </c>
      <c r="BH90" s="750">
        <v>0</v>
      </c>
      <c r="BI90" s="750">
        <v>0</v>
      </c>
      <c r="BJ90" s="750">
        <v>0</v>
      </c>
      <c r="BK90" s="750">
        <v>0</v>
      </c>
      <c r="BL90" s="750">
        <v>0</v>
      </c>
      <c r="BM90" s="750">
        <v>0</v>
      </c>
    </row>
    <row r="91" ht="15" customHeight="1" spans="2:65">
      <c r="B91" s="801"/>
      <c r="C91" s="784"/>
      <c r="D91" s="784"/>
      <c r="E91" s="784" t="s">
        <v>1534</v>
      </c>
      <c r="F91" s="770"/>
      <c r="G91" s="769" t="s">
        <v>1464</v>
      </c>
      <c r="H91" s="769" t="s">
        <v>199</v>
      </c>
      <c r="I91" s="750">
        <v>0</v>
      </c>
      <c r="J91" s="750">
        <v>0</v>
      </c>
      <c r="K91" s="750">
        <v>0</v>
      </c>
      <c r="L91" s="750">
        <v>0</v>
      </c>
      <c r="M91" s="750">
        <v>0</v>
      </c>
      <c r="N91" s="750">
        <v>0</v>
      </c>
      <c r="O91" s="750">
        <v>0</v>
      </c>
      <c r="P91" s="750">
        <v>0</v>
      </c>
      <c r="Q91" s="750">
        <v>0</v>
      </c>
      <c r="R91" s="750">
        <v>0</v>
      </c>
      <c r="S91" s="750">
        <v>0</v>
      </c>
      <c r="T91" s="750">
        <v>0</v>
      </c>
      <c r="U91" s="770"/>
      <c r="V91" s="769" t="s">
        <v>1464</v>
      </c>
      <c r="W91" s="769" t="s">
        <v>199</v>
      </c>
      <c r="X91" s="750">
        <v>0</v>
      </c>
      <c r="Y91" s="750">
        <v>0</v>
      </c>
      <c r="Z91" s="750">
        <v>0</v>
      </c>
      <c r="AA91" s="750">
        <v>0</v>
      </c>
      <c r="AB91" s="750">
        <v>0</v>
      </c>
      <c r="AC91" s="750">
        <v>0</v>
      </c>
      <c r="AD91" s="750">
        <v>0</v>
      </c>
      <c r="AE91" s="750">
        <v>0</v>
      </c>
      <c r="AF91" s="750">
        <v>0</v>
      </c>
      <c r="AG91" s="750">
        <v>0</v>
      </c>
      <c r="AH91" s="750">
        <v>0</v>
      </c>
      <c r="AI91" s="750">
        <v>0</v>
      </c>
      <c r="AJ91" s="770"/>
      <c r="AK91" s="769" t="s">
        <v>1464</v>
      </c>
      <c r="AL91" s="769" t="s">
        <v>199</v>
      </c>
      <c r="AM91" s="750">
        <v>0</v>
      </c>
      <c r="AN91" s="750">
        <v>0</v>
      </c>
      <c r="AO91" s="750">
        <v>0</v>
      </c>
      <c r="AP91" s="750">
        <v>0</v>
      </c>
      <c r="AQ91" s="750">
        <v>0</v>
      </c>
      <c r="AR91" s="750">
        <v>0</v>
      </c>
      <c r="AS91" s="750">
        <v>0</v>
      </c>
      <c r="AT91" s="750">
        <v>0</v>
      </c>
      <c r="AU91" s="750">
        <v>0</v>
      </c>
      <c r="AV91" s="750">
        <v>0</v>
      </c>
      <c r="AW91" s="750">
        <v>0</v>
      </c>
      <c r="AX91" s="750">
        <v>0</v>
      </c>
      <c r="AY91" s="770"/>
      <c r="AZ91" s="769" t="s">
        <v>1464</v>
      </c>
      <c r="BA91" s="769" t="s">
        <v>199</v>
      </c>
      <c r="BB91" s="750">
        <v>0</v>
      </c>
      <c r="BC91" s="750">
        <v>0</v>
      </c>
      <c r="BD91" s="750">
        <v>0</v>
      </c>
      <c r="BE91" s="750">
        <v>0</v>
      </c>
      <c r="BF91" s="750">
        <v>0</v>
      </c>
      <c r="BG91" s="750">
        <v>0</v>
      </c>
      <c r="BH91" s="750">
        <v>0</v>
      </c>
      <c r="BI91" s="750">
        <v>0</v>
      </c>
      <c r="BJ91" s="750">
        <v>0</v>
      </c>
      <c r="BK91" s="750">
        <v>0</v>
      </c>
      <c r="BL91" s="750">
        <v>0</v>
      </c>
      <c r="BM91" s="750">
        <v>0</v>
      </c>
    </row>
    <row r="92" ht="15" customHeight="1" spans="2:65">
      <c r="B92" s="801"/>
      <c r="C92" s="784"/>
      <c r="D92" s="784"/>
      <c r="E92" s="784" t="s">
        <v>1534</v>
      </c>
      <c r="F92" s="770"/>
      <c r="G92" s="769" t="s">
        <v>1464</v>
      </c>
      <c r="H92" s="769" t="s">
        <v>199</v>
      </c>
      <c r="I92" s="750">
        <v>0</v>
      </c>
      <c r="J92" s="750">
        <v>0</v>
      </c>
      <c r="K92" s="750">
        <v>0</v>
      </c>
      <c r="L92" s="750">
        <v>0</v>
      </c>
      <c r="M92" s="750">
        <v>0</v>
      </c>
      <c r="N92" s="750">
        <v>0</v>
      </c>
      <c r="O92" s="750">
        <v>0</v>
      </c>
      <c r="P92" s="750">
        <v>0</v>
      </c>
      <c r="Q92" s="750">
        <v>0</v>
      </c>
      <c r="R92" s="750">
        <v>0</v>
      </c>
      <c r="S92" s="750">
        <v>0</v>
      </c>
      <c r="T92" s="750">
        <v>0</v>
      </c>
      <c r="U92" s="770"/>
      <c r="V92" s="769" t="s">
        <v>1464</v>
      </c>
      <c r="W92" s="769" t="s">
        <v>199</v>
      </c>
      <c r="X92" s="750">
        <v>0</v>
      </c>
      <c r="Y92" s="750">
        <v>0</v>
      </c>
      <c r="Z92" s="750">
        <v>0</v>
      </c>
      <c r="AA92" s="750">
        <v>0</v>
      </c>
      <c r="AB92" s="750">
        <v>0</v>
      </c>
      <c r="AC92" s="750">
        <v>0</v>
      </c>
      <c r="AD92" s="750">
        <v>0</v>
      </c>
      <c r="AE92" s="750">
        <v>0</v>
      </c>
      <c r="AF92" s="750">
        <v>0</v>
      </c>
      <c r="AG92" s="750">
        <v>0</v>
      </c>
      <c r="AH92" s="750">
        <v>0</v>
      </c>
      <c r="AI92" s="750">
        <v>0</v>
      </c>
      <c r="AJ92" s="770"/>
      <c r="AK92" s="769" t="s">
        <v>1464</v>
      </c>
      <c r="AL92" s="769" t="s">
        <v>199</v>
      </c>
      <c r="AM92" s="750">
        <v>0</v>
      </c>
      <c r="AN92" s="750">
        <v>0</v>
      </c>
      <c r="AO92" s="750">
        <v>0</v>
      </c>
      <c r="AP92" s="750">
        <v>0</v>
      </c>
      <c r="AQ92" s="750">
        <v>0</v>
      </c>
      <c r="AR92" s="750">
        <v>0</v>
      </c>
      <c r="AS92" s="750">
        <v>0</v>
      </c>
      <c r="AT92" s="750">
        <v>0</v>
      </c>
      <c r="AU92" s="750">
        <v>0</v>
      </c>
      <c r="AV92" s="750">
        <v>0</v>
      </c>
      <c r="AW92" s="750">
        <v>0</v>
      </c>
      <c r="AX92" s="750">
        <v>0</v>
      </c>
      <c r="AY92" s="770"/>
      <c r="AZ92" s="769" t="s">
        <v>1464</v>
      </c>
      <c r="BA92" s="769" t="s">
        <v>199</v>
      </c>
      <c r="BB92" s="750">
        <v>0</v>
      </c>
      <c r="BC92" s="750">
        <v>0</v>
      </c>
      <c r="BD92" s="750">
        <v>0</v>
      </c>
      <c r="BE92" s="750">
        <v>0</v>
      </c>
      <c r="BF92" s="750">
        <v>0</v>
      </c>
      <c r="BG92" s="750">
        <v>0</v>
      </c>
      <c r="BH92" s="750">
        <v>0</v>
      </c>
      <c r="BI92" s="750">
        <v>0</v>
      </c>
      <c r="BJ92" s="750">
        <v>0</v>
      </c>
      <c r="BK92" s="750">
        <v>0</v>
      </c>
      <c r="BL92" s="750">
        <v>0</v>
      </c>
      <c r="BM92" s="750">
        <v>0</v>
      </c>
    </row>
    <row r="93" ht="15" customHeight="1" spans="2:65">
      <c r="B93" s="801"/>
      <c r="C93" s="784"/>
      <c r="D93" s="784"/>
      <c r="E93" s="784" t="s">
        <v>1534</v>
      </c>
      <c r="F93" s="770"/>
      <c r="G93" s="769" t="s">
        <v>1464</v>
      </c>
      <c r="H93" s="769" t="s">
        <v>199</v>
      </c>
      <c r="I93" s="750">
        <v>0</v>
      </c>
      <c r="J93" s="750">
        <v>0</v>
      </c>
      <c r="K93" s="750">
        <v>0</v>
      </c>
      <c r="L93" s="750">
        <v>0</v>
      </c>
      <c r="M93" s="750">
        <v>0</v>
      </c>
      <c r="N93" s="750">
        <v>0</v>
      </c>
      <c r="O93" s="750">
        <v>0</v>
      </c>
      <c r="P93" s="750">
        <v>0</v>
      </c>
      <c r="Q93" s="750">
        <v>0</v>
      </c>
      <c r="R93" s="750">
        <v>0</v>
      </c>
      <c r="S93" s="750">
        <v>0</v>
      </c>
      <c r="T93" s="750">
        <v>0</v>
      </c>
      <c r="U93" s="770"/>
      <c r="V93" s="769" t="s">
        <v>1464</v>
      </c>
      <c r="W93" s="769" t="s">
        <v>199</v>
      </c>
      <c r="X93" s="750">
        <v>0</v>
      </c>
      <c r="Y93" s="750">
        <v>0</v>
      </c>
      <c r="Z93" s="750">
        <v>0</v>
      </c>
      <c r="AA93" s="750">
        <v>0</v>
      </c>
      <c r="AB93" s="750">
        <v>0</v>
      </c>
      <c r="AC93" s="750">
        <v>0</v>
      </c>
      <c r="AD93" s="750">
        <v>0</v>
      </c>
      <c r="AE93" s="750">
        <v>0</v>
      </c>
      <c r="AF93" s="750">
        <v>0</v>
      </c>
      <c r="AG93" s="750">
        <v>0</v>
      </c>
      <c r="AH93" s="750">
        <v>0</v>
      </c>
      <c r="AI93" s="750">
        <v>0</v>
      </c>
      <c r="AJ93" s="770"/>
      <c r="AK93" s="769" t="s">
        <v>1464</v>
      </c>
      <c r="AL93" s="769" t="s">
        <v>199</v>
      </c>
      <c r="AM93" s="750">
        <v>0</v>
      </c>
      <c r="AN93" s="750">
        <v>0</v>
      </c>
      <c r="AO93" s="750">
        <v>0</v>
      </c>
      <c r="AP93" s="750">
        <v>0</v>
      </c>
      <c r="AQ93" s="750">
        <v>0</v>
      </c>
      <c r="AR93" s="750">
        <v>0</v>
      </c>
      <c r="AS93" s="750">
        <v>0</v>
      </c>
      <c r="AT93" s="750">
        <v>0</v>
      </c>
      <c r="AU93" s="750">
        <v>0</v>
      </c>
      <c r="AV93" s="750">
        <v>0</v>
      </c>
      <c r="AW93" s="750">
        <v>0</v>
      </c>
      <c r="AX93" s="750">
        <v>0</v>
      </c>
      <c r="AY93" s="770"/>
      <c r="AZ93" s="769" t="s">
        <v>1464</v>
      </c>
      <c r="BA93" s="769" t="s">
        <v>199</v>
      </c>
      <c r="BB93" s="750">
        <v>0</v>
      </c>
      <c r="BC93" s="750">
        <v>0</v>
      </c>
      <c r="BD93" s="750">
        <v>0</v>
      </c>
      <c r="BE93" s="750">
        <v>0</v>
      </c>
      <c r="BF93" s="750">
        <v>0</v>
      </c>
      <c r="BG93" s="750">
        <v>0</v>
      </c>
      <c r="BH93" s="750">
        <v>0</v>
      </c>
      <c r="BI93" s="750">
        <v>0</v>
      </c>
      <c r="BJ93" s="750">
        <v>0</v>
      </c>
      <c r="BK93" s="750">
        <v>0</v>
      </c>
      <c r="BL93" s="750">
        <v>0</v>
      </c>
      <c r="BM93" s="750">
        <v>0</v>
      </c>
    </row>
    <row r="94" ht="15" customHeight="1" spans="2:65">
      <c r="B94" s="801"/>
      <c r="C94" s="784"/>
      <c r="D94" s="784"/>
      <c r="E94" s="784" t="s">
        <v>1534</v>
      </c>
      <c r="F94" s="770"/>
      <c r="G94" s="769" t="s">
        <v>1464</v>
      </c>
      <c r="H94" s="769" t="s">
        <v>199</v>
      </c>
      <c r="I94" s="750">
        <v>0</v>
      </c>
      <c r="J94" s="750">
        <v>0</v>
      </c>
      <c r="K94" s="750">
        <v>0</v>
      </c>
      <c r="L94" s="750">
        <v>0</v>
      </c>
      <c r="M94" s="750">
        <v>0</v>
      </c>
      <c r="N94" s="750">
        <v>0</v>
      </c>
      <c r="O94" s="750">
        <v>0</v>
      </c>
      <c r="P94" s="750">
        <v>0</v>
      </c>
      <c r="Q94" s="750">
        <v>0</v>
      </c>
      <c r="R94" s="750">
        <v>0</v>
      </c>
      <c r="S94" s="750">
        <v>0</v>
      </c>
      <c r="T94" s="750">
        <v>0</v>
      </c>
      <c r="U94" s="770"/>
      <c r="V94" s="769" t="s">
        <v>1464</v>
      </c>
      <c r="W94" s="769" t="s">
        <v>199</v>
      </c>
      <c r="X94" s="750">
        <v>0</v>
      </c>
      <c r="Y94" s="750">
        <v>0</v>
      </c>
      <c r="Z94" s="750">
        <v>0</v>
      </c>
      <c r="AA94" s="750">
        <v>0</v>
      </c>
      <c r="AB94" s="750">
        <v>0</v>
      </c>
      <c r="AC94" s="750">
        <v>0</v>
      </c>
      <c r="AD94" s="750">
        <v>0</v>
      </c>
      <c r="AE94" s="750">
        <v>0</v>
      </c>
      <c r="AF94" s="750">
        <v>0</v>
      </c>
      <c r="AG94" s="750">
        <v>0</v>
      </c>
      <c r="AH94" s="750">
        <v>0</v>
      </c>
      <c r="AI94" s="750">
        <v>0</v>
      </c>
      <c r="AJ94" s="770"/>
      <c r="AK94" s="769" t="s">
        <v>1464</v>
      </c>
      <c r="AL94" s="769" t="s">
        <v>199</v>
      </c>
      <c r="AM94" s="750">
        <v>0</v>
      </c>
      <c r="AN94" s="750">
        <v>0</v>
      </c>
      <c r="AO94" s="750">
        <v>0</v>
      </c>
      <c r="AP94" s="750">
        <v>0</v>
      </c>
      <c r="AQ94" s="750">
        <v>0</v>
      </c>
      <c r="AR94" s="750">
        <v>0</v>
      </c>
      <c r="AS94" s="750">
        <v>0</v>
      </c>
      <c r="AT94" s="750">
        <v>0</v>
      </c>
      <c r="AU94" s="750">
        <v>0</v>
      </c>
      <c r="AV94" s="750">
        <v>0</v>
      </c>
      <c r="AW94" s="750">
        <v>0</v>
      </c>
      <c r="AX94" s="750">
        <v>0</v>
      </c>
      <c r="AY94" s="770"/>
      <c r="AZ94" s="769" t="s">
        <v>1464</v>
      </c>
      <c r="BA94" s="769" t="s">
        <v>199</v>
      </c>
      <c r="BB94" s="750">
        <v>0</v>
      </c>
      <c r="BC94" s="750">
        <v>0</v>
      </c>
      <c r="BD94" s="750">
        <v>0</v>
      </c>
      <c r="BE94" s="750">
        <v>0</v>
      </c>
      <c r="BF94" s="750">
        <v>0</v>
      </c>
      <c r="BG94" s="750">
        <v>0</v>
      </c>
      <c r="BH94" s="750">
        <v>0</v>
      </c>
      <c r="BI94" s="750">
        <v>0</v>
      </c>
      <c r="BJ94" s="750">
        <v>0</v>
      </c>
      <c r="BK94" s="750">
        <v>0</v>
      </c>
      <c r="BL94" s="750">
        <v>0</v>
      </c>
      <c r="BM94" s="750">
        <v>0</v>
      </c>
    </row>
    <row r="95" ht="15" customHeight="1" spans="2:65">
      <c r="B95" s="801"/>
      <c r="C95" s="784"/>
      <c r="D95" s="784"/>
      <c r="E95" s="784" t="s">
        <v>1534</v>
      </c>
      <c r="F95" s="770"/>
      <c r="G95" s="769" t="s">
        <v>1464</v>
      </c>
      <c r="H95" s="769" t="s">
        <v>199</v>
      </c>
      <c r="I95" s="750">
        <v>0</v>
      </c>
      <c r="J95" s="750">
        <v>0</v>
      </c>
      <c r="K95" s="750">
        <v>0</v>
      </c>
      <c r="L95" s="750">
        <v>0</v>
      </c>
      <c r="M95" s="750">
        <v>0</v>
      </c>
      <c r="N95" s="750">
        <v>0</v>
      </c>
      <c r="O95" s="750">
        <v>0</v>
      </c>
      <c r="P95" s="750">
        <v>0</v>
      </c>
      <c r="Q95" s="750">
        <v>0</v>
      </c>
      <c r="R95" s="750">
        <v>0</v>
      </c>
      <c r="S95" s="750">
        <v>0</v>
      </c>
      <c r="T95" s="750">
        <v>0</v>
      </c>
      <c r="U95" s="770"/>
      <c r="V95" s="769" t="s">
        <v>1464</v>
      </c>
      <c r="W95" s="769" t="s">
        <v>199</v>
      </c>
      <c r="X95" s="750">
        <v>0</v>
      </c>
      <c r="Y95" s="750">
        <v>0</v>
      </c>
      <c r="Z95" s="750">
        <v>0</v>
      </c>
      <c r="AA95" s="750">
        <v>0</v>
      </c>
      <c r="AB95" s="750">
        <v>0</v>
      </c>
      <c r="AC95" s="750">
        <v>0</v>
      </c>
      <c r="AD95" s="750">
        <v>0</v>
      </c>
      <c r="AE95" s="750">
        <v>0</v>
      </c>
      <c r="AF95" s="750">
        <v>0</v>
      </c>
      <c r="AG95" s="750">
        <v>0</v>
      </c>
      <c r="AH95" s="750">
        <v>0</v>
      </c>
      <c r="AI95" s="750">
        <v>0</v>
      </c>
      <c r="AJ95" s="770"/>
      <c r="AK95" s="769" t="s">
        <v>1464</v>
      </c>
      <c r="AL95" s="769" t="s">
        <v>199</v>
      </c>
      <c r="AM95" s="750">
        <v>0</v>
      </c>
      <c r="AN95" s="750">
        <v>0</v>
      </c>
      <c r="AO95" s="750">
        <v>0</v>
      </c>
      <c r="AP95" s="750">
        <v>0</v>
      </c>
      <c r="AQ95" s="750">
        <v>0</v>
      </c>
      <c r="AR95" s="750">
        <v>0</v>
      </c>
      <c r="AS95" s="750">
        <v>0</v>
      </c>
      <c r="AT95" s="750">
        <v>0</v>
      </c>
      <c r="AU95" s="750">
        <v>0</v>
      </c>
      <c r="AV95" s="750">
        <v>0</v>
      </c>
      <c r="AW95" s="750">
        <v>0</v>
      </c>
      <c r="AX95" s="750">
        <v>0</v>
      </c>
      <c r="AY95" s="770"/>
      <c r="AZ95" s="769" t="s">
        <v>1464</v>
      </c>
      <c r="BA95" s="769" t="s">
        <v>199</v>
      </c>
      <c r="BB95" s="750">
        <v>0</v>
      </c>
      <c r="BC95" s="750">
        <v>0</v>
      </c>
      <c r="BD95" s="750">
        <v>0</v>
      </c>
      <c r="BE95" s="750">
        <v>0</v>
      </c>
      <c r="BF95" s="750">
        <v>0</v>
      </c>
      <c r="BG95" s="750">
        <v>0</v>
      </c>
      <c r="BH95" s="750">
        <v>0</v>
      </c>
      <c r="BI95" s="750">
        <v>0</v>
      </c>
      <c r="BJ95" s="750">
        <v>0</v>
      </c>
      <c r="BK95" s="750">
        <v>0</v>
      </c>
      <c r="BL95" s="750">
        <v>0</v>
      </c>
      <c r="BM95" s="750">
        <v>0</v>
      </c>
    </row>
    <row r="96" ht="15" customHeight="1" spans="2:65">
      <c r="B96" s="801"/>
      <c r="C96" s="784"/>
      <c r="D96" s="784"/>
      <c r="E96" s="784" t="s">
        <v>1534</v>
      </c>
      <c r="F96" s="770"/>
      <c r="G96" s="769" t="s">
        <v>1464</v>
      </c>
      <c r="H96" s="769" t="s">
        <v>199</v>
      </c>
      <c r="I96" s="750">
        <v>0</v>
      </c>
      <c r="J96" s="750">
        <v>0</v>
      </c>
      <c r="K96" s="750">
        <v>0</v>
      </c>
      <c r="L96" s="750">
        <v>0</v>
      </c>
      <c r="M96" s="750">
        <v>0</v>
      </c>
      <c r="N96" s="750">
        <v>0</v>
      </c>
      <c r="O96" s="750">
        <v>0</v>
      </c>
      <c r="P96" s="750">
        <v>0</v>
      </c>
      <c r="Q96" s="750">
        <v>0</v>
      </c>
      <c r="R96" s="750">
        <v>0</v>
      </c>
      <c r="S96" s="750">
        <v>0</v>
      </c>
      <c r="T96" s="750">
        <v>0</v>
      </c>
      <c r="U96" s="770"/>
      <c r="V96" s="769" t="s">
        <v>1464</v>
      </c>
      <c r="W96" s="769" t="s">
        <v>199</v>
      </c>
      <c r="X96" s="750">
        <v>0</v>
      </c>
      <c r="Y96" s="750">
        <v>0</v>
      </c>
      <c r="Z96" s="750">
        <v>0</v>
      </c>
      <c r="AA96" s="750">
        <v>0</v>
      </c>
      <c r="AB96" s="750">
        <v>0</v>
      </c>
      <c r="AC96" s="750">
        <v>0</v>
      </c>
      <c r="AD96" s="750">
        <v>0</v>
      </c>
      <c r="AE96" s="750">
        <v>0</v>
      </c>
      <c r="AF96" s="750">
        <v>0</v>
      </c>
      <c r="AG96" s="750">
        <v>0</v>
      </c>
      <c r="AH96" s="750">
        <v>0</v>
      </c>
      <c r="AI96" s="750">
        <v>0</v>
      </c>
      <c r="AJ96" s="770"/>
      <c r="AK96" s="769" t="s">
        <v>1464</v>
      </c>
      <c r="AL96" s="769" t="s">
        <v>199</v>
      </c>
      <c r="AM96" s="750">
        <v>0</v>
      </c>
      <c r="AN96" s="750">
        <v>0</v>
      </c>
      <c r="AO96" s="750">
        <v>0</v>
      </c>
      <c r="AP96" s="750">
        <v>0</v>
      </c>
      <c r="AQ96" s="750">
        <v>0</v>
      </c>
      <c r="AR96" s="750">
        <v>0</v>
      </c>
      <c r="AS96" s="750">
        <v>0</v>
      </c>
      <c r="AT96" s="750">
        <v>0</v>
      </c>
      <c r="AU96" s="750">
        <v>0</v>
      </c>
      <c r="AV96" s="750">
        <v>0</v>
      </c>
      <c r="AW96" s="750">
        <v>0</v>
      </c>
      <c r="AX96" s="750">
        <v>0</v>
      </c>
      <c r="AY96" s="770"/>
      <c r="AZ96" s="769" t="s">
        <v>1464</v>
      </c>
      <c r="BA96" s="769" t="s">
        <v>199</v>
      </c>
      <c r="BB96" s="750">
        <v>0</v>
      </c>
      <c r="BC96" s="750">
        <v>0</v>
      </c>
      <c r="BD96" s="750">
        <v>0</v>
      </c>
      <c r="BE96" s="750">
        <v>0</v>
      </c>
      <c r="BF96" s="750">
        <v>0</v>
      </c>
      <c r="BG96" s="750">
        <v>0</v>
      </c>
      <c r="BH96" s="750">
        <v>0</v>
      </c>
      <c r="BI96" s="750">
        <v>0</v>
      </c>
      <c r="BJ96" s="750">
        <v>0</v>
      </c>
      <c r="BK96" s="750">
        <v>0</v>
      </c>
      <c r="BL96" s="750">
        <v>0</v>
      </c>
      <c r="BM96" s="750">
        <v>0</v>
      </c>
    </row>
    <row r="97" ht="15" customHeight="1" spans="2:65">
      <c r="B97" s="801"/>
      <c r="C97" s="784"/>
      <c r="D97" s="784"/>
      <c r="E97" s="784" t="s">
        <v>1534</v>
      </c>
      <c r="F97" s="770"/>
      <c r="G97" s="769" t="s">
        <v>1464</v>
      </c>
      <c r="H97" s="769" t="s">
        <v>199</v>
      </c>
      <c r="I97" s="750">
        <v>0</v>
      </c>
      <c r="J97" s="750">
        <v>0</v>
      </c>
      <c r="K97" s="750">
        <v>0</v>
      </c>
      <c r="L97" s="750">
        <v>0</v>
      </c>
      <c r="M97" s="750">
        <v>0</v>
      </c>
      <c r="N97" s="750">
        <v>0</v>
      </c>
      <c r="O97" s="750">
        <v>0</v>
      </c>
      <c r="P97" s="750">
        <v>0</v>
      </c>
      <c r="Q97" s="750">
        <v>0</v>
      </c>
      <c r="R97" s="750">
        <v>0</v>
      </c>
      <c r="S97" s="750">
        <v>0</v>
      </c>
      <c r="T97" s="750">
        <v>0</v>
      </c>
      <c r="U97" s="770"/>
      <c r="V97" s="769" t="s">
        <v>1464</v>
      </c>
      <c r="W97" s="769" t="s">
        <v>199</v>
      </c>
      <c r="X97" s="750">
        <v>0</v>
      </c>
      <c r="Y97" s="750">
        <v>0</v>
      </c>
      <c r="Z97" s="750">
        <v>0</v>
      </c>
      <c r="AA97" s="750">
        <v>0</v>
      </c>
      <c r="AB97" s="750">
        <v>0</v>
      </c>
      <c r="AC97" s="750">
        <v>0</v>
      </c>
      <c r="AD97" s="750">
        <v>0</v>
      </c>
      <c r="AE97" s="750">
        <v>0</v>
      </c>
      <c r="AF97" s="750">
        <v>0</v>
      </c>
      <c r="AG97" s="750">
        <v>0</v>
      </c>
      <c r="AH97" s="750">
        <v>0</v>
      </c>
      <c r="AI97" s="750">
        <v>0</v>
      </c>
      <c r="AJ97" s="770"/>
      <c r="AK97" s="769" t="s">
        <v>1464</v>
      </c>
      <c r="AL97" s="769" t="s">
        <v>199</v>
      </c>
      <c r="AM97" s="750">
        <v>0</v>
      </c>
      <c r="AN97" s="750">
        <v>0</v>
      </c>
      <c r="AO97" s="750">
        <v>0</v>
      </c>
      <c r="AP97" s="750">
        <v>0</v>
      </c>
      <c r="AQ97" s="750">
        <v>0</v>
      </c>
      <c r="AR97" s="750">
        <v>0</v>
      </c>
      <c r="AS97" s="750">
        <v>0</v>
      </c>
      <c r="AT97" s="750">
        <v>0</v>
      </c>
      <c r="AU97" s="750">
        <v>0</v>
      </c>
      <c r="AV97" s="750">
        <v>0</v>
      </c>
      <c r="AW97" s="750">
        <v>0</v>
      </c>
      <c r="AX97" s="750">
        <v>0</v>
      </c>
      <c r="AY97" s="770"/>
      <c r="AZ97" s="769" t="s">
        <v>1464</v>
      </c>
      <c r="BA97" s="769" t="s">
        <v>199</v>
      </c>
      <c r="BB97" s="750">
        <v>0</v>
      </c>
      <c r="BC97" s="750">
        <v>0</v>
      </c>
      <c r="BD97" s="750">
        <v>0</v>
      </c>
      <c r="BE97" s="750">
        <v>0</v>
      </c>
      <c r="BF97" s="750">
        <v>0</v>
      </c>
      <c r="BG97" s="750">
        <v>0</v>
      </c>
      <c r="BH97" s="750">
        <v>0</v>
      </c>
      <c r="BI97" s="750">
        <v>0</v>
      </c>
      <c r="BJ97" s="750">
        <v>0</v>
      </c>
      <c r="BK97" s="750">
        <v>0</v>
      </c>
      <c r="BL97" s="750">
        <v>0</v>
      </c>
      <c r="BM97" s="750">
        <v>0</v>
      </c>
    </row>
    <row r="98" ht="15" customHeight="1" spans="2:65">
      <c r="B98" s="801"/>
      <c r="C98" s="784"/>
      <c r="D98" s="784"/>
      <c r="E98" s="784" t="s">
        <v>1534</v>
      </c>
      <c r="F98" s="770"/>
      <c r="G98" s="769" t="s">
        <v>1464</v>
      </c>
      <c r="H98" s="769" t="s">
        <v>199</v>
      </c>
      <c r="I98" s="750">
        <v>0</v>
      </c>
      <c r="J98" s="750">
        <v>0</v>
      </c>
      <c r="K98" s="750">
        <v>0</v>
      </c>
      <c r="L98" s="750">
        <v>0</v>
      </c>
      <c r="M98" s="750">
        <v>0</v>
      </c>
      <c r="N98" s="750">
        <v>0</v>
      </c>
      <c r="O98" s="750">
        <v>0</v>
      </c>
      <c r="P98" s="750">
        <v>0</v>
      </c>
      <c r="Q98" s="750">
        <v>0</v>
      </c>
      <c r="R98" s="750">
        <v>0</v>
      </c>
      <c r="S98" s="750">
        <v>0</v>
      </c>
      <c r="T98" s="750">
        <v>0</v>
      </c>
      <c r="U98" s="770"/>
      <c r="V98" s="769" t="s">
        <v>1464</v>
      </c>
      <c r="W98" s="769" t="s">
        <v>199</v>
      </c>
      <c r="X98" s="750">
        <v>0</v>
      </c>
      <c r="Y98" s="750">
        <v>0</v>
      </c>
      <c r="Z98" s="750">
        <v>0</v>
      </c>
      <c r="AA98" s="750">
        <v>0</v>
      </c>
      <c r="AB98" s="750">
        <v>0</v>
      </c>
      <c r="AC98" s="750">
        <v>0</v>
      </c>
      <c r="AD98" s="750">
        <v>0</v>
      </c>
      <c r="AE98" s="750">
        <v>0</v>
      </c>
      <c r="AF98" s="750">
        <v>0</v>
      </c>
      <c r="AG98" s="750">
        <v>0</v>
      </c>
      <c r="AH98" s="750">
        <v>0</v>
      </c>
      <c r="AI98" s="750">
        <v>0</v>
      </c>
      <c r="AJ98" s="770"/>
      <c r="AK98" s="769" t="s">
        <v>1464</v>
      </c>
      <c r="AL98" s="769" t="s">
        <v>199</v>
      </c>
      <c r="AM98" s="750">
        <v>0</v>
      </c>
      <c r="AN98" s="750">
        <v>0</v>
      </c>
      <c r="AO98" s="750">
        <v>0</v>
      </c>
      <c r="AP98" s="750">
        <v>0</v>
      </c>
      <c r="AQ98" s="750">
        <v>0</v>
      </c>
      <c r="AR98" s="750">
        <v>0</v>
      </c>
      <c r="AS98" s="750">
        <v>0</v>
      </c>
      <c r="AT98" s="750">
        <v>0</v>
      </c>
      <c r="AU98" s="750">
        <v>0</v>
      </c>
      <c r="AV98" s="750">
        <v>0</v>
      </c>
      <c r="AW98" s="750">
        <v>0</v>
      </c>
      <c r="AX98" s="750">
        <v>0</v>
      </c>
      <c r="AY98" s="770"/>
      <c r="AZ98" s="769" t="s">
        <v>1464</v>
      </c>
      <c r="BA98" s="769" t="s">
        <v>199</v>
      </c>
      <c r="BB98" s="750">
        <v>0</v>
      </c>
      <c r="BC98" s="750">
        <v>0</v>
      </c>
      <c r="BD98" s="750">
        <v>0</v>
      </c>
      <c r="BE98" s="750">
        <v>0</v>
      </c>
      <c r="BF98" s="750">
        <v>0</v>
      </c>
      <c r="BG98" s="750">
        <v>0</v>
      </c>
      <c r="BH98" s="750">
        <v>0</v>
      </c>
      <c r="BI98" s="750">
        <v>0</v>
      </c>
      <c r="BJ98" s="750">
        <v>0</v>
      </c>
      <c r="BK98" s="750">
        <v>0</v>
      </c>
      <c r="BL98" s="750">
        <v>0</v>
      </c>
      <c r="BM98" s="750">
        <v>0</v>
      </c>
    </row>
    <row r="99" ht="15" customHeight="1" spans="2:65">
      <c r="B99" s="801"/>
      <c r="C99" s="784"/>
      <c r="D99" s="784"/>
      <c r="E99" s="784" t="s">
        <v>1534</v>
      </c>
      <c r="F99" s="770"/>
      <c r="G99" s="769" t="s">
        <v>1464</v>
      </c>
      <c r="H99" s="769" t="s">
        <v>199</v>
      </c>
      <c r="I99" s="750">
        <v>0</v>
      </c>
      <c r="J99" s="750">
        <v>0</v>
      </c>
      <c r="K99" s="750">
        <v>0</v>
      </c>
      <c r="L99" s="750">
        <v>0</v>
      </c>
      <c r="M99" s="750">
        <v>0</v>
      </c>
      <c r="N99" s="750">
        <v>0</v>
      </c>
      <c r="O99" s="750">
        <v>0</v>
      </c>
      <c r="P99" s="750">
        <v>0</v>
      </c>
      <c r="Q99" s="750">
        <v>0</v>
      </c>
      <c r="R99" s="750">
        <v>0</v>
      </c>
      <c r="S99" s="750">
        <v>0</v>
      </c>
      <c r="T99" s="750">
        <v>0</v>
      </c>
      <c r="U99" s="770"/>
      <c r="V99" s="769" t="s">
        <v>1464</v>
      </c>
      <c r="W99" s="769" t="s">
        <v>199</v>
      </c>
      <c r="X99" s="750">
        <v>0</v>
      </c>
      <c r="Y99" s="750">
        <v>0</v>
      </c>
      <c r="Z99" s="750">
        <v>0</v>
      </c>
      <c r="AA99" s="750">
        <v>0</v>
      </c>
      <c r="AB99" s="750">
        <v>0</v>
      </c>
      <c r="AC99" s="750">
        <v>0</v>
      </c>
      <c r="AD99" s="750">
        <v>0</v>
      </c>
      <c r="AE99" s="750">
        <v>0</v>
      </c>
      <c r="AF99" s="750">
        <v>0</v>
      </c>
      <c r="AG99" s="750">
        <v>0</v>
      </c>
      <c r="AH99" s="750">
        <v>0</v>
      </c>
      <c r="AI99" s="750">
        <v>0</v>
      </c>
      <c r="AJ99" s="770"/>
      <c r="AK99" s="769" t="s">
        <v>1464</v>
      </c>
      <c r="AL99" s="769" t="s">
        <v>199</v>
      </c>
      <c r="AM99" s="750">
        <v>0</v>
      </c>
      <c r="AN99" s="750">
        <v>0</v>
      </c>
      <c r="AO99" s="750">
        <v>0</v>
      </c>
      <c r="AP99" s="750">
        <v>0</v>
      </c>
      <c r="AQ99" s="750">
        <v>0</v>
      </c>
      <c r="AR99" s="750">
        <v>0</v>
      </c>
      <c r="AS99" s="750">
        <v>0</v>
      </c>
      <c r="AT99" s="750">
        <v>0</v>
      </c>
      <c r="AU99" s="750">
        <v>0</v>
      </c>
      <c r="AV99" s="750">
        <v>0</v>
      </c>
      <c r="AW99" s="750">
        <v>0</v>
      </c>
      <c r="AX99" s="750">
        <v>0</v>
      </c>
      <c r="AY99" s="770"/>
      <c r="AZ99" s="769" t="s">
        <v>1464</v>
      </c>
      <c r="BA99" s="769" t="s">
        <v>199</v>
      </c>
      <c r="BB99" s="750">
        <v>0</v>
      </c>
      <c r="BC99" s="750">
        <v>0</v>
      </c>
      <c r="BD99" s="750">
        <v>0</v>
      </c>
      <c r="BE99" s="750">
        <v>0</v>
      </c>
      <c r="BF99" s="750">
        <v>0</v>
      </c>
      <c r="BG99" s="750">
        <v>0</v>
      </c>
      <c r="BH99" s="750">
        <v>0</v>
      </c>
      <c r="BI99" s="750">
        <v>0</v>
      </c>
      <c r="BJ99" s="750">
        <v>0</v>
      </c>
      <c r="BK99" s="750">
        <v>0</v>
      </c>
      <c r="BL99" s="750">
        <v>0</v>
      </c>
      <c r="BM99" s="750">
        <v>0</v>
      </c>
    </row>
    <row r="100" ht="15" customHeight="1" spans="2:65">
      <c r="B100" s="801"/>
      <c r="C100" s="784"/>
      <c r="D100" s="784"/>
      <c r="E100" s="784" t="s">
        <v>1534</v>
      </c>
      <c r="F100" s="770"/>
      <c r="G100" s="769" t="s">
        <v>1464</v>
      </c>
      <c r="H100" s="769" t="s">
        <v>199</v>
      </c>
      <c r="I100" s="750">
        <v>0</v>
      </c>
      <c r="J100" s="750">
        <v>0</v>
      </c>
      <c r="K100" s="750">
        <v>0</v>
      </c>
      <c r="L100" s="750">
        <v>0</v>
      </c>
      <c r="M100" s="750">
        <v>0</v>
      </c>
      <c r="N100" s="750">
        <v>0</v>
      </c>
      <c r="O100" s="750">
        <v>0</v>
      </c>
      <c r="P100" s="750">
        <v>0</v>
      </c>
      <c r="Q100" s="750">
        <v>0</v>
      </c>
      <c r="R100" s="750">
        <v>0</v>
      </c>
      <c r="S100" s="750">
        <v>0</v>
      </c>
      <c r="T100" s="750">
        <v>0</v>
      </c>
      <c r="U100" s="770"/>
      <c r="V100" s="769" t="s">
        <v>1464</v>
      </c>
      <c r="W100" s="769" t="s">
        <v>199</v>
      </c>
      <c r="X100" s="750">
        <v>0</v>
      </c>
      <c r="Y100" s="750">
        <v>0</v>
      </c>
      <c r="Z100" s="750">
        <v>0</v>
      </c>
      <c r="AA100" s="750">
        <v>0</v>
      </c>
      <c r="AB100" s="750">
        <v>0</v>
      </c>
      <c r="AC100" s="750">
        <v>0</v>
      </c>
      <c r="AD100" s="750">
        <v>0</v>
      </c>
      <c r="AE100" s="750">
        <v>0</v>
      </c>
      <c r="AF100" s="750">
        <v>0</v>
      </c>
      <c r="AG100" s="750">
        <v>0</v>
      </c>
      <c r="AH100" s="750">
        <v>0</v>
      </c>
      <c r="AI100" s="750">
        <v>0</v>
      </c>
      <c r="AJ100" s="770"/>
      <c r="AK100" s="769" t="s">
        <v>1464</v>
      </c>
      <c r="AL100" s="769" t="s">
        <v>199</v>
      </c>
      <c r="AM100" s="750">
        <v>0</v>
      </c>
      <c r="AN100" s="750">
        <v>0</v>
      </c>
      <c r="AO100" s="750">
        <v>0</v>
      </c>
      <c r="AP100" s="750">
        <v>0</v>
      </c>
      <c r="AQ100" s="750">
        <v>0</v>
      </c>
      <c r="AR100" s="750">
        <v>0</v>
      </c>
      <c r="AS100" s="750">
        <v>0</v>
      </c>
      <c r="AT100" s="750">
        <v>0</v>
      </c>
      <c r="AU100" s="750">
        <v>0</v>
      </c>
      <c r="AV100" s="750">
        <v>0</v>
      </c>
      <c r="AW100" s="750">
        <v>0</v>
      </c>
      <c r="AX100" s="750">
        <v>0</v>
      </c>
      <c r="AY100" s="770"/>
      <c r="AZ100" s="769" t="s">
        <v>1464</v>
      </c>
      <c r="BA100" s="769" t="s">
        <v>199</v>
      </c>
      <c r="BB100" s="750">
        <v>0</v>
      </c>
      <c r="BC100" s="750">
        <v>0</v>
      </c>
      <c r="BD100" s="750">
        <v>0</v>
      </c>
      <c r="BE100" s="750">
        <v>0</v>
      </c>
      <c r="BF100" s="750">
        <v>0</v>
      </c>
      <c r="BG100" s="750">
        <v>0</v>
      </c>
      <c r="BH100" s="750">
        <v>0</v>
      </c>
      <c r="BI100" s="750">
        <v>0</v>
      </c>
      <c r="BJ100" s="750">
        <v>0</v>
      </c>
      <c r="BK100" s="750">
        <v>0</v>
      </c>
      <c r="BL100" s="750">
        <v>0</v>
      </c>
      <c r="BM100" s="750">
        <v>0</v>
      </c>
    </row>
    <row r="101" ht="15" customHeight="1" spans="2:65">
      <c r="B101" s="801"/>
      <c r="C101" s="784"/>
      <c r="D101" s="784"/>
      <c r="E101" s="784" t="s">
        <v>1534</v>
      </c>
      <c r="F101" s="770"/>
      <c r="G101" s="769" t="s">
        <v>1464</v>
      </c>
      <c r="H101" s="769" t="s">
        <v>199</v>
      </c>
      <c r="I101" s="750">
        <v>0</v>
      </c>
      <c r="J101" s="750">
        <v>0</v>
      </c>
      <c r="K101" s="750">
        <v>0</v>
      </c>
      <c r="L101" s="750">
        <v>0</v>
      </c>
      <c r="M101" s="750">
        <v>0</v>
      </c>
      <c r="N101" s="750">
        <v>0</v>
      </c>
      <c r="O101" s="750">
        <v>0</v>
      </c>
      <c r="P101" s="750">
        <v>0</v>
      </c>
      <c r="Q101" s="750">
        <v>0</v>
      </c>
      <c r="R101" s="750">
        <v>0</v>
      </c>
      <c r="S101" s="750">
        <v>0</v>
      </c>
      <c r="T101" s="750">
        <v>0</v>
      </c>
      <c r="U101" s="770"/>
      <c r="V101" s="769" t="s">
        <v>1464</v>
      </c>
      <c r="W101" s="769" t="s">
        <v>199</v>
      </c>
      <c r="X101" s="750">
        <v>0</v>
      </c>
      <c r="Y101" s="750">
        <v>0</v>
      </c>
      <c r="Z101" s="750">
        <v>0</v>
      </c>
      <c r="AA101" s="750">
        <v>0</v>
      </c>
      <c r="AB101" s="750">
        <v>0</v>
      </c>
      <c r="AC101" s="750">
        <v>0</v>
      </c>
      <c r="AD101" s="750">
        <v>0</v>
      </c>
      <c r="AE101" s="750">
        <v>0</v>
      </c>
      <c r="AF101" s="750">
        <v>0</v>
      </c>
      <c r="AG101" s="750">
        <v>0</v>
      </c>
      <c r="AH101" s="750">
        <v>0</v>
      </c>
      <c r="AI101" s="750">
        <v>0</v>
      </c>
      <c r="AJ101" s="770"/>
      <c r="AK101" s="769" t="s">
        <v>1464</v>
      </c>
      <c r="AL101" s="769" t="s">
        <v>199</v>
      </c>
      <c r="AM101" s="750">
        <v>0</v>
      </c>
      <c r="AN101" s="750">
        <v>0</v>
      </c>
      <c r="AO101" s="750">
        <v>0</v>
      </c>
      <c r="AP101" s="750">
        <v>0</v>
      </c>
      <c r="AQ101" s="750">
        <v>0</v>
      </c>
      <c r="AR101" s="750">
        <v>0</v>
      </c>
      <c r="AS101" s="750">
        <v>0</v>
      </c>
      <c r="AT101" s="750">
        <v>0</v>
      </c>
      <c r="AU101" s="750">
        <v>0</v>
      </c>
      <c r="AV101" s="750">
        <v>0</v>
      </c>
      <c r="AW101" s="750">
        <v>0</v>
      </c>
      <c r="AX101" s="750">
        <v>0</v>
      </c>
      <c r="AY101" s="770"/>
      <c r="AZ101" s="769" t="s">
        <v>1464</v>
      </c>
      <c r="BA101" s="769" t="s">
        <v>199</v>
      </c>
      <c r="BB101" s="750">
        <v>0</v>
      </c>
      <c r="BC101" s="750">
        <v>0</v>
      </c>
      <c r="BD101" s="750">
        <v>0</v>
      </c>
      <c r="BE101" s="750">
        <v>0</v>
      </c>
      <c r="BF101" s="750">
        <v>0</v>
      </c>
      <c r="BG101" s="750">
        <v>0</v>
      </c>
      <c r="BH101" s="750">
        <v>0</v>
      </c>
      <c r="BI101" s="750">
        <v>0</v>
      </c>
      <c r="BJ101" s="750">
        <v>0</v>
      </c>
      <c r="BK101" s="750">
        <v>0</v>
      </c>
      <c r="BL101" s="750">
        <v>0</v>
      </c>
      <c r="BM101" s="750">
        <v>0</v>
      </c>
    </row>
    <row r="102" ht="15" customHeight="1" spans="2:65">
      <c r="B102" s="801"/>
      <c r="C102" s="784"/>
      <c r="D102" s="784"/>
      <c r="E102" s="784" t="s">
        <v>1534</v>
      </c>
      <c r="F102" s="770"/>
      <c r="G102" s="769" t="s">
        <v>1464</v>
      </c>
      <c r="H102" s="769" t="s">
        <v>199</v>
      </c>
      <c r="I102" s="750">
        <v>0</v>
      </c>
      <c r="J102" s="750">
        <v>0</v>
      </c>
      <c r="K102" s="750">
        <v>0</v>
      </c>
      <c r="L102" s="750">
        <v>0</v>
      </c>
      <c r="M102" s="750">
        <v>0</v>
      </c>
      <c r="N102" s="750">
        <v>0</v>
      </c>
      <c r="O102" s="750">
        <v>0</v>
      </c>
      <c r="P102" s="750">
        <v>0</v>
      </c>
      <c r="Q102" s="750">
        <v>0</v>
      </c>
      <c r="R102" s="750">
        <v>0</v>
      </c>
      <c r="S102" s="750">
        <v>0</v>
      </c>
      <c r="T102" s="750">
        <v>0</v>
      </c>
      <c r="U102" s="770"/>
      <c r="V102" s="769" t="s">
        <v>1464</v>
      </c>
      <c r="W102" s="769" t="s">
        <v>199</v>
      </c>
      <c r="X102" s="750">
        <v>0</v>
      </c>
      <c r="Y102" s="750">
        <v>0</v>
      </c>
      <c r="Z102" s="750">
        <v>0</v>
      </c>
      <c r="AA102" s="750">
        <v>0</v>
      </c>
      <c r="AB102" s="750">
        <v>0</v>
      </c>
      <c r="AC102" s="750">
        <v>0</v>
      </c>
      <c r="AD102" s="750">
        <v>0</v>
      </c>
      <c r="AE102" s="750">
        <v>0</v>
      </c>
      <c r="AF102" s="750">
        <v>0</v>
      </c>
      <c r="AG102" s="750">
        <v>0</v>
      </c>
      <c r="AH102" s="750">
        <v>0</v>
      </c>
      <c r="AI102" s="750">
        <v>0</v>
      </c>
      <c r="AJ102" s="770"/>
      <c r="AK102" s="769" t="s">
        <v>1464</v>
      </c>
      <c r="AL102" s="769" t="s">
        <v>199</v>
      </c>
      <c r="AM102" s="750">
        <v>0</v>
      </c>
      <c r="AN102" s="750">
        <v>0</v>
      </c>
      <c r="AO102" s="750">
        <v>0</v>
      </c>
      <c r="AP102" s="750">
        <v>0</v>
      </c>
      <c r="AQ102" s="750">
        <v>0</v>
      </c>
      <c r="AR102" s="750">
        <v>0</v>
      </c>
      <c r="AS102" s="750">
        <v>0</v>
      </c>
      <c r="AT102" s="750">
        <v>0</v>
      </c>
      <c r="AU102" s="750">
        <v>0</v>
      </c>
      <c r="AV102" s="750">
        <v>0</v>
      </c>
      <c r="AW102" s="750">
        <v>0</v>
      </c>
      <c r="AX102" s="750">
        <v>0</v>
      </c>
      <c r="AY102" s="770"/>
      <c r="AZ102" s="769" t="s">
        <v>1464</v>
      </c>
      <c r="BA102" s="769" t="s">
        <v>199</v>
      </c>
      <c r="BB102" s="750">
        <v>0</v>
      </c>
      <c r="BC102" s="750">
        <v>0</v>
      </c>
      <c r="BD102" s="750">
        <v>0</v>
      </c>
      <c r="BE102" s="750">
        <v>0</v>
      </c>
      <c r="BF102" s="750">
        <v>0</v>
      </c>
      <c r="BG102" s="750">
        <v>0</v>
      </c>
      <c r="BH102" s="750">
        <v>0</v>
      </c>
      <c r="BI102" s="750">
        <v>0</v>
      </c>
      <c r="BJ102" s="750">
        <v>0</v>
      </c>
      <c r="BK102" s="750">
        <v>0</v>
      </c>
      <c r="BL102" s="750">
        <v>0</v>
      </c>
      <c r="BM102" s="750">
        <v>0</v>
      </c>
    </row>
    <row r="103" ht="15" customHeight="1" spans="2:65">
      <c r="B103" s="801"/>
      <c r="C103" s="784"/>
      <c r="D103" s="784"/>
      <c r="E103" s="784" t="s">
        <v>1534</v>
      </c>
      <c r="F103" s="770"/>
      <c r="G103" s="769" t="s">
        <v>1464</v>
      </c>
      <c r="H103" s="769" t="s">
        <v>199</v>
      </c>
      <c r="I103" s="750">
        <v>0</v>
      </c>
      <c r="J103" s="750">
        <v>0</v>
      </c>
      <c r="K103" s="750">
        <v>0</v>
      </c>
      <c r="L103" s="750">
        <v>0</v>
      </c>
      <c r="M103" s="750">
        <v>0</v>
      </c>
      <c r="N103" s="750">
        <v>0</v>
      </c>
      <c r="O103" s="750">
        <v>0</v>
      </c>
      <c r="P103" s="750">
        <v>0</v>
      </c>
      <c r="Q103" s="750">
        <v>0</v>
      </c>
      <c r="R103" s="750">
        <v>0</v>
      </c>
      <c r="S103" s="750">
        <v>0</v>
      </c>
      <c r="T103" s="750">
        <v>0</v>
      </c>
      <c r="U103" s="770"/>
      <c r="V103" s="769" t="s">
        <v>1464</v>
      </c>
      <c r="W103" s="769" t="s">
        <v>199</v>
      </c>
      <c r="X103" s="750">
        <v>0</v>
      </c>
      <c r="Y103" s="750">
        <v>0</v>
      </c>
      <c r="Z103" s="750">
        <v>0</v>
      </c>
      <c r="AA103" s="750">
        <v>0</v>
      </c>
      <c r="AB103" s="750">
        <v>0</v>
      </c>
      <c r="AC103" s="750">
        <v>0</v>
      </c>
      <c r="AD103" s="750">
        <v>0</v>
      </c>
      <c r="AE103" s="750">
        <v>0</v>
      </c>
      <c r="AF103" s="750">
        <v>0</v>
      </c>
      <c r="AG103" s="750">
        <v>0</v>
      </c>
      <c r="AH103" s="750">
        <v>0</v>
      </c>
      <c r="AI103" s="750">
        <v>0</v>
      </c>
      <c r="AJ103" s="770"/>
      <c r="AK103" s="769" t="s">
        <v>1464</v>
      </c>
      <c r="AL103" s="769" t="s">
        <v>199</v>
      </c>
      <c r="AM103" s="750">
        <v>0</v>
      </c>
      <c r="AN103" s="750">
        <v>0</v>
      </c>
      <c r="AO103" s="750">
        <v>0</v>
      </c>
      <c r="AP103" s="750">
        <v>0</v>
      </c>
      <c r="AQ103" s="750">
        <v>0</v>
      </c>
      <c r="AR103" s="750">
        <v>0</v>
      </c>
      <c r="AS103" s="750">
        <v>0</v>
      </c>
      <c r="AT103" s="750">
        <v>0</v>
      </c>
      <c r="AU103" s="750">
        <v>0</v>
      </c>
      <c r="AV103" s="750">
        <v>0</v>
      </c>
      <c r="AW103" s="750">
        <v>0</v>
      </c>
      <c r="AX103" s="750">
        <v>0</v>
      </c>
      <c r="AY103" s="770"/>
      <c r="AZ103" s="769" t="s">
        <v>1464</v>
      </c>
      <c r="BA103" s="769" t="s">
        <v>199</v>
      </c>
      <c r="BB103" s="750">
        <v>0</v>
      </c>
      <c r="BC103" s="750">
        <v>0</v>
      </c>
      <c r="BD103" s="750">
        <v>0</v>
      </c>
      <c r="BE103" s="750">
        <v>0</v>
      </c>
      <c r="BF103" s="750">
        <v>0</v>
      </c>
      <c r="BG103" s="750">
        <v>0</v>
      </c>
      <c r="BH103" s="750">
        <v>0</v>
      </c>
      <c r="BI103" s="750">
        <v>0</v>
      </c>
      <c r="BJ103" s="750">
        <v>0</v>
      </c>
      <c r="BK103" s="750">
        <v>0</v>
      </c>
      <c r="BL103" s="750">
        <v>0</v>
      </c>
      <c r="BM103" s="750">
        <v>0</v>
      </c>
    </row>
    <row r="104" ht="15" customHeight="1" spans="2:65">
      <c r="B104" s="801"/>
      <c r="C104" s="784"/>
      <c r="D104" s="784"/>
      <c r="E104" s="784" t="s">
        <v>1534</v>
      </c>
      <c r="F104" s="770"/>
      <c r="G104" s="769" t="s">
        <v>1464</v>
      </c>
      <c r="H104" s="769" t="s">
        <v>199</v>
      </c>
      <c r="I104" s="750">
        <v>0</v>
      </c>
      <c r="J104" s="750">
        <v>0</v>
      </c>
      <c r="K104" s="750">
        <v>0</v>
      </c>
      <c r="L104" s="750">
        <v>0</v>
      </c>
      <c r="M104" s="750">
        <v>0</v>
      </c>
      <c r="N104" s="750">
        <v>0</v>
      </c>
      <c r="O104" s="750">
        <v>0</v>
      </c>
      <c r="P104" s="750">
        <v>0</v>
      </c>
      <c r="Q104" s="750">
        <v>0</v>
      </c>
      <c r="R104" s="750">
        <v>0</v>
      </c>
      <c r="S104" s="750">
        <v>0</v>
      </c>
      <c r="T104" s="750">
        <v>0</v>
      </c>
      <c r="U104" s="770"/>
      <c r="V104" s="769" t="s">
        <v>1464</v>
      </c>
      <c r="W104" s="769" t="s">
        <v>199</v>
      </c>
      <c r="X104" s="750">
        <v>0</v>
      </c>
      <c r="Y104" s="750">
        <v>0</v>
      </c>
      <c r="Z104" s="750">
        <v>0</v>
      </c>
      <c r="AA104" s="750">
        <v>0</v>
      </c>
      <c r="AB104" s="750">
        <v>0</v>
      </c>
      <c r="AC104" s="750">
        <v>0</v>
      </c>
      <c r="AD104" s="750">
        <v>0</v>
      </c>
      <c r="AE104" s="750">
        <v>0</v>
      </c>
      <c r="AF104" s="750">
        <v>0</v>
      </c>
      <c r="AG104" s="750">
        <v>0</v>
      </c>
      <c r="AH104" s="750">
        <v>0</v>
      </c>
      <c r="AI104" s="750">
        <v>0</v>
      </c>
      <c r="AJ104" s="770"/>
      <c r="AK104" s="769" t="s">
        <v>1464</v>
      </c>
      <c r="AL104" s="769" t="s">
        <v>199</v>
      </c>
      <c r="AM104" s="750">
        <v>0</v>
      </c>
      <c r="AN104" s="750">
        <v>0</v>
      </c>
      <c r="AO104" s="750">
        <v>0</v>
      </c>
      <c r="AP104" s="750">
        <v>0</v>
      </c>
      <c r="AQ104" s="750">
        <v>0</v>
      </c>
      <c r="AR104" s="750">
        <v>0</v>
      </c>
      <c r="AS104" s="750">
        <v>0</v>
      </c>
      <c r="AT104" s="750">
        <v>0</v>
      </c>
      <c r="AU104" s="750">
        <v>0</v>
      </c>
      <c r="AV104" s="750">
        <v>0</v>
      </c>
      <c r="AW104" s="750">
        <v>0</v>
      </c>
      <c r="AX104" s="750">
        <v>0</v>
      </c>
      <c r="AY104" s="770"/>
      <c r="AZ104" s="769" t="s">
        <v>1464</v>
      </c>
      <c r="BA104" s="769" t="s">
        <v>199</v>
      </c>
      <c r="BB104" s="750">
        <v>0</v>
      </c>
      <c r="BC104" s="750">
        <v>0</v>
      </c>
      <c r="BD104" s="750">
        <v>0</v>
      </c>
      <c r="BE104" s="750">
        <v>0</v>
      </c>
      <c r="BF104" s="750">
        <v>0</v>
      </c>
      <c r="BG104" s="750">
        <v>0</v>
      </c>
      <c r="BH104" s="750">
        <v>0</v>
      </c>
      <c r="BI104" s="750">
        <v>0</v>
      </c>
      <c r="BJ104" s="750">
        <v>0</v>
      </c>
      <c r="BK104" s="750">
        <v>0</v>
      </c>
      <c r="BL104" s="750">
        <v>0</v>
      </c>
      <c r="BM104" s="750">
        <v>0</v>
      </c>
    </row>
    <row r="105" ht="15" customHeight="1" spans="2:65">
      <c r="B105" s="801"/>
      <c r="C105" s="784"/>
      <c r="D105" s="784"/>
      <c r="E105" s="784" t="s">
        <v>1534</v>
      </c>
      <c r="F105" s="770"/>
      <c r="G105" s="769" t="s">
        <v>1464</v>
      </c>
      <c r="H105" s="769" t="s">
        <v>199</v>
      </c>
      <c r="I105" s="750">
        <v>0</v>
      </c>
      <c r="J105" s="750">
        <v>0</v>
      </c>
      <c r="K105" s="750">
        <v>0</v>
      </c>
      <c r="L105" s="750">
        <v>0</v>
      </c>
      <c r="M105" s="750">
        <v>0</v>
      </c>
      <c r="N105" s="750">
        <v>0</v>
      </c>
      <c r="O105" s="750">
        <v>0</v>
      </c>
      <c r="P105" s="750">
        <v>0</v>
      </c>
      <c r="Q105" s="750">
        <v>0</v>
      </c>
      <c r="R105" s="750">
        <v>0</v>
      </c>
      <c r="S105" s="750">
        <v>0</v>
      </c>
      <c r="T105" s="750">
        <v>0</v>
      </c>
      <c r="U105" s="770"/>
      <c r="V105" s="769" t="s">
        <v>1464</v>
      </c>
      <c r="W105" s="769" t="s">
        <v>199</v>
      </c>
      <c r="X105" s="750">
        <v>0</v>
      </c>
      <c r="Y105" s="750">
        <v>0</v>
      </c>
      <c r="Z105" s="750">
        <v>0</v>
      </c>
      <c r="AA105" s="750">
        <v>0</v>
      </c>
      <c r="AB105" s="750">
        <v>0</v>
      </c>
      <c r="AC105" s="750">
        <v>0</v>
      </c>
      <c r="AD105" s="750">
        <v>0</v>
      </c>
      <c r="AE105" s="750">
        <v>0</v>
      </c>
      <c r="AF105" s="750">
        <v>0</v>
      </c>
      <c r="AG105" s="750">
        <v>0</v>
      </c>
      <c r="AH105" s="750">
        <v>0</v>
      </c>
      <c r="AI105" s="750">
        <v>0</v>
      </c>
      <c r="AJ105" s="770"/>
      <c r="AK105" s="769" t="s">
        <v>1464</v>
      </c>
      <c r="AL105" s="769" t="s">
        <v>199</v>
      </c>
      <c r="AM105" s="750">
        <v>0</v>
      </c>
      <c r="AN105" s="750">
        <v>0</v>
      </c>
      <c r="AO105" s="750">
        <v>0</v>
      </c>
      <c r="AP105" s="750">
        <v>0</v>
      </c>
      <c r="AQ105" s="750">
        <v>0</v>
      </c>
      <c r="AR105" s="750">
        <v>0</v>
      </c>
      <c r="AS105" s="750">
        <v>0</v>
      </c>
      <c r="AT105" s="750">
        <v>0</v>
      </c>
      <c r="AU105" s="750">
        <v>0</v>
      </c>
      <c r="AV105" s="750">
        <v>0</v>
      </c>
      <c r="AW105" s="750">
        <v>0</v>
      </c>
      <c r="AX105" s="750">
        <v>0</v>
      </c>
      <c r="AY105" s="770"/>
      <c r="AZ105" s="769" t="s">
        <v>1464</v>
      </c>
      <c r="BA105" s="769" t="s">
        <v>199</v>
      </c>
      <c r="BB105" s="750">
        <v>0</v>
      </c>
      <c r="BC105" s="750">
        <v>0</v>
      </c>
      <c r="BD105" s="750">
        <v>0</v>
      </c>
      <c r="BE105" s="750">
        <v>0</v>
      </c>
      <c r="BF105" s="750">
        <v>0</v>
      </c>
      <c r="BG105" s="750">
        <v>0</v>
      </c>
      <c r="BH105" s="750">
        <v>0</v>
      </c>
      <c r="BI105" s="750">
        <v>0</v>
      </c>
      <c r="BJ105" s="750">
        <v>0</v>
      </c>
      <c r="BK105" s="750">
        <v>0</v>
      </c>
      <c r="BL105" s="750">
        <v>0</v>
      </c>
      <c r="BM105" s="750">
        <v>0</v>
      </c>
    </row>
    <row r="106" ht="15" customHeight="1" spans="2:65">
      <c r="B106" s="801"/>
      <c r="C106" s="784"/>
      <c r="D106" s="784"/>
      <c r="E106" s="784" t="s">
        <v>1534</v>
      </c>
      <c r="F106" s="770"/>
      <c r="G106" s="769" t="s">
        <v>1464</v>
      </c>
      <c r="H106" s="769" t="s">
        <v>199</v>
      </c>
      <c r="I106" s="750">
        <v>0</v>
      </c>
      <c r="J106" s="750">
        <v>0</v>
      </c>
      <c r="K106" s="750">
        <v>0</v>
      </c>
      <c r="L106" s="750">
        <v>0</v>
      </c>
      <c r="M106" s="750">
        <v>0</v>
      </c>
      <c r="N106" s="750">
        <v>0</v>
      </c>
      <c r="O106" s="750">
        <v>0</v>
      </c>
      <c r="P106" s="750">
        <v>0</v>
      </c>
      <c r="Q106" s="750">
        <v>0</v>
      </c>
      <c r="R106" s="750">
        <v>0</v>
      </c>
      <c r="S106" s="750">
        <v>0</v>
      </c>
      <c r="T106" s="750">
        <v>0</v>
      </c>
      <c r="U106" s="770"/>
      <c r="V106" s="769" t="s">
        <v>1464</v>
      </c>
      <c r="W106" s="769" t="s">
        <v>199</v>
      </c>
      <c r="X106" s="750">
        <v>0</v>
      </c>
      <c r="Y106" s="750">
        <v>0</v>
      </c>
      <c r="Z106" s="750">
        <v>0</v>
      </c>
      <c r="AA106" s="750">
        <v>0</v>
      </c>
      <c r="AB106" s="750">
        <v>0</v>
      </c>
      <c r="AC106" s="750">
        <v>0</v>
      </c>
      <c r="AD106" s="750">
        <v>0</v>
      </c>
      <c r="AE106" s="750">
        <v>0</v>
      </c>
      <c r="AF106" s="750">
        <v>0</v>
      </c>
      <c r="AG106" s="750">
        <v>0</v>
      </c>
      <c r="AH106" s="750">
        <v>0</v>
      </c>
      <c r="AI106" s="750">
        <v>0</v>
      </c>
      <c r="AJ106" s="770"/>
      <c r="AK106" s="769" t="s">
        <v>1464</v>
      </c>
      <c r="AL106" s="769" t="s">
        <v>199</v>
      </c>
      <c r="AM106" s="750">
        <v>0</v>
      </c>
      <c r="AN106" s="750">
        <v>0</v>
      </c>
      <c r="AO106" s="750">
        <v>0</v>
      </c>
      <c r="AP106" s="750">
        <v>0</v>
      </c>
      <c r="AQ106" s="750">
        <v>0</v>
      </c>
      <c r="AR106" s="750">
        <v>0</v>
      </c>
      <c r="AS106" s="750">
        <v>0</v>
      </c>
      <c r="AT106" s="750">
        <v>0</v>
      </c>
      <c r="AU106" s="750">
        <v>0</v>
      </c>
      <c r="AV106" s="750">
        <v>0</v>
      </c>
      <c r="AW106" s="750">
        <v>0</v>
      </c>
      <c r="AX106" s="750">
        <v>0</v>
      </c>
      <c r="AY106" s="770"/>
      <c r="AZ106" s="769" t="s">
        <v>1464</v>
      </c>
      <c r="BA106" s="769" t="s">
        <v>199</v>
      </c>
      <c r="BB106" s="750">
        <v>0</v>
      </c>
      <c r="BC106" s="750">
        <v>0</v>
      </c>
      <c r="BD106" s="750">
        <v>0</v>
      </c>
      <c r="BE106" s="750">
        <v>0</v>
      </c>
      <c r="BF106" s="750">
        <v>0</v>
      </c>
      <c r="BG106" s="750">
        <v>0</v>
      </c>
      <c r="BH106" s="750">
        <v>0</v>
      </c>
      <c r="BI106" s="750">
        <v>0</v>
      </c>
      <c r="BJ106" s="750">
        <v>0</v>
      </c>
      <c r="BK106" s="750">
        <v>0</v>
      </c>
      <c r="BL106" s="750">
        <v>0</v>
      </c>
      <c r="BM106" s="750">
        <v>0</v>
      </c>
    </row>
    <row r="107" ht="15" customHeight="1" spans="2:65">
      <c r="B107" s="801"/>
      <c r="C107" s="784"/>
      <c r="D107" s="784"/>
      <c r="E107" s="784" t="s">
        <v>1534</v>
      </c>
      <c r="F107" s="770"/>
      <c r="G107" s="769" t="s">
        <v>1464</v>
      </c>
      <c r="H107" s="769" t="s">
        <v>199</v>
      </c>
      <c r="I107" s="750">
        <v>0</v>
      </c>
      <c r="J107" s="750">
        <v>0</v>
      </c>
      <c r="K107" s="750">
        <v>0</v>
      </c>
      <c r="L107" s="750">
        <v>0</v>
      </c>
      <c r="M107" s="750">
        <v>0</v>
      </c>
      <c r="N107" s="750">
        <v>0</v>
      </c>
      <c r="O107" s="750">
        <v>0</v>
      </c>
      <c r="P107" s="750">
        <v>0</v>
      </c>
      <c r="Q107" s="750">
        <v>0</v>
      </c>
      <c r="R107" s="750">
        <v>0</v>
      </c>
      <c r="S107" s="750">
        <v>0</v>
      </c>
      <c r="T107" s="750">
        <v>0</v>
      </c>
      <c r="U107" s="770"/>
      <c r="V107" s="769" t="s">
        <v>1464</v>
      </c>
      <c r="W107" s="769" t="s">
        <v>199</v>
      </c>
      <c r="X107" s="750">
        <v>0</v>
      </c>
      <c r="Y107" s="750">
        <v>0</v>
      </c>
      <c r="Z107" s="750">
        <v>0</v>
      </c>
      <c r="AA107" s="750">
        <v>0</v>
      </c>
      <c r="AB107" s="750">
        <v>0</v>
      </c>
      <c r="AC107" s="750">
        <v>0</v>
      </c>
      <c r="AD107" s="750">
        <v>0</v>
      </c>
      <c r="AE107" s="750">
        <v>0</v>
      </c>
      <c r="AF107" s="750">
        <v>0</v>
      </c>
      <c r="AG107" s="750">
        <v>0</v>
      </c>
      <c r="AH107" s="750">
        <v>0</v>
      </c>
      <c r="AI107" s="750">
        <v>0</v>
      </c>
      <c r="AJ107" s="770"/>
      <c r="AK107" s="769" t="s">
        <v>1464</v>
      </c>
      <c r="AL107" s="769" t="s">
        <v>199</v>
      </c>
      <c r="AM107" s="750">
        <v>0</v>
      </c>
      <c r="AN107" s="750">
        <v>0</v>
      </c>
      <c r="AO107" s="750">
        <v>0</v>
      </c>
      <c r="AP107" s="750">
        <v>0</v>
      </c>
      <c r="AQ107" s="750">
        <v>0</v>
      </c>
      <c r="AR107" s="750">
        <v>0</v>
      </c>
      <c r="AS107" s="750">
        <v>0</v>
      </c>
      <c r="AT107" s="750">
        <v>0</v>
      </c>
      <c r="AU107" s="750">
        <v>0</v>
      </c>
      <c r="AV107" s="750">
        <v>0</v>
      </c>
      <c r="AW107" s="750">
        <v>0</v>
      </c>
      <c r="AX107" s="750">
        <v>0</v>
      </c>
      <c r="AY107" s="770"/>
      <c r="AZ107" s="769" t="s">
        <v>1464</v>
      </c>
      <c r="BA107" s="769" t="s">
        <v>199</v>
      </c>
      <c r="BB107" s="750">
        <v>0</v>
      </c>
      <c r="BC107" s="750">
        <v>0</v>
      </c>
      <c r="BD107" s="750">
        <v>0</v>
      </c>
      <c r="BE107" s="750">
        <v>0</v>
      </c>
      <c r="BF107" s="750">
        <v>0</v>
      </c>
      <c r="BG107" s="750">
        <v>0</v>
      </c>
      <c r="BH107" s="750">
        <v>0</v>
      </c>
      <c r="BI107" s="750">
        <v>0</v>
      </c>
      <c r="BJ107" s="750">
        <v>0</v>
      </c>
      <c r="BK107" s="750">
        <v>0</v>
      </c>
      <c r="BL107" s="750">
        <v>0</v>
      </c>
      <c r="BM107" s="750">
        <v>0</v>
      </c>
    </row>
    <row r="108" ht="15" customHeight="1" spans="2:65">
      <c r="B108" s="801"/>
      <c r="C108" s="784"/>
      <c r="D108" s="784"/>
      <c r="E108" s="784" t="s">
        <v>1534</v>
      </c>
      <c r="F108" s="770"/>
      <c r="G108" s="769" t="s">
        <v>1464</v>
      </c>
      <c r="H108" s="769" t="s">
        <v>199</v>
      </c>
      <c r="I108" s="750">
        <v>0</v>
      </c>
      <c r="J108" s="750">
        <v>0</v>
      </c>
      <c r="K108" s="750">
        <v>0</v>
      </c>
      <c r="L108" s="750">
        <v>0</v>
      </c>
      <c r="M108" s="750">
        <v>0</v>
      </c>
      <c r="N108" s="750">
        <v>0</v>
      </c>
      <c r="O108" s="750">
        <v>0</v>
      </c>
      <c r="P108" s="750">
        <v>0</v>
      </c>
      <c r="Q108" s="750">
        <v>0</v>
      </c>
      <c r="R108" s="750">
        <v>0</v>
      </c>
      <c r="S108" s="750">
        <v>0</v>
      </c>
      <c r="T108" s="750">
        <v>0</v>
      </c>
      <c r="U108" s="770"/>
      <c r="V108" s="769" t="s">
        <v>1464</v>
      </c>
      <c r="W108" s="769" t="s">
        <v>199</v>
      </c>
      <c r="X108" s="750">
        <v>0</v>
      </c>
      <c r="Y108" s="750">
        <v>0</v>
      </c>
      <c r="Z108" s="750">
        <v>0</v>
      </c>
      <c r="AA108" s="750">
        <v>0</v>
      </c>
      <c r="AB108" s="750">
        <v>0</v>
      </c>
      <c r="AC108" s="750">
        <v>0</v>
      </c>
      <c r="AD108" s="750">
        <v>0</v>
      </c>
      <c r="AE108" s="750">
        <v>0</v>
      </c>
      <c r="AF108" s="750">
        <v>0</v>
      </c>
      <c r="AG108" s="750">
        <v>0</v>
      </c>
      <c r="AH108" s="750">
        <v>0</v>
      </c>
      <c r="AI108" s="750">
        <v>0</v>
      </c>
      <c r="AJ108" s="770"/>
      <c r="AK108" s="769" t="s">
        <v>1464</v>
      </c>
      <c r="AL108" s="769" t="s">
        <v>199</v>
      </c>
      <c r="AM108" s="750">
        <v>0</v>
      </c>
      <c r="AN108" s="750">
        <v>0</v>
      </c>
      <c r="AO108" s="750">
        <v>0</v>
      </c>
      <c r="AP108" s="750">
        <v>0</v>
      </c>
      <c r="AQ108" s="750">
        <v>0</v>
      </c>
      <c r="AR108" s="750">
        <v>0</v>
      </c>
      <c r="AS108" s="750">
        <v>0</v>
      </c>
      <c r="AT108" s="750">
        <v>0</v>
      </c>
      <c r="AU108" s="750">
        <v>0</v>
      </c>
      <c r="AV108" s="750">
        <v>0</v>
      </c>
      <c r="AW108" s="750">
        <v>0</v>
      </c>
      <c r="AX108" s="750">
        <v>0</v>
      </c>
      <c r="AY108" s="770"/>
      <c r="AZ108" s="769" t="s">
        <v>1464</v>
      </c>
      <c r="BA108" s="769" t="s">
        <v>199</v>
      </c>
      <c r="BB108" s="750">
        <v>0</v>
      </c>
      <c r="BC108" s="750">
        <v>0</v>
      </c>
      <c r="BD108" s="750">
        <v>0</v>
      </c>
      <c r="BE108" s="750">
        <v>0</v>
      </c>
      <c r="BF108" s="750">
        <v>0</v>
      </c>
      <c r="BG108" s="750">
        <v>0</v>
      </c>
      <c r="BH108" s="750">
        <v>0</v>
      </c>
      <c r="BI108" s="750">
        <v>0</v>
      </c>
      <c r="BJ108" s="750">
        <v>0</v>
      </c>
      <c r="BK108" s="750">
        <v>0</v>
      </c>
      <c r="BL108" s="750">
        <v>0</v>
      </c>
      <c r="BM108" s="750">
        <v>0</v>
      </c>
    </row>
    <row r="109" ht="15" customHeight="1" spans="2:65">
      <c r="B109" s="801"/>
      <c r="C109" s="784"/>
      <c r="D109" s="784"/>
      <c r="E109" s="784" t="s">
        <v>1534</v>
      </c>
      <c r="F109" s="770"/>
      <c r="G109" s="769" t="s">
        <v>1464</v>
      </c>
      <c r="H109" s="769" t="s">
        <v>199</v>
      </c>
      <c r="I109" s="750">
        <v>0</v>
      </c>
      <c r="J109" s="750">
        <v>0</v>
      </c>
      <c r="K109" s="750">
        <v>0</v>
      </c>
      <c r="L109" s="750">
        <v>0</v>
      </c>
      <c r="M109" s="750">
        <v>0</v>
      </c>
      <c r="N109" s="750">
        <v>0</v>
      </c>
      <c r="O109" s="750">
        <v>0</v>
      </c>
      <c r="P109" s="750">
        <v>0</v>
      </c>
      <c r="Q109" s="750">
        <v>0</v>
      </c>
      <c r="R109" s="750">
        <v>0</v>
      </c>
      <c r="S109" s="750">
        <v>0</v>
      </c>
      <c r="T109" s="750">
        <v>0</v>
      </c>
      <c r="U109" s="770"/>
      <c r="V109" s="769" t="s">
        <v>1464</v>
      </c>
      <c r="W109" s="769" t="s">
        <v>199</v>
      </c>
      <c r="X109" s="750">
        <v>0</v>
      </c>
      <c r="Y109" s="750">
        <v>0</v>
      </c>
      <c r="Z109" s="750">
        <v>0</v>
      </c>
      <c r="AA109" s="750">
        <v>0</v>
      </c>
      <c r="AB109" s="750">
        <v>0</v>
      </c>
      <c r="AC109" s="750">
        <v>0</v>
      </c>
      <c r="AD109" s="750">
        <v>0</v>
      </c>
      <c r="AE109" s="750">
        <v>0</v>
      </c>
      <c r="AF109" s="750">
        <v>0</v>
      </c>
      <c r="AG109" s="750">
        <v>0</v>
      </c>
      <c r="AH109" s="750">
        <v>0</v>
      </c>
      <c r="AI109" s="750">
        <v>0</v>
      </c>
      <c r="AJ109" s="770"/>
      <c r="AK109" s="769" t="s">
        <v>1464</v>
      </c>
      <c r="AL109" s="769" t="s">
        <v>199</v>
      </c>
      <c r="AM109" s="750">
        <v>0</v>
      </c>
      <c r="AN109" s="750">
        <v>0</v>
      </c>
      <c r="AO109" s="750">
        <v>0</v>
      </c>
      <c r="AP109" s="750">
        <v>0</v>
      </c>
      <c r="AQ109" s="750">
        <v>0</v>
      </c>
      <c r="AR109" s="750">
        <v>0</v>
      </c>
      <c r="AS109" s="750">
        <v>0</v>
      </c>
      <c r="AT109" s="750">
        <v>0</v>
      </c>
      <c r="AU109" s="750">
        <v>0</v>
      </c>
      <c r="AV109" s="750">
        <v>0</v>
      </c>
      <c r="AW109" s="750">
        <v>0</v>
      </c>
      <c r="AX109" s="750">
        <v>0</v>
      </c>
      <c r="AY109" s="770"/>
      <c r="AZ109" s="769" t="s">
        <v>1464</v>
      </c>
      <c r="BA109" s="769" t="s">
        <v>199</v>
      </c>
      <c r="BB109" s="750">
        <v>0</v>
      </c>
      <c r="BC109" s="750">
        <v>0</v>
      </c>
      <c r="BD109" s="750">
        <v>0</v>
      </c>
      <c r="BE109" s="750">
        <v>0</v>
      </c>
      <c r="BF109" s="750">
        <v>0</v>
      </c>
      <c r="BG109" s="750">
        <v>0</v>
      </c>
      <c r="BH109" s="750">
        <v>0</v>
      </c>
      <c r="BI109" s="750">
        <v>0</v>
      </c>
      <c r="BJ109" s="750">
        <v>0</v>
      </c>
      <c r="BK109" s="750">
        <v>0</v>
      </c>
      <c r="BL109" s="750">
        <v>0</v>
      </c>
      <c r="BM109" s="750">
        <v>0</v>
      </c>
    </row>
    <row r="110" ht="15" customHeight="1" spans="2:65">
      <c r="B110" s="801"/>
      <c r="C110" s="784"/>
      <c r="D110" s="784"/>
      <c r="E110" s="784" t="s">
        <v>1534</v>
      </c>
      <c r="F110" s="770"/>
      <c r="G110" s="769" t="s">
        <v>1464</v>
      </c>
      <c r="H110" s="769" t="s">
        <v>199</v>
      </c>
      <c r="I110" s="750">
        <v>0</v>
      </c>
      <c r="J110" s="750">
        <v>0</v>
      </c>
      <c r="K110" s="750">
        <v>0</v>
      </c>
      <c r="L110" s="750">
        <v>0</v>
      </c>
      <c r="M110" s="750">
        <v>0</v>
      </c>
      <c r="N110" s="750">
        <v>0</v>
      </c>
      <c r="O110" s="750">
        <v>0</v>
      </c>
      <c r="P110" s="750">
        <v>0</v>
      </c>
      <c r="Q110" s="750">
        <v>0</v>
      </c>
      <c r="R110" s="750">
        <v>0</v>
      </c>
      <c r="S110" s="750">
        <v>0</v>
      </c>
      <c r="T110" s="750">
        <v>0</v>
      </c>
      <c r="U110" s="770"/>
      <c r="V110" s="769" t="s">
        <v>1464</v>
      </c>
      <c r="W110" s="769" t="s">
        <v>199</v>
      </c>
      <c r="X110" s="750">
        <v>0</v>
      </c>
      <c r="Y110" s="750">
        <v>0</v>
      </c>
      <c r="Z110" s="750">
        <v>0</v>
      </c>
      <c r="AA110" s="750">
        <v>0</v>
      </c>
      <c r="AB110" s="750">
        <v>0</v>
      </c>
      <c r="AC110" s="750">
        <v>0</v>
      </c>
      <c r="AD110" s="750">
        <v>0</v>
      </c>
      <c r="AE110" s="750">
        <v>0</v>
      </c>
      <c r="AF110" s="750">
        <v>0</v>
      </c>
      <c r="AG110" s="750">
        <v>0</v>
      </c>
      <c r="AH110" s="750">
        <v>0</v>
      </c>
      <c r="AI110" s="750">
        <v>0</v>
      </c>
      <c r="AJ110" s="770"/>
      <c r="AK110" s="769" t="s">
        <v>1464</v>
      </c>
      <c r="AL110" s="769" t="s">
        <v>199</v>
      </c>
      <c r="AM110" s="750">
        <v>0</v>
      </c>
      <c r="AN110" s="750">
        <v>0</v>
      </c>
      <c r="AO110" s="750">
        <v>0</v>
      </c>
      <c r="AP110" s="750">
        <v>0</v>
      </c>
      <c r="AQ110" s="750">
        <v>0</v>
      </c>
      <c r="AR110" s="750">
        <v>0</v>
      </c>
      <c r="AS110" s="750">
        <v>0</v>
      </c>
      <c r="AT110" s="750">
        <v>0</v>
      </c>
      <c r="AU110" s="750">
        <v>0</v>
      </c>
      <c r="AV110" s="750">
        <v>0</v>
      </c>
      <c r="AW110" s="750">
        <v>0</v>
      </c>
      <c r="AX110" s="750">
        <v>0</v>
      </c>
      <c r="AY110" s="770"/>
      <c r="AZ110" s="769" t="s">
        <v>1464</v>
      </c>
      <c r="BA110" s="769" t="s">
        <v>199</v>
      </c>
      <c r="BB110" s="750">
        <v>0</v>
      </c>
      <c r="BC110" s="750">
        <v>0</v>
      </c>
      <c r="BD110" s="750">
        <v>0</v>
      </c>
      <c r="BE110" s="750">
        <v>0</v>
      </c>
      <c r="BF110" s="750">
        <v>0</v>
      </c>
      <c r="BG110" s="750">
        <v>0</v>
      </c>
      <c r="BH110" s="750">
        <v>0</v>
      </c>
      <c r="BI110" s="750">
        <v>0</v>
      </c>
      <c r="BJ110" s="750">
        <v>0</v>
      </c>
      <c r="BK110" s="750">
        <v>0</v>
      </c>
      <c r="BL110" s="750">
        <v>0</v>
      </c>
      <c r="BM110" s="750">
        <v>0</v>
      </c>
    </row>
    <row r="111" ht="15" customHeight="1" spans="2:65">
      <c r="B111" s="801"/>
      <c r="C111" s="784"/>
      <c r="D111" s="784"/>
      <c r="E111" s="784" t="s">
        <v>1534</v>
      </c>
      <c r="F111" s="770"/>
      <c r="G111" s="769" t="s">
        <v>1464</v>
      </c>
      <c r="H111" s="769" t="s">
        <v>199</v>
      </c>
      <c r="I111" s="750">
        <v>0</v>
      </c>
      <c r="J111" s="750">
        <v>0</v>
      </c>
      <c r="K111" s="750">
        <v>0</v>
      </c>
      <c r="L111" s="750">
        <v>0</v>
      </c>
      <c r="M111" s="750">
        <v>0</v>
      </c>
      <c r="N111" s="750">
        <v>0</v>
      </c>
      <c r="O111" s="750">
        <v>0</v>
      </c>
      <c r="P111" s="750">
        <v>0</v>
      </c>
      <c r="Q111" s="750">
        <v>0</v>
      </c>
      <c r="R111" s="750">
        <v>0</v>
      </c>
      <c r="S111" s="750">
        <v>0</v>
      </c>
      <c r="T111" s="750">
        <v>0</v>
      </c>
      <c r="U111" s="770"/>
      <c r="V111" s="769" t="s">
        <v>1464</v>
      </c>
      <c r="W111" s="769" t="s">
        <v>199</v>
      </c>
      <c r="X111" s="750">
        <v>0</v>
      </c>
      <c r="Y111" s="750">
        <v>0</v>
      </c>
      <c r="Z111" s="750">
        <v>0</v>
      </c>
      <c r="AA111" s="750">
        <v>0</v>
      </c>
      <c r="AB111" s="750">
        <v>0</v>
      </c>
      <c r="AC111" s="750">
        <v>0</v>
      </c>
      <c r="AD111" s="750">
        <v>0</v>
      </c>
      <c r="AE111" s="750">
        <v>0</v>
      </c>
      <c r="AF111" s="750">
        <v>0</v>
      </c>
      <c r="AG111" s="750">
        <v>0</v>
      </c>
      <c r="AH111" s="750">
        <v>0</v>
      </c>
      <c r="AI111" s="750">
        <v>0</v>
      </c>
      <c r="AJ111" s="770"/>
      <c r="AK111" s="769" t="s">
        <v>1464</v>
      </c>
      <c r="AL111" s="769" t="s">
        <v>199</v>
      </c>
      <c r="AM111" s="750">
        <v>0</v>
      </c>
      <c r="AN111" s="750">
        <v>0</v>
      </c>
      <c r="AO111" s="750">
        <v>0</v>
      </c>
      <c r="AP111" s="750">
        <v>0</v>
      </c>
      <c r="AQ111" s="750">
        <v>0</v>
      </c>
      <c r="AR111" s="750">
        <v>0</v>
      </c>
      <c r="AS111" s="750">
        <v>0</v>
      </c>
      <c r="AT111" s="750">
        <v>0</v>
      </c>
      <c r="AU111" s="750">
        <v>0</v>
      </c>
      <c r="AV111" s="750">
        <v>0</v>
      </c>
      <c r="AW111" s="750">
        <v>0</v>
      </c>
      <c r="AX111" s="750">
        <v>0</v>
      </c>
      <c r="AY111" s="770"/>
      <c r="AZ111" s="769" t="s">
        <v>1464</v>
      </c>
      <c r="BA111" s="769" t="s">
        <v>199</v>
      </c>
      <c r="BB111" s="750">
        <v>0</v>
      </c>
      <c r="BC111" s="750">
        <v>0</v>
      </c>
      <c r="BD111" s="750">
        <v>0</v>
      </c>
      <c r="BE111" s="750">
        <v>0</v>
      </c>
      <c r="BF111" s="750">
        <v>0</v>
      </c>
      <c r="BG111" s="750">
        <v>0</v>
      </c>
      <c r="BH111" s="750">
        <v>0</v>
      </c>
      <c r="BI111" s="750">
        <v>0</v>
      </c>
      <c r="BJ111" s="750">
        <v>0</v>
      </c>
      <c r="BK111" s="750">
        <v>0</v>
      </c>
      <c r="BL111" s="750">
        <v>0</v>
      </c>
      <c r="BM111" s="750">
        <v>0</v>
      </c>
    </row>
    <row r="112" ht="15" customHeight="1" spans="2:65">
      <c r="B112" s="801"/>
      <c r="C112" s="784"/>
      <c r="D112" s="784"/>
      <c r="E112" s="784" t="s">
        <v>1534</v>
      </c>
      <c r="F112" s="770"/>
      <c r="G112" s="769" t="s">
        <v>1464</v>
      </c>
      <c r="H112" s="769" t="s">
        <v>199</v>
      </c>
      <c r="I112" s="750">
        <v>0</v>
      </c>
      <c r="J112" s="750">
        <v>0</v>
      </c>
      <c r="K112" s="750">
        <v>0</v>
      </c>
      <c r="L112" s="750">
        <v>0</v>
      </c>
      <c r="M112" s="750">
        <v>0</v>
      </c>
      <c r="N112" s="750">
        <v>0</v>
      </c>
      <c r="O112" s="750">
        <v>0</v>
      </c>
      <c r="P112" s="750">
        <v>0</v>
      </c>
      <c r="Q112" s="750">
        <v>0</v>
      </c>
      <c r="R112" s="750">
        <v>0</v>
      </c>
      <c r="S112" s="750">
        <v>0</v>
      </c>
      <c r="T112" s="750">
        <v>0</v>
      </c>
      <c r="U112" s="770"/>
      <c r="V112" s="769" t="s">
        <v>1464</v>
      </c>
      <c r="W112" s="769" t="s">
        <v>199</v>
      </c>
      <c r="X112" s="750">
        <v>0</v>
      </c>
      <c r="Y112" s="750">
        <v>0</v>
      </c>
      <c r="Z112" s="750">
        <v>0</v>
      </c>
      <c r="AA112" s="750">
        <v>0</v>
      </c>
      <c r="AB112" s="750">
        <v>0</v>
      </c>
      <c r="AC112" s="750">
        <v>0</v>
      </c>
      <c r="AD112" s="750">
        <v>0</v>
      </c>
      <c r="AE112" s="750">
        <v>0</v>
      </c>
      <c r="AF112" s="750">
        <v>0</v>
      </c>
      <c r="AG112" s="750">
        <v>0</v>
      </c>
      <c r="AH112" s="750">
        <v>0</v>
      </c>
      <c r="AI112" s="750">
        <v>0</v>
      </c>
      <c r="AJ112" s="770"/>
      <c r="AK112" s="769" t="s">
        <v>1464</v>
      </c>
      <c r="AL112" s="769" t="s">
        <v>199</v>
      </c>
      <c r="AM112" s="750">
        <v>0</v>
      </c>
      <c r="AN112" s="750">
        <v>0</v>
      </c>
      <c r="AO112" s="750">
        <v>0</v>
      </c>
      <c r="AP112" s="750">
        <v>0</v>
      </c>
      <c r="AQ112" s="750">
        <v>0</v>
      </c>
      <c r="AR112" s="750">
        <v>0</v>
      </c>
      <c r="AS112" s="750">
        <v>0</v>
      </c>
      <c r="AT112" s="750">
        <v>0</v>
      </c>
      <c r="AU112" s="750">
        <v>0</v>
      </c>
      <c r="AV112" s="750">
        <v>0</v>
      </c>
      <c r="AW112" s="750">
        <v>0</v>
      </c>
      <c r="AX112" s="750">
        <v>0</v>
      </c>
      <c r="AY112" s="770"/>
      <c r="AZ112" s="769" t="s">
        <v>1464</v>
      </c>
      <c r="BA112" s="769" t="s">
        <v>199</v>
      </c>
      <c r="BB112" s="750">
        <v>0</v>
      </c>
      <c r="BC112" s="750">
        <v>0</v>
      </c>
      <c r="BD112" s="750">
        <v>0</v>
      </c>
      <c r="BE112" s="750">
        <v>0</v>
      </c>
      <c r="BF112" s="750">
        <v>0</v>
      </c>
      <c r="BG112" s="750">
        <v>0</v>
      </c>
      <c r="BH112" s="750">
        <v>0</v>
      </c>
      <c r="BI112" s="750">
        <v>0</v>
      </c>
      <c r="BJ112" s="750">
        <v>0</v>
      </c>
      <c r="BK112" s="750">
        <v>0</v>
      </c>
      <c r="BL112" s="750">
        <v>0</v>
      </c>
      <c r="BM112" s="750">
        <v>0</v>
      </c>
    </row>
    <row r="113" ht="15" customHeight="1" spans="2:65">
      <c r="B113" s="801"/>
      <c r="C113" s="784"/>
      <c r="D113" s="784"/>
      <c r="E113" s="784" t="s">
        <v>1534</v>
      </c>
      <c r="F113" s="770"/>
      <c r="G113" s="769" t="s">
        <v>1464</v>
      </c>
      <c r="H113" s="769" t="s">
        <v>199</v>
      </c>
      <c r="I113" s="750">
        <v>0</v>
      </c>
      <c r="J113" s="750">
        <v>0</v>
      </c>
      <c r="K113" s="750">
        <v>0</v>
      </c>
      <c r="L113" s="750">
        <v>0</v>
      </c>
      <c r="M113" s="750">
        <v>0</v>
      </c>
      <c r="N113" s="750">
        <v>0</v>
      </c>
      <c r="O113" s="750">
        <v>0</v>
      </c>
      <c r="P113" s="750">
        <v>0</v>
      </c>
      <c r="Q113" s="750">
        <v>0</v>
      </c>
      <c r="R113" s="750">
        <v>0</v>
      </c>
      <c r="S113" s="750">
        <v>0</v>
      </c>
      <c r="T113" s="750">
        <v>0</v>
      </c>
      <c r="U113" s="770"/>
      <c r="V113" s="769" t="s">
        <v>1464</v>
      </c>
      <c r="W113" s="769" t="s">
        <v>199</v>
      </c>
      <c r="X113" s="750">
        <v>0</v>
      </c>
      <c r="Y113" s="750">
        <v>0</v>
      </c>
      <c r="Z113" s="750">
        <v>0</v>
      </c>
      <c r="AA113" s="750">
        <v>0</v>
      </c>
      <c r="AB113" s="750">
        <v>0</v>
      </c>
      <c r="AC113" s="750">
        <v>0</v>
      </c>
      <c r="AD113" s="750">
        <v>0</v>
      </c>
      <c r="AE113" s="750">
        <v>0</v>
      </c>
      <c r="AF113" s="750">
        <v>0</v>
      </c>
      <c r="AG113" s="750">
        <v>0</v>
      </c>
      <c r="AH113" s="750">
        <v>0</v>
      </c>
      <c r="AI113" s="750">
        <v>0</v>
      </c>
      <c r="AJ113" s="770"/>
      <c r="AK113" s="769" t="s">
        <v>1464</v>
      </c>
      <c r="AL113" s="769" t="s">
        <v>199</v>
      </c>
      <c r="AM113" s="750">
        <v>0</v>
      </c>
      <c r="AN113" s="750">
        <v>0</v>
      </c>
      <c r="AO113" s="750">
        <v>0</v>
      </c>
      <c r="AP113" s="750">
        <v>0</v>
      </c>
      <c r="AQ113" s="750">
        <v>0</v>
      </c>
      <c r="AR113" s="750">
        <v>0</v>
      </c>
      <c r="AS113" s="750">
        <v>0</v>
      </c>
      <c r="AT113" s="750">
        <v>0</v>
      </c>
      <c r="AU113" s="750">
        <v>0</v>
      </c>
      <c r="AV113" s="750">
        <v>0</v>
      </c>
      <c r="AW113" s="750">
        <v>0</v>
      </c>
      <c r="AX113" s="750">
        <v>0</v>
      </c>
      <c r="AY113" s="770"/>
      <c r="AZ113" s="769" t="s">
        <v>1464</v>
      </c>
      <c r="BA113" s="769" t="s">
        <v>199</v>
      </c>
      <c r="BB113" s="750">
        <v>0</v>
      </c>
      <c r="BC113" s="750">
        <v>0</v>
      </c>
      <c r="BD113" s="750">
        <v>0</v>
      </c>
      <c r="BE113" s="750">
        <v>0</v>
      </c>
      <c r="BF113" s="750">
        <v>0</v>
      </c>
      <c r="BG113" s="750">
        <v>0</v>
      </c>
      <c r="BH113" s="750">
        <v>0</v>
      </c>
      <c r="BI113" s="750">
        <v>0</v>
      </c>
      <c r="BJ113" s="750">
        <v>0</v>
      </c>
      <c r="BK113" s="750">
        <v>0</v>
      </c>
      <c r="BL113" s="750">
        <v>0</v>
      </c>
      <c r="BM113" s="750">
        <v>0</v>
      </c>
    </row>
    <row r="114" ht="15" customHeight="1" spans="2:65">
      <c r="B114" s="801"/>
      <c r="C114" s="784"/>
      <c r="D114" s="784"/>
      <c r="E114" s="784" t="s">
        <v>1534</v>
      </c>
      <c r="F114" s="770"/>
      <c r="G114" s="769" t="s">
        <v>1464</v>
      </c>
      <c r="H114" s="769" t="s">
        <v>199</v>
      </c>
      <c r="I114" s="750">
        <v>0</v>
      </c>
      <c r="J114" s="750">
        <v>0</v>
      </c>
      <c r="K114" s="750">
        <v>0</v>
      </c>
      <c r="L114" s="750">
        <v>0</v>
      </c>
      <c r="M114" s="750">
        <v>0</v>
      </c>
      <c r="N114" s="750">
        <v>0</v>
      </c>
      <c r="O114" s="750">
        <v>0</v>
      </c>
      <c r="P114" s="750">
        <v>0</v>
      </c>
      <c r="Q114" s="750">
        <v>0</v>
      </c>
      <c r="R114" s="750">
        <v>0</v>
      </c>
      <c r="S114" s="750">
        <v>0</v>
      </c>
      <c r="T114" s="750">
        <v>0</v>
      </c>
      <c r="U114" s="770"/>
      <c r="V114" s="769" t="s">
        <v>1464</v>
      </c>
      <c r="W114" s="769" t="s">
        <v>199</v>
      </c>
      <c r="X114" s="750">
        <v>0</v>
      </c>
      <c r="Y114" s="750">
        <v>0</v>
      </c>
      <c r="Z114" s="750">
        <v>0</v>
      </c>
      <c r="AA114" s="750">
        <v>0</v>
      </c>
      <c r="AB114" s="750">
        <v>0</v>
      </c>
      <c r="AC114" s="750">
        <v>0</v>
      </c>
      <c r="AD114" s="750">
        <v>0</v>
      </c>
      <c r="AE114" s="750">
        <v>0</v>
      </c>
      <c r="AF114" s="750">
        <v>0</v>
      </c>
      <c r="AG114" s="750">
        <v>0</v>
      </c>
      <c r="AH114" s="750">
        <v>0</v>
      </c>
      <c r="AI114" s="750">
        <v>0</v>
      </c>
      <c r="AJ114" s="770"/>
      <c r="AK114" s="769" t="s">
        <v>1464</v>
      </c>
      <c r="AL114" s="769" t="s">
        <v>199</v>
      </c>
      <c r="AM114" s="750">
        <v>0</v>
      </c>
      <c r="AN114" s="750">
        <v>0</v>
      </c>
      <c r="AO114" s="750">
        <v>0</v>
      </c>
      <c r="AP114" s="750">
        <v>0</v>
      </c>
      <c r="AQ114" s="750">
        <v>0</v>
      </c>
      <c r="AR114" s="750">
        <v>0</v>
      </c>
      <c r="AS114" s="750">
        <v>0</v>
      </c>
      <c r="AT114" s="750">
        <v>0</v>
      </c>
      <c r="AU114" s="750">
        <v>0</v>
      </c>
      <c r="AV114" s="750">
        <v>0</v>
      </c>
      <c r="AW114" s="750">
        <v>0</v>
      </c>
      <c r="AX114" s="750">
        <v>0</v>
      </c>
      <c r="AY114" s="770"/>
      <c r="AZ114" s="769" t="s">
        <v>1464</v>
      </c>
      <c r="BA114" s="769" t="s">
        <v>199</v>
      </c>
      <c r="BB114" s="750">
        <v>0</v>
      </c>
      <c r="BC114" s="750">
        <v>0</v>
      </c>
      <c r="BD114" s="750">
        <v>0</v>
      </c>
      <c r="BE114" s="750">
        <v>0</v>
      </c>
      <c r="BF114" s="750">
        <v>0</v>
      </c>
      <c r="BG114" s="750">
        <v>0</v>
      </c>
      <c r="BH114" s="750">
        <v>0</v>
      </c>
      <c r="BI114" s="750">
        <v>0</v>
      </c>
      <c r="BJ114" s="750">
        <v>0</v>
      </c>
      <c r="BK114" s="750">
        <v>0</v>
      </c>
      <c r="BL114" s="750">
        <v>0</v>
      </c>
      <c r="BM114" s="750">
        <v>0</v>
      </c>
    </row>
    <row r="115" ht="15" customHeight="1" spans="2:65">
      <c r="B115" s="801"/>
      <c r="C115" s="784"/>
      <c r="D115" s="784"/>
      <c r="E115" s="784" t="s">
        <v>1534</v>
      </c>
      <c r="F115" s="770"/>
      <c r="G115" s="769" t="s">
        <v>1464</v>
      </c>
      <c r="H115" s="769" t="s">
        <v>199</v>
      </c>
      <c r="I115" s="750">
        <v>0</v>
      </c>
      <c r="J115" s="750">
        <v>0</v>
      </c>
      <c r="K115" s="750">
        <v>0</v>
      </c>
      <c r="L115" s="750">
        <v>0</v>
      </c>
      <c r="M115" s="750">
        <v>0</v>
      </c>
      <c r="N115" s="750">
        <v>0</v>
      </c>
      <c r="O115" s="750">
        <v>0</v>
      </c>
      <c r="P115" s="750">
        <v>0</v>
      </c>
      <c r="Q115" s="750">
        <v>0</v>
      </c>
      <c r="R115" s="750">
        <v>0</v>
      </c>
      <c r="S115" s="750">
        <v>0</v>
      </c>
      <c r="T115" s="750">
        <v>0</v>
      </c>
      <c r="U115" s="770"/>
      <c r="V115" s="769" t="s">
        <v>1464</v>
      </c>
      <c r="W115" s="769" t="s">
        <v>199</v>
      </c>
      <c r="X115" s="750">
        <v>0</v>
      </c>
      <c r="Y115" s="750">
        <v>0</v>
      </c>
      <c r="Z115" s="750">
        <v>0</v>
      </c>
      <c r="AA115" s="750">
        <v>0</v>
      </c>
      <c r="AB115" s="750">
        <v>0</v>
      </c>
      <c r="AC115" s="750">
        <v>0</v>
      </c>
      <c r="AD115" s="750">
        <v>0</v>
      </c>
      <c r="AE115" s="750">
        <v>0</v>
      </c>
      <c r="AF115" s="750">
        <v>0</v>
      </c>
      <c r="AG115" s="750">
        <v>0</v>
      </c>
      <c r="AH115" s="750">
        <v>0</v>
      </c>
      <c r="AI115" s="750">
        <v>0</v>
      </c>
      <c r="AJ115" s="770"/>
      <c r="AK115" s="769" t="s">
        <v>1464</v>
      </c>
      <c r="AL115" s="769" t="s">
        <v>199</v>
      </c>
      <c r="AM115" s="750">
        <v>0</v>
      </c>
      <c r="AN115" s="750">
        <v>0</v>
      </c>
      <c r="AO115" s="750">
        <v>0</v>
      </c>
      <c r="AP115" s="750">
        <v>0</v>
      </c>
      <c r="AQ115" s="750">
        <v>0</v>
      </c>
      <c r="AR115" s="750">
        <v>0</v>
      </c>
      <c r="AS115" s="750">
        <v>0</v>
      </c>
      <c r="AT115" s="750">
        <v>0</v>
      </c>
      <c r="AU115" s="750">
        <v>0</v>
      </c>
      <c r="AV115" s="750">
        <v>0</v>
      </c>
      <c r="AW115" s="750">
        <v>0</v>
      </c>
      <c r="AX115" s="750">
        <v>0</v>
      </c>
      <c r="AY115" s="770"/>
      <c r="AZ115" s="769" t="s">
        <v>1464</v>
      </c>
      <c r="BA115" s="769" t="s">
        <v>199</v>
      </c>
      <c r="BB115" s="750">
        <v>0</v>
      </c>
      <c r="BC115" s="750">
        <v>0</v>
      </c>
      <c r="BD115" s="750">
        <v>0</v>
      </c>
      <c r="BE115" s="750">
        <v>0</v>
      </c>
      <c r="BF115" s="750">
        <v>0</v>
      </c>
      <c r="BG115" s="750">
        <v>0</v>
      </c>
      <c r="BH115" s="750">
        <v>0</v>
      </c>
      <c r="BI115" s="750">
        <v>0</v>
      </c>
      <c r="BJ115" s="750">
        <v>0</v>
      </c>
      <c r="BK115" s="750">
        <v>0</v>
      </c>
      <c r="BL115" s="750">
        <v>0</v>
      </c>
      <c r="BM115" s="750">
        <v>0</v>
      </c>
    </row>
    <row r="116" ht="15" customHeight="1" spans="2:65">
      <c r="B116" s="801"/>
      <c r="C116" s="784"/>
      <c r="D116" s="784"/>
      <c r="E116" s="784" t="s">
        <v>1534</v>
      </c>
      <c r="F116" s="770"/>
      <c r="G116" s="769" t="s">
        <v>1464</v>
      </c>
      <c r="H116" s="769" t="s">
        <v>199</v>
      </c>
      <c r="I116" s="750">
        <v>0</v>
      </c>
      <c r="J116" s="750">
        <v>0</v>
      </c>
      <c r="K116" s="750">
        <v>0</v>
      </c>
      <c r="L116" s="750">
        <v>0</v>
      </c>
      <c r="M116" s="750">
        <v>0</v>
      </c>
      <c r="N116" s="750">
        <v>0</v>
      </c>
      <c r="O116" s="750">
        <v>0</v>
      </c>
      <c r="P116" s="750">
        <v>0</v>
      </c>
      <c r="Q116" s="750">
        <v>0</v>
      </c>
      <c r="R116" s="750">
        <v>0</v>
      </c>
      <c r="S116" s="750">
        <v>0</v>
      </c>
      <c r="T116" s="750">
        <v>0</v>
      </c>
      <c r="U116" s="770"/>
      <c r="V116" s="769" t="s">
        <v>1464</v>
      </c>
      <c r="W116" s="769" t="s">
        <v>199</v>
      </c>
      <c r="X116" s="750">
        <v>0</v>
      </c>
      <c r="Y116" s="750">
        <v>0</v>
      </c>
      <c r="Z116" s="750">
        <v>0</v>
      </c>
      <c r="AA116" s="750">
        <v>0</v>
      </c>
      <c r="AB116" s="750">
        <v>0</v>
      </c>
      <c r="AC116" s="750">
        <v>0</v>
      </c>
      <c r="AD116" s="750">
        <v>0</v>
      </c>
      <c r="AE116" s="750">
        <v>0</v>
      </c>
      <c r="AF116" s="750">
        <v>0</v>
      </c>
      <c r="AG116" s="750">
        <v>0</v>
      </c>
      <c r="AH116" s="750">
        <v>0</v>
      </c>
      <c r="AI116" s="750">
        <v>0</v>
      </c>
      <c r="AJ116" s="770"/>
      <c r="AK116" s="769" t="s">
        <v>1464</v>
      </c>
      <c r="AL116" s="769" t="s">
        <v>199</v>
      </c>
      <c r="AM116" s="750">
        <v>0</v>
      </c>
      <c r="AN116" s="750">
        <v>0</v>
      </c>
      <c r="AO116" s="750">
        <v>0</v>
      </c>
      <c r="AP116" s="750">
        <v>0</v>
      </c>
      <c r="AQ116" s="750">
        <v>0</v>
      </c>
      <c r="AR116" s="750">
        <v>0</v>
      </c>
      <c r="AS116" s="750">
        <v>0</v>
      </c>
      <c r="AT116" s="750">
        <v>0</v>
      </c>
      <c r="AU116" s="750">
        <v>0</v>
      </c>
      <c r="AV116" s="750">
        <v>0</v>
      </c>
      <c r="AW116" s="750">
        <v>0</v>
      </c>
      <c r="AX116" s="750">
        <v>0</v>
      </c>
      <c r="AY116" s="770"/>
      <c r="AZ116" s="769" t="s">
        <v>1464</v>
      </c>
      <c r="BA116" s="769" t="s">
        <v>199</v>
      </c>
      <c r="BB116" s="750">
        <v>0</v>
      </c>
      <c r="BC116" s="750">
        <v>0</v>
      </c>
      <c r="BD116" s="750">
        <v>0</v>
      </c>
      <c r="BE116" s="750">
        <v>0</v>
      </c>
      <c r="BF116" s="750">
        <v>0</v>
      </c>
      <c r="BG116" s="750">
        <v>0</v>
      </c>
      <c r="BH116" s="750">
        <v>0</v>
      </c>
      <c r="BI116" s="750">
        <v>0</v>
      </c>
      <c r="BJ116" s="750">
        <v>0</v>
      </c>
      <c r="BK116" s="750">
        <v>0</v>
      </c>
      <c r="BL116" s="750">
        <v>0</v>
      </c>
      <c r="BM116" s="750">
        <v>0</v>
      </c>
    </row>
    <row r="117" ht="15" customHeight="1" spans="2:65">
      <c r="B117" s="801"/>
      <c r="C117" s="784"/>
      <c r="D117" s="784"/>
      <c r="E117" s="784" t="s">
        <v>1534</v>
      </c>
      <c r="F117" s="770"/>
      <c r="G117" s="769" t="s">
        <v>1464</v>
      </c>
      <c r="H117" s="769" t="s">
        <v>199</v>
      </c>
      <c r="I117" s="750">
        <v>0</v>
      </c>
      <c r="J117" s="750">
        <v>0</v>
      </c>
      <c r="K117" s="750">
        <v>0</v>
      </c>
      <c r="L117" s="750">
        <v>0</v>
      </c>
      <c r="M117" s="750">
        <v>0</v>
      </c>
      <c r="N117" s="750">
        <v>0</v>
      </c>
      <c r="O117" s="750">
        <v>0</v>
      </c>
      <c r="P117" s="750">
        <v>0</v>
      </c>
      <c r="Q117" s="750">
        <v>0</v>
      </c>
      <c r="R117" s="750">
        <v>0</v>
      </c>
      <c r="S117" s="750">
        <v>0</v>
      </c>
      <c r="T117" s="750">
        <v>0</v>
      </c>
      <c r="U117" s="770"/>
      <c r="V117" s="769" t="s">
        <v>1464</v>
      </c>
      <c r="W117" s="769" t="s">
        <v>199</v>
      </c>
      <c r="X117" s="750">
        <v>0</v>
      </c>
      <c r="Y117" s="750">
        <v>0</v>
      </c>
      <c r="Z117" s="750">
        <v>0</v>
      </c>
      <c r="AA117" s="750">
        <v>0</v>
      </c>
      <c r="AB117" s="750">
        <v>0</v>
      </c>
      <c r="AC117" s="750">
        <v>0</v>
      </c>
      <c r="AD117" s="750">
        <v>0</v>
      </c>
      <c r="AE117" s="750">
        <v>0</v>
      </c>
      <c r="AF117" s="750">
        <v>0</v>
      </c>
      <c r="AG117" s="750">
        <v>0</v>
      </c>
      <c r="AH117" s="750">
        <v>0</v>
      </c>
      <c r="AI117" s="750">
        <v>0</v>
      </c>
      <c r="AJ117" s="770"/>
      <c r="AK117" s="769" t="s">
        <v>1464</v>
      </c>
      <c r="AL117" s="769" t="s">
        <v>199</v>
      </c>
      <c r="AM117" s="750">
        <v>0</v>
      </c>
      <c r="AN117" s="750">
        <v>0</v>
      </c>
      <c r="AO117" s="750">
        <v>0</v>
      </c>
      <c r="AP117" s="750">
        <v>0</v>
      </c>
      <c r="AQ117" s="750">
        <v>0</v>
      </c>
      <c r="AR117" s="750">
        <v>0</v>
      </c>
      <c r="AS117" s="750">
        <v>0</v>
      </c>
      <c r="AT117" s="750">
        <v>0</v>
      </c>
      <c r="AU117" s="750">
        <v>0</v>
      </c>
      <c r="AV117" s="750">
        <v>0</v>
      </c>
      <c r="AW117" s="750">
        <v>0</v>
      </c>
      <c r="AX117" s="750">
        <v>0</v>
      </c>
      <c r="AY117" s="770"/>
      <c r="AZ117" s="769" t="s">
        <v>1464</v>
      </c>
      <c r="BA117" s="769" t="s">
        <v>199</v>
      </c>
      <c r="BB117" s="750">
        <v>0</v>
      </c>
      <c r="BC117" s="750">
        <v>0</v>
      </c>
      <c r="BD117" s="750">
        <v>0</v>
      </c>
      <c r="BE117" s="750">
        <v>0</v>
      </c>
      <c r="BF117" s="750">
        <v>0</v>
      </c>
      <c r="BG117" s="750">
        <v>0</v>
      </c>
      <c r="BH117" s="750">
        <v>0</v>
      </c>
      <c r="BI117" s="750">
        <v>0</v>
      </c>
      <c r="BJ117" s="750">
        <v>0</v>
      </c>
      <c r="BK117" s="750">
        <v>0</v>
      </c>
      <c r="BL117" s="750">
        <v>0</v>
      </c>
      <c r="BM117" s="750">
        <v>0</v>
      </c>
    </row>
    <row r="118" ht="15" customHeight="1" spans="2:65">
      <c r="B118" s="801"/>
      <c r="C118" s="784"/>
      <c r="D118" s="784"/>
      <c r="E118" s="784" t="s">
        <v>1534</v>
      </c>
      <c r="F118" s="770"/>
      <c r="G118" s="769" t="s">
        <v>1464</v>
      </c>
      <c r="H118" s="769" t="s">
        <v>199</v>
      </c>
      <c r="I118" s="750">
        <v>0</v>
      </c>
      <c r="J118" s="750">
        <v>0</v>
      </c>
      <c r="K118" s="750">
        <v>0</v>
      </c>
      <c r="L118" s="750">
        <v>0</v>
      </c>
      <c r="M118" s="750">
        <v>0</v>
      </c>
      <c r="N118" s="750">
        <v>0</v>
      </c>
      <c r="O118" s="750">
        <v>0</v>
      </c>
      <c r="P118" s="750">
        <v>0</v>
      </c>
      <c r="Q118" s="750">
        <v>0</v>
      </c>
      <c r="R118" s="750">
        <v>0</v>
      </c>
      <c r="S118" s="750">
        <v>0</v>
      </c>
      <c r="T118" s="750">
        <v>0</v>
      </c>
      <c r="U118" s="770"/>
      <c r="V118" s="769" t="s">
        <v>1464</v>
      </c>
      <c r="W118" s="769" t="s">
        <v>199</v>
      </c>
      <c r="X118" s="750">
        <v>0</v>
      </c>
      <c r="Y118" s="750">
        <v>0</v>
      </c>
      <c r="Z118" s="750">
        <v>0</v>
      </c>
      <c r="AA118" s="750">
        <v>0</v>
      </c>
      <c r="AB118" s="750">
        <v>0</v>
      </c>
      <c r="AC118" s="750">
        <v>0</v>
      </c>
      <c r="AD118" s="750">
        <v>0</v>
      </c>
      <c r="AE118" s="750">
        <v>0</v>
      </c>
      <c r="AF118" s="750">
        <v>0</v>
      </c>
      <c r="AG118" s="750">
        <v>0</v>
      </c>
      <c r="AH118" s="750">
        <v>0</v>
      </c>
      <c r="AI118" s="750">
        <v>0</v>
      </c>
      <c r="AJ118" s="770"/>
      <c r="AK118" s="769" t="s">
        <v>1464</v>
      </c>
      <c r="AL118" s="769" t="s">
        <v>199</v>
      </c>
      <c r="AM118" s="750">
        <v>0</v>
      </c>
      <c r="AN118" s="750">
        <v>0</v>
      </c>
      <c r="AO118" s="750">
        <v>0</v>
      </c>
      <c r="AP118" s="750">
        <v>0</v>
      </c>
      <c r="AQ118" s="750">
        <v>0</v>
      </c>
      <c r="AR118" s="750">
        <v>0</v>
      </c>
      <c r="AS118" s="750">
        <v>0</v>
      </c>
      <c r="AT118" s="750">
        <v>0</v>
      </c>
      <c r="AU118" s="750">
        <v>0</v>
      </c>
      <c r="AV118" s="750">
        <v>0</v>
      </c>
      <c r="AW118" s="750">
        <v>0</v>
      </c>
      <c r="AX118" s="750">
        <v>0</v>
      </c>
      <c r="AY118" s="770"/>
      <c r="AZ118" s="769" t="s">
        <v>1464</v>
      </c>
      <c r="BA118" s="769" t="s">
        <v>199</v>
      </c>
      <c r="BB118" s="750">
        <v>0</v>
      </c>
      <c r="BC118" s="750">
        <v>0</v>
      </c>
      <c r="BD118" s="750">
        <v>0</v>
      </c>
      <c r="BE118" s="750">
        <v>0</v>
      </c>
      <c r="BF118" s="750">
        <v>0</v>
      </c>
      <c r="BG118" s="750">
        <v>0</v>
      </c>
      <c r="BH118" s="750">
        <v>0</v>
      </c>
      <c r="BI118" s="750">
        <v>0</v>
      </c>
      <c r="BJ118" s="750">
        <v>0</v>
      </c>
      <c r="BK118" s="750">
        <v>0</v>
      </c>
      <c r="BL118" s="750">
        <v>0</v>
      </c>
      <c r="BM118" s="750">
        <v>0</v>
      </c>
    </row>
    <row r="119" ht="15" customHeight="1" spans="2:65">
      <c r="B119" s="801"/>
      <c r="C119" s="784"/>
      <c r="D119" s="784"/>
      <c r="E119" s="784" t="s">
        <v>1534</v>
      </c>
      <c r="F119" s="770"/>
      <c r="G119" s="769" t="s">
        <v>1464</v>
      </c>
      <c r="H119" s="769" t="s">
        <v>199</v>
      </c>
      <c r="I119" s="750">
        <v>0</v>
      </c>
      <c r="J119" s="750">
        <v>0</v>
      </c>
      <c r="K119" s="750">
        <v>0</v>
      </c>
      <c r="L119" s="750">
        <v>0</v>
      </c>
      <c r="M119" s="750">
        <v>0</v>
      </c>
      <c r="N119" s="750">
        <v>0</v>
      </c>
      <c r="O119" s="750">
        <v>0</v>
      </c>
      <c r="P119" s="750">
        <v>0</v>
      </c>
      <c r="Q119" s="750">
        <v>0</v>
      </c>
      <c r="R119" s="750">
        <v>0</v>
      </c>
      <c r="S119" s="750">
        <v>0</v>
      </c>
      <c r="T119" s="750">
        <v>0</v>
      </c>
      <c r="U119" s="770"/>
      <c r="V119" s="769" t="s">
        <v>1464</v>
      </c>
      <c r="W119" s="769" t="s">
        <v>199</v>
      </c>
      <c r="X119" s="750">
        <v>0</v>
      </c>
      <c r="Y119" s="750">
        <v>0</v>
      </c>
      <c r="Z119" s="750">
        <v>0</v>
      </c>
      <c r="AA119" s="750">
        <v>0</v>
      </c>
      <c r="AB119" s="750">
        <v>0</v>
      </c>
      <c r="AC119" s="750">
        <v>0</v>
      </c>
      <c r="AD119" s="750">
        <v>0</v>
      </c>
      <c r="AE119" s="750">
        <v>0</v>
      </c>
      <c r="AF119" s="750">
        <v>0</v>
      </c>
      <c r="AG119" s="750">
        <v>0</v>
      </c>
      <c r="AH119" s="750">
        <v>0</v>
      </c>
      <c r="AI119" s="750">
        <v>0</v>
      </c>
      <c r="AJ119" s="770"/>
      <c r="AK119" s="769" t="s">
        <v>1464</v>
      </c>
      <c r="AL119" s="769" t="s">
        <v>199</v>
      </c>
      <c r="AM119" s="750">
        <v>0</v>
      </c>
      <c r="AN119" s="750">
        <v>0</v>
      </c>
      <c r="AO119" s="750">
        <v>0</v>
      </c>
      <c r="AP119" s="750">
        <v>0</v>
      </c>
      <c r="AQ119" s="750">
        <v>0</v>
      </c>
      <c r="AR119" s="750">
        <v>0</v>
      </c>
      <c r="AS119" s="750">
        <v>0</v>
      </c>
      <c r="AT119" s="750">
        <v>0</v>
      </c>
      <c r="AU119" s="750">
        <v>0</v>
      </c>
      <c r="AV119" s="750">
        <v>0</v>
      </c>
      <c r="AW119" s="750">
        <v>0</v>
      </c>
      <c r="AX119" s="750">
        <v>0</v>
      </c>
      <c r="AY119" s="770"/>
      <c r="AZ119" s="769" t="s">
        <v>1464</v>
      </c>
      <c r="BA119" s="769" t="s">
        <v>199</v>
      </c>
      <c r="BB119" s="750">
        <v>0</v>
      </c>
      <c r="BC119" s="750">
        <v>0</v>
      </c>
      <c r="BD119" s="750">
        <v>0</v>
      </c>
      <c r="BE119" s="750">
        <v>0</v>
      </c>
      <c r="BF119" s="750">
        <v>0</v>
      </c>
      <c r="BG119" s="750">
        <v>0</v>
      </c>
      <c r="BH119" s="750">
        <v>0</v>
      </c>
      <c r="BI119" s="750">
        <v>0</v>
      </c>
      <c r="BJ119" s="750">
        <v>0</v>
      </c>
      <c r="BK119" s="750">
        <v>0</v>
      </c>
      <c r="BL119" s="750">
        <v>0</v>
      </c>
      <c r="BM119" s="750">
        <v>0</v>
      </c>
    </row>
  </sheetData>
  <mergeCells count="24">
    <mergeCell ref="I21:T21"/>
    <mergeCell ref="X21:AI21"/>
    <mergeCell ref="AM21:AX21"/>
    <mergeCell ref="BB21:BM21"/>
    <mergeCell ref="B21:B22"/>
    <mergeCell ref="C21:C22"/>
    <mergeCell ref="D21:D22"/>
    <mergeCell ref="E21:E22"/>
    <mergeCell ref="F17:F18"/>
    <mergeCell ref="F21:F22"/>
    <mergeCell ref="G17:G18"/>
    <mergeCell ref="G21:G22"/>
    <mergeCell ref="H21:H22"/>
    <mergeCell ref="U21:U22"/>
    <mergeCell ref="V21:V22"/>
    <mergeCell ref="W21:W22"/>
    <mergeCell ref="AJ21:AJ22"/>
    <mergeCell ref="AK21:AK22"/>
    <mergeCell ref="AL21:AL22"/>
    <mergeCell ref="AY21:AY22"/>
    <mergeCell ref="AZ21:AZ22"/>
    <mergeCell ref="BA21:BA22"/>
    <mergeCell ref="B11:E14"/>
    <mergeCell ref="B15:E16"/>
  </mergeCells>
  <hyperlinks>
    <hyperlink ref="A1" location="目录!A1" display="← 返回目录"/>
  </hyperlinks>
  <pageMargins left="0.7" right="0.7" top="0.75" bottom="0.75" header="0.3" footer="0.3"/>
  <pageSetup paperSize="1" orientation="portrait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>
    <tabColor theme="8" tint="0.799981688894314"/>
  </sheetPr>
  <dimension ref="A1:Y119"/>
  <sheetViews>
    <sheetView showGridLines="0" showZeros="0" zoomScale="85" zoomScaleNormal="85" topLeftCell="A10" workbookViewId="0">
      <selection activeCell="A1" sqref="A1"/>
    </sheetView>
  </sheetViews>
  <sheetFormatPr defaultColWidth="8.725" defaultRowHeight="11.25"/>
  <cols>
    <col min="1" max="1" width="1.63333333333333" style="1" customWidth="1"/>
    <col min="2" max="2" width="6.63333333333333" style="1" customWidth="1"/>
    <col min="3" max="3" width="12.6333333333333" style="1" customWidth="1"/>
    <col min="4" max="4" width="12.725" style="1" customWidth="1"/>
    <col min="5" max="5" width="15.6333333333333" style="1" customWidth="1"/>
    <col min="6" max="6" width="11.6333333333333" style="1" customWidth="1"/>
    <col min="7" max="7" width="12.3666666666667" style="1" customWidth="1"/>
    <col min="8" max="8" width="10.1833333333333" style="1" customWidth="1"/>
    <col min="9" max="9" width="13.5416666666667" style="1" customWidth="1"/>
    <col min="10" max="11" width="11.1833333333333" style="1" customWidth="1"/>
    <col min="12" max="13" width="10.5416666666667" style="1" customWidth="1"/>
    <col min="14" max="25" width="10.2666666666667" style="1" customWidth="1"/>
    <col min="26" max="16384" width="8.725" style="1"/>
  </cols>
  <sheetData>
    <row r="1" ht="16.5" hidden="1" customHeight="1" spans="1:17">
      <c r="A1" s="162" t="s">
        <v>185</v>
      </c>
      <c r="B1" s="1" t="s">
        <v>1435</v>
      </c>
      <c r="C1" s="1" t="s">
        <v>1436</v>
      </c>
    </row>
    <row r="2" ht="16.5" hidden="1" customHeight="1" spans="1:17">
      <c r="B2" s="754" t="s">
        <v>1437</v>
      </c>
      <c r="C2" s="1" t="s">
        <v>1438</v>
      </c>
    </row>
    <row r="3" ht="16.5" hidden="1" customHeight="1" spans="1:17">
      <c r="B3" s="754" t="s">
        <v>1439</v>
      </c>
      <c r="C3" s="1" t="s">
        <v>340</v>
      </c>
    </row>
    <row r="4" ht="16.5" hidden="1" customHeight="1" spans="1:17">
      <c r="B4" s="754" t="s">
        <v>1440</v>
      </c>
      <c r="C4" s="1" t="s">
        <v>1441</v>
      </c>
    </row>
    <row r="5" ht="16.5" hidden="1" customHeight="1" spans="1:17">
      <c r="B5" s="754" t="s">
        <v>1442</v>
      </c>
      <c r="C5" s="1" t="s">
        <v>1443</v>
      </c>
    </row>
    <row r="6" ht="16.5" hidden="1" customHeight="1" spans="1:17">
      <c r="B6" s="754" t="s">
        <v>333</v>
      </c>
      <c r="C6" s="1" t="s">
        <v>1444</v>
      </c>
    </row>
    <row r="7" ht="16.5" hidden="1" customHeight="1" spans="1:17">
      <c r="B7" s="754" t="s">
        <v>1445</v>
      </c>
      <c r="C7" s="1" t="s">
        <v>1446</v>
      </c>
    </row>
    <row r="8" ht="9" hidden="1" customHeight="1" spans="1:17">
      <c r="B8" s="754"/>
    </row>
    <row r="9" ht="9" hidden="1" customHeight="1"/>
    <row r="10" ht="3.65" customHeight="1" spans="1:17">
      <c r="B10" s="755"/>
      <c r="E10" s="756"/>
      <c r="F10" s="756"/>
    </row>
    <row r="11" ht="13" customHeight="1" spans="1:17">
      <c r="B11" s="492" t="s">
        <v>1608</v>
      </c>
      <c r="C11" s="492"/>
      <c r="D11" s="492"/>
      <c r="E11" s="492"/>
      <c r="F11" s="7" t="s">
        <v>1404</v>
      </c>
      <c r="G11" s="8" t="s">
        <v>1405</v>
      </c>
      <c r="H11" s="8"/>
      <c r="I11" s="8"/>
      <c r="J11" s="8"/>
      <c r="K11" s="8"/>
      <c r="L11" s="8"/>
      <c r="M11" s="8"/>
      <c r="N11" s="8"/>
      <c r="O11" s="8"/>
      <c r="P11" s="8"/>
      <c r="Q11" s="70"/>
    </row>
    <row r="12" ht="13" customHeight="1" spans="1:17">
      <c r="B12" s="492"/>
      <c r="C12" s="492"/>
      <c r="D12" s="492"/>
      <c r="E12" s="492"/>
      <c r="F12" s="12"/>
      <c r="G12" s="13" t="s">
        <v>1609</v>
      </c>
      <c r="H12" s="13"/>
      <c r="I12" s="13"/>
      <c r="J12" s="13"/>
      <c r="K12" s="13"/>
      <c r="L12" s="13"/>
      <c r="M12" s="14"/>
      <c r="N12" s="14"/>
      <c r="O12" s="14"/>
      <c r="P12" s="14"/>
      <c r="Q12" s="71"/>
    </row>
    <row r="13" customHeight="1" spans="1:17">
      <c r="B13" s="492"/>
      <c r="C13" s="492"/>
      <c r="D13" s="492"/>
      <c r="E13" s="492"/>
      <c r="F13" s="12"/>
      <c r="G13" s="13" t="s">
        <v>1610</v>
      </c>
      <c r="H13" s="13"/>
      <c r="I13" s="13"/>
      <c r="J13" s="13"/>
      <c r="K13" s="13"/>
      <c r="L13" s="13"/>
      <c r="M13" s="15"/>
      <c r="N13" s="15"/>
      <c r="O13" s="15"/>
      <c r="P13" s="14"/>
      <c r="Q13" s="71"/>
    </row>
    <row r="14" customHeight="1" spans="1:17">
      <c r="B14" s="492"/>
      <c r="C14" s="492"/>
      <c r="D14" s="492"/>
      <c r="E14" s="492"/>
      <c r="F14" s="12"/>
      <c r="G14" s="13" t="s">
        <v>1408</v>
      </c>
      <c r="H14" s="13"/>
      <c r="I14" s="13"/>
      <c r="J14" s="13"/>
      <c r="K14" s="13"/>
      <c r="L14" s="13"/>
      <c r="M14" s="15"/>
      <c r="N14" s="15"/>
      <c r="O14" s="15"/>
      <c r="P14" s="14"/>
      <c r="Q14" s="71"/>
    </row>
    <row r="15" customHeight="1" spans="1:17">
      <c r="B15" s="292" t="s">
        <v>1611</v>
      </c>
      <c r="C15" s="292"/>
      <c r="D15" s="292"/>
      <c r="E15" s="292"/>
      <c r="F15" s="12"/>
      <c r="G15" s="22"/>
      <c r="H15" s="22"/>
      <c r="I15" s="13"/>
      <c r="J15" s="13"/>
      <c r="K15" s="13"/>
      <c r="L15" s="13"/>
      <c r="M15" s="15"/>
      <c r="N15" s="15"/>
      <c r="O15" s="15"/>
      <c r="P15" s="14"/>
      <c r="Q15" s="71"/>
    </row>
    <row r="16" customHeight="1" spans="1:17">
      <c r="B16" s="292"/>
      <c r="C16" s="292"/>
      <c r="D16" s="292"/>
      <c r="E16" s="292"/>
      <c r="F16" s="26" t="s">
        <v>1452</v>
      </c>
      <c r="G16" s="27"/>
      <c r="H16" s="27"/>
      <c r="I16" s="28"/>
      <c r="J16" s="28"/>
      <c r="K16" s="28"/>
      <c r="L16" s="28"/>
      <c r="M16" s="29"/>
      <c r="N16" s="29"/>
      <c r="O16" s="29"/>
      <c r="P16" s="30"/>
      <c r="Q16" s="72"/>
    </row>
    <row r="17" ht="4.5" customHeight="1" spans="2:25">
      <c r="F17" s="757"/>
      <c r="G17" s="32">
        <v>0</v>
      </c>
      <c r="H17" s="32"/>
      <c r="L17" s="33"/>
      <c r="M17" s="34"/>
      <c r="N17" s="34"/>
      <c r="O17" s="34"/>
    </row>
    <row r="18" ht="10.5" customHeight="1" spans="2:25">
      <c r="F18" s="35"/>
      <c r="G18" s="32"/>
      <c r="H18" s="32"/>
      <c r="J18" s="754" t="s">
        <v>1612</v>
      </c>
    </row>
    <row r="19" ht="15" customHeight="1" spans="2:25">
      <c r="B19" s="36" t="s">
        <v>1411</v>
      </c>
      <c r="C19" s="37" t="s">
        <v>1412</v>
      </c>
      <c r="D19" s="36" t="s">
        <v>188</v>
      </c>
      <c r="E19" s="37" t="s">
        <v>1363</v>
      </c>
      <c r="F19" s="36" t="s">
        <v>1364</v>
      </c>
      <c r="G19" s="37" t="s">
        <v>1396</v>
      </c>
      <c r="H19" s="36" t="s">
        <v>1414</v>
      </c>
      <c r="I19" s="38" t="s">
        <v>1359</v>
      </c>
    </row>
    <row r="20" ht="16.5" customHeight="1" spans="2:25">
      <c r="P20" s="754"/>
      <c r="Q20" s="175"/>
    </row>
    <row r="21" s="753" customFormat="1" ht="21" customHeight="1" spans="2:25">
      <c r="B21" s="759" t="s">
        <v>1455</v>
      </c>
      <c r="C21" s="760" t="s">
        <v>1366</v>
      </c>
      <c r="D21" s="794" t="s">
        <v>1613</v>
      </c>
      <c r="E21" s="759" t="s">
        <v>489</v>
      </c>
      <c r="F21" s="759" t="s">
        <v>490</v>
      </c>
      <c r="G21" s="759" t="s">
        <v>1369</v>
      </c>
      <c r="H21" s="794" t="s">
        <v>493</v>
      </c>
      <c r="I21" s="759" t="s">
        <v>1457</v>
      </c>
      <c r="J21" s="760" t="s">
        <v>1458</v>
      </c>
      <c r="K21" s="760" t="s">
        <v>1459</v>
      </c>
      <c r="L21" s="760" t="s">
        <v>1460</v>
      </c>
      <c r="M21" s="760" t="s">
        <v>1461</v>
      </c>
      <c r="N21" s="795" t="s">
        <v>1427</v>
      </c>
      <c r="O21" s="796"/>
      <c r="P21" s="796"/>
      <c r="Q21" s="796"/>
      <c r="R21" s="796"/>
      <c r="S21" s="796"/>
      <c r="T21" s="796"/>
      <c r="U21" s="796"/>
      <c r="V21" s="796"/>
      <c r="W21" s="796"/>
      <c r="X21" s="796"/>
      <c r="Y21" s="797"/>
    </row>
    <row r="22" s="753" customFormat="1" ht="21" customHeight="1" spans="2:25">
      <c r="B22" s="764"/>
      <c r="C22" s="765"/>
      <c r="D22" s="798"/>
      <c r="E22" s="764"/>
      <c r="F22" s="764"/>
      <c r="G22" s="764"/>
      <c r="H22" s="798"/>
      <c r="I22" s="764"/>
      <c r="J22" s="765"/>
      <c r="K22" s="765"/>
      <c r="L22" s="765"/>
      <c r="M22" s="765"/>
      <c r="N22" s="732" t="s">
        <v>304</v>
      </c>
      <c r="O22" s="732" t="s">
        <v>305</v>
      </c>
      <c r="P22" s="732" t="s">
        <v>306</v>
      </c>
      <c r="Q22" s="732" t="s">
        <v>307</v>
      </c>
      <c r="R22" s="732" t="s">
        <v>308</v>
      </c>
      <c r="S22" s="732" t="s">
        <v>309</v>
      </c>
      <c r="T22" s="732" t="s">
        <v>310</v>
      </c>
      <c r="U22" s="732" t="s">
        <v>311</v>
      </c>
      <c r="V22" s="732" t="s">
        <v>312</v>
      </c>
      <c r="W22" s="732" t="s">
        <v>313</v>
      </c>
      <c r="X22" s="732" t="s">
        <v>314</v>
      </c>
      <c r="Y22" s="732" t="s">
        <v>315</v>
      </c>
    </row>
    <row r="23" s="753" customFormat="1" ht="23" customHeight="1" spans="2:25">
      <c r="B23" s="763"/>
      <c r="C23" s="766" t="s">
        <v>1421</v>
      </c>
      <c r="D23" s="744" t="s">
        <v>1614</v>
      </c>
      <c r="E23" s="763" t="s">
        <v>1421</v>
      </c>
      <c r="F23" s="763" t="s">
        <v>1421</v>
      </c>
      <c r="G23" s="763" t="s">
        <v>1421</v>
      </c>
      <c r="H23" s="744" t="s">
        <v>1463</v>
      </c>
      <c r="I23" s="763" t="s">
        <v>1421</v>
      </c>
      <c r="J23" s="763" t="s">
        <v>1421</v>
      </c>
      <c r="K23" s="763" t="s">
        <v>1464</v>
      </c>
      <c r="L23" s="763" t="s">
        <v>199</v>
      </c>
      <c r="M23" s="763" t="s">
        <v>199</v>
      </c>
      <c r="N23" s="746" t="s">
        <v>1465</v>
      </c>
      <c r="O23" s="746" t="s">
        <v>1465</v>
      </c>
      <c r="P23" s="746" t="s">
        <v>1465</v>
      </c>
      <c r="Q23" s="746" t="s">
        <v>1465</v>
      </c>
      <c r="R23" s="746" t="s">
        <v>1465</v>
      </c>
      <c r="S23" s="746" t="s">
        <v>1465</v>
      </c>
      <c r="T23" s="746" t="s">
        <v>1465</v>
      </c>
      <c r="U23" s="746" t="s">
        <v>1465</v>
      </c>
      <c r="V23" s="746" t="s">
        <v>1465</v>
      </c>
      <c r="W23" s="746" t="s">
        <v>1465</v>
      </c>
      <c r="X23" s="746" t="s">
        <v>1465</v>
      </c>
      <c r="Y23" s="746" t="s">
        <v>1465</v>
      </c>
    </row>
    <row r="24" ht="20.5" customHeight="1" spans="2:25">
      <c r="B24" s="767" t="s">
        <v>281</v>
      </c>
      <c r="C24" s="768" t="s">
        <v>1466</v>
      </c>
      <c r="D24" s="768" t="s">
        <v>1466</v>
      </c>
      <c r="E24" s="768" t="s">
        <v>1466</v>
      </c>
      <c r="F24" s="768" t="s">
        <v>1466</v>
      </c>
      <c r="G24" s="768" t="s">
        <v>1466</v>
      </c>
      <c r="H24" s="768" t="s">
        <v>1466</v>
      </c>
      <c r="I24" s="768" t="s">
        <v>1466</v>
      </c>
      <c r="J24" s="768"/>
      <c r="K24" s="769" t="s">
        <v>1464</v>
      </c>
      <c r="L24" s="769" t="s">
        <v>199</v>
      </c>
      <c r="M24" s="769" t="s">
        <v>199</v>
      </c>
      <c r="N24" s="769" t="s">
        <v>1464</v>
      </c>
      <c r="O24" s="769" t="s">
        <v>1464</v>
      </c>
      <c r="P24" s="769" t="s">
        <v>1464</v>
      </c>
      <c r="Q24" s="769" t="s">
        <v>1464</v>
      </c>
      <c r="R24" s="769" t="s">
        <v>1464</v>
      </c>
      <c r="S24" s="769" t="s">
        <v>1464</v>
      </c>
      <c r="T24" s="769" t="s">
        <v>1464</v>
      </c>
      <c r="U24" s="769" t="s">
        <v>1464</v>
      </c>
      <c r="V24" s="769" t="s">
        <v>1464</v>
      </c>
      <c r="W24" s="769" t="s">
        <v>1464</v>
      </c>
      <c r="X24" s="769" t="s">
        <v>1464</v>
      </c>
      <c r="Y24" s="769" t="s">
        <v>1464</v>
      </c>
    </row>
    <row r="25" ht="15" customHeight="1" spans="2:25">
      <c r="B25" s="767" t="s">
        <v>1467</v>
      </c>
      <c r="C25" s="770"/>
      <c r="D25" s="770"/>
      <c r="E25" s="770" t="s">
        <v>231</v>
      </c>
      <c r="F25" s="770" t="s">
        <v>993</v>
      </c>
      <c r="G25" s="770"/>
      <c r="H25" s="770" t="s">
        <v>1350</v>
      </c>
      <c r="I25" s="770"/>
      <c r="J25" s="770"/>
      <c r="K25" s="769" t="s">
        <v>1464</v>
      </c>
      <c r="L25" s="769" t="s">
        <v>199</v>
      </c>
      <c r="M25" s="769" t="s">
        <v>199</v>
      </c>
      <c r="N25" s="771"/>
      <c r="O25" s="772"/>
      <c r="P25" s="772"/>
      <c r="Q25" s="772"/>
      <c r="R25" s="772"/>
      <c r="S25" s="772"/>
      <c r="T25" s="772"/>
      <c r="U25" s="772"/>
      <c r="V25" s="773"/>
      <c r="W25" s="772"/>
      <c r="X25" s="771"/>
      <c r="Y25" s="771"/>
    </row>
    <row r="26" ht="15" customHeight="1" spans="2:25">
      <c r="B26" s="767" t="s">
        <v>1469</v>
      </c>
      <c r="C26" s="770"/>
      <c r="D26" s="770"/>
      <c r="E26" s="770"/>
      <c r="F26" s="770"/>
      <c r="G26" s="770"/>
      <c r="H26" s="770" t="s">
        <v>1351</v>
      </c>
      <c r="I26" s="770"/>
      <c r="J26" s="770"/>
      <c r="K26" s="769" t="s">
        <v>1464</v>
      </c>
      <c r="L26" s="769" t="s">
        <v>199</v>
      </c>
      <c r="M26" s="769" t="s">
        <v>199</v>
      </c>
      <c r="N26" s="771"/>
      <c r="O26" s="771"/>
      <c r="P26" s="771"/>
      <c r="Q26" s="771"/>
      <c r="R26" s="772"/>
      <c r="S26" s="772"/>
      <c r="T26" s="772"/>
      <c r="U26" s="772"/>
      <c r="V26" s="773"/>
      <c r="W26" s="772"/>
      <c r="X26" s="771"/>
      <c r="Y26" s="771"/>
    </row>
    <row r="27" ht="15" customHeight="1" spans="2:25">
      <c r="B27" s="767" t="s">
        <v>1471</v>
      </c>
      <c r="C27" s="770"/>
      <c r="D27" s="770"/>
      <c r="E27" s="770"/>
      <c r="F27" s="770"/>
      <c r="G27" s="770"/>
      <c r="H27" s="770" t="s">
        <v>1352</v>
      </c>
      <c r="I27" s="770"/>
      <c r="J27" s="770"/>
      <c r="K27" s="769" t="s">
        <v>1464</v>
      </c>
      <c r="L27" s="769" t="s">
        <v>199</v>
      </c>
      <c r="M27" s="769" t="s">
        <v>199</v>
      </c>
      <c r="N27" s="772"/>
      <c r="O27" s="772"/>
      <c r="P27" s="772"/>
      <c r="Q27" s="772"/>
      <c r="R27" s="772"/>
      <c r="S27" s="772"/>
      <c r="T27" s="772"/>
      <c r="U27" s="772"/>
      <c r="V27" s="773"/>
      <c r="W27" s="772"/>
      <c r="X27" s="771"/>
      <c r="Y27" s="771"/>
    </row>
    <row r="28" ht="15" customHeight="1" spans="2:25">
      <c r="B28" s="767" t="s">
        <v>1472</v>
      </c>
      <c r="C28" s="770"/>
      <c r="D28" s="770"/>
      <c r="E28" s="770"/>
      <c r="F28" s="770"/>
      <c r="G28" s="770"/>
      <c r="H28" s="770" t="s">
        <v>993</v>
      </c>
      <c r="I28" s="770"/>
      <c r="J28" s="770"/>
      <c r="K28" s="769" t="s">
        <v>1464</v>
      </c>
      <c r="L28" s="769" t="s">
        <v>199</v>
      </c>
      <c r="M28" s="769" t="s">
        <v>199</v>
      </c>
      <c r="N28" s="772"/>
      <c r="O28" s="772"/>
      <c r="P28" s="772"/>
      <c r="Q28" s="772"/>
      <c r="R28" s="772"/>
      <c r="S28" s="772"/>
      <c r="T28" s="772"/>
      <c r="U28" s="771"/>
      <c r="V28" s="773"/>
      <c r="W28" s="771"/>
      <c r="X28" s="771"/>
      <c r="Y28" s="771"/>
    </row>
    <row r="29" ht="15" customHeight="1" spans="2:25">
      <c r="B29" s="767" t="s">
        <v>1473</v>
      </c>
      <c r="C29" s="770"/>
      <c r="D29" s="770"/>
      <c r="E29" s="770"/>
      <c r="F29" s="770"/>
      <c r="G29" s="770"/>
      <c r="H29" s="770"/>
      <c r="I29" s="770"/>
      <c r="J29" s="770"/>
      <c r="K29" s="769" t="s">
        <v>1464</v>
      </c>
      <c r="L29" s="769" t="s">
        <v>199</v>
      </c>
      <c r="M29" s="769" t="s">
        <v>199</v>
      </c>
      <c r="N29" s="771"/>
      <c r="O29" s="771"/>
      <c r="P29" s="771"/>
      <c r="Q29" s="771"/>
      <c r="R29" s="771"/>
      <c r="S29" s="771"/>
      <c r="T29" s="771"/>
      <c r="U29" s="771"/>
      <c r="V29" s="773"/>
      <c r="W29" s="772"/>
      <c r="X29" s="777"/>
      <c r="Y29" s="777"/>
    </row>
    <row r="30" ht="15" customHeight="1" spans="2:25">
      <c r="B30" s="767" t="s">
        <v>1474</v>
      </c>
      <c r="C30" s="770"/>
      <c r="D30" s="770"/>
      <c r="E30" s="770"/>
      <c r="F30" s="770"/>
      <c r="G30" s="770"/>
      <c r="H30" s="770"/>
      <c r="I30" s="770"/>
      <c r="J30" s="770"/>
      <c r="K30" s="769" t="s">
        <v>1464</v>
      </c>
      <c r="L30" s="769" t="s">
        <v>199</v>
      </c>
      <c r="M30" s="769" t="s">
        <v>199</v>
      </c>
      <c r="N30" s="772"/>
      <c r="O30" s="772"/>
      <c r="P30" s="772"/>
      <c r="Q30" s="772"/>
      <c r="R30" s="772"/>
      <c r="S30" s="772"/>
      <c r="T30" s="772"/>
      <c r="U30" s="772"/>
      <c r="V30" s="779"/>
      <c r="W30" s="780"/>
      <c r="X30" s="781"/>
      <c r="Y30" s="781"/>
    </row>
    <row r="31" ht="15" customHeight="1" spans="2:25">
      <c r="B31" s="767" t="s">
        <v>1475</v>
      </c>
      <c r="C31" s="770"/>
      <c r="D31" s="770"/>
      <c r="E31" s="770"/>
      <c r="F31" s="770"/>
      <c r="G31" s="770"/>
      <c r="H31" s="770"/>
      <c r="I31" s="770"/>
      <c r="J31" s="770"/>
      <c r="K31" s="769" t="s">
        <v>1464</v>
      </c>
      <c r="L31" s="769" t="s">
        <v>199</v>
      </c>
      <c r="M31" s="769" t="s">
        <v>199</v>
      </c>
      <c r="N31" s="782"/>
      <c r="O31" s="782"/>
      <c r="P31" s="782"/>
      <c r="Q31" s="782"/>
      <c r="R31" s="782"/>
      <c r="S31" s="782"/>
      <c r="T31" s="782"/>
      <c r="U31" s="782"/>
      <c r="V31" s="783"/>
      <c r="W31" s="782"/>
      <c r="X31" s="782"/>
      <c r="Y31" s="782"/>
    </row>
    <row r="32" ht="15" customHeight="1" spans="2:25">
      <c r="B32" s="767" t="s">
        <v>1476</v>
      </c>
      <c r="C32" s="770"/>
      <c r="D32" s="770"/>
      <c r="E32" s="770"/>
      <c r="F32" s="770"/>
      <c r="G32" s="770"/>
      <c r="H32" s="770"/>
      <c r="I32" s="770"/>
      <c r="J32" s="770"/>
      <c r="K32" s="769" t="s">
        <v>1464</v>
      </c>
      <c r="L32" s="769" t="s">
        <v>199</v>
      </c>
      <c r="M32" s="769" t="s">
        <v>199</v>
      </c>
      <c r="N32" s="782"/>
      <c r="O32" s="782"/>
      <c r="P32" s="782"/>
      <c r="Q32" s="782"/>
      <c r="R32" s="782"/>
      <c r="S32" s="782"/>
      <c r="T32" s="782"/>
      <c r="U32" s="782"/>
      <c r="V32" s="783"/>
      <c r="W32" s="782"/>
      <c r="X32" s="782"/>
      <c r="Y32" s="782"/>
    </row>
    <row r="33" ht="15" customHeight="1" spans="2:25">
      <c r="B33" s="767" t="s">
        <v>1477</v>
      </c>
      <c r="C33" s="784"/>
      <c r="D33" s="785"/>
      <c r="E33" s="785"/>
      <c r="F33" s="785"/>
      <c r="G33" s="785"/>
      <c r="H33" s="784"/>
      <c r="I33" s="784"/>
      <c r="J33" s="770"/>
      <c r="K33" s="769" t="s">
        <v>1464</v>
      </c>
      <c r="L33" s="769" t="s">
        <v>199</v>
      </c>
      <c r="M33" s="769" t="s">
        <v>199</v>
      </c>
      <c r="N33" s="782"/>
      <c r="O33" s="782"/>
      <c r="P33" s="782"/>
      <c r="Q33" s="782"/>
      <c r="R33" s="782"/>
      <c r="S33" s="782"/>
      <c r="T33" s="782"/>
      <c r="U33" s="782"/>
      <c r="V33" s="783"/>
      <c r="W33" s="782"/>
      <c r="X33" s="782"/>
      <c r="Y33" s="782"/>
    </row>
    <row r="34" ht="15" customHeight="1" spans="2:25">
      <c r="B34" s="767" t="s">
        <v>1478</v>
      </c>
      <c r="C34" s="784"/>
      <c r="D34" s="785"/>
      <c r="E34" s="785"/>
      <c r="F34" s="785"/>
      <c r="G34" s="785"/>
      <c r="H34" s="784"/>
      <c r="I34" s="784"/>
      <c r="J34" s="770"/>
      <c r="K34" s="769" t="s">
        <v>1464</v>
      </c>
      <c r="L34" s="769" t="s">
        <v>199</v>
      </c>
      <c r="M34" s="769" t="s">
        <v>199</v>
      </c>
      <c r="N34" s="782"/>
      <c r="O34" s="782"/>
      <c r="P34" s="782"/>
      <c r="Q34" s="782"/>
      <c r="R34" s="782"/>
      <c r="S34" s="782"/>
      <c r="T34" s="782"/>
      <c r="U34" s="782"/>
      <c r="V34" s="783"/>
      <c r="W34" s="782"/>
      <c r="X34" s="782"/>
      <c r="Y34" s="782"/>
    </row>
    <row r="35" ht="15" customHeight="1" spans="2:25">
      <c r="B35" s="767" t="s">
        <v>1479</v>
      </c>
      <c r="C35" s="784"/>
      <c r="D35" s="785"/>
      <c r="E35" s="785"/>
      <c r="F35" s="785"/>
      <c r="G35" s="785"/>
      <c r="H35" s="784"/>
      <c r="I35" s="784"/>
      <c r="J35" s="770"/>
      <c r="K35" s="769" t="s">
        <v>1464</v>
      </c>
      <c r="L35" s="769" t="s">
        <v>199</v>
      </c>
      <c r="M35" s="769" t="s">
        <v>199</v>
      </c>
      <c r="N35" s="782"/>
      <c r="O35" s="782"/>
      <c r="P35" s="782"/>
      <c r="Q35" s="782"/>
      <c r="R35" s="782"/>
      <c r="S35" s="782"/>
      <c r="T35" s="782"/>
      <c r="U35" s="782"/>
      <c r="V35" s="783"/>
      <c r="W35" s="782"/>
      <c r="X35" s="782"/>
      <c r="Y35" s="782"/>
    </row>
    <row r="36" ht="15" customHeight="1" spans="2:25">
      <c r="B36" s="767" t="s">
        <v>1480</v>
      </c>
      <c r="C36" s="784"/>
      <c r="D36" s="785"/>
      <c r="E36" s="785"/>
      <c r="F36" s="785"/>
      <c r="G36" s="785"/>
      <c r="H36" s="784"/>
      <c r="I36" s="784"/>
      <c r="J36" s="770"/>
      <c r="K36" s="769" t="s">
        <v>1464</v>
      </c>
      <c r="L36" s="769" t="s">
        <v>199</v>
      </c>
      <c r="M36" s="769" t="s">
        <v>199</v>
      </c>
      <c r="N36" s="782"/>
      <c r="O36" s="782"/>
      <c r="P36" s="782"/>
      <c r="Q36" s="782"/>
      <c r="R36" s="782"/>
      <c r="S36" s="782"/>
      <c r="T36" s="782"/>
      <c r="U36" s="782"/>
      <c r="V36" s="783"/>
      <c r="W36" s="782"/>
      <c r="X36" s="782"/>
      <c r="Y36" s="782"/>
    </row>
    <row r="37" ht="15" customHeight="1" spans="2:25">
      <c r="B37" s="767" t="s">
        <v>1481</v>
      </c>
      <c r="C37" s="784"/>
      <c r="D37" s="784"/>
      <c r="E37" s="784"/>
      <c r="F37" s="784"/>
      <c r="G37" s="784"/>
      <c r="H37" s="784"/>
      <c r="I37" s="784"/>
      <c r="J37" s="770"/>
      <c r="K37" s="769" t="s">
        <v>1464</v>
      </c>
      <c r="L37" s="769" t="s">
        <v>199</v>
      </c>
      <c r="M37" s="769" t="s">
        <v>199</v>
      </c>
      <c r="N37" s="782"/>
      <c r="O37" s="782"/>
      <c r="P37" s="782"/>
      <c r="Q37" s="782"/>
      <c r="R37" s="782"/>
      <c r="S37" s="782"/>
      <c r="T37" s="782"/>
      <c r="U37" s="782"/>
      <c r="V37" s="783"/>
      <c r="W37" s="782"/>
      <c r="X37" s="782"/>
      <c r="Y37" s="782"/>
    </row>
    <row r="38" ht="15" customHeight="1" spans="2:25">
      <c r="B38" s="767" t="s">
        <v>1482</v>
      </c>
      <c r="C38" s="784"/>
      <c r="D38" s="784"/>
      <c r="E38" s="784"/>
      <c r="F38" s="784"/>
      <c r="G38" s="784"/>
      <c r="H38" s="784"/>
      <c r="I38" s="784"/>
      <c r="J38" s="770"/>
      <c r="K38" s="769" t="s">
        <v>1464</v>
      </c>
      <c r="L38" s="769" t="s">
        <v>199</v>
      </c>
      <c r="M38" s="769" t="s">
        <v>199</v>
      </c>
      <c r="N38" s="782"/>
      <c r="O38" s="782"/>
      <c r="P38" s="782"/>
      <c r="Q38" s="782"/>
      <c r="R38" s="782"/>
      <c r="S38" s="782"/>
      <c r="T38" s="782"/>
      <c r="U38" s="782"/>
      <c r="V38" s="783"/>
      <c r="W38" s="782"/>
      <c r="X38" s="782"/>
      <c r="Y38" s="782"/>
    </row>
    <row r="39" ht="15" customHeight="1" spans="2:25">
      <c r="B39" s="767" t="s">
        <v>1483</v>
      </c>
      <c r="C39" s="784"/>
      <c r="D39" s="784"/>
      <c r="E39" s="784"/>
      <c r="F39" s="784"/>
      <c r="G39" s="784"/>
      <c r="H39" s="784"/>
      <c r="I39" s="784"/>
      <c r="J39" s="770"/>
      <c r="K39" s="769" t="s">
        <v>1464</v>
      </c>
      <c r="L39" s="769" t="s">
        <v>199</v>
      </c>
      <c r="M39" s="769" t="s">
        <v>199</v>
      </c>
      <c r="N39" s="782"/>
      <c r="O39" s="782"/>
      <c r="P39" s="782"/>
      <c r="Q39" s="782"/>
      <c r="R39" s="782"/>
      <c r="S39" s="782"/>
      <c r="T39" s="782"/>
      <c r="U39" s="782"/>
      <c r="V39" s="783"/>
      <c r="W39" s="782"/>
      <c r="X39" s="782"/>
      <c r="Y39" s="782"/>
    </row>
    <row r="40" ht="15" customHeight="1" spans="2:25">
      <c r="B40" s="767" t="s">
        <v>1484</v>
      </c>
      <c r="C40" s="784"/>
      <c r="D40" s="784"/>
      <c r="E40" s="784"/>
      <c r="F40" s="784"/>
      <c r="G40" s="784"/>
      <c r="H40" s="784"/>
      <c r="I40" s="784"/>
      <c r="J40" s="770"/>
      <c r="K40" s="769" t="s">
        <v>1464</v>
      </c>
      <c r="L40" s="769" t="s">
        <v>199</v>
      </c>
      <c r="M40" s="769" t="s">
        <v>199</v>
      </c>
      <c r="N40" s="782"/>
      <c r="O40" s="782"/>
      <c r="P40" s="782"/>
      <c r="Q40" s="782"/>
      <c r="R40" s="782"/>
      <c r="S40" s="782"/>
      <c r="T40" s="782"/>
      <c r="U40" s="782"/>
      <c r="V40" s="783"/>
      <c r="W40" s="782"/>
      <c r="X40" s="782"/>
      <c r="Y40" s="782"/>
    </row>
    <row r="41" ht="15" customHeight="1" spans="2:25">
      <c r="B41" s="767" t="s">
        <v>1485</v>
      </c>
      <c r="C41" s="784"/>
      <c r="D41" s="784"/>
      <c r="E41" s="784"/>
      <c r="F41" s="784"/>
      <c r="G41" s="784"/>
      <c r="H41" s="784"/>
      <c r="I41" s="784"/>
      <c r="J41" s="770"/>
      <c r="K41" s="769" t="s">
        <v>1464</v>
      </c>
      <c r="L41" s="769" t="s">
        <v>199</v>
      </c>
      <c r="M41" s="769" t="s">
        <v>199</v>
      </c>
      <c r="N41" s="782"/>
      <c r="O41" s="782"/>
      <c r="P41" s="782"/>
      <c r="Q41" s="782"/>
      <c r="R41" s="782"/>
      <c r="S41" s="782"/>
      <c r="T41" s="782"/>
      <c r="U41" s="782"/>
      <c r="V41" s="783"/>
      <c r="W41" s="782"/>
      <c r="X41" s="782"/>
      <c r="Y41" s="782"/>
    </row>
    <row r="42" ht="15" customHeight="1" spans="2:25">
      <c r="B42" s="767" t="s">
        <v>1486</v>
      </c>
      <c r="C42" s="784"/>
      <c r="D42" s="784"/>
      <c r="E42" s="784"/>
      <c r="F42" s="784"/>
      <c r="G42" s="784"/>
      <c r="H42" s="784"/>
      <c r="I42" s="784"/>
      <c r="J42" s="770"/>
      <c r="K42" s="769" t="s">
        <v>1464</v>
      </c>
      <c r="L42" s="769" t="s">
        <v>199</v>
      </c>
      <c r="M42" s="769" t="s">
        <v>199</v>
      </c>
      <c r="N42" s="782"/>
      <c r="O42" s="782"/>
      <c r="P42" s="782"/>
      <c r="Q42" s="782"/>
      <c r="R42" s="782"/>
      <c r="S42" s="782"/>
      <c r="T42" s="782"/>
      <c r="U42" s="782"/>
      <c r="V42" s="783"/>
      <c r="W42" s="782"/>
      <c r="X42" s="782"/>
      <c r="Y42" s="782"/>
    </row>
    <row r="43" ht="15" customHeight="1" spans="2:25">
      <c r="B43" s="767" t="s">
        <v>1487</v>
      </c>
      <c r="C43" s="784"/>
      <c r="D43" s="784"/>
      <c r="E43" s="784"/>
      <c r="F43" s="784"/>
      <c r="G43" s="784"/>
      <c r="H43" s="784"/>
      <c r="I43" s="784"/>
      <c r="J43" s="770"/>
      <c r="K43" s="769" t="s">
        <v>1464</v>
      </c>
      <c r="L43" s="769" t="s">
        <v>199</v>
      </c>
      <c r="M43" s="769" t="s">
        <v>199</v>
      </c>
      <c r="N43" s="782"/>
      <c r="O43" s="782"/>
      <c r="P43" s="782"/>
      <c r="Q43" s="782"/>
      <c r="R43" s="782"/>
      <c r="S43" s="782"/>
      <c r="T43" s="782"/>
      <c r="U43" s="782"/>
      <c r="V43" s="783"/>
      <c r="W43" s="782"/>
      <c r="X43" s="782"/>
      <c r="Y43" s="782"/>
    </row>
    <row r="44" ht="15" customHeight="1" spans="2:25">
      <c r="B44" s="767" t="s">
        <v>1488</v>
      </c>
      <c r="C44" s="784"/>
      <c r="D44" s="784"/>
      <c r="E44" s="784"/>
      <c r="F44" s="784"/>
      <c r="G44" s="784"/>
      <c r="H44" s="784"/>
      <c r="I44" s="784"/>
      <c r="J44" s="770"/>
      <c r="K44" s="769" t="s">
        <v>1464</v>
      </c>
      <c r="L44" s="769" t="s">
        <v>199</v>
      </c>
      <c r="M44" s="769" t="s">
        <v>199</v>
      </c>
      <c r="N44" s="782"/>
      <c r="O44" s="782"/>
      <c r="P44" s="782"/>
      <c r="Q44" s="782"/>
      <c r="R44" s="782"/>
      <c r="S44" s="782"/>
      <c r="T44" s="782"/>
      <c r="U44" s="782"/>
      <c r="V44" s="783"/>
      <c r="W44" s="782"/>
      <c r="X44" s="782"/>
      <c r="Y44" s="782"/>
    </row>
    <row r="45" ht="15" customHeight="1" spans="2:25">
      <c r="B45" s="767" t="s">
        <v>1489</v>
      </c>
      <c r="C45" s="784"/>
      <c r="D45" s="784"/>
      <c r="E45" s="784"/>
      <c r="F45" s="784"/>
      <c r="G45" s="784"/>
      <c r="H45" s="784"/>
      <c r="I45" s="784"/>
      <c r="J45" s="770"/>
      <c r="K45" s="769" t="s">
        <v>1464</v>
      </c>
      <c r="L45" s="769" t="s">
        <v>199</v>
      </c>
      <c r="M45" s="769" t="s">
        <v>199</v>
      </c>
      <c r="N45" s="782"/>
      <c r="O45" s="782"/>
      <c r="P45" s="782"/>
      <c r="Q45" s="782"/>
      <c r="R45" s="782"/>
      <c r="S45" s="782"/>
      <c r="T45" s="782"/>
      <c r="U45" s="782"/>
      <c r="V45" s="783"/>
      <c r="W45" s="782"/>
      <c r="X45" s="782"/>
      <c r="Y45" s="782"/>
    </row>
    <row r="46" ht="15" customHeight="1" spans="2:25">
      <c r="B46" s="767" t="s">
        <v>1490</v>
      </c>
      <c r="C46" s="786"/>
      <c r="D46" s="786"/>
      <c r="E46" s="786"/>
      <c r="F46" s="786"/>
      <c r="G46" s="786"/>
      <c r="H46" s="784"/>
      <c r="I46" s="784"/>
      <c r="J46" s="770"/>
      <c r="K46" s="769" t="s">
        <v>1464</v>
      </c>
      <c r="L46" s="769" t="s">
        <v>199</v>
      </c>
      <c r="M46" s="769" t="s">
        <v>199</v>
      </c>
      <c r="N46" s="782"/>
      <c r="O46" s="782"/>
      <c r="P46" s="782"/>
      <c r="Q46" s="782"/>
      <c r="R46" s="782"/>
      <c r="S46" s="782"/>
      <c r="T46" s="782"/>
      <c r="U46" s="782"/>
      <c r="V46" s="783"/>
      <c r="W46" s="782"/>
      <c r="X46" s="782"/>
      <c r="Y46" s="782"/>
    </row>
    <row r="47" ht="15" customHeight="1" spans="2:25">
      <c r="B47" s="767" t="s">
        <v>1491</v>
      </c>
      <c r="C47" s="786"/>
      <c r="D47" s="786"/>
      <c r="E47" s="786"/>
      <c r="F47" s="786"/>
      <c r="G47" s="786"/>
      <c r="H47" s="784"/>
      <c r="I47" s="784"/>
      <c r="J47" s="770"/>
      <c r="K47" s="769" t="s">
        <v>1464</v>
      </c>
      <c r="L47" s="769" t="s">
        <v>199</v>
      </c>
      <c r="M47" s="769" t="s">
        <v>199</v>
      </c>
      <c r="N47" s="782"/>
      <c r="O47" s="782"/>
      <c r="P47" s="782"/>
      <c r="Q47" s="782"/>
      <c r="R47" s="782"/>
      <c r="S47" s="782"/>
      <c r="T47" s="782"/>
      <c r="U47" s="782"/>
      <c r="V47" s="783"/>
      <c r="W47" s="782"/>
      <c r="X47" s="782"/>
      <c r="Y47" s="782"/>
    </row>
    <row r="48" ht="15" customHeight="1" spans="2:25">
      <c r="B48" s="767" t="s">
        <v>1492</v>
      </c>
      <c r="C48" s="786"/>
      <c r="D48" s="786"/>
      <c r="E48" s="786"/>
      <c r="F48" s="786"/>
      <c r="G48" s="786"/>
      <c r="H48" s="784"/>
      <c r="I48" s="784"/>
      <c r="J48" s="770"/>
      <c r="K48" s="769" t="s">
        <v>1464</v>
      </c>
      <c r="L48" s="769" t="s">
        <v>199</v>
      </c>
      <c r="M48" s="769" t="s">
        <v>199</v>
      </c>
      <c r="N48" s="782"/>
      <c r="O48" s="782"/>
      <c r="P48" s="782"/>
      <c r="Q48" s="782"/>
      <c r="R48" s="782"/>
      <c r="S48" s="782"/>
      <c r="T48" s="782"/>
      <c r="U48" s="782"/>
      <c r="V48" s="783"/>
      <c r="W48" s="782"/>
      <c r="X48" s="782"/>
      <c r="Y48" s="782"/>
    </row>
    <row r="49" ht="15" customHeight="1" spans="2:25">
      <c r="B49" s="767" t="s">
        <v>1493</v>
      </c>
      <c r="C49" s="786"/>
      <c r="D49" s="786"/>
      <c r="E49" s="786"/>
      <c r="F49" s="786"/>
      <c r="G49" s="786"/>
      <c r="H49" s="784"/>
      <c r="I49" s="784"/>
      <c r="J49" s="770"/>
      <c r="K49" s="769" t="s">
        <v>1464</v>
      </c>
      <c r="L49" s="769" t="s">
        <v>199</v>
      </c>
      <c r="M49" s="769" t="s">
        <v>199</v>
      </c>
      <c r="N49" s="782"/>
      <c r="O49" s="782"/>
      <c r="P49" s="782"/>
      <c r="Q49" s="782"/>
      <c r="R49" s="782"/>
      <c r="S49" s="782"/>
      <c r="T49" s="782"/>
      <c r="U49" s="782"/>
      <c r="V49" s="783"/>
      <c r="W49" s="782"/>
      <c r="X49" s="782"/>
      <c r="Y49" s="782"/>
    </row>
    <row r="50" ht="15" customHeight="1" spans="2:25">
      <c r="B50" s="767" t="s">
        <v>1494</v>
      </c>
      <c r="C50" s="784"/>
      <c r="D50" s="784"/>
      <c r="E50" s="784"/>
      <c r="F50" s="784"/>
      <c r="G50" s="784"/>
      <c r="H50" s="784"/>
      <c r="I50" s="784"/>
      <c r="J50" s="770"/>
      <c r="K50" s="769" t="s">
        <v>1464</v>
      </c>
      <c r="L50" s="769" t="s">
        <v>199</v>
      </c>
      <c r="M50" s="769" t="s">
        <v>199</v>
      </c>
      <c r="N50" s="782"/>
      <c r="O50" s="782"/>
      <c r="P50" s="782"/>
      <c r="Q50" s="782"/>
      <c r="R50" s="782"/>
      <c r="S50" s="782"/>
      <c r="T50" s="782"/>
      <c r="U50" s="782"/>
      <c r="V50" s="783"/>
      <c r="W50" s="782"/>
      <c r="X50" s="782"/>
      <c r="Y50" s="782"/>
    </row>
    <row r="51" ht="15" customHeight="1" spans="2:25">
      <c r="B51" s="767" t="s">
        <v>1495</v>
      </c>
      <c r="C51" s="784"/>
      <c r="D51" s="784"/>
      <c r="E51" s="784"/>
      <c r="F51" s="784"/>
      <c r="G51" s="784"/>
      <c r="H51" s="784"/>
      <c r="I51" s="784"/>
      <c r="J51" s="770"/>
      <c r="K51" s="769" t="s">
        <v>1464</v>
      </c>
      <c r="L51" s="769" t="s">
        <v>199</v>
      </c>
      <c r="M51" s="769" t="s">
        <v>199</v>
      </c>
      <c r="N51" s="782"/>
      <c r="O51" s="782"/>
      <c r="P51" s="782"/>
      <c r="Q51" s="782"/>
      <c r="R51" s="782"/>
      <c r="S51" s="782"/>
      <c r="T51" s="782"/>
      <c r="U51" s="782"/>
      <c r="V51" s="783"/>
      <c r="W51" s="782"/>
      <c r="X51" s="782"/>
      <c r="Y51" s="782"/>
    </row>
    <row r="52" ht="15" customHeight="1" spans="2:25">
      <c r="B52" s="767" t="s">
        <v>1496</v>
      </c>
      <c r="C52" s="784"/>
      <c r="D52" s="784"/>
      <c r="E52" s="784"/>
      <c r="F52" s="784"/>
      <c r="G52" s="784"/>
      <c r="H52" s="784"/>
      <c r="I52" s="784"/>
      <c r="J52" s="770"/>
      <c r="K52" s="769" t="s">
        <v>1464</v>
      </c>
      <c r="L52" s="769" t="s">
        <v>199</v>
      </c>
      <c r="M52" s="769" t="s">
        <v>199</v>
      </c>
      <c r="N52" s="782"/>
      <c r="O52" s="782"/>
      <c r="P52" s="782"/>
      <c r="Q52" s="782"/>
      <c r="R52" s="782"/>
      <c r="S52" s="782"/>
      <c r="T52" s="782"/>
      <c r="U52" s="782"/>
      <c r="V52" s="783"/>
      <c r="W52" s="782"/>
      <c r="X52" s="782"/>
      <c r="Y52" s="782"/>
    </row>
    <row r="53" ht="15" customHeight="1" spans="2:25">
      <c r="B53" s="767" t="s">
        <v>1497</v>
      </c>
      <c r="C53" s="784"/>
      <c r="D53" s="784"/>
      <c r="E53" s="784"/>
      <c r="F53" s="784"/>
      <c r="G53" s="784"/>
      <c r="H53" s="784"/>
      <c r="I53" s="784"/>
      <c r="J53" s="770"/>
      <c r="K53" s="769" t="s">
        <v>1464</v>
      </c>
      <c r="L53" s="769" t="s">
        <v>199</v>
      </c>
      <c r="M53" s="769" t="s">
        <v>199</v>
      </c>
      <c r="N53" s="782"/>
      <c r="O53" s="782"/>
      <c r="P53" s="782"/>
      <c r="Q53" s="782"/>
      <c r="R53" s="782"/>
      <c r="S53" s="782"/>
      <c r="T53" s="782"/>
      <c r="U53" s="782"/>
      <c r="V53" s="783"/>
      <c r="W53" s="782"/>
      <c r="X53" s="782"/>
      <c r="Y53" s="782"/>
    </row>
    <row r="54" ht="15" customHeight="1" spans="2:25">
      <c r="B54" s="767" t="s">
        <v>1498</v>
      </c>
      <c r="C54" s="784"/>
      <c r="D54" s="784"/>
      <c r="E54" s="784"/>
      <c r="F54" s="784"/>
      <c r="G54" s="784"/>
      <c r="H54" s="784"/>
      <c r="I54" s="784"/>
      <c r="J54" s="770"/>
      <c r="K54" s="769" t="s">
        <v>1464</v>
      </c>
      <c r="L54" s="769" t="s">
        <v>199</v>
      </c>
      <c r="M54" s="769" t="s">
        <v>199</v>
      </c>
      <c r="N54" s="782"/>
      <c r="O54" s="782"/>
      <c r="P54" s="782"/>
      <c r="Q54" s="782"/>
      <c r="R54" s="782"/>
      <c r="S54" s="782"/>
      <c r="T54" s="782"/>
      <c r="U54" s="782"/>
      <c r="V54" s="787"/>
      <c r="W54" s="782"/>
      <c r="X54" s="782"/>
      <c r="Y54" s="782"/>
    </row>
    <row r="55" ht="15" customHeight="1" spans="2:25">
      <c r="B55" s="767" t="s">
        <v>1499</v>
      </c>
      <c r="C55" s="784"/>
      <c r="D55" s="784"/>
      <c r="E55" s="784"/>
      <c r="F55" s="784"/>
      <c r="G55" s="784"/>
      <c r="H55" s="784"/>
      <c r="I55" s="784"/>
      <c r="J55" s="770"/>
      <c r="K55" s="769" t="s">
        <v>1464</v>
      </c>
      <c r="L55" s="769" t="s">
        <v>199</v>
      </c>
      <c r="M55" s="769" t="s">
        <v>199</v>
      </c>
      <c r="N55" s="782"/>
      <c r="O55" s="782"/>
      <c r="P55" s="782"/>
      <c r="Q55" s="782"/>
      <c r="R55" s="782"/>
      <c r="S55" s="782"/>
      <c r="T55" s="782"/>
      <c r="U55" s="782"/>
      <c r="V55" s="783"/>
      <c r="W55" s="782"/>
      <c r="X55" s="782"/>
      <c r="Y55" s="782"/>
    </row>
    <row r="56" ht="15" customHeight="1" spans="2:25">
      <c r="B56" s="767" t="s">
        <v>1500</v>
      </c>
      <c r="C56" s="784"/>
      <c r="D56" s="784"/>
      <c r="E56" s="784"/>
      <c r="F56" s="784"/>
      <c r="G56" s="784"/>
      <c r="H56" s="784"/>
      <c r="I56" s="784"/>
      <c r="J56" s="770"/>
      <c r="K56" s="769" t="s">
        <v>1464</v>
      </c>
      <c r="L56" s="769" t="s">
        <v>199</v>
      </c>
      <c r="M56" s="769" t="s">
        <v>199</v>
      </c>
      <c r="N56" s="782"/>
      <c r="O56" s="782"/>
      <c r="P56" s="782"/>
      <c r="Q56" s="782"/>
      <c r="R56" s="782"/>
      <c r="S56" s="782"/>
      <c r="T56" s="782"/>
      <c r="U56" s="782"/>
      <c r="V56" s="783"/>
      <c r="W56" s="782"/>
      <c r="X56" s="782"/>
      <c r="Y56" s="782"/>
    </row>
    <row r="57" ht="15" customHeight="1" spans="2:25">
      <c r="B57" s="767" t="s">
        <v>1501</v>
      </c>
      <c r="C57" s="784"/>
      <c r="D57" s="784"/>
      <c r="E57" s="784"/>
      <c r="F57" s="784"/>
      <c r="G57" s="784"/>
      <c r="H57" s="784"/>
      <c r="I57" s="784"/>
      <c r="J57" s="770"/>
      <c r="K57" s="769" t="s">
        <v>1464</v>
      </c>
      <c r="L57" s="769" t="s">
        <v>199</v>
      </c>
      <c r="M57" s="769" t="s">
        <v>199</v>
      </c>
      <c r="N57" s="782"/>
      <c r="O57" s="782"/>
      <c r="P57" s="782"/>
      <c r="Q57" s="782"/>
      <c r="R57" s="782"/>
      <c r="S57" s="782"/>
      <c r="T57" s="782"/>
      <c r="U57" s="782"/>
      <c r="V57" s="783"/>
      <c r="W57" s="782"/>
      <c r="X57" s="782"/>
      <c r="Y57" s="782"/>
    </row>
    <row r="58" ht="15" customHeight="1" spans="2:25">
      <c r="B58" s="767" t="s">
        <v>1502</v>
      </c>
      <c r="C58" s="784"/>
      <c r="D58" s="784"/>
      <c r="E58" s="784"/>
      <c r="F58" s="784"/>
      <c r="G58" s="784"/>
      <c r="H58" s="784"/>
      <c r="I58" s="784"/>
      <c r="J58" s="770"/>
      <c r="K58" s="769" t="s">
        <v>1464</v>
      </c>
      <c r="L58" s="769" t="s">
        <v>199</v>
      </c>
      <c r="M58" s="769" t="s">
        <v>199</v>
      </c>
      <c r="N58" s="782"/>
      <c r="O58" s="782"/>
      <c r="P58" s="782"/>
      <c r="Q58" s="782"/>
      <c r="R58" s="782"/>
      <c r="S58" s="782"/>
      <c r="T58" s="782"/>
      <c r="U58" s="782"/>
      <c r="V58" s="783"/>
      <c r="W58" s="782"/>
      <c r="X58" s="782"/>
      <c r="Y58" s="782"/>
    </row>
    <row r="59" ht="15" customHeight="1" spans="2:25">
      <c r="B59" s="767" t="s">
        <v>1503</v>
      </c>
      <c r="C59" s="784"/>
      <c r="D59" s="784"/>
      <c r="E59" s="784"/>
      <c r="F59" s="784"/>
      <c r="G59" s="784"/>
      <c r="H59" s="784"/>
      <c r="I59" s="784"/>
      <c r="J59" s="770"/>
      <c r="K59" s="769" t="s">
        <v>1464</v>
      </c>
      <c r="L59" s="769" t="s">
        <v>199</v>
      </c>
      <c r="M59" s="769" t="s">
        <v>199</v>
      </c>
      <c r="N59" s="782"/>
      <c r="O59" s="782"/>
      <c r="P59" s="782"/>
      <c r="Q59" s="782"/>
      <c r="R59" s="782"/>
      <c r="S59" s="782"/>
      <c r="T59" s="782"/>
      <c r="U59" s="782"/>
      <c r="V59" s="783"/>
      <c r="W59" s="782"/>
      <c r="X59" s="782"/>
      <c r="Y59" s="782"/>
    </row>
    <row r="60" ht="15" customHeight="1" spans="2:25">
      <c r="B60" s="767" t="s">
        <v>1504</v>
      </c>
      <c r="C60" s="784"/>
      <c r="D60" s="784"/>
      <c r="E60" s="784"/>
      <c r="F60" s="784"/>
      <c r="G60" s="784"/>
      <c r="H60" s="784"/>
      <c r="I60" s="784"/>
      <c r="J60" s="770"/>
      <c r="K60" s="769" t="s">
        <v>1464</v>
      </c>
      <c r="L60" s="769" t="s">
        <v>199</v>
      </c>
      <c r="M60" s="769" t="s">
        <v>199</v>
      </c>
      <c r="N60" s="782"/>
      <c r="O60" s="782"/>
      <c r="P60" s="782"/>
      <c r="Q60" s="782"/>
      <c r="R60" s="782"/>
      <c r="S60" s="782"/>
      <c r="T60" s="782"/>
      <c r="U60" s="782"/>
      <c r="V60" s="783"/>
      <c r="W60" s="782"/>
      <c r="X60" s="782"/>
      <c r="Y60" s="782"/>
    </row>
    <row r="61" ht="15" customHeight="1" spans="2:25">
      <c r="B61" s="767" t="s">
        <v>1505</v>
      </c>
      <c r="C61" s="784"/>
      <c r="D61" s="784"/>
      <c r="E61" s="784"/>
      <c r="F61" s="784"/>
      <c r="G61" s="784"/>
      <c r="H61" s="784"/>
      <c r="I61" s="784"/>
      <c r="J61" s="770"/>
      <c r="K61" s="769" t="s">
        <v>1464</v>
      </c>
      <c r="L61" s="769" t="s">
        <v>199</v>
      </c>
      <c r="M61" s="769" t="s">
        <v>199</v>
      </c>
      <c r="N61" s="782"/>
      <c r="O61" s="782"/>
      <c r="P61" s="782"/>
      <c r="Q61" s="782"/>
      <c r="R61" s="782"/>
      <c r="S61" s="782"/>
      <c r="T61" s="782"/>
      <c r="U61" s="782"/>
      <c r="V61" s="783"/>
      <c r="W61" s="782"/>
      <c r="X61" s="782"/>
      <c r="Y61" s="782"/>
    </row>
    <row r="62" ht="15" customHeight="1" spans="2:25">
      <c r="B62" s="767" t="s">
        <v>1506</v>
      </c>
      <c r="C62" s="784"/>
      <c r="D62" s="784"/>
      <c r="E62" s="784"/>
      <c r="F62" s="784"/>
      <c r="G62" s="784"/>
      <c r="H62" s="784"/>
      <c r="I62" s="784"/>
      <c r="J62" s="770"/>
      <c r="K62" s="769" t="s">
        <v>1464</v>
      </c>
      <c r="L62" s="769" t="s">
        <v>199</v>
      </c>
      <c r="M62" s="769" t="s">
        <v>199</v>
      </c>
      <c r="N62" s="782"/>
      <c r="O62" s="782"/>
      <c r="P62" s="782"/>
      <c r="Q62" s="782"/>
      <c r="R62" s="782"/>
      <c r="S62" s="782"/>
      <c r="T62" s="782"/>
      <c r="U62" s="782"/>
      <c r="V62" s="783"/>
      <c r="W62" s="782"/>
      <c r="X62" s="782"/>
      <c r="Y62" s="782"/>
    </row>
    <row r="63" ht="15" customHeight="1" spans="2:25">
      <c r="B63" s="767" t="s">
        <v>1507</v>
      </c>
      <c r="C63" s="784"/>
      <c r="D63" s="784"/>
      <c r="E63" s="784"/>
      <c r="F63" s="784"/>
      <c r="G63" s="784"/>
      <c r="H63" s="784"/>
      <c r="I63" s="784"/>
      <c r="J63" s="770"/>
      <c r="K63" s="769" t="s">
        <v>1464</v>
      </c>
      <c r="L63" s="769" t="s">
        <v>199</v>
      </c>
      <c r="M63" s="769" t="s">
        <v>199</v>
      </c>
      <c r="N63" s="782"/>
      <c r="O63" s="782"/>
      <c r="P63" s="782"/>
      <c r="Q63" s="782"/>
      <c r="R63" s="782"/>
      <c r="S63" s="782"/>
      <c r="T63" s="782"/>
      <c r="U63" s="782"/>
      <c r="V63" s="783"/>
      <c r="W63" s="782"/>
      <c r="X63" s="782"/>
      <c r="Y63" s="782"/>
    </row>
    <row r="64" ht="15" customHeight="1" spans="2:25">
      <c r="B64" s="767" t="s">
        <v>1508</v>
      </c>
      <c r="C64" s="784"/>
      <c r="D64" s="784"/>
      <c r="E64" s="784"/>
      <c r="F64" s="784"/>
      <c r="G64" s="784"/>
      <c r="H64" s="784"/>
      <c r="I64" s="784"/>
      <c r="J64" s="770"/>
      <c r="K64" s="769" t="s">
        <v>1464</v>
      </c>
      <c r="L64" s="769" t="s">
        <v>199</v>
      </c>
      <c r="M64" s="769" t="s">
        <v>199</v>
      </c>
      <c r="N64" s="782"/>
      <c r="O64" s="782"/>
      <c r="P64" s="782"/>
      <c r="Q64" s="782"/>
      <c r="R64" s="782"/>
      <c r="S64" s="782"/>
      <c r="T64" s="782"/>
      <c r="U64" s="782"/>
      <c r="V64" s="783"/>
      <c r="W64" s="782"/>
      <c r="X64" s="782"/>
      <c r="Y64" s="782"/>
    </row>
    <row r="65" ht="15" customHeight="1" spans="2:25">
      <c r="B65" s="767" t="s">
        <v>1509</v>
      </c>
      <c r="C65" s="784"/>
      <c r="D65" s="784"/>
      <c r="E65" s="784"/>
      <c r="F65" s="784"/>
      <c r="G65" s="784"/>
      <c r="H65" s="784"/>
      <c r="I65" s="784"/>
      <c r="J65" s="770"/>
      <c r="K65" s="769" t="s">
        <v>1464</v>
      </c>
      <c r="L65" s="769" t="s">
        <v>199</v>
      </c>
      <c r="M65" s="769" t="s">
        <v>199</v>
      </c>
      <c r="N65" s="782"/>
      <c r="O65" s="782"/>
      <c r="P65" s="782"/>
      <c r="Q65" s="782"/>
      <c r="R65" s="782"/>
      <c r="S65" s="782"/>
      <c r="T65" s="782"/>
      <c r="U65" s="782"/>
      <c r="V65" s="783"/>
      <c r="W65" s="782"/>
      <c r="X65" s="782"/>
      <c r="Y65" s="782"/>
    </row>
    <row r="66" ht="15" customHeight="1" spans="2:25">
      <c r="B66" s="767" t="s">
        <v>1510</v>
      </c>
      <c r="C66" s="784"/>
      <c r="D66" s="786"/>
      <c r="E66" s="786"/>
      <c r="F66" s="786"/>
      <c r="G66" s="786"/>
      <c r="H66" s="784"/>
      <c r="I66" s="784"/>
      <c r="J66" s="770"/>
      <c r="K66" s="769" t="s">
        <v>1464</v>
      </c>
      <c r="L66" s="769" t="s">
        <v>199</v>
      </c>
      <c r="M66" s="769" t="s">
        <v>199</v>
      </c>
      <c r="N66" s="782"/>
      <c r="O66" s="782"/>
      <c r="P66" s="782"/>
      <c r="Q66" s="782"/>
      <c r="R66" s="782"/>
      <c r="S66" s="782"/>
      <c r="T66" s="782"/>
      <c r="U66" s="782"/>
      <c r="V66" s="783"/>
      <c r="W66" s="782"/>
      <c r="X66" s="782"/>
      <c r="Y66" s="782"/>
    </row>
    <row r="67" ht="15" customHeight="1" spans="2:25">
      <c r="B67" s="767" t="s">
        <v>1511</v>
      </c>
      <c r="C67" s="784"/>
      <c r="D67" s="784"/>
      <c r="E67" s="784"/>
      <c r="F67" s="784"/>
      <c r="G67" s="784"/>
      <c r="H67" s="784"/>
      <c r="I67" s="784"/>
      <c r="J67" s="770"/>
      <c r="K67" s="769" t="s">
        <v>1464</v>
      </c>
      <c r="L67" s="769" t="s">
        <v>199</v>
      </c>
      <c r="M67" s="769" t="s">
        <v>199</v>
      </c>
      <c r="N67" s="782"/>
      <c r="O67" s="782"/>
      <c r="P67" s="782"/>
      <c r="Q67" s="782"/>
      <c r="R67" s="782"/>
      <c r="S67" s="782"/>
      <c r="T67" s="782"/>
      <c r="U67" s="782"/>
      <c r="V67" s="783"/>
      <c r="W67" s="782"/>
      <c r="X67" s="782"/>
      <c r="Y67" s="782"/>
    </row>
    <row r="68" ht="15" customHeight="1" spans="2:25">
      <c r="B68" s="767" t="s">
        <v>1512</v>
      </c>
      <c r="C68" s="784"/>
      <c r="D68" s="784"/>
      <c r="E68" s="784"/>
      <c r="F68" s="784"/>
      <c r="G68" s="784"/>
      <c r="H68" s="784"/>
      <c r="I68" s="784"/>
      <c r="J68" s="770"/>
      <c r="K68" s="769" t="s">
        <v>1464</v>
      </c>
      <c r="L68" s="769" t="s">
        <v>199</v>
      </c>
      <c r="M68" s="769" t="s">
        <v>199</v>
      </c>
      <c r="N68" s="782"/>
      <c r="O68" s="782"/>
      <c r="P68" s="782"/>
      <c r="Q68" s="782"/>
      <c r="R68" s="782"/>
      <c r="S68" s="782"/>
      <c r="T68" s="782"/>
      <c r="U68" s="782"/>
      <c r="V68" s="783"/>
      <c r="W68" s="782"/>
      <c r="X68" s="782"/>
      <c r="Y68" s="782"/>
    </row>
    <row r="69" ht="15" customHeight="1" spans="2:25">
      <c r="B69" s="767" t="s">
        <v>1513</v>
      </c>
      <c r="C69" s="784"/>
      <c r="D69" s="784"/>
      <c r="E69" s="784"/>
      <c r="F69" s="784"/>
      <c r="G69" s="784"/>
      <c r="H69" s="784"/>
      <c r="I69" s="784"/>
      <c r="J69" s="770"/>
      <c r="K69" s="769" t="s">
        <v>1464</v>
      </c>
      <c r="L69" s="769" t="s">
        <v>199</v>
      </c>
      <c r="M69" s="769" t="s">
        <v>199</v>
      </c>
      <c r="N69" s="782"/>
      <c r="O69" s="782"/>
      <c r="P69" s="782"/>
      <c r="Q69" s="782"/>
      <c r="R69" s="782"/>
      <c r="S69" s="782"/>
      <c r="T69" s="782"/>
      <c r="U69" s="782"/>
      <c r="V69" s="783"/>
      <c r="W69" s="782"/>
      <c r="X69" s="782"/>
      <c r="Y69" s="782"/>
    </row>
    <row r="70" ht="15" customHeight="1" spans="2:25">
      <c r="B70" s="767" t="s">
        <v>1514</v>
      </c>
      <c r="C70" s="784"/>
      <c r="D70" s="784"/>
      <c r="E70" s="784"/>
      <c r="F70" s="784"/>
      <c r="G70" s="784"/>
      <c r="H70" s="784"/>
      <c r="I70" s="784"/>
      <c r="J70" s="770"/>
      <c r="K70" s="769" t="s">
        <v>1464</v>
      </c>
      <c r="L70" s="769" t="s">
        <v>199</v>
      </c>
      <c r="M70" s="769" t="s">
        <v>199</v>
      </c>
      <c r="N70" s="782"/>
      <c r="O70" s="782"/>
      <c r="P70" s="782"/>
      <c r="Q70" s="782"/>
      <c r="R70" s="782"/>
      <c r="S70" s="782"/>
      <c r="T70" s="782"/>
      <c r="U70" s="782"/>
      <c r="V70" s="783"/>
      <c r="W70" s="782"/>
      <c r="X70" s="782"/>
      <c r="Y70" s="782"/>
    </row>
    <row r="71" ht="15" customHeight="1" spans="2:25">
      <c r="B71" s="767" t="s">
        <v>1515</v>
      </c>
      <c r="C71" s="785"/>
      <c r="D71" s="785"/>
      <c r="E71" s="785"/>
      <c r="F71" s="785"/>
      <c r="G71" s="785"/>
      <c r="H71" s="789"/>
      <c r="I71" s="789"/>
      <c r="J71" s="770"/>
      <c r="K71" s="769" t="s">
        <v>1464</v>
      </c>
      <c r="L71" s="769" t="s">
        <v>199</v>
      </c>
      <c r="M71" s="769" t="s">
        <v>199</v>
      </c>
      <c r="N71" s="790"/>
      <c r="O71" s="790"/>
      <c r="P71" s="790"/>
      <c r="Q71" s="790"/>
      <c r="R71" s="790"/>
      <c r="S71" s="790"/>
      <c r="T71" s="790"/>
      <c r="U71" s="790"/>
      <c r="V71" s="791"/>
      <c r="W71" s="790"/>
      <c r="X71" s="790"/>
      <c r="Y71" s="790"/>
    </row>
    <row r="72" ht="15" customHeight="1" spans="2:25">
      <c r="B72" s="767" t="s">
        <v>1516</v>
      </c>
      <c r="C72" s="785"/>
      <c r="D72" s="785"/>
      <c r="E72" s="785"/>
      <c r="F72" s="785"/>
      <c r="G72" s="785"/>
      <c r="H72" s="789"/>
      <c r="I72" s="789"/>
      <c r="J72" s="770"/>
      <c r="K72" s="769" t="s">
        <v>1464</v>
      </c>
      <c r="L72" s="769" t="s">
        <v>199</v>
      </c>
      <c r="M72" s="769" t="s">
        <v>199</v>
      </c>
      <c r="N72" s="790"/>
      <c r="O72" s="790"/>
      <c r="P72" s="790"/>
      <c r="Q72" s="790"/>
      <c r="R72" s="790"/>
      <c r="S72" s="790"/>
      <c r="T72" s="790"/>
      <c r="U72" s="790"/>
      <c r="V72" s="791"/>
      <c r="W72" s="790"/>
      <c r="X72" s="790"/>
      <c r="Y72" s="790"/>
    </row>
    <row r="73" ht="15" customHeight="1" spans="2:25">
      <c r="B73" s="767" t="s">
        <v>1517</v>
      </c>
      <c r="C73" s="785"/>
      <c r="D73" s="785"/>
      <c r="E73" s="785"/>
      <c r="F73" s="785"/>
      <c r="G73" s="785"/>
      <c r="H73" s="789"/>
      <c r="I73" s="789"/>
      <c r="J73" s="792"/>
      <c r="K73" s="769" t="s">
        <v>1464</v>
      </c>
      <c r="L73" s="769" t="s">
        <v>199</v>
      </c>
      <c r="M73" s="769" t="s">
        <v>199</v>
      </c>
      <c r="N73" s="790"/>
      <c r="O73" s="790"/>
      <c r="P73" s="790"/>
      <c r="Q73" s="790"/>
      <c r="R73" s="790"/>
      <c r="S73" s="790"/>
      <c r="T73" s="790"/>
      <c r="U73" s="790"/>
      <c r="V73" s="791"/>
      <c r="W73" s="790"/>
      <c r="X73" s="790"/>
      <c r="Y73" s="790"/>
    </row>
    <row r="74" ht="15" customHeight="1" spans="2:25">
      <c r="B74" s="767" t="s">
        <v>1518</v>
      </c>
      <c r="C74" s="785"/>
      <c r="D74" s="785"/>
      <c r="E74" s="785"/>
      <c r="F74" s="785"/>
      <c r="G74" s="785"/>
      <c r="H74" s="793"/>
      <c r="I74" s="793"/>
      <c r="J74" s="793"/>
      <c r="K74" s="769" t="s">
        <v>1464</v>
      </c>
      <c r="L74" s="769" t="s">
        <v>199</v>
      </c>
      <c r="M74" s="769" t="s">
        <v>199</v>
      </c>
      <c r="N74" s="790"/>
      <c r="O74" s="790"/>
      <c r="P74" s="790"/>
      <c r="Q74" s="790"/>
      <c r="R74" s="790"/>
      <c r="S74" s="790"/>
      <c r="T74" s="790"/>
      <c r="U74" s="790"/>
      <c r="V74" s="791"/>
      <c r="W74" s="790"/>
      <c r="X74" s="790"/>
      <c r="Y74" s="790"/>
    </row>
    <row r="75" ht="15" customHeight="1" spans="2:25">
      <c r="B75" s="767" t="s">
        <v>1519</v>
      </c>
      <c r="C75" s="785"/>
      <c r="D75" s="785"/>
      <c r="E75" s="785"/>
      <c r="F75" s="785"/>
      <c r="G75" s="785"/>
      <c r="H75" s="789"/>
      <c r="I75" s="789"/>
      <c r="J75" s="793"/>
      <c r="K75" s="769" t="s">
        <v>1464</v>
      </c>
      <c r="L75" s="769" t="s">
        <v>199</v>
      </c>
      <c r="M75" s="769" t="s">
        <v>199</v>
      </c>
      <c r="N75" s="790"/>
      <c r="O75" s="790"/>
      <c r="P75" s="790"/>
      <c r="Q75" s="790"/>
      <c r="R75" s="790"/>
      <c r="S75" s="790"/>
      <c r="T75" s="790"/>
      <c r="U75" s="790"/>
      <c r="V75" s="791"/>
      <c r="W75" s="790"/>
      <c r="X75" s="790"/>
      <c r="Y75" s="790"/>
    </row>
    <row r="76" ht="15" customHeight="1" spans="2:25">
      <c r="B76" s="767" t="s">
        <v>1520</v>
      </c>
      <c r="C76" s="785"/>
      <c r="D76" s="785"/>
      <c r="E76" s="785"/>
      <c r="F76" s="785"/>
      <c r="G76" s="785"/>
      <c r="H76" s="793"/>
      <c r="I76" s="793"/>
      <c r="J76" s="793"/>
      <c r="K76" s="769" t="s">
        <v>1464</v>
      </c>
      <c r="L76" s="769" t="s">
        <v>199</v>
      </c>
      <c r="M76" s="769" t="s">
        <v>199</v>
      </c>
      <c r="N76" s="790"/>
      <c r="O76" s="790"/>
      <c r="P76" s="790"/>
      <c r="Q76" s="790"/>
      <c r="R76" s="790"/>
      <c r="S76" s="790"/>
      <c r="T76" s="790"/>
      <c r="U76" s="790"/>
      <c r="V76" s="791"/>
      <c r="W76" s="790"/>
      <c r="X76" s="790"/>
      <c r="Y76" s="790"/>
    </row>
    <row r="77" ht="15" customHeight="1" spans="2:25">
      <c r="B77" s="767" t="s">
        <v>1521</v>
      </c>
      <c r="C77" s="785"/>
      <c r="D77" s="785"/>
      <c r="E77" s="785"/>
      <c r="F77" s="785"/>
      <c r="G77" s="785"/>
      <c r="H77" s="789"/>
      <c r="I77" s="789"/>
      <c r="J77" s="793"/>
      <c r="K77" s="769" t="s">
        <v>1464</v>
      </c>
      <c r="L77" s="769" t="s">
        <v>199</v>
      </c>
      <c r="M77" s="769" t="s">
        <v>199</v>
      </c>
      <c r="N77" s="790"/>
      <c r="O77" s="790"/>
      <c r="P77" s="790"/>
      <c r="Q77" s="790"/>
      <c r="R77" s="790"/>
      <c r="S77" s="790"/>
      <c r="T77" s="790"/>
      <c r="U77" s="790"/>
      <c r="V77" s="791"/>
      <c r="W77" s="790"/>
      <c r="X77" s="790"/>
      <c r="Y77" s="790"/>
    </row>
    <row r="78" ht="15" customHeight="1" spans="2:25">
      <c r="B78" s="767" t="s">
        <v>1522</v>
      </c>
      <c r="C78" s="785"/>
      <c r="D78" s="785"/>
      <c r="E78" s="785"/>
      <c r="F78" s="785"/>
      <c r="G78" s="785"/>
      <c r="H78" s="789"/>
      <c r="I78" s="789"/>
      <c r="J78" s="793"/>
      <c r="K78" s="769" t="s">
        <v>1464</v>
      </c>
      <c r="L78" s="769" t="s">
        <v>199</v>
      </c>
      <c r="M78" s="769" t="s">
        <v>199</v>
      </c>
      <c r="N78" s="790"/>
      <c r="O78" s="790"/>
      <c r="P78" s="790"/>
      <c r="Q78" s="790"/>
      <c r="R78" s="790"/>
      <c r="S78" s="790"/>
      <c r="T78" s="790"/>
      <c r="U78" s="790"/>
      <c r="V78" s="791"/>
      <c r="W78" s="790"/>
      <c r="X78" s="790"/>
      <c r="Y78" s="790"/>
    </row>
    <row r="79" ht="15" customHeight="1" spans="2:25">
      <c r="B79" s="767" t="s">
        <v>1523</v>
      </c>
      <c r="C79" s="785"/>
      <c r="D79" s="785"/>
      <c r="E79" s="785"/>
      <c r="F79" s="785"/>
      <c r="G79" s="785"/>
      <c r="H79" s="793"/>
      <c r="I79" s="793"/>
      <c r="J79" s="793"/>
      <c r="K79" s="769" t="s">
        <v>1464</v>
      </c>
      <c r="L79" s="769" t="s">
        <v>199</v>
      </c>
      <c r="M79" s="769" t="s">
        <v>199</v>
      </c>
      <c r="N79" s="790"/>
      <c r="O79" s="790"/>
      <c r="P79" s="790"/>
      <c r="Q79" s="790"/>
      <c r="R79" s="790"/>
      <c r="S79" s="790"/>
      <c r="T79" s="790"/>
      <c r="U79" s="790"/>
      <c r="V79" s="791"/>
      <c r="W79" s="790"/>
      <c r="X79" s="790"/>
      <c r="Y79" s="790"/>
    </row>
    <row r="80" ht="15" customHeight="1" spans="2:25">
      <c r="B80" s="767" t="s">
        <v>1524</v>
      </c>
      <c r="C80" s="785"/>
      <c r="D80" s="785"/>
      <c r="E80" s="785"/>
      <c r="F80" s="785"/>
      <c r="G80" s="785"/>
      <c r="H80" s="793"/>
      <c r="I80" s="793"/>
      <c r="J80" s="793"/>
      <c r="K80" s="769" t="s">
        <v>1464</v>
      </c>
      <c r="L80" s="769" t="s">
        <v>199</v>
      </c>
      <c r="M80" s="769" t="s">
        <v>199</v>
      </c>
      <c r="N80" s="790"/>
      <c r="O80" s="790"/>
      <c r="P80" s="790"/>
      <c r="Q80" s="790"/>
      <c r="R80" s="790"/>
      <c r="S80" s="790"/>
      <c r="T80" s="790"/>
      <c r="U80" s="790"/>
      <c r="V80" s="791"/>
      <c r="W80" s="790"/>
      <c r="X80" s="790"/>
      <c r="Y80" s="790"/>
    </row>
    <row r="81" ht="15" customHeight="1" spans="2:25">
      <c r="B81" s="767" t="s">
        <v>1525</v>
      </c>
      <c r="C81" s="785"/>
      <c r="D81" s="785"/>
      <c r="E81" s="785"/>
      <c r="F81" s="785"/>
      <c r="G81" s="785"/>
      <c r="H81" s="793"/>
      <c r="I81" s="793"/>
      <c r="J81" s="793"/>
      <c r="K81" s="769" t="s">
        <v>1464</v>
      </c>
      <c r="L81" s="769" t="s">
        <v>199</v>
      </c>
      <c r="M81" s="769" t="s">
        <v>199</v>
      </c>
      <c r="N81" s="790"/>
      <c r="O81" s="790"/>
      <c r="P81" s="790"/>
      <c r="Q81" s="790"/>
      <c r="R81" s="790"/>
      <c r="S81" s="790"/>
      <c r="T81" s="790"/>
      <c r="U81" s="790"/>
      <c r="V81" s="791"/>
      <c r="W81" s="790"/>
      <c r="X81" s="790"/>
      <c r="Y81" s="790"/>
    </row>
    <row r="82" ht="15" customHeight="1" spans="2:25">
      <c r="B82" s="767" t="s">
        <v>1526</v>
      </c>
      <c r="C82" s="785"/>
      <c r="D82" s="785"/>
      <c r="E82" s="785"/>
      <c r="F82" s="785"/>
      <c r="G82" s="785"/>
      <c r="H82" s="789"/>
      <c r="I82" s="789"/>
      <c r="J82" s="770"/>
      <c r="K82" s="769" t="s">
        <v>1464</v>
      </c>
      <c r="L82" s="769" t="s">
        <v>199</v>
      </c>
      <c r="M82" s="769" t="s">
        <v>199</v>
      </c>
      <c r="N82" s="790"/>
      <c r="O82" s="790"/>
      <c r="P82" s="790"/>
      <c r="Q82" s="790"/>
      <c r="R82" s="790"/>
      <c r="S82" s="790"/>
      <c r="T82" s="790"/>
      <c r="U82" s="790"/>
      <c r="V82" s="791"/>
      <c r="W82" s="790"/>
      <c r="X82" s="790"/>
      <c r="Y82" s="790"/>
    </row>
    <row r="83" ht="15" customHeight="1" spans="2:25">
      <c r="B83" s="767" t="s">
        <v>1527</v>
      </c>
      <c r="C83" s="785"/>
      <c r="D83" s="785"/>
      <c r="E83" s="785"/>
      <c r="F83" s="785"/>
      <c r="G83" s="785"/>
      <c r="H83" s="789"/>
      <c r="I83" s="789"/>
      <c r="J83" s="770"/>
      <c r="K83" s="769" t="s">
        <v>1464</v>
      </c>
      <c r="L83" s="769" t="s">
        <v>199</v>
      </c>
      <c r="M83" s="769" t="s">
        <v>199</v>
      </c>
      <c r="N83" s="790"/>
      <c r="O83" s="790"/>
      <c r="P83" s="790"/>
      <c r="Q83" s="790"/>
      <c r="R83" s="790"/>
      <c r="S83" s="790"/>
      <c r="T83" s="790"/>
      <c r="U83" s="790"/>
      <c r="V83" s="791"/>
      <c r="W83" s="790"/>
      <c r="X83" s="790"/>
      <c r="Y83" s="790"/>
    </row>
    <row r="84" ht="15" customHeight="1" spans="2:25">
      <c r="B84" s="767" t="s">
        <v>1528</v>
      </c>
      <c r="C84" s="785"/>
      <c r="D84" s="785"/>
      <c r="E84" s="785"/>
      <c r="F84" s="785"/>
      <c r="G84" s="785"/>
      <c r="H84" s="789"/>
      <c r="I84" s="789"/>
      <c r="J84" s="770"/>
      <c r="K84" s="769" t="s">
        <v>1464</v>
      </c>
      <c r="L84" s="769" t="s">
        <v>199</v>
      </c>
      <c r="M84" s="769" t="s">
        <v>199</v>
      </c>
      <c r="N84" s="790"/>
      <c r="O84" s="790"/>
      <c r="P84" s="790"/>
      <c r="Q84" s="790"/>
      <c r="R84" s="790"/>
      <c r="S84" s="790"/>
      <c r="T84" s="790"/>
      <c r="U84" s="790"/>
      <c r="V84" s="791"/>
      <c r="W84" s="790"/>
      <c r="X84" s="790"/>
      <c r="Y84" s="790"/>
    </row>
    <row r="85" ht="15" customHeight="1" spans="2:25">
      <c r="B85" s="767" t="s">
        <v>1529</v>
      </c>
      <c r="C85" s="784"/>
      <c r="D85" s="784"/>
      <c r="E85" s="784"/>
      <c r="F85" s="784"/>
      <c r="G85" s="784"/>
      <c r="H85" s="784"/>
      <c r="I85" s="784"/>
      <c r="J85" s="770"/>
      <c r="K85" s="769" t="s">
        <v>1464</v>
      </c>
      <c r="L85" s="769" t="s">
        <v>199</v>
      </c>
      <c r="M85" s="769" t="s">
        <v>199</v>
      </c>
      <c r="N85" s="782"/>
      <c r="O85" s="782"/>
      <c r="P85" s="782"/>
      <c r="Q85" s="782"/>
      <c r="R85" s="782"/>
      <c r="S85" s="782"/>
      <c r="T85" s="782"/>
      <c r="U85" s="782"/>
      <c r="V85" s="783"/>
      <c r="W85" s="782"/>
      <c r="X85" s="782"/>
      <c r="Y85" s="782"/>
    </row>
    <row r="86" ht="15" customHeight="1" spans="2:25">
      <c r="B86" s="767" t="s">
        <v>1530</v>
      </c>
      <c r="C86" s="784"/>
      <c r="D86" s="784"/>
      <c r="E86" s="784"/>
      <c r="F86" s="784"/>
      <c r="G86" s="784"/>
      <c r="H86" s="784"/>
      <c r="I86" s="784"/>
      <c r="J86" s="770"/>
      <c r="K86" s="769" t="s">
        <v>1464</v>
      </c>
      <c r="L86" s="769" t="s">
        <v>199</v>
      </c>
      <c r="M86" s="769" t="s">
        <v>199</v>
      </c>
      <c r="N86" s="782"/>
      <c r="O86" s="782"/>
      <c r="P86" s="782"/>
      <c r="Q86" s="782"/>
      <c r="R86" s="782"/>
      <c r="S86" s="782"/>
      <c r="T86" s="782"/>
      <c r="U86" s="782"/>
      <c r="V86" s="783"/>
      <c r="W86" s="782"/>
      <c r="X86" s="782"/>
      <c r="Y86" s="782"/>
    </row>
    <row r="87" ht="15" customHeight="1" spans="2:25">
      <c r="B87" s="767" t="s">
        <v>1531</v>
      </c>
      <c r="C87" s="784"/>
      <c r="D87" s="784"/>
      <c r="E87" s="784"/>
      <c r="F87" s="784"/>
      <c r="G87" s="784"/>
      <c r="H87" s="784"/>
      <c r="I87" s="784"/>
      <c r="J87" s="770"/>
      <c r="K87" s="769" t="s">
        <v>1464</v>
      </c>
      <c r="L87" s="769" t="s">
        <v>199</v>
      </c>
      <c r="M87" s="769" t="s">
        <v>199</v>
      </c>
      <c r="N87" s="782"/>
      <c r="O87" s="782"/>
      <c r="P87" s="782"/>
      <c r="Q87" s="782"/>
      <c r="R87" s="782"/>
      <c r="S87" s="782"/>
      <c r="T87" s="782"/>
      <c r="U87" s="782"/>
      <c r="V87" s="783"/>
      <c r="W87" s="782"/>
      <c r="X87" s="782"/>
      <c r="Y87" s="782"/>
    </row>
    <row r="88" ht="15" customHeight="1" spans="2:25">
      <c r="B88" s="767" t="s">
        <v>1532</v>
      </c>
      <c r="C88" s="784"/>
      <c r="D88" s="784"/>
      <c r="E88" s="784"/>
      <c r="F88" s="784"/>
      <c r="G88" s="784"/>
      <c r="H88" s="784"/>
      <c r="I88" s="784"/>
      <c r="J88" s="770"/>
      <c r="K88" s="769" t="s">
        <v>1464</v>
      </c>
      <c r="L88" s="769" t="s">
        <v>199</v>
      </c>
      <c r="M88" s="769" t="s">
        <v>199</v>
      </c>
      <c r="N88" s="782">
        <v>0</v>
      </c>
      <c r="O88" s="782">
        <v>0</v>
      </c>
      <c r="P88" s="782">
        <v>0</v>
      </c>
      <c r="Q88" s="782">
        <v>0</v>
      </c>
      <c r="R88" s="782">
        <v>0</v>
      </c>
      <c r="S88" s="782">
        <v>0</v>
      </c>
      <c r="T88" s="782">
        <v>0</v>
      </c>
      <c r="U88" s="782">
        <v>0</v>
      </c>
      <c r="V88" s="783">
        <v>0</v>
      </c>
      <c r="W88" s="782">
        <v>0</v>
      </c>
      <c r="X88" s="782">
        <v>0</v>
      </c>
      <c r="Y88" s="782">
        <v>0</v>
      </c>
    </row>
    <row r="89" ht="15" customHeight="1" spans="2:25">
      <c r="B89" s="767" t="s">
        <v>1533</v>
      </c>
      <c r="C89" s="784"/>
      <c r="D89" s="784"/>
      <c r="E89" s="784"/>
      <c r="F89" s="784"/>
      <c r="G89" s="784"/>
      <c r="H89" s="784" t="s">
        <v>1534</v>
      </c>
      <c r="I89" s="784"/>
      <c r="J89" s="770"/>
      <c r="K89" s="769" t="s">
        <v>1464</v>
      </c>
      <c r="L89" s="769" t="s">
        <v>199</v>
      </c>
      <c r="M89" s="769" t="s">
        <v>199</v>
      </c>
      <c r="N89" s="782">
        <v>0</v>
      </c>
      <c r="O89" s="782">
        <v>0</v>
      </c>
      <c r="P89" s="782">
        <v>0</v>
      </c>
      <c r="Q89" s="782">
        <v>0</v>
      </c>
      <c r="R89" s="782">
        <v>0</v>
      </c>
      <c r="S89" s="782">
        <v>0</v>
      </c>
      <c r="T89" s="782">
        <v>0</v>
      </c>
      <c r="U89" s="782">
        <v>0</v>
      </c>
      <c r="V89" s="783">
        <v>0</v>
      </c>
      <c r="W89" s="782">
        <v>0</v>
      </c>
      <c r="X89" s="782">
        <v>0</v>
      </c>
      <c r="Y89" s="782">
        <v>0</v>
      </c>
    </row>
    <row r="90" ht="15" customHeight="1" spans="2:25">
      <c r="B90" s="767" t="s">
        <v>1535</v>
      </c>
      <c r="C90" s="784"/>
      <c r="D90" s="784" t="s">
        <v>1534</v>
      </c>
      <c r="E90" s="784"/>
      <c r="F90" s="784"/>
      <c r="G90" s="784"/>
      <c r="H90" s="784" t="s">
        <v>1534</v>
      </c>
      <c r="I90" s="784"/>
      <c r="J90" s="770"/>
      <c r="K90" s="769" t="s">
        <v>1464</v>
      </c>
      <c r="L90" s="769" t="s">
        <v>199</v>
      </c>
      <c r="M90" s="769" t="s">
        <v>199</v>
      </c>
      <c r="N90" s="782">
        <v>0</v>
      </c>
      <c r="O90" s="782">
        <v>0</v>
      </c>
      <c r="P90" s="782">
        <v>0</v>
      </c>
      <c r="Q90" s="782">
        <v>0</v>
      </c>
      <c r="R90" s="782">
        <v>0</v>
      </c>
      <c r="S90" s="782">
        <v>0</v>
      </c>
      <c r="T90" s="782">
        <v>0</v>
      </c>
      <c r="U90" s="782">
        <v>0</v>
      </c>
      <c r="V90" s="783">
        <v>0</v>
      </c>
      <c r="W90" s="782">
        <v>0</v>
      </c>
      <c r="X90" s="782">
        <v>0</v>
      </c>
      <c r="Y90" s="782">
        <v>0</v>
      </c>
    </row>
    <row r="91" ht="15" customHeight="1" spans="2:25">
      <c r="B91" s="767" t="s">
        <v>1536</v>
      </c>
      <c r="C91" s="784"/>
      <c r="D91" s="784" t="s">
        <v>1534</v>
      </c>
      <c r="E91" s="784"/>
      <c r="F91" s="784"/>
      <c r="G91" s="784"/>
      <c r="H91" s="784" t="s">
        <v>1534</v>
      </c>
      <c r="I91" s="784"/>
      <c r="J91" s="770"/>
      <c r="K91" s="769" t="s">
        <v>1464</v>
      </c>
      <c r="L91" s="769" t="s">
        <v>199</v>
      </c>
      <c r="M91" s="769" t="s">
        <v>199</v>
      </c>
      <c r="N91" s="782">
        <v>0</v>
      </c>
      <c r="O91" s="782">
        <v>0</v>
      </c>
      <c r="P91" s="782">
        <v>0</v>
      </c>
      <c r="Q91" s="782">
        <v>0</v>
      </c>
      <c r="R91" s="782">
        <v>0</v>
      </c>
      <c r="S91" s="782">
        <v>0</v>
      </c>
      <c r="T91" s="782">
        <v>0</v>
      </c>
      <c r="U91" s="782">
        <v>0</v>
      </c>
      <c r="V91" s="783">
        <v>0</v>
      </c>
      <c r="W91" s="782">
        <v>0</v>
      </c>
      <c r="X91" s="782">
        <v>0</v>
      </c>
      <c r="Y91" s="782">
        <v>0</v>
      </c>
    </row>
    <row r="92" ht="15" customHeight="1" spans="2:25">
      <c r="B92" s="767" t="s">
        <v>1537</v>
      </c>
      <c r="C92" s="784"/>
      <c r="D92" s="784" t="s">
        <v>1534</v>
      </c>
      <c r="E92" s="784"/>
      <c r="F92" s="784"/>
      <c r="G92" s="784"/>
      <c r="H92" s="784" t="s">
        <v>1534</v>
      </c>
      <c r="I92" s="784"/>
      <c r="J92" s="770"/>
      <c r="K92" s="769" t="s">
        <v>1464</v>
      </c>
      <c r="L92" s="769" t="s">
        <v>199</v>
      </c>
      <c r="M92" s="769" t="s">
        <v>199</v>
      </c>
      <c r="N92" s="782">
        <v>0</v>
      </c>
      <c r="O92" s="782">
        <v>0</v>
      </c>
      <c r="P92" s="782">
        <v>0</v>
      </c>
      <c r="Q92" s="782">
        <v>0</v>
      </c>
      <c r="R92" s="782">
        <v>0</v>
      </c>
      <c r="S92" s="782">
        <v>0</v>
      </c>
      <c r="T92" s="782">
        <v>0</v>
      </c>
      <c r="U92" s="782">
        <v>0</v>
      </c>
      <c r="V92" s="783">
        <v>0</v>
      </c>
      <c r="W92" s="782">
        <v>0</v>
      </c>
      <c r="X92" s="782">
        <v>0</v>
      </c>
      <c r="Y92" s="782">
        <v>0</v>
      </c>
    </row>
    <row r="93" ht="15" customHeight="1" spans="2:25">
      <c r="B93" s="767" t="s">
        <v>1538</v>
      </c>
      <c r="C93" s="784"/>
      <c r="D93" s="784" t="s">
        <v>1534</v>
      </c>
      <c r="E93" s="784"/>
      <c r="F93" s="784"/>
      <c r="G93" s="784"/>
      <c r="H93" s="784" t="s">
        <v>1534</v>
      </c>
      <c r="I93" s="784"/>
      <c r="J93" s="770"/>
      <c r="K93" s="769" t="s">
        <v>1464</v>
      </c>
      <c r="L93" s="769" t="s">
        <v>199</v>
      </c>
      <c r="M93" s="769" t="s">
        <v>199</v>
      </c>
      <c r="N93" s="782">
        <v>0</v>
      </c>
      <c r="O93" s="782">
        <v>0</v>
      </c>
      <c r="P93" s="782">
        <v>0</v>
      </c>
      <c r="Q93" s="782">
        <v>0</v>
      </c>
      <c r="R93" s="782">
        <v>0</v>
      </c>
      <c r="S93" s="782">
        <v>0</v>
      </c>
      <c r="T93" s="782">
        <v>0</v>
      </c>
      <c r="U93" s="782">
        <v>0</v>
      </c>
      <c r="V93" s="783">
        <v>0</v>
      </c>
      <c r="W93" s="782">
        <v>0</v>
      </c>
      <c r="X93" s="782">
        <v>0</v>
      </c>
      <c r="Y93" s="782">
        <v>0</v>
      </c>
    </row>
    <row r="94" ht="15" customHeight="1" spans="2:25">
      <c r="B94" s="767" t="s">
        <v>1539</v>
      </c>
      <c r="C94" s="784"/>
      <c r="D94" s="784" t="s">
        <v>1534</v>
      </c>
      <c r="E94" s="784"/>
      <c r="F94" s="784"/>
      <c r="G94" s="784"/>
      <c r="H94" s="784" t="s">
        <v>1534</v>
      </c>
      <c r="I94" s="784"/>
      <c r="J94" s="770"/>
      <c r="K94" s="769" t="s">
        <v>1464</v>
      </c>
      <c r="L94" s="769" t="s">
        <v>199</v>
      </c>
      <c r="M94" s="769" t="s">
        <v>199</v>
      </c>
      <c r="N94" s="782">
        <v>0</v>
      </c>
      <c r="O94" s="782">
        <v>0</v>
      </c>
      <c r="P94" s="782">
        <v>0</v>
      </c>
      <c r="Q94" s="782">
        <v>0</v>
      </c>
      <c r="R94" s="782">
        <v>0</v>
      </c>
      <c r="S94" s="782">
        <v>0</v>
      </c>
      <c r="T94" s="782">
        <v>0</v>
      </c>
      <c r="U94" s="782">
        <v>0</v>
      </c>
      <c r="V94" s="783">
        <v>0</v>
      </c>
      <c r="W94" s="782">
        <v>0</v>
      </c>
      <c r="X94" s="782">
        <v>0</v>
      </c>
      <c r="Y94" s="782">
        <v>0</v>
      </c>
    </row>
    <row r="95" ht="15" customHeight="1" spans="2:25">
      <c r="B95" s="767" t="s">
        <v>1540</v>
      </c>
      <c r="C95" s="784"/>
      <c r="D95" s="784" t="s">
        <v>1534</v>
      </c>
      <c r="E95" s="784"/>
      <c r="F95" s="784"/>
      <c r="G95" s="784"/>
      <c r="H95" s="784" t="s">
        <v>1534</v>
      </c>
      <c r="I95" s="784"/>
      <c r="J95" s="770"/>
      <c r="K95" s="769" t="s">
        <v>1464</v>
      </c>
      <c r="L95" s="769" t="s">
        <v>199</v>
      </c>
      <c r="M95" s="769" t="s">
        <v>199</v>
      </c>
      <c r="N95" s="782">
        <v>0</v>
      </c>
      <c r="O95" s="782">
        <v>0</v>
      </c>
      <c r="P95" s="782">
        <v>0</v>
      </c>
      <c r="Q95" s="782">
        <v>0</v>
      </c>
      <c r="R95" s="782">
        <v>0</v>
      </c>
      <c r="S95" s="782">
        <v>0</v>
      </c>
      <c r="T95" s="782">
        <v>0</v>
      </c>
      <c r="U95" s="782">
        <v>0</v>
      </c>
      <c r="V95" s="783">
        <v>0</v>
      </c>
      <c r="W95" s="782">
        <v>0</v>
      </c>
      <c r="X95" s="782">
        <v>0</v>
      </c>
      <c r="Y95" s="782">
        <v>0</v>
      </c>
    </row>
    <row r="96" ht="15" customHeight="1" spans="2:25">
      <c r="B96" s="767" t="s">
        <v>1541</v>
      </c>
      <c r="C96" s="784"/>
      <c r="D96" s="784" t="s">
        <v>1534</v>
      </c>
      <c r="E96" s="784"/>
      <c r="F96" s="784"/>
      <c r="G96" s="784"/>
      <c r="H96" s="784" t="s">
        <v>1534</v>
      </c>
      <c r="I96" s="784"/>
      <c r="J96" s="770"/>
      <c r="K96" s="769" t="s">
        <v>1464</v>
      </c>
      <c r="L96" s="769" t="s">
        <v>199</v>
      </c>
      <c r="M96" s="769" t="s">
        <v>199</v>
      </c>
      <c r="N96" s="782">
        <v>0</v>
      </c>
      <c r="O96" s="782">
        <v>0</v>
      </c>
      <c r="P96" s="782">
        <v>0</v>
      </c>
      <c r="Q96" s="782">
        <v>0</v>
      </c>
      <c r="R96" s="782">
        <v>0</v>
      </c>
      <c r="S96" s="782">
        <v>0</v>
      </c>
      <c r="T96" s="782">
        <v>0</v>
      </c>
      <c r="U96" s="782">
        <v>0</v>
      </c>
      <c r="V96" s="783">
        <v>0</v>
      </c>
      <c r="W96" s="782">
        <v>0</v>
      </c>
      <c r="X96" s="782">
        <v>0</v>
      </c>
      <c r="Y96" s="782">
        <v>0</v>
      </c>
    </row>
    <row r="97" ht="15" customHeight="1" spans="2:25">
      <c r="B97" s="767" t="s">
        <v>1542</v>
      </c>
      <c r="C97" s="784"/>
      <c r="D97" s="784" t="s">
        <v>1534</v>
      </c>
      <c r="E97" s="784"/>
      <c r="F97" s="784"/>
      <c r="G97" s="784"/>
      <c r="H97" s="784" t="s">
        <v>1534</v>
      </c>
      <c r="I97" s="784"/>
      <c r="J97" s="770"/>
      <c r="K97" s="769" t="s">
        <v>1464</v>
      </c>
      <c r="L97" s="769" t="s">
        <v>199</v>
      </c>
      <c r="M97" s="769" t="s">
        <v>199</v>
      </c>
      <c r="N97" s="782">
        <v>0</v>
      </c>
      <c r="O97" s="782">
        <v>0</v>
      </c>
      <c r="P97" s="782">
        <v>0</v>
      </c>
      <c r="Q97" s="782">
        <v>0</v>
      </c>
      <c r="R97" s="782">
        <v>0</v>
      </c>
      <c r="S97" s="782">
        <v>0</v>
      </c>
      <c r="T97" s="782">
        <v>0</v>
      </c>
      <c r="U97" s="782">
        <v>0</v>
      </c>
      <c r="V97" s="783">
        <v>0</v>
      </c>
      <c r="W97" s="782">
        <v>0</v>
      </c>
      <c r="X97" s="782">
        <v>0</v>
      </c>
      <c r="Y97" s="782">
        <v>0</v>
      </c>
    </row>
    <row r="98" ht="15" customHeight="1" spans="2:25">
      <c r="B98" s="767" t="s">
        <v>1543</v>
      </c>
      <c r="C98" s="784"/>
      <c r="D98" s="784" t="s">
        <v>1534</v>
      </c>
      <c r="E98" s="784"/>
      <c r="F98" s="784"/>
      <c r="G98" s="784"/>
      <c r="H98" s="784" t="s">
        <v>1534</v>
      </c>
      <c r="I98" s="784"/>
      <c r="J98" s="770"/>
      <c r="K98" s="769" t="s">
        <v>1464</v>
      </c>
      <c r="L98" s="769" t="s">
        <v>199</v>
      </c>
      <c r="M98" s="769" t="s">
        <v>199</v>
      </c>
      <c r="N98" s="782">
        <v>0</v>
      </c>
      <c r="O98" s="782">
        <v>0</v>
      </c>
      <c r="P98" s="782">
        <v>0</v>
      </c>
      <c r="Q98" s="782">
        <v>0</v>
      </c>
      <c r="R98" s="782">
        <v>0</v>
      </c>
      <c r="S98" s="782">
        <v>0</v>
      </c>
      <c r="T98" s="782">
        <v>0</v>
      </c>
      <c r="U98" s="782">
        <v>0</v>
      </c>
      <c r="V98" s="783">
        <v>0</v>
      </c>
      <c r="W98" s="782">
        <v>0</v>
      </c>
      <c r="X98" s="782">
        <v>0</v>
      </c>
      <c r="Y98" s="782">
        <v>0</v>
      </c>
    </row>
    <row r="99" ht="15" customHeight="1" spans="2:25">
      <c r="B99" s="767" t="s">
        <v>1544</v>
      </c>
      <c r="C99" s="784"/>
      <c r="D99" s="784" t="s">
        <v>1534</v>
      </c>
      <c r="E99" s="784"/>
      <c r="F99" s="784"/>
      <c r="G99" s="784"/>
      <c r="H99" s="784" t="s">
        <v>1534</v>
      </c>
      <c r="I99" s="784"/>
      <c r="J99" s="770"/>
      <c r="K99" s="769" t="s">
        <v>1464</v>
      </c>
      <c r="L99" s="769" t="s">
        <v>199</v>
      </c>
      <c r="M99" s="769" t="s">
        <v>199</v>
      </c>
      <c r="N99" s="782">
        <v>0</v>
      </c>
      <c r="O99" s="782">
        <v>0</v>
      </c>
      <c r="P99" s="782">
        <v>0</v>
      </c>
      <c r="Q99" s="782">
        <v>0</v>
      </c>
      <c r="R99" s="782">
        <v>0</v>
      </c>
      <c r="S99" s="782">
        <v>0</v>
      </c>
      <c r="T99" s="782">
        <v>0</v>
      </c>
      <c r="U99" s="782">
        <v>0</v>
      </c>
      <c r="V99" s="783">
        <v>0</v>
      </c>
      <c r="W99" s="782">
        <v>0</v>
      </c>
      <c r="X99" s="782">
        <v>0</v>
      </c>
      <c r="Y99" s="782">
        <v>0</v>
      </c>
    </row>
    <row r="100" ht="15" customHeight="1" spans="2:25">
      <c r="B100" s="767" t="s">
        <v>1545</v>
      </c>
      <c r="C100" s="784"/>
      <c r="D100" s="784" t="s">
        <v>1534</v>
      </c>
      <c r="E100" s="784"/>
      <c r="F100" s="784"/>
      <c r="G100" s="784"/>
      <c r="H100" s="784" t="s">
        <v>1534</v>
      </c>
      <c r="I100" s="784"/>
      <c r="J100" s="770"/>
      <c r="K100" s="769" t="s">
        <v>1464</v>
      </c>
      <c r="L100" s="769" t="s">
        <v>199</v>
      </c>
      <c r="M100" s="769" t="s">
        <v>199</v>
      </c>
      <c r="N100" s="782">
        <v>0</v>
      </c>
      <c r="O100" s="782">
        <v>0</v>
      </c>
      <c r="P100" s="782">
        <v>0</v>
      </c>
      <c r="Q100" s="782">
        <v>0</v>
      </c>
      <c r="R100" s="782">
        <v>0</v>
      </c>
      <c r="S100" s="782">
        <v>0</v>
      </c>
      <c r="T100" s="782">
        <v>0</v>
      </c>
      <c r="U100" s="782">
        <v>0</v>
      </c>
      <c r="V100" s="783">
        <v>0</v>
      </c>
      <c r="W100" s="782">
        <v>0</v>
      </c>
      <c r="X100" s="782">
        <v>0</v>
      </c>
      <c r="Y100" s="782">
        <v>0</v>
      </c>
    </row>
    <row r="101" ht="15" customHeight="1" spans="2:25">
      <c r="B101" s="767" t="s">
        <v>1546</v>
      </c>
      <c r="C101" s="784"/>
      <c r="D101" s="784" t="s">
        <v>1534</v>
      </c>
      <c r="E101" s="784"/>
      <c r="F101" s="784"/>
      <c r="G101" s="784"/>
      <c r="H101" s="784" t="s">
        <v>1534</v>
      </c>
      <c r="I101" s="784"/>
      <c r="J101" s="770"/>
      <c r="K101" s="769" t="s">
        <v>1464</v>
      </c>
      <c r="L101" s="769" t="s">
        <v>199</v>
      </c>
      <c r="M101" s="769" t="s">
        <v>199</v>
      </c>
      <c r="N101" s="782">
        <v>0</v>
      </c>
      <c r="O101" s="782">
        <v>0</v>
      </c>
      <c r="P101" s="782">
        <v>0</v>
      </c>
      <c r="Q101" s="782">
        <v>0</v>
      </c>
      <c r="R101" s="782">
        <v>0</v>
      </c>
      <c r="S101" s="782">
        <v>0</v>
      </c>
      <c r="T101" s="782">
        <v>0</v>
      </c>
      <c r="U101" s="782">
        <v>0</v>
      </c>
      <c r="V101" s="783">
        <v>0</v>
      </c>
      <c r="W101" s="782">
        <v>0</v>
      </c>
      <c r="X101" s="782">
        <v>0</v>
      </c>
      <c r="Y101" s="782">
        <v>0</v>
      </c>
    </row>
    <row r="102" ht="15" customHeight="1" spans="2:25">
      <c r="B102" s="767" t="s">
        <v>1547</v>
      </c>
      <c r="C102" s="784"/>
      <c r="D102" s="784" t="s">
        <v>1534</v>
      </c>
      <c r="E102" s="784"/>
      <c r="F102" s="784"/>
      <c r="G102" s="784"/>
      <c r="H102" s="784" t="s">
        <v>1534</v>
      </c>
      <c r="I102" s="784"/>
      <c r="J102" s="770"/>
      <c r="K102" s="769" t="s">
        <v>1464</v>
      </c>
      <c r="L102" s="769" t="s">
        <v>199</v>
      </c>
      <c r="M102" s="769" t="s">
        <v>199</v>
      </c>
      <c r="N102" s="782">
        <v>0</v>
      </c>
      <c r="O102" s="782">
        <v>0</v>
      </c>
      <c r="P102" s="782">
        <v>0</v>
      </c>
      <c r="Q102" s="782">
        <v>0</v>
      </c>
      <c r="R102" s="782">
        <v>0</v>
      </c>
      <c r="S102" s="782">
        <v>0</v>
      </c>
      <c r="T102" s="782">
        <v>0</v>
      </c>
      <c r="U102" s="782">
        <v>0</v>
      </c>
      <c r="V102" s="782">
        <v>0</v>
      </c>
      <c r="W102" s="782">
        <v>0</v>
      </c>
      <c r="X102" s="782">
        <v>0</v>
      </c>
      <c r="Y102" s="782">
        <v>0</v>
      </c>
    </row>
    <row r="103" ht="15" customHeight="1" spans="2:25">
      <c r="B103" s="767" t="s">
        <v>1548</v>
      </c>
      <c r="C103" s="784"/>
      <c r="D103" s="784" t="s">
        <v>1534</v>
      </c>
      <c r="E103" s="784"/>
      <c r="F103" s="784"/>
      <c r="G103" s="784"/>
      <c r="H103" s="784" t="s">
        <v>1534</v>
      </c>
      <c r="I103" s="784"/>
      <c r="J103" s="770"/>
      <c r="K103" s="769" t="s">
        <v>1464</v>
      </c>
      <c r="L103" s="769" t="s">
        <v>199</v>
      </c>
      <c r="M103" s="769" t="s">
        <v>199</v>
      </c>
      <c r="N103" s="782">
        <v>0</v>
      </c>
      <c r="O103" s="782">
        <v>0</v>
      </c>
      <c r="P103" s="782">
        <v>0</v>
      </c>
      <c r="Q103" s="782">
        <v>0</v>
      </c>
      <c r="R103" s="782">
        <v>0</v>
      </c>
      <c r="S103" s="782">
        <v>0</v>
      </c>
      <c r="T103" s="782">
        <v>0</v>
      </c>
      <c r="U103" s="782">
        <v>0</v>
      </c>
      <c r="V103" s="782">
        <v>0</v>
      </c>
      <c r="W103" s="782">
        <v>0</v>
      </c>
      <c r="X103" s="782">
        <v>0</v>
      </c>
      <c r="Y103" s="782">
        <v>0</v>
      </c>
    </row>
    <row r="104" ht="15" customHeight="1" spans="2:25">
      <c r="B104" s="767" t="s">
        <v>1549</v>
      </c>
      <c r="C104" s="784"/>
      <c r="D104" s="784" t="s">
        <v>1534</v>
      </c>
      <c r="E104" s="784"/>
      <c r="F104" s="784"/>
      <c r="G104" s="784"/>
      <c r="H104" s="784" t="s">
        <v>1534</v>
      </c>
      <c r="I104" s="784"/>
      <c r="J104" s="770"/>
      <c r="K104" s="769" t="s">
        <v>1464</v>
      </c>
      <c r="L104" s="769" t="s">
        <v>199</v>
      </c>
      <c r="M104" s="769" t="s">
        <v>199</v>
      </c>
      <c r="N104" s="782">
        <v>0</v>
      </c>
      <c r="O104" s="782">
        <v>0</v>
      </c>
      <c r="P104" s="782">
        <v>0</v>
      </c>
      <c r="Q104" s="782">
        <v>0</v>
      </c>
      <c r="R104" s="782">
        <v>0</v>
      </c>
      <c r="S104" s="782">
        <v>0</v>
      </c>
      <c r="T104" s="782">
        <v>0</v>
      </c>
      <c r="U104" s="782">
        <v>0</v>
      </c>
      <c r="V104" s="782">
        <v>0</v>
      </c>
      <c r="W104" s="782">
        <v>0</v>
      </c>
      <c r="X104" s="782">
        <v>0</v>
      </c>
      <c r="Y104" s="782">
        <v>0</v>
      </c>
    </row>
    <row r="105" ht="15" customHeight="1" spans="2:25">
      <c r="B105" s="767" t="s">
        <v>1550</v>
      </c>
      <c r="C105" s="784"/>
      <c r="D105" s="784" t="s">
        <v>1534</v>
      </c>
      <c r="E105" s="784"/>
      <c r="F105" s="784"/>
      <c r="G105" s="784"/>
      <c r="H105" s="784" t="s">
        <v>1534</v>
      </c>
      <c r="I105" s="784"/>
      <c r="J105" s="770"/>
      <c r="K105" s="769" t="s">
        <v>1464</v>
      </c>
      <c r="L105" s="769" t="s">
        <v>199</v>
      </c>
      <c r="M105" s="769" t="s">
        <v>199</v>
      </c>
      <c r="N105" s="782">
        <v>0</v>
      </c>
      <c r="O105" s="782">
        <v>0</v>
      </c>
      <c r="P105" s="782">
        <v>0</v>
      </c>
      <c r="Q105" s="782">
        <v>0</v>
      </c>
      <c r="R105" s="782">
        <v>0</v>
      </c>
      <c r="S105" s="782">
        <v>0</v>
      </c>
      <c r="T105" s="782">
        <v>0</v>
      </c>
      <c r="U105" s="782">
        <v>0</v>
      </c>
      <c r="V105" s="782">
        <v>0</v>
      </c>
      <c r="W105" s="782">
        <v>0</v>
      </c>
      <c r="X105" s="782">
        <v>0</v>
      </c>
      <c r="Y105" s="782">
        <v>0</v>
      </c>
    </row>
    <row r="106" ht="15" customHeight="1" spans="2:25">
      <c r="B106" s="767" t="s">
        <v>1551</v>
      </c>
      <c r="C106" s="784"/>
      <c r="D106" s="784" t="s">
        <v>1534</v>
      </c>
      <c r="E106" s="784"/>
      <c r="F106" s="784"/>
      <c r="G106" s="784"/>
      <c r="H106" s="784" t="s">
        <v>1534</v>
      </c>
      <c r="I106" s="784"/>
      <c r="J106" s="770"/>
      <c r="K106" s="769" t="s">
        <v>1464</v>
      </c>
      <c r="L106" s="769" t="s">
        <v>199</v>
      </c>
      <c r="M106" s="769" t="s">
        <v>199</v>
      </c>
      <c r="N106" s="782">
        <v>0</v>
      </c>
      <c r="O106" s="782">
        <v>0</v>
      </c>
      <c r="P106" s="782">
        <v>0</v>
      </c>
      <c r="Q106" s="782">
        <v>0</v>
      </c>
      <c r="R106" s="782">
        <v>0</v>
      </c>
      <c r="S106" s="782">
        <v>0</v>
      </c>
      <c r="T106" s="782">
        <v>0</v>
      </c>
      <c r="U106" s="782">
        <v>0</v>
      </c>
      <c r="V106" s="782">
        <v>0</v>
      </c>
      <c r="W106" s="782">
        <v>0</v>
      </c>
      <c r="X106" s="782">
        <v>0</v>
      </c>
      <c r="Y106" s="782">
        <v>0</v>
      </c>
    </row>
    <row r="107" ht="15" customHeight="1" spans="2:25">
      <c r="B107" s="767" t="s">
        <v>1552</v>
      </c>
      <c r="C107" s="784"/>
      <c r="D107" s="784" t="s">
        <v>1534</v>
      </c>
      <c r="E107" s="784"/>
      <c r="F107" s="784"/>
      <c r="G107" s="784"/>
      <c r="H107" s="784" t="s">
        <v>1534</v>
      </c>
      <c r="I107" s="784"/>
      <c r="J107" s="770"/>
      <c r="K107" s="769" t="s">
        <v>1464</v>
      </c>
      <c r="L107" s="769" t="s">
        <v>199</v>
      </c>
      <c r="M107" s="769" t="s">
        <v>199</v>
      </c>
      <c r="N107" s="782">
        <v>0</v>
      </c>
      <c r="O107" s="782">
        <v>0</v>
      </c>
      <c r="P107" s="782">
        <v>0</v>
      </c>
      <c r="Q107" s="782">
        <v>0</v>
      </c>
      <c r="R107" s="782">
        <v>0</v>
      </c>
      <c r="S107" s="782">
        <v>0</v>
      </c>
      <c r="T107" s="782">
        <v>0</v>
      </c>
      <c r="U107" s="782">
        <v>0</v>
      </c>
      <c r="V107" s="782">
        <v>0</v>
      </c>
      <c r="W107" s="782">
        <v>0</v>
      </c>
      <c r="X107" s="782">
        <v>0</v>
      </c>
      <c r="Y107" s="782">
        <v>0</v>
      </c>
    </row>
    <row r="108" ht="15" customHeight="1" spans="2:25">
      <c r="B108" s="767" t="s">
        <v>1553</v>
      </c>
      <c r="C108" s="784"/>
      <c r="D108" s="784" t="s">
        <v>1534</v>
      </c>
      <c r="E108" s="784"/>
      <c r="F108" s="784"/>
      <c r="G108" s="784"/>
      <c r="H108" s="784" t="s">
        <v>1534</v>
      </c>
      <c r="I108" s="784"/>
      <c r="J108" s="770"/>
      <c r="K108" s="769" t="s">
        <v>1464</v>
      </c>
      <c r="L108" s="769" t="s">
        <v>199</v>
      </c>
      <c r="M108" s="769" t="s">
        <v>199</v>
      </c>
      <c r="N108" s="782">
        <v>0</v>
      </c>
      <c r="O108" s="782">
        <v>0</v>
      </c>
      <c r="P108" s="782">
        <v>0</v>
      </c>
      <c r="Q108" s="782">
        <v>0</v>
      </c>
      <c r="R108" s="782">
        <v>0</v>
      </c>
      <c r="S108" s="782">
        <v>0</v>
      </c>
      <c r="T108" s="782">
        <v>0</v>
      </c>
      <c r="U108" s="782">
        <v>0</v>
      </c>
      <c r="V108" s="782">
        <v>0</v>
      </c>
      <c r="W108" s="782">
        <v>0</v>
      </c>
      <c r="X108" s="782">
        <v>0</v>
      </c>
      <c r="Y108" s="782">
        <v>0</v>
      </c>
    </row>
    <row r="109" ht="15" customHeight="1" spans="2:25">
      <c r="B109" s="767" t="s">
        <v>1554</v>
      </c>
      <c r="C109" s="784"/>
      <c r="D109" s="784" t="s">
        <v>1534</v>
      </c>
      <c r="E109" s="784"/>
      <c r="F109" s="784"/>
      <c r="G109" s="784"/>
      <c r="H109" s="784" t="s">
        <v>1534</v>
      </c>
      <c r="I109" s="784"/>
      <c r="J109" s="770"/>
      <c r="K109" s="769" t="s">
        <v>1464</v>
      </c>
      <c r="L109" s="769" t="s">
        <v>199</v>
      </c>
      <c r="M109" s="769" t="s">
        <v>199</v>
      </c>
      <c r="N109" s="782">
        <v>0</v>
      </c>
      <c r="O109" s="782">
        <v>0</v>
      </c>
      <c r="P109" s="782">
        <v>0</v>
      </c>
      <c r="Q109" s="782">
        <v>0</v>
      </c>
      <c r="R109" s="782">
        <v>0</v>
      </c>
      <c r="S109" s="782">
        <v>0</v>
      </c>
      <c r="T109" s="782">
        <v>0</v>
      </c>
      <c r="U109" s="782">
        <v>0</v>
      </c>
      <c r="V109" s="782">
        <v>0</v>
      </c>
      <c r="W109" s="782">
        <v>0</v>
      </c>
      <c r="X109" s="782">
        <v>0</v>
      </c>
      <c r="Y109" s="782">
        <v>0</v>
      </c>
    </row>
    <row r="110" ht="15" customHeight="1" spans="2:25">
      <c r="B110" s="767" t="s">
        <v>1555</v>
      </c>
      <c r="C110" s="784"/>
      <c r="D110" s="784" t="s">
        <v>1534</v>
      </c>
      <c r="E110" s="784"/>
      <c r="F110" s="784"/>
      <c r="G110" s="784"/>
      <c r="H110" s="784" t="s">
        <v>1534</v>
      </c>
      <c r="I110" s="784"/>
      <c r="J110" s="770"/>
      <c r="K110" s="769" t="s">
        <v>1464</v>
      </c>
      <c r="L110" s="769" t="s">
        <v>199</v>
      </c>
      <c r="M110" s="769" t="s">
        <v>199</v>
      </c>
      <c r="N110" s="782">
        <v>0</v>
      </c>
      <c r="O110" s="782">
        <v>0</v>
      </c>
      <c r="P110" s="782">
        <v>0</v>
      </c>
      <c r="Q110" s="782">
        <v>0</v>
      </c>
      <c r="R110" s="782">
        <v>0</v>
      </c>
      <c r="S110" s="782">
        <v>0</v>
      </c>
      <c r="T110" s="782">
        <v>0</v>
      </c>
      <c r="U110" s="782">
        <v>0</v>
      </c>
      <c r="V110" s="782">
        <v>0</v>
      </c>
      <c r="W110" s="782">
        <v>0</v>
      </c>
      <c r="X110" s="782">
        <v>0</v>
      </c>
      <c r="Y110" s="782">
        <v>0</v>
      </c>
    </row>
    <row r="111" ht="15" customHeight="1" spans="2:25">
      <c r="B111" s="767" t="s">
        <v>1556</v>
      </c>
      <c r="C111" s="784"/>
      <c r="D111" s="784" t="s">
        <v>1534</v>
      </c>
      <c r="E111" s="784"/>
      <c r="F111" s="784"/>
      <c r="G111" s="784"/>
      <c r="H111" s="784" t="s">
        <v>1534</v>
      </c>
      <c r="I111" s="784"/>
      <c r="J111" s="770"/>
      <c r="K111" s="769" t="s">
        <v>1464</v>
      </c>
      <c r="L111" s="769" t="s">
        <v>199</v>
      </c>
      <c r="M111" s="769" t="s">
        <v>199</v>
      </c>
      <c r="N111" s="782">
        <v>0</v>
      </c>
      <c r="O111" s="782">
        <v>0</v>
      </c>
      <c r="P111" s="782">
        <v>0</v>
      </c>
      <c r="Q111" s="782">
        <v>0</v>
      </c>
      <c r="R111" s="782">
        <v>0</v>
      </c>
      <c r="S111" s="782">
        <v>0</v>
      </c>
      <c r="T111" s="782">
        <v>0</v>
      </c>
      <c r="U111" s="782">
        <v>0</v>
      </c>
      <c r="V111" s="782">
        <v>0</v>
      </c>
      <c r="W111" s="782">
        <v>0</v>
      </c>
      <c r="X111" s="782">
        <v>0</v>
      </c>
      <c r="Y111" s="782">
        <v>0</v>
      </c>
    </row>
    <row r="112" ht="15" customHeight="1" spans="2:25">
      <c r="B112" s="767" t="s">
        <v>1557</v>
      </c>
      <c r="C112" s="784"/>
      <c r="D112" s="784" t="s">
        <v>1534</v>
      </c>
      <c r="E112" s="784"/>
      <c r="F112" s="784"/>
      <c r="G112" s="784"/>
      <c r="H112" s="784" t="s">
        <v>1534</v>
      </c>
      <c r="I112" s="784"/>
      <c r="J112" s="770"/>
      <c r="K112" s="769" t="s">
        <v>1464</v>
      </c>
      <c r="L112" s="769" t="s">
        <v>199</v>
      </c>
      <c r="M112" s="769" t="s">
        <v>199</v>
      </c>
      <c r="N112" s="782">
        <v>0</v>
      </c>
      <c r="O112" s="782">
        <v>0</v>
      </c>
      <c r="P112" s="782">
        <v>0</v>
      </c>
      <c r="Q112" s="782">
        <v>0</v>
      </c>
      <c r="R112" s="782">
        <v>0</v>
      </c>
      <c r="S112" s="782">
        <v>0</v>
      </c>
      <c r="T112" s="782">
        <v>0</v>
      </c>
      <c r="U112" s="782">
        <v>0</v>
      </c>
      <c r="V112" s="782">
        <v>0</v>
      </c>
      <c r="W112" s="782">
        <v>0</v>
      </c>
      <c r="X112" s="782">
        <v>0</v>
      </c>
      <c r="Y112" s="782">
        <v>0</v>
      </c>
    </row>
    <row r="113" ht="15" customHeight="1" spans="2:25">
      <c r="B113" s="767" t="s">
        <v>1558</v>
      </c>
      <c r="C113" s="784"/>
      <c r="D113" s="784" t="s">
        <v>1534</v>
      </c>
      <c r="E113" s="784"/>
      <c r="F113" s="784"/>
      <c r="G113" s="784"/>
      <c r="H113" s="784" t="s">
        <v>1534</v>
      </c>
      <c r="I113" s="784"/>
      <c r="J113" s="770"/>
      <c r="K113" s="769" t="s">
        <v>1464</v>
      </c>
      <c r="L113" s="769" t="s">
        <v>199</v>
      </c>
      <c r="M113" s="769" t="s">
        <v>199</v>
      </c>
      <c r="N113" s="782">
        <v>0</v>
      </c>
      <c r="O113" s="782">
        <v>0</v>
      </c>
      <c r="P113" s="782">
        <v>0</v>
      </c>
      <c r="Q113" s="782">
        <v>0</v>
      </c>
      <c r="R113" s="782">
        <v>0</v>
      </c>
      <c r="S113" s="782">
        <v>0</v>
      </c>
      <c r="T113" s="782">
        <v>0</v>
      </c>
      <c r="U113" s="782">
        <v>0</v>
      </c>
      <c r="V113" s="782">
        <v>0</v>
      </c>
      <c r="W113" s="782">
        <v>0</v>
      </c>
      <c r="X113" s="782">
        <v>0</v>
      </c>
      <c r="Y113" s="782">
        <v>0</v>
      </c>
    </row>
    <row r="114" ht="15" customHeight="1" spans="2:25">
      <c r="B114" s="767" t="s">
        <v>1559</v>
      </c>
      <c r="C114" s="784"/>
      <c r="D114" s="784" t="s">
        <v>1534</v>
      </c>
      <c r="E114" s="784"/>
      <c r="F114" s="784"/>
      <c r="G114" s="784"/>
      <c r="H114" s="784" t="s">
        <v>1534</v>
      </c>
      <c r="I114" s="784"/>
      <c r="J114" s="770"/>
      <c r="K114" s="769" t="s">
        <v>1464</v>
      </c>
      <c r="L114" s="769" t="s">
        <v>199</v>
      </c>
      <c r="M114" s="769" t="s">
        <v>199</v>
      </c>
      <c r="N114" s="782">
        <v>0</v>
      </c>
      <c r="O114" s="782">
        <v>0</v>
      </c>
      <c r="P114" s="782">
        <v>0</v>
      </c>
      <c r="Q114" s="782">
        <v>0</v>
      </c>
      <c r="R114" s="782">
        <v>0</v>
      </c>
      <c r="S114" s="782">
        <v>0</v>
      </c>
      <c r="T114" s="782">
        <v>0</v>
      </c>
      <c r="U114" s="782">
        <v>0</v>
      </c>
      <c r="V114" s="782">
        <v>0</v>
      </c>
      <c r="W114" s="782">
        <v>0</v>
      </c>
      <c r="X114" s="782">
        <v>0</v>
      </c>
      <c r="Y114" s="782">
        <v>0</v>
      </c>
    </row>
    <row r="115" ht="15" customHeight="1" spans="2:25">
      <c r="B115" s="767" t="s">
        <v>1560</v>
      </c>
      <c r="C115" s="784"/>
      <c r="D115" s="784" t="s">
        <v>1534</v>
      </c>
      <c r="E115" s="784"/>
      <c r="F115" s="784"/>
      <c r="G115" s="784"/>
      <c r="H115" s="784" t="s">
        <v>1534</v>
      </c>
      <c r="I115" s="784"/>
      <c r="J115" s="770"/>
      <c r="K115" s="769" t="s">
        <v>1464</v>
      </c>
      <c r="L115" s="769" t="s">
        <v>199</v>
      </c>
      <c r="M115" s="769" t="s">
        <v>199</v>
      </c>
      <c r="N115" s="782">
        <v>0</v>
      </c>
      <c r="O115" s="782">
        <v>0</v>
      </c>
      <c r="P115" s="782">
        <v>0</v>
      </c>
      <c r="Q115" s="782">
        <v>0</v>
      </c>
      <c r="R115" s="782">
        <v>0</v>
      </c>
      <c r="S115" s="782">
        <v>0</v>
      </c>
      <c r="T115" s="782">
        <v>0</v>
      </c>
      <c r="U115" s="782">
        <v>0</v>
      </c>
      <c r="V115" s="782">
        <v>0</v>
      </c>
      <c r="W115" s="782">
        <v>0</v>
      </c>
      <c r="X115" s="782">
        <v>0</v>
      </c>
      <c r="Y115" s="782">
        <v>0</v>
      </c>
    </row>
    <row r="116" ht="15" customHeight="1" spans="2:25">
      <c r="B116" s="767" t="s">
        <v>1561</v>
      </c>
      <c r="C116" s="784"/>
      <c r="D116" s="784" t="s">
        <v>1534</v>
      </c>
      <c r="E116" s="784"/>
      <c r="F116" s="784"/>
      <c r="G116" s="784"/>
      <c r="H116" s="784" t="s">
        <v>1534</v>
      </c>
      <c r="I116" s="784"/>
      <c r="J116" s="770"/>
      <c r="K116" s="769" t="s">
        <v>1464</v>
      </c>
      <c r="L116" s="769" t="s">
        <v>199</v>
      </c>
      <c r="M116" s="769" t="s">
        <v>199</v>
      </c>
      <c r="N116" s="782">
        <v>0</v>
      </c>
      <c r="O116" s="782">
        <v>0</v>
      </c>
      <c r="P116" s="782">
        <v>0</v>
      </c>
      <c r="Q116" s="782">
        <v>0</v>
      </c>
      <c r="R116" s="782">
        <v>0</v>
      </c>
      <c r="S116" s="782">
        <v>0</v>
      </c>
      <c r="T116" s="782">
        <v>0</v>
      </c>
      <c r="U116" s="782">
        <v>0</v>
      </c>
      <c r="V116" s="782">
        <v>0</v>
      </c>
      <c r="W116" s="782">
        <v>0</v>
      </c>
      <c r="X116" s="782">
        <v>0</v>
      </c>
      <c r="Y116" s="782">
        <v>0</v>
      </c>
    </row>
    <row r="117" ht="15" customHeight="1" spans="2:25">
      <c r="B117" s="767" t="s">
        <v>1562</v>
      </c>
      <c r="C117" s="784"/>
      <c r="D117" s="784" t="s">
        <v>1534</v>
      </c>
      <c r="E117" s="784"/>
      <c r="F117" s="784"/>
      <c r="G117" s="784"/>
      <c r="H117" s="784" t="s">
        <v>1534</v>
      </c>
      <c r="I117" s="784"/>
      <c r="J117" s="770"/>
      <c r="K117" s="769" t="s">
        <v>1464</v>
      </c>
      <c r="L117" s="769" t="s">
        <v>199</v>
      </c>
      <c r="M117" s="769" t="s">
        <v>199</v>
      </c>
      <c r="N117" s="782">
        <v>0</v>
      </c>
      <c r="O117" s="782">
        <v>0</v>
      </c>
      <c r="P117" s="782">
        <v>0</v>
      </c>
      <c r="Q117" s="782">
        <v>0</v>
      </c>
      <c r="R117" s="782">
        <v>0</v>
      </c>
      <c r="S117" s="782">
        <v>0</v>
      </c>
      <c r="T117" s="782">
        <v>0</v>
      </c>
      <c r="U117" s="782">
        <v>0</v>
      </c>
      <c r="V117" s="782">
        <v>0</v>
      </c>
      <c r="W117" s="782">
        <v>0</v>
      </c>
      <c r="X117" s="782">
        <v>0</v>
      </c>
      <c r="Y117" s="782">
        <v>0</v>
      </c>
    </row>
    <row r="118" ht="15" customHeight="1" spans="2:25">
      <c r="B118" s="767" t="s">
        <v>1563</v>
      </c>
      <c r="C118" s="784"/>
      <c r="D118" s="784" t="s">
        <v>1534</v>
      </c>
      <c r="E118" s="784"/>
      <c r="F118" s="784"/>
      <c r="G118" s="784"/>
      <c r="H118" s="784" t="s">
        <v>1534</v>
      </c>
      <c r="I118" s="784"/>
      <c r="J118" s="770"/>
      <c r="K118" s="769" t="s">
        <v>1464</v>
      </c>
      <c r="L118" s="769" t="s">
        <v>199</v>
      </c>
      <c r="M118" s="769" t="s">
        <v>199</v>
      </c>
      <c r="N118" s="782">
        <v>0</v>
      </c>
      <c r="O118" s="782">
        <v>0</v>
      </c>
      <c r="P118" s="782">
        <v>0</v>
      </c>
      <c r="Q118" s="782">
        <v>0</v>
      </c>
      <c r="R118" s="782">
        <v>0</v>
      </c>
      <c r="S118" s="782">
        <v>0</v>
      </c>
      <c r="T118" s="782">
        <v>0</v>
      </c>
      <c r="U118" s="782">
        <v>0</v>
      </c>
      <c r="V118" s="782">
        <v>0</v>
      </c>
      <c r="W118" s="782">
        <v>0</v>
      </c>
      <c r="X118" s="782">
        <v>0</v>
      </c>
      <c r="Y118" s="782">
        <v>0</v>
      </c>
    </row>
    <row r="119" ht="15" customHeight="1" spans="2:25">
      <c r="B119" s="767" t="s">
        <v>1564</v>
      </c>
      <c r="C119" s="784"/>
      <c r="D119" s="784" t="s">
        <v>1534</v>
      </c>
      <c r="E119" s="784"/>
      <c r="F119" s="784"/>
      <c r="G119" s="784"/>
      <c r="H119" s="784" t="s">
        <v>1534</v>
      </c>
      <c r="I119" s="784"/>
      <c r="J119" s="770"/>
      <c r="K119" s="769" t="s">
        <v>1464</v>
      </c>
      <c r="L119" s="769" t="s">
        <v>199</v>
      </c>
      <c r="M119" s="769" t="s">
        <v>199</v>
      </c>
      <c r="N119" s="782">
        <v>0</v>
      </c>
      <c r="O119" s="782">
        <v>0</v>
      </c>
      <c r="P119" s="782">
        <v>0</v>
      </c>
      <c r="Q119" s="782">
        <v>0</v>
      </c>
      <c r="R119" s="782">
        <v>0</v>
      </c>
      <c r="S119" s="782">
        <v>0</v>
      </c>
      <c r="T119" s="782">
        <v>0</v>
      </c>
      <c r="U119" s="782">
        <v>0</v>
      </c>
      <c r="V119" s="782">
        <v>0</v>
      </c>
      <c r="W119" s="782">
        <v>0</v>
      </c>
      <c r="X119" s="782">
        <v>0</v>
      </c>
      <c r="Y119" s="782">
        <v>0</v>
      </c>
    </row>
  </sheetData>
  <mergeCells count="17">
    <mergeCell ref="N21:Y21"/>
    <mergeCell ref="B21:B22"/>
    <mergeCell ref="C21:C22"/>
    <mergeCell ref="D21:D22"/>
    <mergeCell ref="E21:E22"/>
    <mergeCell ref="F17:F18"/>
    <mergeCell ref="F21:F22"/>
    <mergeCell ref="G17:G18"/>
    <mergeCell ref="G21:G22"/>
    <mergeCell ref="H21:H22"/>
    <mergeCell ref="I21:I22"/>
    <mergeCell ref="J21:J22"/>
    <mergeCell ref="K21:K22"/>
    <mergeCell ref="L21:L22"/>
    <mergeCell ref="M21:M22"/>
    <mergeCell ref="B11:E14"/>
    <mergeCell ref="B15:E16"/>
  </mergeCells>
  <hyperlinks>
    <hyperlink ref="A1" location="目录!A1" display="← 返回目录"/>
  </hyperlinks>
  <pageMargins left="0.7" right="0.7" top="0.75" bottom="0.75" header="0.3" footer="0.3"/>
  <pageSetup paperSize="1" orientation="portrait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>
    <tabColor theme="8" tint="0.799981688894314"/>
  </sheetPr>
  <dimension ref="A1:CP119"/>
  <sheetViews>
    <sheetView showGridLines="0" showZeros="0" zoomScale="85" zoomScaleNormal="85" topLeftCell="A10" workbookViewId="0">
      <selection activeCell="A1" sqref="A1"/>
    </sheetView>
  </sheetViews>
  <sheetFormatPr defaultColWidth="8.725" defaultRowHeight="11.25"/>
  <cols>
    <col min="1" max="1" width="1.63333333333333" style="1" customWidth="1"/>
    <col min="2" max="2" width="6.63333333333333" style="1" customWidth="1"/>
    <col min="3" max="3" width="12.6333333333333" style="1" customWidth="1"/>
    <col min="4" max="4" width="12.725" style="1" customWidth="1"/>
    <col min="5" max="5" width="15.6333333333333" style="1" customWidth="1"/>
    <col min="6" max="6" width="11.6333333333333" style="1" customWidth="1"/>
    <col min="7" max="7" width="12.3666666666667" style="1" customWidth="1"/>
    <col min="8" max="8" width="10.1833333333333" style="1" customWidth="1"/>
    <col min="9" max="9" width="13.5416666666667" style="1" customWidth="1"/>
    <col min="10" max="10" width="14.725" style="1" customWidth="1"/>
    <col min="11" max="12" width="11.1833333333333" style="1" customWidth="1"/>
    <col min="13" max="14" width="10.5416666666667" style="1" customWidth="1"/>
    <col min="15" max="26" width="10.2666666666667" style="1" customWidth="1"/>
    <col min="27" max="27" width="8.725" style="1" customWidth="1"/>
    <col min="28" max="29" width="10.5416666666667" style="1" customWidth="1"/>
    <col min="30" max="31" width="10.3666666666667" style="1" customWidth="1"/>
    <col min="32" max="44" width="8.725" style="1" customWidth="1"/>
    <col min="45" max="46" width="9.90833333333333" style="1" customWidth="1"/>
    <col min="47" max="48" width="9.81666666666667" style="1" customWidth="1"/>
    <col min="49" max="53" width="8.725" style="1" customWidth="1"/>
    <col min="54" max="61" width="8.725" style="1"/>
    <col min="62" max="63" width="10.6333333333333" style="1" customWidth="1"/>
    <col min="64" max="65" width="11" style="1" customWidth="1"/>
    <col min="66" max="78" width="8.725" style="1"/>
    <col min="79" max="80" width="9.90833333333333" style="1" customWidth="1"/>
    <col min="81" max="82" width="10" style="1" customWidth="1"/>
    <col min="83" max="16384" width="8.725" style="1"/>
  </cols>
  <sheetData>
    <row r="1" ht="16.5" hidden="1" customHeight="1" spans="1:18">
      <c r="A1" s="162" t="s">
        <v>185</v>
      </c>
      <c r="B1" s="1" t="s">
        <v>1435</v>
      </c>
      <c r="C1" s="1" t="s">
        <v>1436</v>
      </c>
    </row>
    <row r="2" ht="16.5" hidden="1" customHeight="1" spans="1:18">
      <c r="B2" s="754" t="s">
        <v>1437</v>
      </c>
      <c r="C2" s="1" t="s">
        <v>1438</v>
      </c>
    </row>
    <row r="3" ht="16.5" hidden="1" customHeight="1" spans="1:18">
      <c r="B3" s="754" t="s">
        <v>1439</v>
      </c>
      <c r="C3" s="1" t="s">
        <v>340</v>
      </c>
    </row>
    <row r="4" ht="16.5" hidden="1" customHeight="1" spans="1:18">
      <c r="B4" s="754" t="s">
        <v>1440</v>
      </c>
      <c r="C4" s="1" t="s">
        <v>1441</v>
      </c>
    </row>
    <row r="5" ht="16.5" hidden="1" customHeight="1" spans="1:18">
      <c r="B5" s="754" t="s">
        <v>1442</v>
      </c>
      <c r="C5" s="1" t="s">
        <v>1443</v>
      </c>
    </row>
    <row r="6" ht="16.5" hidden="1" customHeight="1" spans="1:18">
      <c r="B6" s="754" t="s">
        <v>333</v>
      </c>
      <c r="C6" s="1" t="s">
        <v>1444</v>
      </c>
    </row>
    <row r="7" ht="16.5" hidden="1" customHeight="1" spans="1:18">
      <c r="B7" s="754" t="s">
        <v>1445</v>
      </c>
      <c r="C7" s="1" t="s">
        <v>1446</v>
      </c>
    </row>
    <row r="8" ht="9" hidden="1" customHeight="1" spans="1:18">
      <c r="B8" s="754"/>
    </row>
    <row r="9" ht="9" hidden="1" customHeight="1"/>
    <row r="10" ht="3.65" customHeight="1" spans="1:18">
      <c r="B10" s="755"/>
      <c r="E10" s="756"/>
      <c r="F10" s="756"/>
    </row>
    <row r="11" ht="13" customHeight="1" spans="1:18">
      <c r="B11" s="492" t="s">
        <v>1615</v>
      </c>
      <c r="C11" s="492"/>
      <c r="D11" s="492"/>
      <c r="E11" s="492"/>
      <c r="F11" s="7" t="s">
        <v>1404</v>
      </c>
      <c r="G11" s="8" t="s">
        <v>1405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70"/>
    </row>
    <row r="12" ht="13" customHeight="1" spans="1:18">
      <c r="B12" s="492"/>
      <c r="C12" s="492"/>
      <c r="D12" s="492"/>
      <c r="E12" s="492"/>
      <c r="F12" s="12"/>
      <c r="G12" s="13" t="s">
        <v>1616</v>
      </c>
      <c r="H12" s="13"/>
      <c r="I12" s="13"/>
      <c r="J12" s="13"/>
      <c r="K12" s="13"/>
      <c r="L12" s="13"/>
      <c r="M12" s="13"/>
      <c r="N12" s="14"/>
      <c r="O12" s="14"/>
      <c r="P12" s="14"/>
      <c r="Q12" s="14"/>
      <c r="R12" s="71"/>
    </row>
    <row r="13" customHeight="1" spans="1:18">
      <c r="B13" s="492"/>
      <c r="C13" s="492"/>
      <c r="D13" s="492"/>
      <c r="E13" s="492"/>
      <c r="F13" s="12"/>
      <c r="G13" s="13" t="s">
        <v>1617</v>
      </c>
      <c r="H13" s="13"/>
      <c r="I13" s="13"/>
      <c r="J13" s="13"/>
      <c r="K13" s="13"/>
      <c r="L13" s="13"/>
      <c r="M13" s="13"/>
      <c r="N13" s="15"/>
      <c r="O13" s="15"/>
      <c r="P13" s="15"/>
      <c r="Q13" s="14"/>
      <c r="R13" s="71"/>
    </row>
    <row r="14" customHeight="1" spans="1:18">
      <c r="B14" s="492"/>
      <c r="C14" s="492"/>
      <c r="D14" s="492"/>
      <c r="E14" s="492"/>
      <c r="F14" s="12"/>
      <c r="G14" s="13" t="s">
        <v>1408</v>
      </c>
      <c r="H14" s="13"/>
      <c r="I14" s="13"/>
      <c r="J14" s="13"/>
      <c r="K14" s="13"/>
      <c r="L14" s="13"/>
      <c r="M14" s="13"/>
      <c r="N14" s="15"/>
      <c r="O14" s="15"/>
      <c r="P14" s="15"/>
      <c r="Q14" s="14"/>
      <c r="R14" s="71"/>
    </row>
    <row r="15" customHeight="1" spans="1:18">
      <c r="B15" s="292" t="s">
        <v>1618</v>
      </c>
      <c r="C15" s="292"/>
      <c r="D15" s="292"/>
      <c r="E15" s="292"/>
      <c r="F15" s="12"/>
      <c r="G15" s="22"/>
      <c r="H15" s="22"/>
      <c r="I15" s="13"/>
      <c r="J15" s="13"/>
      <c r="K15" s="13"/>
      <c r="L15" s="13"/>
      <c r="M15" s="13"/>
      <c r="N15" s="15"/>
      <c r="O15" s="15"/>
      <c r="P15" s="15"/>
      <c r="Q15" s="14"/>
      <c r="R15" s="71"/>
    </row>
    <row r="16" customHeight="1" spans="1:18">
      <c r="B16" s="292"/>
      <c r="C16" s="292"/>
      <c r="D16" s="292"/>
      <c r="E16" s="292"/>
      <c r="F16" s="26" t="s">
        <v>1410</v>
      </c>
      <c r="G16" s="27"/>
      <c r="H16" s="27"/>
      <c r="I16" s="28"/>
      <c r="J16" s="28"/>
      <c r="K16" s="28"/>
      <c r="L16" s="28"/>
      <c r="M16" s="28"/>
      <c r="N16" s="29"/>
      <c r="O16" s="29"/>
      <c r="P16" s="29"/>
      <c r="Q16" s="30"/>
      <c r="R16" s="72"/>
    </row>
    <row r="17" ht="4.5" customHeight="1" spans="2:94">
      <c r="F17" s="757"/>
      <c r="G17" s="32">
        <v>0</v>
      </c>
      <c r="H17" s="32"/>
      <c r="M17" s="33"/>
      <c r="N17" s="34"/>
      <c r="O17" s="34"/>
      <c r="P17" s="34"/>
    </row>
    <row r="18" ht="10.5" customHeight="1" spans="2:94">
      <c r="F18" s="35"/>
      <c r="G18" s="32"/>
      <c r="H18" s="32"/>
      <c r="K18" s="754" t="s">
        <v>1619</v>
      </c>
    </row>
    <row r="19" ht="15" customHeight="1" spans="2:94">
      <c r="B19" s="36" t="s">
        <v>1411</v>
      </c>
      <c r="C19" s="37" t="s">
        <v>1412</v>
      </c>
      <c r="D19" s="36" t="s">
        <v>188</v>
      </c>
      <c r="E19" s="37" t="s">
        <v>1620</v>
      </c>
      <c r="F19" s="36" t="s">
        <v>1364</v>
      </c>
      <c r="G19" s="37" t="s">
        <v>1396</v>
      </c>
      <c r="H19" s="36" t="s">
        <v>1414</v>
      </c>
      <c r="I19" s="38" t="s">
        <v>1359</v>
      </c>
    </row>
    <row r="20" ht="16.5" customHeight="1" spans="2:94">
      <c r="Q20" s="754"/>
      <c r="R20" s="175"/>
      <c r="AA20" s="758" t="s">
        <v>1621</v>
      </c>
      <c r="AR20" s="758" t="s">
        <v>1621</v>
      </c>
      <c r="BI20" s="758" t="s">
        <v>1621</v>
      </c>
      <c r="BZ20" s="758" t="s">
        <v>1621</v>
      </c>
    </row>
    <row r="21" s="753" customFormat="1" ht="21" customHeight="1" spans="2:94">
      <c r="B21" s="759" t="s">
        <v>1455</v>
      </c>
      <c r="C21" s="760" t="s">
        <v>1366</v>
      </c>
      <c r="D21" s="760" t="s">
        <v>1622</v>
      </c>
      <c r="E21" s="759" t="s">
        <v>489</v>
      </c>
      <c r="F21" s="759" t="s">
        <v>490</v>
      </c>
      <c r="G21" s="759" t="s">
        <v>1369</v>
      </c>
      <c r="H21" s="760" t="s">
        <v>493</v>
      </c>
      <c r="I21" s="759" t="s">
        <v>1371</v>
      </c>
      <c r="J21" s="759" t="s">
        <v>1623</v>
      </c>
      <c r="K21" s="761" t="s">
        <v>58</v>
      </c>
      <c r="L21" s="762"/>
      <c r="M21" s="762"/>
      <c r="N21" s="762"/>
      <c r="O21" s="762"/>
      <c r="P21" s="762"/>
      <c r="Q21" s="762"/>
      <c r="R21" s="762"/>
      <c r="S21" s="762"/>
      <c r="T21" s="762"/>
      <c r="U21" s="762"/>
      <c r="V21" s="762"/>
      <c r="W21" s="762"/>
      <c r="X21" s="762"/>
      <c r="Y21" s="762"/>
      <c r="Z21" s="762"/>
      <c r="AA21" s="763" t="s">
        <v>1624</v>
      </c>
      <c r="AB21" s="732" t="s">
        <v>1374</v>
      </c>
      <c r="AC21" s="732"/>
      <c r="AD21" s="732"/>
      <c r="AE21" s="732"/>
      <c r="AF21" s="732"/>
      <c r="AG21" s="732"/>
      <c r="AH21" s="732"/>
      <c r="AI21" s="732"/>
      <c r="AJ21" s="732"/>
      <c r="AK21" s="732"/>
      <c r="AL21" s="732"/>
      <c r="AM21" s="732"/>
      <c r="AN21" s="732"/>
      <c r="AO21" s="732"/>
      <c r="AP21" s="732"/>
      <c r="AQ21" s="732"/>
      <c r="AR21" s="760" t="s">
        <v>1625</v>
      </c>
      <c r="AS21" s="732" t="s">
        <v>1383</v>
      </c>
      <c r="AT21" s="732"/>
      <c r="AU21" s="732"/>
      <c r="AV21" s="732"/>
      <c r="AW21" s="732"/>
      <c r="AX21" s="732"/>
      <c r="AY21" s="732"/>
      <c r="AZ21" s="732"/>
      <c r="BA21" s="732"/>
      <c r="BB21" s="732"/>
      <c r="BC21" s="732"/>
      <c r="BD21" s="732"/>
      <c r="BE21" s="732"/>
      <c r="BF21" s="732"/>
      <c r="BG21" s="732"/>
      <c r="BH21" s="732"/>
      <c r="BI21" s="760" t="s">
        <v>1626</v>
      </c>
      <c r="BJ21" s="732" t="s">
        <v>1384</v>
      </c>
      <c r="BK21" s="732"/>
      <c r="BL21" s="732"/>
      <c r="BM21" s="732"/>
      <c r="BN21" s="732"/>
      <c r="BO21" s="732"/>
      <c r="BP21" s="732"/>
      <c r="BQ21" s="732"/>
      <c r="BR21" s="732"/>
      <c r="BS21" s="732"/>
      <c r="BT21" s="732"/>
      <c r="BU21" s="732"/>
      <c r="BV21" s="732"/>
      <c r="BW21" s="732"/>
      <c r="BX21" s="732"/>
      <c r="BY21" s="732"/>
      <c r="BZ21" s="760" t="s">
        <v>1627</v>
      </c>
      <c r="CA21" s="732" t="s">
        <v>1389</v>
      </c>
      <c r="CB21" s="732"/>
      <c r="CC21" s="732"/>
      <c r="CD21" s="732"/>
      <c r="CE21" s="732"/>
      <c r="CF21" s="732"/>
      <c r="CG21" s="732"/>
      <c r="CH21" s="732"/>
      <c r="CI21" s="732"/>
      <c r="CJ21" s="732"/>
      <c r="CK21" s="732"/>
      <c r="CL21" s="732"/>
      <c r="CM21" s="732"/>
      <c r="CN21" s="732"/>
      <c r="CO21" s="732"/>
      <c r="CP21" s="732"/>
    </row>
    <row r="22" s="753" customFormat="1" ht="21" customHeight="1" spans="2:94">
      <c r="B22" s="764"/>
      <c r="C22" s="765"/>
      <c r="D22" s="765"/>
      <c r="E22" s="764"/>
      <c r="F22" s="764"/>
      <c r="G22" s="764"/>
      <c r="H22" s="765"/>
      <c r="I22" s="764"/>
      <c r="J22" s="764"/>
      <c r="K22" s="766" t="s">
        <v>1458</v>
      </c>
      <c r="L22" s="766" t="s">
        <v>1459</v>
      </c>
      <c r="M22" s="766" t="s">
        <v>1460</v>
      </c>
      <c r="N22" s="766" t="s">
        <v>1461</v>
      </c>
      <c r="O22" s="766" t="s">
        <v>304</v>
      </c>
      <c r="P22" s="766" t="s">
        <v>305</v>
      </c>
      <c r="Q22" s="766" t="s">
        <v>306</v>
      </c>
      <c r="R22" s="766" t="s">
        <v>307</v>
      </c>
      <c r="S22" s="766" t="s">
        <v>308</v>
      </c>
      <c r="T22" s="766" t="s">
        <v>309</v>
      </c>
      <c r="U22" s="766" t="s">
        <v>310</v>
      </c>
      <c r="V22" s="766" t="s">
        <v>311</v>
      </c>
      <c r="W22" s="766" t="s">
        <v>312</v>
      </c>
      <c r="X22" s="766" t="s">
        <v>313</v>
      </c>
      <c r="Y22" s="766" t="s">
        <v>314</v>
      </c>
      <c r="Z22" s="766" t="s">
        <v>315</v>
      </c>
      <c r="AA22" s="763"/>
      <c r="AB22" s="732" t="s">
        <v>1628</v>
      </c>
      <c r="AC22" s="732" t="s">
        <v>1629</v>
      </c>
      <c r="AD22" s="732" t="s">
        <v>1460</v>
      </c>
      <c r="AE22" s="732" t="s">
        <v>1461</v>
      </c>
      <c r="AF22" s="732" t="s">
        <v>304</v>
      </c>
      <c r="AG22" s="732" t="s">
        <v>305</v>
      </c>
      <c r="AH22" s="732" t="s">
        <v>306</v>
      </c>
      <c r="AI22" s="732" t="s">
        <v>307</v>
      </c>
      <c r="AJ22" s="732" t="s">
        <v>308</v>
      </c>
      <c r="AK22" s="732" t="s">
        <v>309</v>
      </c>
      <c r="AL22" s="732" t="s">
        <v>310</v>
      </c>
      <c r="AM22" s="732" t="s">
        <v>311</v>
      </c>
      <c r="AN22" s="732" t="s">
        <v>312</v>
      </c>
      <c r="AO22" s="732" t="s">
        <v>313</v>
      </c>
      <c r="AP22" s="732" t="s">
        <v>314</v>
      </c>
      <c r="AQ22" s="732" t="s">
        <v>315</v>
      </c>
      <c r="AR22" s="765"/>
      <c r="AS22" s="732" t="s">
        <v>1628</v>
      </c>
      <c r="AT22" s="732" t="s">
        <v>1629</v>
      </c>
      <c r="AU22" s="732" t="s">
        <v>1460</v>
      </c>
      <c r="AV22" s="732" t="s">
        <v>1461</v>
      </c>
      <c r="AW22" s="732" t="s">
        <v>304</v>
      </c>
      <c r="AX22" s="732" t="s">
        <v>305</v>
      </c>
      <c r="AY22" s="732" t="s">
        <v>306</v>
      </c>
      <c r="AZ22" s="732" t="s">
        <v>307</v>
      </c>
      <c r="BA22" s="732" t="s">
        <v>308</v>
      </c>
      <c r="BB22" s="732" t="s">
        <v>309</v>
      </c>
      <c r="BC22" s="732" t="s">
        <v>310</v>
      </c>
      <c r="BD22" s="732" t="s">
        <v>311</v>
      </c>
      <c r="BE22" s="732" t="s">
        <v>312</v>
      </c>
      <c r="BF22" s="732" t="s">
        <v>313</v>
      </c>
      <c r="BG22" s="732" t="s">
        <v>314</v>
      </c>
      <c r="BH22" s="732" t="s">
        <v>315</v>
      </c>
      <c r="BI22" s="765"/>
      <c r="BJ22" s="732" t="s">
        <v>1628</v>
      </c>
      <c r="BK22" s="732" t="s">
        <v>1629</v>
      </c>
      <c r="BL22" s="732" t="s">
        <v>1460</v>
      </c>
      <c r="BM22" s="732" t="s">
        <v>1461</v>
      </c>
      <c r="BN22" s="732" t="s">
        <v>304</v>
      </c>
      <c r="BO22" s="732" t="s">
        <v>305</v>
      </c>
      <c r="BP22" s="732" t="s">
        <v>306</v>
      </c>
      <c r="BQ22" s="732" t="s">
        <v>307</v>
      </c>
      <c r="BR22" s="732" t="s">
        <v>308</v>
      </c>
      <c r="BS22" s="732" t="s">
        <v>309</v>
      </c>
      <c r="BT22" s="732" t="s">
        <v>310</v>
      </c>
      <c r="BU22" s="732" t="s">
        <v>311</v>
      </c>
      <c r="BV22" s="732" t="s">
        <v>312</v>
      </c>
      <c r="BW22" s="732" t="s">
        <v>313</v>
      </c>
      <c r="BX22" s="732" t="s">
        <v>314</v>
      </c>
      <c r="BY22" s="732" t="s">
        <v>315</v>
      </c>
      <c r="BZ22" s="765"/>
      <c r="CA22" s="732" t="s">
        <v>1628</v>
      </c>
      <c r="CB22" s="732" t="s">
        <v>1629</v>
      </c>
      <c r="CC22" s="732" t="s">
        <v>1460</v>
      </c>
      <c r="CD22" s="732" t="s">
        <v>1461</v>
      </c>
      <c r="CE22" s="732" t="s">
        <v>304</v>
      </c>
      <c r="CF22" s="732" t="s">
        <v>305</v>
      </c>
      <c r="CG22" s="732" t="s">
        <v>306</v>
      </c>
      <c r="CH22" s="732" t="s">
        <v>307</v>
      </c>
      <c r="CI22" s="732" t="s">
        <v>308</v>
      </c>
      <c r="CJ22" s="732" t="s">
        <v>309</v>
      </c>
      <c r="CK22" s="732" t="s">
        <v>310</v>
      </c>
      <c r="CL22" s="732" t="s">
        <v>311</v>
      </c>
      <c r="CM22" s="732" t="s">
        <v>312</v>
      </c>
      <c r="CN22" s="732" t="s">
        <v>313</v>
      </c>
      <c r="CO22" s="732" t="s">
        <v>314</v>
      </c>
      <c r="CP22" s="732" t="s">
        <v>315</v>
      </c>
    </row>
    <row r="23" s="753" customFormat="1" ht="23" customHeight="1" spans="2:94">
      <c r="B23" s="763"/>
      <c r="C23" s="766" t="s">
        <v>1421</v>
      </c>
      <c r="D23" s="766" t="s">
        <v>1421</v>
      </c>
      <c r="E23" s="763" t="s">
        <v>1421</v>
      </c>
      <c r="F23" s="763" t="s">
        <v>1421</v>
      </c>
      <c r="G23" s="763" t="s">
        <v>1421</v>
      </c>
      <c r="H23" s="766" t="s">
        <v>1421</v>
      </c>
      <c r="I23" s="763" t="s">
        <v>1421</v>
      </c>
      <c r="J23" s="763"/>
      <c r="K23" s="763" t="s">
        <v>1421</v>
      </c>
      <c r="L23" s="763" t="s">
        <v>1464</v>
      </c>
      <c r="M23" s="763" t="s">
        <v>199</v>
      </c>
      <c r="N23" s="763" t="s">
        <v>199</v>
      </c>
      <c r="O23" s="763" t="s">
        <v>1421</v>
      </c>
      <c r="P23" s="763" t="s">
        <v>1421</v>
      </c>
      <c r="Q23" s="763" t="s">
        <v>1421</v>
      </c>
      <c r="R23" s="763" t="s">
        <v>1421</v>
      </c>
      <c r="S23" s="763" t="s">
        <v>1421</v>
      </c>
      <c r="T23" s="763" t="s">
        <v>1421</v>
      </c>
      <c r="U23" s="763" t="s">
        <v>1421</v>
      </c>
      <c r="V23" s="763" t="s">
        <v>1421</v>
      </c>
      <c r="W23" s="763" t="s">
        <v>1421</v>
      </c>
      <c r="X23" s="763" t="s">
        <v>1421</v>
      </c>
      <c r="Y23" s="763" t="s">
        <v>1421</v>
      </c>
      <c r="Z23" s="763" t="s">
        <v>1421</v>
      </c>
      <c r="AA23" s="763" t="s">
        <v>1421</v>
      </c>
      <c r="AB23" s="763" t="s">
        <v>1421</v>
      </c>
      <c r="AC23" s="763" t="s">
        <v>199</v>
      </c>
      <c r="AD23" s="763" t="s">
        <v>199</v>
      </c>
      <c r="AE23" s="763" t="s">
        <v>199</v>
      </c>
      <c r="AF23" s="746" t="s">
        <v>1465</v>
      </c>
      <c r="AG23" s="746" t="s">
        <v>1465</v>
      </c>
      <c r="AH23" s="746" t="s">
        <v>1465</v>
      </c>
      <c r="AI23" s="746" t="s">
        <v>1465</v>
      </c>
      <c r="AJ23" s="746" t="s">
        <v>1465</v>
      </c>
      <c r="AK23" s="746" t="s">
        <v>1465</v>
      </c>
      <c r="AL23" s="746" t="s">
        <v>1465</v>
      </c>
      <c r="AM23" s="746" t="s">
        <v>1465</v>
      </c>
      <c r="AN23" s="746" t="s">
        <v>1465</v>
      </c>
      <c r="AO23" s="746" t="s">
        <v>1465</v>
      </c>
      <c r="AP23" s="746" t="s">
        <v>1465</v>
      </c>
      <c r="AQ23" s="746" t="s">
        <v>1465</v>
      </c>
      <c r="AR23" s="766" t="s">
        <v>1421</v>
      </c>
      <c r="AS23" s="763" t="s">
        <v>1421</v>
      </c>
      <c r="AT23" s="763" t="s">
        <v>199</v>
      </c>
      <c r="AU23" s="763" t="s">
        <v>199</v>
      </c>
      <c r="AV23" s="763" t="s">
        <v>199</v>
      </c>
      <c r="AW23" s="746" t="s">
        <v>1465</v>
      </c>
      <c r="AX23" s="746" t="s">
        <v>1465</v>
      </c>
      <c r="AY23" s="746" t="s">
        <v>1465</v>
      </c>
      <c r="AZ23" s="746" t="s">
        <v>1465</v>
      </c>
      <c r="BA23" s="746" t="s">
        <v>1465</v>
      </c>
      <c r="BB23" s="746" t="s">
        <v>1465</v>
      </c>
      <c r="BC23" s="746" t="s">
        <v>1465</v>
      </c>
      <c r="BD23" s="746" t="s">
        <v>1465</v>
      </c>
      <c r="BE23" s="746" t="s">
        <v>1465</v>
      </c>
      <c r="BF23" s="746" t="s">
        <v>1465</v>
      </c>
      <c r="BG23" s="746" t="s">
        <v>1465</v>
      </c>
      <c r="BH23" s="746" t="s">
        <v>1465</v>
      </c>
      <c r="BI23" s="766" t="s">
        <v>1421</v>
      </c>
      <c r="BJ23" s="763" t="s">
        <v>1421</v>
      </c>
      <c r="BK23" s="763" t="s">
        <v>199</v>
      </c>
      <c r="BL23" s="763" t="s">
        <v>199</v>
      </c>
      <c r="BM23" s="763" t="s">
        <v>199</v>
      </c>
      <c r="BN23" s="746" t="s">
        <v>1465</v>
      </c>
      <c r="BO23" s="746" t="s">
        <v>1465</v>
      </c>
      <c r="BP23" s="746" t="s">
        <v>1465</v>
      </c>
      <c r="BQ23" s="746" t="s">
        <v>1465</v>
      </c>
      <c r="BR23" s="746" t="s">
        <v>1465</v>
      </c>
      <c r="BS23" s="746" t="s">
        <v>1465</v>
      </c>
      <c r="BT23" s="746" t="s">
        <v>1465</v>
      </c>
      <c r="BU23" s="746" t="s">
        <v>1465</v>
      </c>
      <c r="BV23" s="746" t="s">
        <v>1465</v>
      </c>
      <c r="BW23" s="746" t="s">
        <v>1465</v>
      </c>
      <c r="BX23" s="746" t="s">
        <v>1465</v>
      </c>
      <c r="BY23" s="746" t="s">
        <v>1465</v>
      </c>
      <c r="BZ23" s="766" t="s">
        <v>1421</v>
      </c>
      <c r="CA23" s="763" t="s">
        <v>1421</v>
      </c>
      <c r="CB23" s="763" t="s">
        <v>199</v>
      </c>
      <c r="CC23" s="763" t="s">
        <v>199</v>
      </c>
      <c r="CD23" s="763" t="s">
        <v>199</v>
      </c>
      <c r="CE23" s="746" t="s">
        <v>1465</v>
      </c>
      <c r="CF23" s="746" t="s">
        <v>1465</v>
      </c>
      <c r="CG23" s="746" t="s">
        <v>1465</v>
      </c>
      <c r="CH23" s="746" t="s">
        <v>1465</v>
      </c>
      <c r="CI23" s="746" t="s">
        <v>1465</v>
      </c>
      <c r="CJ23" s="746" t="s">
        <v>1465</v>
      </c>
      <c r="CK23" s="746" t="s">
        <v>1465</v>
      </c>
      <c r="CL23" s="746" t="s">
        <v>1465</v>
      </c>
      <c r="CM23" s="746" t="s">
        <v>1465</v>
      </c>
      <c r="CN23" s="746" t="s">
        <v>1465</v>
      </c>
      <c r="CO23" s="746" t="s">
        <v>1465</v>
      </c>
      <c r="CP23" s="746" t="s">
        <v>1465</v>
      </c>
    </row>
    <row r="24" ht="20.5" customHeight="1" spans="2:94">
      <c r="B24" s="767" t="s">
        <v>281</v>
      </c>
      <c r="C24" s="768" t="s">
        <v>1466</v>
      </c>
      <c r="D24" s="768" t="s">
        <v>1466</v>
      </c>
      <c r="E24" s="768" t="s">
        <v>1466</v>
      </c>
      <c r="F24" s="768" t="s">
        <v>1466</v>
      </c>
      <c r="G24" s="768" t="s">
        <v>1466</v>
      </c>
      <c r="H24" s="768" t="s">
        <v>1466</v>
      </c>
      <c r="I24" s="768" t="s">
        <v>1466</v>
      </c>
      <c r="J24" s="768" t="s">
        <v>1466</v>
      </c>
      <c r="K24" s="768"/>
      <c r="L24" s="769" t="s">
        <v>1464</v>
      </c>
      <c r="M24" s="769" t="s">
        <v>199</v>
      </c>
      <c r="N24" s="769" t="s">
        <v>199</v>
      </c>
      <c r="O24" s="769" t="s">
        <v>1464</v>
      </c>
      <c r="P24" s="769" t="s">
        <v>1464</v>
      </c>
      <c r="Q24" s="769" t="s">
        <v>1464</v>
      </c>
      <c r="R24" s="769" t="s">
        <v>1464</v>
      </c>
      <c r="S24" s="769" t="s">
        <v>1464</v>
      </c>
      <c r="T24" s="769" t="s">
        <v>1464</v>
      </c>
      <c r="U24" s="769" t="s">
        <v>1464</v>
      </c>
      <c r="V24" s="769" t="s">
        <v>1464</v>
      </c>
      <c r="W24" s="769" t="s">
        <v>1464</v>
      </c>
      <c r="X24" s="769" t="s">
        <v>1464</v>
      </c>
      <c r="Y24" s="769" t="s">
        <v>1464</v>
      </c>
      <c r="Z24" s="769" t="s">
        <v>1464</v>
      </c>
      <c r="AA24" s="769"/>
      <c r="AB24" s="768"/>
      <c r="AC24" s="769" t="s">
        <v>199</v>
      </c>
      <c r="AD24" s="769" t="s">
        <v>199</v>
      </c>
      <c r="AE24" s="769" t="s">
        <v>199</v>
      </c>
      <c r="AF24" s="769" t="s">
        <v>1464</v>
      </c>
      <c r="AG24" s="769" t="s">
        <v>1464</v>
      </c>
      <c r="AH24" s="769" t="s">
        <v>1464</v>
      </c>
      <c r="AI24" s="769" t="s">
        <v>1464</v>
      </c>
      <c r="AJ24" s="769" t="s">
        <v>1464</v>
      </c>
      <c r="AK24" s="769" t="s">
        <v>1464</v>
      </c>
      <c r="AL24" s="769" t="s">
        <v>1464</v>
      </c>
      <c r="AM24" s="769" t="s">
        <v>1464</v>
      </c>
      <c r="AN24" s="769" t="s">
        <v>1464</v>
      </c>
      <c r="AO24" s="769" t="s">
        <v>1464</v>
      </c>
      <c r="AP24" s="769" t="s">
        <v>1464</v>
      </c>
      <c r="AQ24" s="769" t="s">
        <v>1464</v>
      </c>
      <c r="AR24" s="769"/>
      <c r="AS24" s="768"/>
      <c r="AT24" s="769" t="s">
        <v>199</v>
      </c>
      <c r="AU24" s="769" t="s">
        <v>199</v>
      </c>
      <c r="AV24" s="769" t="s">
        <v>199</v>
      </c>
      <c r="AW24" s="769" t="s">
        <v>1464</v>
      </c>
      <c r="AX24" s="769" t="s">
        <v>1464</v>
      </c>
      <c r="AY24" s="769" t="s">
        <v>1464</v>
      </c>
      <c r="AZ24" s="769" t="s">
        <v>1464</v>
      </c>
      <c r="BA24" s="769" t="s">
        <v>1464</v>
      </c>
      <c r="BB24" s="769" t="s">
        <v>1464</v>
      </c>
      <c r="BC24" s="769" t="s">
        <v>1464</v>
      </c>
      <c r="BD24" s="769" t="s">
        <v>1464</v>
      </c>
      <c r="BE24" s="769" t="s">
        <v>1464</v>
      </c>
      <c r="BF24" s="769" t="s">
        <v>1464</v>
      </c>
      <c r="BG24" s="769" t="s">
        <v>1464</v>
      </c>
      <c r="BH24" s="769" t="s">
        <v>1464</v>
      </c>
      <c r="BI24" s="769"/>
      <c r="BJ24" s="768"/>
      <c r="BK24" s="769" t="s">
        <v>199</v>
      </c>
      <c r="BL24" s="769" t="s">
        <v>199</v>
      </c>
      <c r="BM24" s="769" t="s">
        <v>199</v>
      </c>
      <c r="BN24" s="769" t="s">
        <v>1464</v>
      </c>
      <c r="BO24" s="769" t="s">
        <v>1464</v>
      </c>
      <c r="BP24" s="769" t="s">
        <v>1464</v>
      </c>
      <c r="BQ24" s="769" t="s">
        <v>1464</v>
      </c>
      <c r="BR24" s="769" t="s">
        <v>1464</v>
      </c>
      <c r="BS24" s="769" t="s">
        <v>1464</v>
      </c>
      <c r="BT24" s="769" t="s">
        <v>1464</v>
      </c>
      <c r="BU24" s="769" t="s">
        <v>1464</v>
      </c>
      <c r="BV24" s="769" t="s">
        <v>1464</v>
      </c>
      <c r="BW24" s="769" t="s">
        <v>1464</v>
      </c>
      <c r="BX24" s="769" t="s">
        <v>1464</v>
      </c>
      <c r="BY24" s="769" t="s">
        <v>1464</v>
      </c>
      <c r="BZ24" s="769"/>
      <c r="CA24" s="768"/>
      <c r="CB24" s="769" t="s">
        <v>199</v>
      </c>
      <c r="CC24" s="769" t="s">
        <v>199</v>
      </c>
      <c r="CD24" s="769" t="s">
        <v>199</v>
      </c>
      <c r="CE24" s="769" t="s">
        <v>1464</v>
      </c>
      <c r="CF24" s="769" t="s">
        <v>1464</v>
      </c>
      <c r="CG24" s="769" t="s">
        <v>1464</v>
      </c>
      <c r="CH24" s="769" t="s">
        <v>1464</v>
      </c>
      <c r="CI24" s="769" t="s">
        <v>1464</v>
      </c>
      <c r="CJ24" s="769" t="s">
        <v>1464</v>
      </c>
      <c r="CK24" s="769" t="s">
        <v>1464</v>
      </c>
      <c r="CL24" s="769" t="s">
        <v>1464</v>
      </c>
      <c r="CM24" s="769" t="s">
        <v>1464</v>
      </c>
      <c r="CN24" s="769" t="s">
        <v>1464</v>
      </c>
      <c r="CO24" s="769" t="s">
        <v>1464</v>
      </c>
      <c r="CP24" s="769" t="s">
        <v>1464</v>
      </c>
    </row>
    <row r="25" ht="15" customHeight="1" spans="2:94">
      <c r="B25" s="767" t="s">
        <v>1467</v>
      </c>
      <c r="C25" s="770"/>
      <c r="D25" s="770" t="s">
        <v>1429</v>
      </c>
      <c r="E25" s="770" t="s">
        <v>231</v>
      </c>
      <c r="F25" s="770" t="s">
        <v>993</v>
      </c>
      <c r="G25" s="770"/>
      <c r="H25" s="770" t="s">
        <v>1350</v>
      </c>
      <c r="I25" s="770"/>
      <c r="J25" s="770" t="s">
        <v>1534</v>
      </c>
      <c r="K25" s="770"/>
      <c r="L25" s="769" t="s">
        <v>1464</v>
      </c>
      <c r="M25" s="769" t="s">
        <v>199</v>
      </c>
      <c r="N25" s="769" t="s">
        <v>199</v>
      </c>
      <c r="O25" s="771"/>
      <c r="P25" s="772"/>
      <c r="Q25" s="772"/>
      <c r="R25" s="772"/>
      <c r="S25" s="772"/>
      <c r="T25" s="772"/>
      <c r="U25" s="772"/>
      <c r="V25" s="772"/>
      <c r="W25" s="773"/>
      <c r="X25" s="772"/>
      <c r="Y25" s="771"/>
      <c r="Z25" s="771"/>
      <c r="AA25" s="770"/>
      <c r="AB25" s="770"/>
      <c r="AC25" s="769" t="s">
        <v>199</v>
      </c>
      <c r="AD25" s="769" t="s">
        <v>199</v>
      </c>
      <c r="AE25" s="769" t="s">
        <v>199</v>
      </c>
      <c r="AF25" s="771"/>
      <c r="AG25" s="772"/>
      <c r="AH25" s="772"/>
      <c r="AI25" s="772"/>
      <c r="AJ25" s="772"/>
      <c r="AK25" s="774"/>
      <c r="AL25" s="775"/>
      <c r="AM25" s="775"/>
      <c r="AN25" s="772"/>
      <c r="AO25" s="772"/>
      <c r="AP25" s="771"/>
      <c r="AQ25" s="771"/>
      <c r="AR25" s="771"/>
      <c r="AS25" s="770"/>
      <c r="AT25" s="769" t="s">
        <v>199</v>
      </c>
      <c r="AU25" s="769" t="s">
        <v>199</v>
      </c>
      <c r="AV25" s="769" t="s">
        <v>199</v>
      </c>
      <c r="AW25" s="771"/>
      <c r="AX25" s="772"/>
      <c r="AY25" s="772"/>
      <c r="AZ25" s="772"/>
      <c r="BA25" s="772"/>
      <c r="BB25" s="774"/>
      <c r="BC25" s="775"/>
      <c r="BD25" s="775"/>
      <c r="BE25" s="772"/>
      <c r="BF25" s="772"/>
      <c r="BG25" s="771"/>
      <c r="BH25" s="771"/>
      <c r="BI25" s="771"/>
      <c r="BJ25" s="770"/>
      <c r="BK25" s="769" t="s">
        <v>199</v>
      </c>
      <c r="BL25" s="769" t="s">
        <v>199</v>
      </c>
      <c r="BM25" s="769" t="s">
        <v>199</v>
      </c>
      <c r="BN25" s="771"/>
      <c r="BO25" s="772"/>
      <c r="BP25" s="772"/>
      <c r="BQ25" s="772"/>
      <c r="BR25" s="772"/>
      <c r="BS25" s="774"/>
      <c r="BT25" s="775"/>
      <c r="BU25" s="775"/>
      <c r="BV25" s="772"/>
      <c r="BW25" s="772"/>
      <c r="BX25" s="771"/>
      <c r="BY25" s="771"/>
      <c r="BZ25" s="771"/>
      <c r="CA25" s="770"/>
      <c r="CB25" s="769" t="s">
        <v>199</v>
      </c>
      <c r="CC25" s="769" t="s">
        <v>199</v>
      </c>
      <c r="CD25" s="769" t="s">
        <v>199</v>
      </c>
      <c r="CE25" s="771"/>
      <c r="CF25" s="772"/>
      <c r="CG25" s="772"/>
      <c r="CH25" s="772"/>
      <c r="CI25" s="772"/>
      <c r="CJ25" s="774"/>
      <c r="CK25" s="775"/>
      <c r="CL25" s="775"/>
      <c r="CM25" s="772"/>
      <c r="CN25" s="772"/>
      <c r="CO25" s="771"/>
      <c r="CP25" s="771"/>
    </row>
    <row r="26" ht="15" customHeight="1" spans="2:94">
      <c r="B26" s="767" t="s">
        <v>1469</v>
      </c>
      <c r="C26" s="770"/>
      <c r="D26" s="770"/>
      <c r="E26" s="770"/>
      <c r="F26" s="770"/>
      <c r="G26" s="770"/>
      <c r="H26" s="770" t="s">
        <v>1351</v>
      </c>
      <c r="I26" s="770"/>
      <c r="J26" s="770"/>
      <c r="K26" s="770"/>
      <c r="L26" s="769" t="s">
        <v>1464</v>
      </c>
      <c r="M26" s="769" t="s">
        <v>199</v>
      </c>
      <c r="N26" s="769" t="s">
        <v>199</v>
      </c>
      <c r="O26" s="771"/>
      <c r="P26" s="771"/>
      <c r="Q26" s="771"/>
      <c r="R26" s="771"/>
      <c r="S26" s="772"/>
      <c r="T26" s="772"/>
      <c r="U26" s="772"/>
      <c r="V26" s="772"/>
      <c r="W26" s="773"/>
      <c r="X26" s="772"/>
      <c r="Y26" s="771"/>
      <c r="Z26" s="771"/>
      <c r="AA26" s="770"/>
      <c r="AB26" s="770"/>
      <c r="AC26" s="769" t="s">
        <v>199</v>
      </c>
      <c r="AD26" s="769" t="s">
        <v>199</v>
      </c>
      <c r="AE26" s="769" t="s">
        <v>199</v>
      </c>
      <c r="AF26" s="771"/>
      <c r="AG26" s="771"/>
      <c r="AH26" s="771"/>
      <c r="AI26" s="771"/>
      <c r="AJ26" s="772"/>
      <c r="AK26" s="774"/>
      <c r="AL26" s="775"/>
      <c r="AM26" s="775"/>
      <c r="AN26" s="772"/>
      <c r="AO26" s="772"/>
      <c r="AP26" s="771"/>
      <c r="AQ26" s="771"/>
      <c r="AR26" s="771"/>
      <c r="AS26" s="770"/>
      <c r="AT26" s="769" t="s">
        <v>199</v>
      </c>
      <c r="AU26" s="769" t="s">
        <v>199</v>
      </c>
      <c r="AV26" s="769" t="s">
        <v>199</v>
      </c>
      <c r="AW26" s="771"/>
      <c r="AX26" s="771"/>
      <c r="AY26" s="771"/>
      <c r="AZ26" s="771"/>
      <c r="BA26" s="772"/>
      <c r="BB26" s="774"/>
      <c r="BC26" s="775"/>
      <c r="BD26" s="775"/>
      <c r="BE26" s="772"/>
      <c r="BF26" s="772"/>
      <c r="BG26" s="771"/>
      <c r="BH26" s="771"/>
      <c r="BI26" s="771"/>
      <c r="BJ26" s="770"/>
      <c r="BK26" s="769" t="s">
        <v>199</v>
      </c>
      <c r="BL26" s="769" t="s">
        <v>199</v>
      </c>
      <c r="BM26" s="769" t="s">
        <v>199</v>
      </c>
      <c r="BN26" s="771"/>
      <c r="BO26" s="771"/>
      <c r="BP26" s="771"/>
      <c r="BQ26" s="771"/>
      <c r="BR26" s="772"/>
      <c r="BS26" s="774"/>
      <c r="BT26" s="775"/>
      <c r="BU26" s="775"/>
      <c r="BV26" s="772"/>
      <c r="BW26" s="772"/>
      <c r="BX26" s="771"/>
      <c r="BY26" s="771"/>
      <c r="BZ26" s="771"/>
      <c r="CA26" s="770"/>
      <c r="CB26" s="769" t="s">
        <v>199</v>
      </c>
      <c r="CC26" s="769" t="s">
        <v>199</v>
      </c>
      <c r="CD26" s="769" t="s">
        <v>199</v>
      </c>
      <c r="CE26" s="771"/>
      <c r="CF26" s="771"/>
      <c r="CG26" s="771"/>
      <c r="CH26" s="771"/>
      <c r="CI26" s="772"/>
      <c r="CJ26" s="774"/>
      <c r="CK26" s="775"/>
      <c r="CL26" s="775"/>
      <c r="CM26" s="772"/>
      <c r="CN26" s="772"/>
      <c r="CO26" s="771"/>
      <c r="CP26" s="771"/>
    </row>
    <row r="27" ht="15" customHeight="1" spans="2:94">
      <c r="B27" s="767" t="s">
        <v>1471</v>
      </c>
      <c r="C27" s="770"/>
      <c r="D27" s="770"/>
      <c r="E27" s="770"/>
      <c r="F27" s="770"/>
      <c r="G27" s="770"/>
      <c r="H27" s="770" t="s">
        <v>1352</v>
      </c>
      <c r="I27" s="770"/>
      <c r="J27" s="770" t="s">
        <v>1534</v>
      </c>
      <c r="K27" s="770"/>
      <c r="L27" s="769" t="s">
        <v>1464</v>
      </c>
      <c r="M27" s="769" t="s">
        <v>199</v>
      </c>
      <c r="N27" s="769" t="s">
        <v>199</v>
      </c>
      <c r="O27" s="772"/>
      <c r="P27" s="772"/>
      <c r="Q27" s="772"/>
      <c r="R27" s="772"/>
      <c r="S27" s="772"/>
      <c r="T27" s="772"/>
      <c r="U27" s="772"/>
      <c r="V27" s="772"/>
      <c r="W27" s="773"/>
      <c r="X27" s="772"/>
      <c r="Y27" s="771"/>
      <c r="Z27" s="771"/>
      <c r="AA27" s="770"/>
      <c r="AB27" s="770"/>
      <c r="AC27" s="769" t="s">
        <v>199</v>
      </c>
      <c r="AD27" s="769" t="s">
        <v>199</v>
      </c>
      <c r="AE27" s="769" t="s">
        <v>199</v>
      </c>
      <c r="AF27" s="772"/>
      <c r="AG27" s="772"/>
      <c r="AH27" s="772"/>
      <c r="AI27" s="772"/>
      <c r="AJ27" s="772"/>
      <c r="AK27" s="774"/>
      <c r="AL27" s="775"/>
      <c r="AM27" s="775"/>
      <c r="AN27" s="772"/>
      <c r="AO27" s="772"/>
      <c r="AP27" s="771"/>
      <c r="AQ27" s="771"/>
      <c r="AR27" s="771"/>
      <c r="AS27" s="770"/>
      <c r="AT27" s="769" t="s">
        <v>199</v>
      </c>
      <c r="AU27" s="769" t="s">
        <v>199</v>
      </c>
      <c r="AV27" s="769" t="s">
        <v>199</v>
      </c>
      <c r="AW27" s="772"/>
      <c r="AX27" s="772"/>
      <c r="AY27" s="772"/>
      <c r="AZ27" s="772"/>
      <c r="BA27" s="772"/>
      <c r="BB27" s="774"/>
      <c r="BC27" s="775"/>
      <c r="BD27" s="775"/>
      <c r="BE27" s="772"/>
      <c r="BF27" s="772"/>
      <c r="BG27" s="771"/>
      <c r="BH27" s="771"/>
      <c r="BI27" s="771"/>
      <c r="BJ27" s="770"/>
      <c r="BK27" s="769" t="s">
        <v>199</v>
      </c>
      <c r="BL27" s="769" t="s">
        <v>199</v>
      </c>
      <c r="BM27" s="769" t="s">
        <v>199</v>
      </c>
      <c r="BN27" s="772"/>
      <c r="BO27" s="772"/>
      <c r="BP27" s="772"/>
      <c r="BQ27" s="772"/>
      <c r="BR27" s="772"/>
      <c r="BS27" s="774"/>
      <c r="BT27" s="775"/>
      <c r="BU27" s="775"/>
      <c r="BV27" s="772"/>
      <c r="BW27" s="772"/>
      <c r="BX27" s="771"/>
      <c r="BY27" s="771"/>
      <c r="BZ27" s="771"/>
      <c r="CA27" s="770"/>
      <c r="CB27" s="769" t="s">
        <v>199</v>
      </c>
      <c r="CC27" s="769" t="s">
        <v>199</v>
      </c>
      <c r="CD27" s="769" t="s">
        <v>199</v>
      </c>
      <c r="CE27" s="772"/>
      <c r="CF27" s="772"/>
      <c r="CG27" s="772"/>
      <c r="CH27" s="772"/>
      <c r="CI27" s="772"/>
      <c r="CJ27" s="774"/>
      <c r="CK27" s="775"/>
      <c r="CL27" s="775"/>
      <c r="CM27" s="772"/>
      <c r="CN27" s="772"/>
      <c r="CO27" s="771"/>
      <c r="CP27" s="771"/>
    </row>
    <row r="28" ht="15" customHeight="1" spans="2:94">
      <c r="B28" s="767" t="s">
        <v>1472</v>
      </c>
      <c r="C28" s="770"/>
      <c r="D28" s="770"/>
      <c r="E28" s="770"/>
      <c r="F28" s="770"/>
      <c r="G28" s="770"/>
      <c r="H28" s="770" t="s">
        <v>993</v>
      </c>
      <c r="I28" s="770"/>
      <c r="J28" s="770" t="s">
        <v>1534</v>
      </c>
      <c r="K28" s="770"/>
      <c r="L28" s="769" t="s">
        <v>1464</v>
      </c>
      <c r="M28" s="769" t="s">
        <v>199</v>
      </c>
      <c r="N28" s="769" t="s">
        <v>199</v>
      </c>
      <c r="O28" s="772"/>
      <c r="P28" s="772"/>
      <c r="Q28" s="772"/>
      <c r="R28" s="772"/>
      <c r="S28" s="772"/>
      <c r="T28" s="772"/>
      <c r="U28" s="772"/>
      <c r="V28" s="771"/>
      <c r="W28" s="773"/>
      <c r="X28" s="771"/>
      <c r="Y28" s="771"/>
      <c r="Z28" s="771"/>
      <c r="AA28" s="770"/>
      <c r="AB28" s="770"/>
      <c r="AC28" s="769" t="s">
        <v>199</v>
      </c>
      <c r="AD28" s="769" t="s">
        <v>199</v>
      </c>
      <c r="AE28" s="769" t="s">
        <v>199</v>
      </c>
      <c r="AF28" s="772"/>
      <c r="AG28" s="772"/>
      <c r="AH28" s="772"/>
      <c r="AI28" s="772"/>
      <c r="AJ28" s="772"/>
      <c r="AK28" s="774"/>
      <c r="AL28" s="775"/>
      <c r="AM28" s="776"/>
      <c r="AN28" s="772"/>
      <c r="AO28" s="771"/>
      <c r="AP28" s="771"/>
      <c r="AQ28" s="771"/>
      <c r="AR28" s="771"/>
      <c r="AS28" s="770"/>
      <c r="AT28" s="769" t="s">
        <v>199</v>
      </c>
      <c r="AU28" s="769" t="s">
        <v>199</v>
      </c>
      <c r="AV28" s="769" t="s">
        <v>199</v>
      </c>
      <c r="AW28" s="772"/>
      <c r="AX28" s="772"/>
      <c r="AY28" s="772"/>
      <c r="AZ28" s="772"/>
      <c r="BA28" s="772"/>
      <c r="BB28" s="774"/>
      <c r="BC28" s="775"/>
      <c r="BD28" s="776"/>
      <c r="BE28" s="772"/>
      <c r="BF28" s="771"/>
      <c r="BG28" s="771"/>
      <c r="BH28" s="771"/>
      <c r="BI28" s="771"/>
      <c r="BJ28" s="770"/>
      <c r="BK28" s="769" t="s">
        <v>199</v>
      </c>
      <c r="BL28" s="769" t="s">
        <v>199</v>
      </c>
      <c r="BM28" s="769" t="s">
        <v>199</v>
      </c>
      <c r="BN28" s="772"/>
      <c r="BO28" s="772"/>
      <c r="BP28" s="772"/>
      <c r="BQ28" s="772"/>
      <c r="BR28" s="772"/>
      <c r="BS28" s="774"/>
      <c r="BT28" s="775"/>
      <c r="BU28" s="776"/>
      <c r="BV28" s="772"/>
      <c r="BW28" s="771"/>
      <c r="BX28" s="771"/>
      <c r="BY28" s="771"/>
      <c r="BZ28" s="771"/>
      <c r="CA28" s="770"/>
      <c r="CB28" s="769" t="s">
        <v>199</v>
      </c>
      <c r="CC28" s="769" t="s">
        <v>199</v>
      </c>
      <c r="CD28" s="769" t="s">
        <v>199</v>
      </c>
      <c r="CE28" s="772"/>
      <c r="CF28" s="772"/>
      <c r="CG28" s="772"/>
      <c r="CH28" s="772"/>
      <c r="CI28" s="772"/>
      <c r="CJ28" s="774"/>
      <c r="CK28" s="775"/>
      <c r="CL28" s="776"/>
      <c r="CM28" s="772"/>
      <c r="CN28" s="771"/>
      <c r="CO28" s="771"/>
      <c r="CP28" s="771"/>
    </row>
    <row r="29" ht="15" customHeight="1" spans="2:94">
      <c r="B29" s="767" t="s">
        <v>1473</v>
      </c>
      <c r="C29" s="770"/>
      <c r="D29" s="770"/>
      <c r="E29" s="770"/>
      <c r="F29" s="770"/>
      <c r="G29" s="770"/>
      <c r="H29" s="770"/>
      <c r="I29" s="770"/>
      <c r="J29" s="770" t="s">
        <v>1534</v>
      </c>
      <c r="K29" s="770"/>
      <c r="L29" s="769" t="s">
        <v>1464</v>
      </c>
      <c r="M29" s="769" t="s">
        <v>199</v>
      </c>
      <c r="N29" s="769" t="s">
        <v>199</v>
      </c>
      <c r="O29" s="771"/>
      <c r="P29" s="771"/>
      <c r="Q29" s="771"/>
      <c r="R29" s="771"/>
      <c r="S29" s="771"/>
      <c r="T29" s="771"/>
      <c r="U29" s="771"/>
      <c r="V29" s="771"/>
      <c r="W29" s="773"/>
      <c r="X29" s="772"/>
      <c r="Y29" s="777"/>
      <c r="Z29" s="777"/>
      <c r="AA29" s="770"/>
      <c r="AB29" s="770"/>
      <c r="AC29" s="769" t="s">
        <v>199</v>
      </c>
      <c r="AD29" s="769" t="s">
        <v>199</v>
      </c>
      <c r="AE29" s="769" t="s">
        <v>199</v>
      </c>
      <c r="AF29" s="771"/>
      <c r="AG29" s="771"/>
      <c r="AH29" s="771"/>
      <c r="AI29" s="771"/>
      <c r="AJ29" s="771"/>
      <c r="AK29" s="778"/>
      <c r="AL29" s="776"/>
      <c r="AM29" s="776"/>
      <c r="AN29" s="772"/>
      <c r="AO29" s="772"/>
      <c r="AP29" s="777"/>
      <c r="AQ29" s="777"/>
      <c r="AR29" s="777"/>
      <c r="AS29" s="770"/>
      <c r="AT29" s="769" t="s">
        <v>199</v>
      </c>
      <c r="AU29" s="769" t="s">
        <v>199</v>
      </c>
      <c r="AV29" s="769" t="s">
        <v>199</v>
      </c>
      <c r="AW29" s="771"/>
      <c r="AX29" s="771"/>
      <c r="AY29" s="771"/>
      <c r="AZ29" s="771"/>
      <c r="BA29" s="771"/>
      <c r="BB29" s="778"/>
      <c r="BC29" s="776"/>
      <c r="BD29" s="776"/>
      <c r="BE29" s="772"/>
      <c r="BF29" s="772"/>
      <c r="BG29" s="777"/>
      <c r="BH29" s="777"/>
      <c r="BI29" s="777"/>
      <c r="BJ29" s="770"/>
      <c r="BK29" s="769" t="s">
        <v>199</v>
      </c>
      <c r="BL29" s="769" t="s">
        <v>199</v>
      </c>
      <c r="BM29" s="769" t="s">
        <v>199</v>
      </c>
      <c r="BN29" s="771"/>
      <c r="BO29" s="771"/>
      <c r="BP29" s="771"/>
      <c r="BQ29" s="771"/>
      <c r="BR29" s="771"/>
      <c r="BS29" s="778"/>
      <c r="BT29" s="776"/>
      <c r="BU29" s="776"/>
      <c r="BV29" s="772"/>
      <c r="BW29" s="772"/>
      <c r="BX29" s="777"/>
      <c r="BY29" s="777"/>
      <c r="BZ29" s="777"/>
      <c r="CA29" s="770"/>
      <c r="CB29" s="769" t="s">
        <v>199</v>
      </c>
      <c r="CC29" s="769" t="s">
        <v>199</v>
      </c>
      <c r="CD29" s="769" t="s">
        <v>199</v>
      </c>
      <c r="CE29" s="771"/>
      <c r="CF29" s="771"/>
      <c r="CG29" s="771"/>
      <c r="CH29" s="771"/>
      <c r="CI29" s="771"/>
      <c r="CJ29" s="778"/>
      <c r="CK29" s="776"/>
      <c r="CL29" s="776"/>
      <c r="CM29" s="772"/>
      <c r="CN29" s="772"/>
      <c r="CO29" s="777"/>
      <c r="CP29" s="777"/>
    </row>
    <row r="30" ht="15" customHeight="1" spans="2:94">
      <c r="B30" s="767" t="s">
        <v>1474</v>
      </c>
      <c r="C30" s="770"/>
      <c r="D30" s="770"/>
      <c r="E30" s="770"/>
      <c r="F30" s="770"/>
      <c r="G30" s="770"/>
      <c r="H30" s="770"/>
      <c r="I30" s="770"/>
      <c r="J30" s="770" t="s">
        <v>1534</v>
      </c>
      <c r="K30" s="770"/>
      <c r="L30" s="769" t="s">
        <v>1464</v>
      </c>
      <c r="M30" s="769" t="s">
        <v>199</v>
      </c>
      <c r="N30" s="769" t="s">
        <v>199</v>
      </c>
      <c r="O30" s="772"/>
      <c r="P30" s="772"/>
      <c r="Q30" s="772"/>
      <c r="R30" s="772"/>
      <c r="S30" s="772"/>
      <c r="T30" s="772"/>
      <c r="U30" s="772"/>
      <c r="V30" s="772"/>
      <c r="W30" s="779"/>
      <c r="X30" s="780"/>
      <c r="Y30" s="781"/>
      <c r="Z30" s="781"/>
      <c r="AA30" s="770"/>
      <c r="AB30" s="770"/>
      <c r="AC30" s="769" t="s">
        <v>199</v>
      </c>
      <c r="AD30" s="769" t="s">
        <v>199</v>
      </c>
      <c r="AE30" s="769" t="s">
        <v>199</v>
      </c>
      <c r="AF30" s="772"/>
      <c r="AG30" s="772"/>
      <c r="AH30" s="772"/>
      <c r="AI30" s="772"/>
      <c r="AJ30" s="772"/>
      <c r="AK30" s="774"/>
      <c r="AL30" s="775"/>
      <c r="AM30" s="775"/>
      <c r="AN30" s="780"/>
      <c r="AO30" s="780"/>
      <c r="AP30" s="781"/>
      <c r="AQ30" s="781"/>
      <c r="AR30" s="781"/>
      <c r="AS30" s="770"/>
      <c r="AT30" s="769" t="s">
        <v>199</v>
      </c>
      <c r="AU30" s="769" t="s">
        <v>199</v>
      </c>
      <c r="AV30" s="769" t="s">
        <v>199</v>
      </c>
      <c r="AW30" s="772"/>
      <c r="AX30" s="772"/>
      <c r="AY30" s="772"/>
      <c r="AZ30" s="772"/>
      <c r="BA30" s="772"/>
      <c r="BB30" s="774"/>
      <c r="BC30" s="775"/>
      <c r="BD30" s="775"/>
      <c r="BE30" s="780"/>
      <c r="BF30" s="780"/>
      <c r="BG30" s="781"/>
      <c r="BH30" s="781"/>
      <c r="BI30" s="781"/>
      <c r="BJ30" s="770"/>
      <c r="BK30" s="769" t="s">
        <v>199</v>
      </c>
      <c r="BL30" s="769" t="s">
        <v>199</v>
      </c>
      <c r="BM30" s="769" t="s">
        <v>199</v>
      </c>
      <c r="BN30" s="772"/>
      <c r="BO30" s="772"/>
      <c r="BP30" s="772"/>
      <c r="BQ30" s="772"/>
      <c r="BR30" s="772"/>
      <c r="BS30" s="774"/>
      <c r="BT30" s="775"/>
      <c r="BU30" s="775"/>
      <c r="BV30" s="780"/>
      <c r="BW30" s="780"/>
      <c r="BX30" s="781"/>
      <c r="BY30" s="781"/>
      <c r="BZ30" s="781"/>
      <c r="CA30" s="770"/>
      <c r="CB30" s="769" t="s">
        <v>199</v>
      </c>
      <c r="CC30" s="769" t="s">
        <v>199</v>
      </c>
      <c r="CD30" s="769" t="s">
        <v>199</v>
      </c>
      <c r="CE30" s="772"/>
      <c r="CF30" s="772"/>
      <c r="CG30" s="772"/>
      <c r="CH30" s="772"/>
      <c r="CI30" s="772"/>
      <c r="CJ30" s="774"/>
      <c r="CK30" s="775"/>
      <c r="CL30" s="775"/>
      <c r="CM30" s="780"/>
      <c r="CN30" s="780"/>
      <c r="CO30" s="781"/>
      <c r="CP30" s="781"/>
    </row>
    <row r="31" ht="15" customHeight="1" spans="2:94">
      <c r="B31" s="767" t="s">
        <v>1475</v>
      </c>
      <c r="C31" s="770"/>
      <c r="D31" s="770"/>
      <c r="E31" s="770"/>
      <c r="F31" s="770"/>
      <c r="G31" s="770"/>
      <c r="H31" s="770"/>
      <c r="I31" s="770"/>
      <c r="J31" s="770" t="s">
        <v>1534</v>
      </c>
      <c r="K31" s="770"/>
      <c r="L31" s="769" t="s">
        <v>1464</v>
      </c>
      <c r="M31" s="769" t="s">
        <v>199</v>
      </c>
      <c r="N31" s="769" t="s">
        <v>199</v>
      </c>
      <c r="O31" s="782"/>
      <c r="P31" s="782"/>
      <c r="Q31" s="782"/>
      <c r="R31" s="782"/>
      <c r="S31" s="782"/>
      <c r="T31" s="782"/>
      <c r="U31" s="782"/>
      <c r="V31" s="782"/>
      <c r="W31" s="783"/>
      <c r="X31" s="782"/>
      <c r="Y31" s="782"/>
      <c r="Z31" s="782"/>
      <c r="AA31" s="770"/>
      <c r="AB31" s="770"/>
      <c r="AC31" s="769" t="s">
        <v>199</v>
      </c>
      <c r="AD31" s="769" t="s">
        <v>199</v>
      </c>
      <c r="AE31" s="769" t="s">
        <v>199</v>
      </c>
      <c r="AF31" s="782"/>
      <c r="AG31" s="782"/>
      <c r="AH31" s="782"/>
      <c r="AI31" s="782"/>
      <c r="AJ31" s="782"/>
      <c r="AK31" s="783"/>
      <c r="AL31" s="782"/>
      <c r="AM31" s="782"/>
      <c r="AN31" s="782"/>
      <c r="AO31" s="782"/>
      <c r="AP31" s="782"/>
      <c r="AQ31" s="782"/>
      <c r="AR31" s="782"/>
      <c r="AS31" s="770"/>
      <c r="AT31" s="769" t="s">
        <v>199</v>
      </c>
      <c r="AU31" s="769" t="s">
        <v>199</v>
      </c>
      <c r="AV31" s="769" t="s">
        <v>199</v>
      </c>
      <c r="AW31" s="782"/>
      <c r="AX31" s="782"/>
      <c r="AY31" s="782"/>
      <c r="AZ31" s="782"/>
      <c r="BA31" s="782"/>
      <c r="BB31" s="783"/>
      <c r="BC31" s="782"/>
      <c r="BD31" s="782"/>
      <c r="BE31" s="782"/>
      <c r="BF31" s="782"/>
      <c r="BG31" s="782"/>
      <c r="BH31" s="782"/>
      <c r="BI31" s="782"/>
      <c r="BJ31" s="770"/>
      <c r="BK31" s="769" t="s">
        <v>199</v>
      </c>
      <c r="BL31" s="769" t="s">
        <v>199</v>
      </c>
      <c r="BM31" s="769" t="s">
        <v>199</v>
      </c>
      <c r="BN31" s="782"/>
      <c r="BO31" s="782"/>
      <c r="BP31" s="782"/>
      <c r="BQ31" s="782"/>
      <c r="BR31" s="782"/>
      <c r="BS31" s="783"/>
      <c r="BT31" s="782"/>
      <c r="BU31" s="782"/>
      <c r="BV31" s="782"/>
      <c r="BW31" s="782"/>
      <c r="BX31" s="782"/>
      <c r="BY31" s="782"/>
      <c r="BZ31" s="782"/>
      <c r="CA31" s="770"/>
      <c r="CB31" s="769" t="s">
        <v>199</v>
      </c>
      <c r="CC31" s="769" t="s">
        <v>199</v>
      </c>
      <c r="CD31" s="769" t="s">
        <v>199</v>
      </c>
      <c r="CE31" s="782"/>
      <c r="CF31" s="782"/>
      <c r="CG31" s="782"/>
      <c r="CH31" s="782"/>
      <c r="CI31" s="782"/>
      <c r="CJ31" s="783"/>
      <c r="CK31" s="782"/>
      <c r="CL31" s="782"/>
      <c r="CM31" s="782"/>
      <c r="CN31" s="782"/>
      <c r="CO31" s="782"/>
      <c r="CP31" s="782"/>
    </row>
    <row r="32" ht="15" customHeight="1" spans="2:94">
      <c r="B32" s="767" t="s">
        <v>1476</v>
      </c>
      <c r="C32" s="770"/>
      <c r="D32" s="770"/>
      <c r="E32" s="770"/>
      <c r="F32" s="770"/>
      <c r="G32" s="770"/>
      <c r="H32" s="770"/>
      <c r="I32" s="770"/>
      <c r="J32" s="770" t="s">
        <v>1534</v>
      </c>
      <c r="K32" s="770"/>
      <c r="L32" s="769" t="s">
        <v>1464</v>
      </c>
      <c r="M32" s="769" t="s">
        <v>199</v>
      </c>
      <c r="N32" s="769" t="s">
        <v>199</v>
      </c>
      <c r="O32" s="782"/>
      <c r="P32" s="782"/>
      <c r="Q32" s="782"/>
      <c r="R32" s="782"/>
      <c r="S32" s="782"/>
      <c r="T32" s="782"/>
      <c r="U32" s="782"/>
      <c r="V32" s="782"/>
      <c r="W32" s="783"/>
      <c r="X32" s="782"/>
      <c r="Y32" s="782"/>
      <c r="Z32" s="782"/>
      <c r="AA32" s="770"/>
      <c r="AB32" s="770"/>
      <c r="AC32" s="769" t="s">
        <v>199</v>
      </c>
      <c r="AD32" s="769" t="s">
        <v>199</v>
      </c>
      <c r="AE32" s="769" t="s">
        <v>199</v>
      </c>
      <c r="AF32" s="782"/>
      <c r="AG32" s="782"/>
      <c r="AH32" s="782"/>
      <c r="AI32" s="782"/>
      <c r="AJ32" s="782"/>
      <c r="AK32" s="783"/>
      <c r="AL32" s="782"/>
      <c r="AM32" s="782"/>
      <c r="AN32" s="782"/>
      <c r="AO32" s="782"/>
      <c r="AP32" s="782"/>
      <c r="AQ32" s="782"/>
      <c r="AR32" s="782"/>
      <c r="AS32" s="770"/>
      <c r="AT32" s="769" t="s">
        <v>199</v>
      </c>
      <c r="AU32" s="769" t="s">
        <v>199</v>
      </c>
      <c r="AV32" s="769" t="s">
        <v>199</v>
      </c>
      <c r="AW32" s="782"/>
      <c r="AX32" s="782"/>
      <c r="AY32" s="782"/>
      <c r="AZ32" s="782"/>
      <c r="BA32" s="782"/>
      <c r="BB32" s="783"/>
      <c r="BC32" s="782"/>
      <c r="BD32" s="782"/>
      <c r="BE32" s="782"/>
      <c r="BF32" s="782"/>
      <c r="BG32" s="782"/>
      <c r="BH32" s="782"/>
      <c r="BI32" s="782"/>
      <c r="BJ32" s="770"/>
      <c r="BK32" s="769" t="s">
        <v>199</v>
      </c>
      <c r="BL32" s="769" t="s">
        <v>199</v>
      </c>
      <c r="BM32" s="769" t="s">
        <v>199</v>
      </c>
      <c r="BN32" s="782"/>
      <c r="BO32" s="782"/>
      <c r="BP32" s="782"/>
      <c r="BQ32" s="782"/>
      <c r="BR32" s="782"/>
      <c r="BS32" s="783"/>
      <c r="BT32" s="782"/>
      <c r="BU32" s="782"/>
      <c r="BV32" s="782"/>
      <c r="BW32" s="782"/>
      <c r="BX32" s="782"/>
      <c r="BY32" s="782"/>
      <c r="BZ32" s="782"/>
      <c r="CA32" s="770"/>
      <c r="CB32" s="769" t="s">
        <v>199</v>
      </c>
      <c r="CC32" s="769" t="s">
        <v>199</v>
      </c>
      <c r="CD32" s="769" t="s">
        <v>199</v>
      </c>
      <c r="CE32" s="782"/>
      <c r="CF32" s="782"/>
      <c r="CG32" s="782"/>
      <c r="CH32" s="782"/>
      <c r="CI32" s="782"/>
      <c r="CJ32" s="783"/>
      <c r="CK32" s="782"/>
      <c r="CL32" s="782"/>
      <c r="CM32" s="782"/>
      <c r="CN32" s="782"/>
      <c r="CO32" s="782"/>
      <c r="CP32" s="782"/>
    </row>
    <row r="33" ht="15" customHeight="1" spans="2:94">
      <c r="B33" s="767" t="s">
        <v>1477</v>
      </c>
      <c r="C33" s="784"/>
      <c r="D33" s="785"/>
      <c r="E33" s="785"/>
      <c r="F33" s="785"/>
      <c r="G33" s="785"/>
      <c r="H33" s="784"/>
      <c r="I33" s="784"/>
      <c r="J33" s="770" t="s">
        <v>1534</v>
      </c>
      <c r="K33" s="770"/>
      <c r="L33" s="769" t="s">
        <v>1464</v>
      </c>
      <c r="M33" s="769" t="s">
        <v>199</v>
      </c>
      <c r="N33" s="769" t="s">
        <v>199</v>
      </c>
      <c r="O33" s="782"/>
      <c r="P33" s="782"/>
      <c r="Q33" s="782"/>
      <c r="R33" s="782"/>
      <c r="S33" s="782"/>
      <c r="T33" s="782"/>
      <c r="U33" s="782"/>
      <c r="V33" s="782"/>
      <c r="W33" s="783"/>
      <c r="X33" s="782"/>
      <c r="Y33" s="782"/>
      <c r="Z33" s="782"/>
      <c r="AA33" s="770"/>
      <c r="AB33" s="770"/>
      <c r="AC33" s="769" t="s">
        <v>199</v>
      </c>
      <c r="AD33" s="769" t="s">
        <v>199</v>
      </c>
      <c r="AE33" s="769" t="s">
        <v>199</v>
      </c>
      <c r="AF33" s="782"/>
      <c r="AG33" s="782"/>
      <c r="AH33" s="782"/>
      <c r="AI33" s="782"/>
      <c r="AJ33" s="782"/>
      <c r="AK33" s="783"/>
      <c r="AL33" s="782"/>
      <c r="AM33" s="782"/>
      <c r="AN33" s="782"/>
      <c r="AO33" s="782"/>
      <c r="AP33" s="782"/>
      <c r="AQ33" s="782"/>
      <c r="AR33" s="782"/>
      <c r="AS33" s="770"/>
      <c r="AT33" s="769" t="s">
        <v>199</v>
      </c>
      <c r="AU33" s="769" t="s">
        <v>199</v>
      </c>
      <c r="AV33" s="769" t="s">
        <v>199</v>
      </c>
      <c r="AW33" s="782"/>
      <c r="AX33" s="782"/>
      <c r="AY33" s="782"/>
      <c r="AZ33" s="782"/>
      <c r="BA33" s="782"/>
      <c r="BB33" s="783"/>
      <c r="BC33" s="782"/>
      <c r="BD33" s="782"/>
      <c r="BE33" s="782"/>
      <c r="BF33" s="782"/>
      <c r="BG33" s="782"/>
      <c r="BH33" s="782"/>
      <c r="BI33" s="782"/>
      <c r="BJ33" s="770"/>
      <c r="BK33" s="769" t="s">
        <v>199</v>
      </c>
      <c r="BL33" s="769" t="s">
        <v>199</v>
      </c>
      <c r="BM33" s="769" t="s">
        <v>199</v>
      </c>
      <c r="BN33" s="782"/>
      <c r="BO33" s="782"/>
      <c r="BP33" s="782"/>
      <c r="BQ33" s="782"/>
      <c r="BR33" s="782"/>
      <c r="BS33" s="783"/>
      <c r="BT33" s="782"/>
      <c r="BU33" s="782"/>
      <c r="BV33" s="782"/>
      <c r="BW33" s="782"/>
      <c r="BX33" s="782"/>
      <c r="BY33" s="782"/>
      <c r="BZ33" s="782"/>
      <c r="CA33" s="770"/>
      <c r="CB33" s="769" t="s">
        <v>199</v>
      </c>
      <c r="CC33" s="769" t="s">
        <v>199</v>
      </c>
      <c r="CD33" s="769" t="s">
        <v>199</v>
      </c>
      <c r="CE33" s="782"/>
      <c r="CF33" s="782"/>
      <c r="CG33" s="782"/>
      <c r="CH33" s="782"/>
      <c r="CI33" s="782"/>
      <c r="CJ33" s="783"/>
      <c r="CK33" s="782"/>
      <c r="CL33" s="782"/>
      <c r="CM33" s="782"/>
      <c r="CN33" s="782"/>
      <c r="CO33" s="782"/>
      <c r="CP33" s="782"/>
    </row>
    <row r="34" ht="15" customHeight="1" spans="2:94">
      <c r="B34" s="767" t="s">
        <v>1478</v>
      </c>
      <c r="C34" s="784"/>
      <c r="D34" s="785"/>
      <c r="E34" s="785"/>
      <c r="F34" s="785"/>
      <c r="G34" s="785"/>
      <c r="H34" s="784"/>
      <c r="I34" s="784"/>
      <c r="J34" s="770" t="s">
        <v>1534</v>
      </c>
      <c r="K34" s="770"/>
      <c r="L34" s="769" t="s">
        <v>1464</v>
      </c>
      <c r="M34" s="769" t="s">
        <v>199</v>
      </c>
      <c r="N34" s="769" t="s">
        <v>199</v>
      </c>
      <c r="O34" s="782"/>
      <c r="P34" s="782"/>
      <c r="Q34" s="782"/>
      <c r="R34" s="782"/>
      <c r="S34" s="782"/>
      <c r="T34" s="782"/>
      <c r="U34" s="782"/>
      <c r="V34" s="782"/>
      <c r="W34" s="783"/>
      <c r="X34" s="782"/>
      <c r="Y34" s="782"/>
      <c r="Z34" s="782"/>
      <c r="AA34" s="770"/>
      <c r="AB34" s="770"/>
      <c r="AC34" s="769" t="s">
        <v>199</v>
      </c>
      <c r="AD34" s="769" t="s">
        <v>199</v>
      </c>
      <c r="AE34" s="769" t="s">
        <v>199</v>
      </c>
      <c r="AF34" s="782"/>
      <c r="AG34" s="782"/>
      <c r="AH34" s="782"/>
      <c r="AI34" s="782"/>
      <c r="AJ34" s="782"/>
      <c r="AK34" s="783"/>
      <c r="AL34" s="782"/>
      <c r="AM34" s="782"/>
      <c r="AN34" s="782"/>
      <c r="AO34" s="782"/>
      <c r="AP34" s="782"/>
      <c r="AQ34" s="782"/>
      <c r="AR34" s="782"/>
      <c r="AS34" s="770"/>
      <c r="AT34" s="769" t="s">
        <v>199</v>
      </c>
      <c r="AU34" s="769" t="s">
        <v>199</v>
      </c>
      <c r="AV34" s="769" t="s">
        <v>199</v>
      </c>
      <c r="AW34" s="782"/>
      <c r="AX34" s="782"/>
      <c r="AY34" s="782"/>
      <c r="AZ34" s="782"/>
      <c r="BA34" s="782"/>
      <c r="BB34" s="783"/>
      <c r="BC34" s="782"/>
      <c r="BD34" s="782"/>
      <c r="BE34" s="782"/>
      <c r="BF34" s="782"/>
      <c r="BG34" s="782"/>
      <c r="BH34" s="782"/>
      <c r="BI34" s="782"/>
      <c r="BJ34" s="770"/>
      <c r="BK34" s="769" t="s">
        <v>199</v>
      </c>
      <c r="BL34" s="769" t="s">
        <v>199</v>
      </c>
      <c r="BM34" s="769" t="s">
        <v>199</v>
      </c>
      <c r="BN34" s="782"/>
      <c r="BO34" s="782"/>
      <c r="BP34" s="782"/>
      <c r="BQ34" s="782"/>
      <c r="BR34" s="782"/>
      <c r="BS34" s="783"/>
      <c r="BT34" s="782"/>
      <c r="BU34" s="782"/>
      <c r="BV34" s="782"/>
      <c r="BW34" s="782"/>
      <c r="BX34" s="782"/>
      <c r="BY34" s="782"/>
      <c r="BZ34" s="782"/>
      <c r="CA34" s="770"/>
      <c r="CB34" s="769" t="s">
        <v>199</v>
      </c>
      <c r="CC34" s="769" t="s">
        <v>199</v>
      </c>
      <c r="CD34" s="769" t="s">
        <v>199</v>
      </c>
      <c r="CE34" s="782"/>
      <c r="CF34" s="782"/>
      <c r="CG34" s="782"/>
      <c r="CH34" s="782"/>
      <c r="CI34" s="782"/>
      <c r="CJ34" s="783"/>
      <c r="CK34" s="782"/>
      <c r="CL34" s="782"/>
      <c r="CM34" s="782"/>
      <c r="CN34" s="782"/>
      <c r="CO34" s="782"/>
      <c r="CP34" s="782"/>
    </row>
    <row r="35" ht="15" customHeight="1" spans="2:94">
      <c r="B35" s="767" t="s">
        <v>1479</v>
      </c>
      <c r="C35" s="784"/>
      <c r="D35" s="785"/>
      <c r="E35" s="785"/>
      <c r="F35" s="785"/>
      <c r="G35" s="785"/>
      <c r="H35" s="784"/>
      <c r="I35" s="784"/>
      <c r="J35" s="770" t="s">
        <v>1534</v>
      </c>
      <c r="K35" s="770"/>
      <c r="L35" s="769" t="s">
        <v>1464</v>
      </c>
      <c r="M35" s="769" t="s">
        <v>199</v>
      </c>
      <c r="N35" s="769" t="s">
        <v>199</v>
      </c>
      <c r="O35" s="782"/>
      <c r="P35" s="782"/>
      <c r="Q35" s="782"/>
      <c r="R35" s="782"/>
      <c r="S35" s="782"/>
      <c r="T35" s="782"/>
      <c r="U35" s="782"/>
      <c r="V35" s="782"/>
      <c r="W35" s="783"/>
      <c r="X35" s="782"/>
      <c r="Y35" s="782"/>
      <c r="Z35" s="782"/>
      <c r="AA35" s="770"/>
      <c r="AB35" s="770"/>
      <c r="AC35" s="769" t="s">
        <v>199</v>
      </c>
      <c r="AD35" s="769" t="s">
        <v>199</v>
      </c>
      <c r="AE35" s="769" t="s">
        <v>199</v>
      </c>
      <c r="AF35" s="782"/>
      <c r="AG35" s="782"/>
      <c r="AH35" s="782"/>
      <c r="AI35" s="782"/>
      <c r="AJ35" s="782"/>
      <c r="AK35" s="782"/>
      <c r="AL35" s="782"/>
      <c r="AM35" s="782"/>
      <c r="AN35" s="782"/>
      <c r="AO35" s="782"/>
      <c r="AP35" s="782"/>
      <c r="AQ35" s="782"/>
      <c r="AR35" s="782"/>
      <c r="AS35" s="770"/>
      <c r="AT35" s="769" t="s">
        <v>199</v>
      </c>
      <c r="AU35" s="769" t="s">
        <v>199</v>
      </c>
      <c r="AV35" s="769" t="s">
        <v>199</v>
      </c>
      <c r="AW35" s="782"/>
      <c r="AX35" s="782"/>
      <c r="AY35" s="782"/>
      <c r="AZ35" s="782"/>
      <c r="BA35" s="782"/>
      <c r="BB35" s="782"/>
      <c r="BC35" s="782"/>
      <c r="BD35" s="782"/>
      <c r="BE35" s="782"/>
      <c r="BF35" s="782"/>
      <c r="BG35" s="782"/>
      <c r="BH35" s="782"/>
      <c r="BI35" s="782"/>
      <c r="BJ35" s="770"/>
      <c r="BK35" s="769" t="s">
        <v>199</v>
      </c>
      <c r="BL35" s="769" t="s">
        <v>199</v>
      </c>
      <c r="BM35" s="769" t="s">
        <v>199</v>
      </c>
      <c r="BN35" s="782"/>
      <c r="BO35" s="782"/>
      <c r="BP35" s="782"/>
      <c r="BQ35" s="782"/>
      <c r="BR35" s="782"/>
      <c r="BS35" s="782"/>
      <c r="BT35" s="782"/>
      <c r="BU35" s="782"/>
      <c r="BV35" s="782"/>
      <c r="BW35" s="782"/>
      <c r="BX35" s="782"/>
      <c r="BY35" s="782"/>
      <c r="BZ35" s="782"/>
      <c r="CA35" s="770"/>
      <c r="CB35" s="769" t="s">
        <v>199</v>
      </c>
      <c r="CC35" s="769" t="s">
        <v>199</v>
      </c>
      <c r="CD35" s="769" t="s">
        <v>199</v>
      </c>
      <c r="CE35" s="782"/>
      <c r="CF35" s="782"/>
      <c r="CG35" s="782"/>
      <c r="CH35" s="782"/>
      <c r="CI35" s="782"/>
      <c r="CJ35" s="782"/>
      <c r="CK35" s="782"/>
      <c r="CL35" s="782"/>
      <c r="CM35" s="782"/>
      <c r="CN35" s="782"/>
      <c r="CO35" s="782"/>
      <c r="CP35" s="782"/>
    </row>
    <row r="36" ht="15" customHeight="1" spans="2:94">
      <c r="B36" s="767" t="s">
        <v>1480</v>
      </c>
      <c r="C36" s="784"/>
      <c r="D36" s="785"/>
      <c r="E36" s="785"/>
      <c r="F36" s="785"/>
      <c r="G36" s="785"/>
      <c r="H36" s="784"/>
      <c r="I36" s="784"/>
      <c r="J36" s="770" t="s">
        <v>1534</v>
      </c>
      <c r="K36" s="770"/>
      <c r="L36" s="769" t="s">
        <v>1464</v>
      </c>
      <c r="M36" s="769" t="s">
        <v>199</v>
      </c>
      <c r="N36" s="769" t="s">
        <v>199</v>
      </c>
      <c r="O36" s="782"/>
      <c r="P36" s="782"/>
      <c r="Q36" s="782"/>
      <c r="R36" s="782"/>
      <c r="S36" s="782"/>
      <c r="T36" s="782"/>
      <c r="U36" s="782"/>
      <c r="V36" s="782"/>
      <c r="W36" s="783"/>
      <c r="X36" s="782"/>
      <c r="Y36" s="782"/>
      <c r="Z36" s="782"/>
      <c r="AA36" s="770"/>
      <c r="AB36" s="770"/>
      <c r="AC36" s="769" t="s">
        <v>199</v>
      </c>
      <c r="AD36" s="769" t="s">
        <v>199</v>
      </c>
      <c r="AE36" s="769" t="s">
        <v>199</v>
      </c>
      <c r="AF36" s="782"/>
      <c r="AG36" s="782"/>
      <c r="AH36" s="782"/>
      <c r="AI36" s="782"/>
      <c r="AJ36" s="782"/>
      <c r="AK36" s="782"/>
      <c r="AL36" s="782"/>
      <c r="AM36" s="782"/>
      <c r="AN36" s="782"/>
      <c r="AO36" s="782"/>
      <c r="AP36" s="782"/>
      <c r="AQ36" s="782"/>
      <c r="AR36" s="782"/>
      <c r="AS36" s="770"/>
      <c r="AT36" s="769" t="s">
        <v>199</v>
      </c>
      <c r="AU36" s="769" t="s">
        <v>199</v>
      </c>
      <c r="AV36" s="769" t="s">
        <v>199</v>
      </c>
      <c r="AW36" s="782"/>
      <c r="AX36" s="782"/>
      <c r="AY36" s="782"/>
      <c r="AZ36" s="782"/>
      <c r="BA36" s="782"/>
      <c r="BB36" s="782"/>
      <c r="BC36" s="782"/>
      <c r="BD36" s="782"/>
      <c r="BE36" s="782"/>
      <c r="BF36" s="782"/>
      <c r="BG36" s="782"/>
      <c r="BH36" s="782"/>
      <c r="BI36" s="782"/>
      <c r="BJ36" s="770"/>
      <c r="BK36" s="769" t="s">
        <v>199</v>
      </c>
      <c r="BL36" s="769" t="s">
        <v>199</v>
      </c>
      <c r="BM36" s="769" t="s">
        <v>199</v>
      </c>
      <c r="BN36" s="782"/>
      <c r="BO36" s="782"/>
      <c r="BP36" s="782"/>
      <c r="BQ36" s="782"/>
      <c r="BR36" s="782"/>
      <c r="BS36" s="782"/>
      <c r="BT36" s="782"/>
      <c r="BU36" s="782"/>
      <c r="BV36" s="782"/>
      <c r="BW36" s="782"/>
      <c r="BX36" s="782"/>
      <c r="BY36" s="782"/>
      <c r="BZ36" s="782"/>
      <c r="CA36" s="770"/>
      <c r="CB36" s="769" t="s">
        <v>199</v>
      </c>
      <c r="CC36" s="769" t="s">
        <v>199</v>
      </c>
      <c r="CD36" s="769" t="s">
        <v>199</v>
      </c>
      <c r="CE36" s="782"/>
      <c r="CF36" s="782"/>
      <c r="CG36" s="782"/>
      <c r="CH36" s="782"/>
      <c r="CI36" s="782"/>
      <c r="CJ36" s="782"/>
      <c r="CK36" s="782"/>
      <c r="CL36" s="782"/>
      <c r="CM36" s="782"/>
      <c r="CN36" s="782"/>
      <c r="CO36" s="782"/>
      <c r="CP36" s="782"/>
    </row>
    <row r="37" ht="15" customHeight="1" spans="2:94">
      <c r="B37" s="767" t="s">
        <v>1481</v>
      </c>
      <c r="C37" s="784"/>
      <c r="D37" s="784"/>
      <c r="E37" s="784"/>
      <c r="F37" s="784"/>
      <c r="G37" s="784"/>
      <c r="H37" s="784"/>
      <c r="I37" s="784"/>
      <c r="J37" s="770" t="s">
        <v>1534</v>
      </c>
      <c r="K37" s="770"/>
      <c r="L37" s="769" t="s">
        <v>1464</v>
      </c>
      <c r="M37" s="769" t="s">
        <v>199</v>
      </c>
      <c r="N37" s="769" t="s">
        <v>199</v>
      </c>
      <c r="O37" s="782"/>
      <c r="P37" s="782"/>
      <c r="Q37" s="782"/>
      <c r="R37" s="782"/>
      <c r="S37" s="782"/>
      <c r="T37" s="782"/>
      <c r="U37" s="782"/>
      <c r="V37" s="782"/>
      <c r="W37" s="783"/>
      <c r="X37" s="782"/>
      <c r="Y37" s="782"/>
      <c r="Z37" s="782"/>
      <c r="AA37" s="770"/>
      <c r="AB37" s="770"/>
      <c r="AC37" s="769" t="s">
        <v>199</v>
      </c>
      <c r="AD37" s="769" t="s">
        <v>199</v>
      </c>
      <c r="AE37" s="769" t="s">
        <v>199</v>
      </c>
      <c r="AF37" s="782"/>
      <c r="AG37" s="782"/>
      <c r="AH37" s="782"/>
      <c r="AI37" s="782"/>
      <c r="AJ37" s="782"/>
      <c r="AK37" s="782"/>
      <c r="AL37" s="782"/>
      <c r="AM37" s="782"/>
      <c r="AN37" s="782"/>
      <c r="AO37" s="782"/>
      <c r="AP37" s="782"/>
      <c r="AQ37" s="782"/>
      <c r="AR37" s="782"/>
      <c r="AS37" s="770"/>
      <c r="AT37" s="769" t="s">
        <v>199</v>
      </c>
      <c r="AU37" s="769" t="s">
        <v>199</v>
      </c>
      <c r="AV37" s="769" t="s">
        <v>199</v>
      </c>
      <c r="AW37" s="782"/>
      <c r="AX37" s="782"/>
      <c r="AY37" s="782"/>
      <c r="AZ37" s="782"/>
      <c r="BA37" s="782"/>
      <c r="BB37" s="782"/>
      <c r="BC37" s="782"/>
      <c r="BD37" s="782"/>
      <c r="BE37" s="782"/>
      <c r="BF37" s="782"/>
      <c r="BG37" s="782"/>
      <c r="BH37" s="782"/>
      <c r="BI37" s="782"/>
      <c r="BJ37" s="770"/>
      <c r="BK37" s="769" t="s">
        <v>199</v>
      </c>
      <c r="BL37" s="769" t="s">
        <v>199</v>
      </c>
      <c r="BM37" s="769" t="s">
        <v>199</v>
      </c>
      <c r="BN37" s="782"/>
      <c r="BO37" s="782"/>
      <c r="BP37" s="782"/>
      <c r="BQ37" s="782"/>
      <c r="BR37" s="782"/>
      <c r="BS37" s="782"/>
      <c r="BT37" s="782"/>
      <c r="BU37" s="782"/>
      <c r="BV37" s="782"/>
      <c r="BW37" s="782"/>
      <c r="BX37" s="782"/>
      <c r="BY37" s="782"/>
      <c r="BZ37" s="782"/>
      <c r="CA37" s="770"/>
      <c r="CB37" s="769" t="s">
        <v>199</v>
      </c>
      <c r="CC37" s="769" t="s">
        <v>199</v>
      </c>
      <c r="CD37" s="769" t="s">
        <v>199</v>
      </c>
      <c r="CE37" s="782"/>
      <c r="CF37" s="782"/>
      <c r="CG37" s="782"/>
      <c r="CH37" s="782"/>
      <c r="CI37" s="782"/>
      <c r="CJ37" s="782"/>
      <c r="CK37" s="782"/>
      <c r="CL37" s="782"/>
      <c r="CM37" s="782"/>
      <c r="CN37" s="782"/>
      <c r="CO37" s="782"/>
      <c r="CP37" s="782"/>
    </row>
    <row r="38" ht="15" customHeight="1" spans="2:94">
      <c r="B38" s="767" t="s">
        <v>1482</v>
      </c>
      <c r="C38" s="784"/>
      <c r="D38" s="784"/>
      <c r="E38" s="784"/>
      <c r="F38" s="784"/>
      <c r="G38" s="784"/>
      <c r="H38" s="784"/>
      <c r="I38" s="784"/>
      <c r="J38" s="770" t="s">
        <v>1534</v>
      </c>
      <c r="K38" s="770"/>
      <c r="L38" s="769" t="s">
        <v>1464</v>
      </c>
      <c r="M38" s="769" t="s">
        <v>199</v>
      </c>
      <c r="N38" s="769" t="s">
        <v>199</v>
      </c>
      <c r="O38" s="782"/>
      <c r="P38" s="782"/>
      <c r="Q38" s="782"/>
      <c r="R38" s="782"/>
      <c r="S38" s="782"/>
      <c r="T38" s="782"/>
      <c r="U38" s="782"/>
      <c r="V38" s="782"/>
      <c r="W38" s="783"/>
      <c r="X38" s="782"/>
      <c r="Y38" s="782"/>
      <c r="Z38" s="782"/>
      <c r="AA38" s="770"/>
      <c r="AB38" s="770"/>
      <c r="AC38" s="769" t="s">
        <v>199</v>
      </c>
      <c r="AD38" s="769" t="s">
        <v>199</v>
      </c>
      <c r="AE38" s="769" t="s">
        <v>199</v>
      </c>
      <c r="AF38" s="782"/>
      <c r="AG38" s="782"/>
      <c r="AH38" s="782"/>
      <c r="AI38" s="782"/>
      <c r="AJ38" s="782"/>
      <c r="AK38" s="782"/>
      <c r="AL38" s="782"/>
      <c r="AM38" s="782"/>
      <c r="AN38" s="782"/>
      <c r="AO38" s="782"/>
      <c r="AP38" s="782"/>
      <c r="AQ38" s="782"/>
      <c r="AR38" s="782"/>
      <c r="AS38" s="770"/>
      <c r="AT38" s="769" t="s">
        <v>199</v>
      </c>
      <c r="AU38" s="769" t="s">
        <v>199</v>
      </c>
      <c r="AV38" s="769" t="s">
        <v>199</v>
      </c>
      <c r="AW38" s="782"/>
      <c r="AX38" s="782"/>
      <c r="AY38" s="782"/>
      <c r="AZ38" s="782"/>
      <c r="BA38" s="782"/>
      <c r="BB38" s="782"/>
      <c r="BC38" s="782"/>
      <c r="BD38" s="782"/>
      <c r="BE38" s="782"/>
      <c r="BF38" s="782"/>
      <c r="BG38" s="782"/>
      <c r="BH38" s="782"/>
      <c r="BI38" s="782"/>
      <c r="BJ38" s="770"/>
      <c r="BK38" s="769" t="s">
        <v>199</v>
      </c>
      <c r="BL38" s="769" t="s">
        <v>199</v>
      </c>
      <c r="BM38" s="769" t="s">
        <v>199</v>
      </c>
      <c r="BN38" s="782"/>
      <c r="BO38" s="782"/>
      <c r="BP38" s="782"/>
      <c r="BQ38" s="782"/>
      <c r="BR38" s="782"/>
      <c r="BS38" s="782"/>
      <c r="BT38" s="782"/>
      <c r="BU38" s="782"/>
      <c r="BV38" s="782"/>
      <c r="BW38" s="782"/>
      <c r="BX38" s="782"/>
      <c r="BY38" s="782"/>
      <c r="BZ38" s="782"/>
      <c r="CA38" s="770"/>
      <c r="CB38" s="769" t="s">
        <v>199</v>
      </c>
      <c r="CC38" s="769" t="s">
        <v>199</v>
      </c>
      <c r="CD38" s="769" t="s">
        <v>199</v>
      </c>
      <c r="CE38" s="782"/>
      <c r="CF38" s="782"/>
      <c r="CG38" s="782"/>
      <c r="CH38" s="782"/>
      <c r="CI38" s="782"/>
      <c r="CJ38" s="782"/>
      <c r="CK38" s="782"/>
      <c r="CL38" s="782"/>
      <c r="CM38" s="782"/>
      <c r="CN38" s="782"/>
      <c r="CO38" s="782"/>
      <c r="CP38" s="782"/>
    </row>
    <row r="39" ht="15" customHeight="1" spans="2:94">
      <c r="B39" s="767" t="s">
        <v>1483</v>
      </c>
      <c r="C39" s="784"/>
      <c r="D39" s="784"/>
      <c r="E39" s="784"/>
      <c r="F39" s="784"/>
      <c r="G39" s="784"/>
      <c r="H39" s="784"/>
      <c r="I39" s="784"/>
      <c r="J39" s="770" t="s">
        <v>1534</v>
      </c>
      <c r="K39" s="770"/>
      <c r="L39" s="769" t="s">
        <v>1464</v>
      </c>
      <c r="M39" s="769" t="s">
        <v>199</v>
      </c>
      <c r="N39" s="769" t="s">
        <v>199</v>
      </c>
      <c r="O39" s="782"/>
      <c r="P39" s="782"/>
      <c r="Q39" s="782"/>
      <c r="R39" s="782"/>
      <c r="S39" s="782"/>
      <c r="T39" s="782"/>
      <c r="U39" s="782"/>
      <c r="V39" s="782"/>
      <c r="W39" s="783"/>
      <c r="X39" s="782"/>
      <c r="Y39" s="782"/>
      <c r="Z39" s="782"/>
      <c r="AA39" s="770"/>
      <c r="AB39" s="770"/>
      <c r="AC39" s="769" t="s">
        <v>199</v>
      </c>
      <c r="AD39" s="769" t="s">
        <v>199</v>
      </c>
      <c r="AE39" s="769" t="s">
        <v>199</v>
      </c>
      <c r="AF39" s="782"/>
      <c r="AG39" s="782"/>
      <c r="AH39" s="782"/>
      <c r="AI39" s="782"/>
      <c r="AJ39" s="782"/>
      <c r="AK39" s="782"/>
      <c r="AL39" s="782"/>
      <c r="AM39" s="782"/>
      <c r="AN39" s="782"/>
      <c r="AO39" s="782"/>
      <c r="AP39" s="782"/>
      <c r="AQ39" s="782"/>
      <c r="AR39" s="782"/>
      <c r="AS39" s="770"/>
      <c r="AT39" s="769" t="s">
        <v>199</v>
      </c>
      <c r="AU39" s="769" t="s">
        <v>199</v>
      </c>
      <c r="AV39" s="769" t="s">
        <v>199</v>
      </c>
      <c r="AW39" s="782"/>
      <c r="AX39" s="782"/>
      <c r="AY39" s="782"/>
      <c r="AZ39" s="782"/>
      <c r="BA39" s="782"/>
      <c r="BB39" s="782"/>
      <c r="BC39" s="782"/>
      <c r="BD39" s="782"/>
      <c r="BE39" s="782"/>
      <c r="BF39" s="782"/>
      <c r="BG39" s="782"/>
      <c r="BH39" s="782"/>
      <c r="BI39" s="782"/>
      <c r="BJ39" s="770"/>
      <c r="BK39" s="769" t="s">
        <v>199</v>
      </c>
      <c r="BL39" s="769" t="s">
        <v>199</v>
      </c>
      <c r="BM39" s="769" t="s">
        <v>199</v>
      </c>
      <c r="BN39" s="782"/>
      <c r="BO39" s="782"/>
      <c r="BP39" s="782"/>
      <c r="BQ39" s="782"/>
      <c r="BR39" s="782"/>
      <c r="BS39" s="782"/>
      <c r="BT39" s="782"/>
      <c r="BU39" s="782"/>
      <c r="BV39" s="782"/>
      <c r="BW39" s="782"/>
      <c r="BX39" s="782"/>
      <c r="BY39" s="782"/>
      <c r="BZ39" s="782"/>
      <c r="CA39" s="770"/>
      <c r="CB39" s="769" t="s">
        <v>199</v>
      </c>
      <c r="CC39" s="769" t="s">
        <v>199</v>
      </c>
      <c r="CD39" s="769" t="s">
        <v>199</v>
      </c>
      <c r="CE39" s="782"/>
      <c r="CF39" s="782"/>
      <c r="CG39" s="782"/>
      <c r="CH39" s="782"/>
      <c r="CI39" s="782"/>
      <c r="CJ39" s="782"/>
      <c r="CK39" s="782"/>
      <c r="CL39" s="782"/>
      <c r="CM39" s="782"/>
      <c r="CN39" s="782"/>
      <c r="CO39" s="782"/>
      <c r="CP39" s="782"/>
    </row>
    <row r="40" ht="15" customHeight="1" spans="2:94">
      <c r="B40" s="767" t="s">
        <v>1484</v>
      </c>
      <c r="C40" s="784"/>
      <c r="D40" s="784"/>
      <c r="E40" s="784"/>
      <c r="F40" s="784"/>
      <c r="G40" s="784"/>
      <c r="H40" s="784"/>
      <c r="I40" s="784"/>
      <c r="J40" s="770" t="s">
        <v>1534</v>
      </c>
      <c r="K40" s="770"/>
      <c r="L40" s="769" t="s">
        <v>1464</v>
      </c>
      <c r="M40" s="769" t="s">
        <v>199</v>
      </c>
      <c r="N40" s="769" t="s">
        <v>199</v>
      </c>
      <c r="O40" s="782"/>
      <c r="P40" s="782"/>
      <c r="Q40" s="782"/>
      <c r="R40" s="782"/>
      <c r="S40" s="782"/>
      <c r="T40" s="782"/>
      <c r="U40" s="782"/>
      <c r="V40" s="782"/>
      <c r="W40" s="783"/>
      <c r="X40" s="782"/>
      <c r="Y40" s="782"/>
      <c r="Z40" s="782"/>
      <c r="AA40" s="770"/>
      <c r="AB40" s="770"/>
      <c r="AC40" s="769" t="s">
        <v>199</v>
      </c>
      <c r="AD40" s="769" t="s">
        <v>199</v>
      </c>
      <c r="AE40" s="769" t="s">
        <v>199</v>
      </c>
      <c r="AF40" s="782"/>
      <c r="AG40" s="782"/>
      <c r="AH40" s="782"/>
      <c r="AI40" s="782"/>
      <c r="AJ40" s="782"/>
      <c r="AK40" s="782"/>
      <c r="AL40" s="782"/>
      <c r="AM40" s="782"/>
      <c r="AN40" s="782"/>
      <c r="AO40" s="782"/>
      <c r="AP40" s="782"/>
      <c r="AQ40" s="782"/>
      <c r="AR40" s="782"/>
      <c r="AS40" s="770"/>
      <c r="AT40" s="769" t="s">
        <v>199</v>
      </c>
      <c r="AU40" s="769" t="s">
        <v>199</v>
      </c>
      <c r="AV40" s="769" t="s">
        <v>199</v>
      </c>
      <c r="AW40" s="782"/>
      <c r="AX40" s="782"/>
      <c r="AY40" s="782"/>
      <c r="AZ40" s="782"/>
      <c r="BA40" s="782"/>
      <c r="BB40" s="782"/>
      <c r="BC40" s="782"/>
      <c r="BD40" s="782"/>
      <c r="BE40" s="782"/>
      <c r="BF40" s="782"/>
      <c r="BG40" s="782"/>
      <c r="BH40" s="782"/>
      <c r="BI40" s="782"/>
      <c r="BJ40" s="770"/>
      <c r="BK40" s="769" t="s">
        <v>199</v>
      </c>
      <c r="BL40" s="769" t="s">
        <v>199</v>
      </c>
      <c r="BM40" s="769" t="s">
        <v>199</v>
      </c>
      <c r="BN40" s="782"/>
      <c r="BO40" s="782"/>
      <c r="BP40" s="782"/>
      <c r="BQ40" s="782"/>
      <c r="BR40" s="782"/>
      <c r="BS40" s="782"/>
      <c r="BT40" s="782"/>
      <c r="BU40" s="782"/>
      <c r="BV40" s="782"/>
      <c r="BW40" s="782"/>
      <c r="BX40" s="782"/>
      <c r="BY40" s="782"/>
      <c r="BZ40" s="782"/>
      <c r="CA40" s="770"/>
      <c r="CB40" s="769" t="s">
        <v>199</v>
      </c>
      <c r="CC40" s="769" t="s">
        <v>199</v>
      </c>
      <c r="CD40" s="769" t="s">
        <v>199</v>
      </c>
      <c r="CE40" s="782"/>
      <c r="CF40" s="782"/>
      <c r="CG40" s="782"/>
      <c r="CH40" s="782"/>
      <c r="CI40" s="782"/>
      <c r="CJ40" s="782"/>
      <c r="CK40" s="782"/>
      <c r="CL40" s="782"/>
      <c r="CM40" s="782"/>
      <c r="CN40" s="782"/>
      <c r="CO40" s="782"/>
      <c r="CP40" s="782"/>
    </row>
    <row r="41" ht="15" customHeight="1" spans="2:94">
      <c r="B41" s="767" t="s">
        <v>1485</v>
      </c>
      <c r="C41" s="784"/>
      <c r="D41" s="784"/>
      <c r="E41" s="784"/>
      <c r="F41" s="784"/>
      <c r="G41" s="784"/>
      <c r="H41" s="784"/>
      <c r="I41" s="784"/>
      <c r="J41" s="770" t="s">
        <v>1534</v>
      </c>
      <c r="K41" s="770"/>
      <c r="L41" s="769" t="s">
        <v>1464</v>
      </c>
      <c r="M41" s="769" t="s">
        <v>199</v>
      </c>
      <c r="N41" s="769" t="s">
        <v>199</v>
      </c>
      <c r="O41" s="782"/>
      <c r="P41" s="782"/>
      <c r="Q41" s="782"/>
      <c r="R41" s="782"/>
      <c r="S41" s="782"/>
      <c r="T41" s="782"/>
      <c r="U41" s="782"/>
      <c r="V41" s="782"/>
      <c r="W41" s="783"/>
      <c r="X41" s="782"/>
      <c r="Y41" s="782"/>
      <c r="Z41" s="782"/>
      <c r="AA41" s="770"/>
      <c r="AB41" s="770"/>
      <c r="AC41" s="769" t="s">
        <v>199</v>
      </c>
      <c r="AD41" s="769" t="s">
        <v>199</v>
      </c>
      <c r="AE41" s="769" t="s">
        <v>199</v>
      </c>
      <c r="AF41" s="782"/>
      <c r="AG41" s="782"/>
      <c r="AH41" s="782"/>
      <c r="AI41" s="782"/>
      <c r="AJ41" s="782"/>
      <c r="AK41" s="782"/>
      <c r="AL41" s="782"/>
      <c r="AM41" s="782"/>
      <c r="AN41" s="782"/>
      <c r="AO41" s="782"/>
      <c r="AP41" s="782"/>
      <c r="AQ41" s="782"/>
      <c r="AR41" s="782"/>
      <c r="AS41" s="770"/>
      <c r="AT41" s="769" t="s">
        <v>199</v>
      </c>
      <c r="AU41" s="769" t="s">
        <v>199</v>
      </c>
      <c r="AV41" s="769" t="s">
        <v>199</v>
      </c>
      <c r="AW41" s="782"/>
      <c r="AX41" s="782"/>
      <c r="AY41" s="782"/>
      <c r="AZ41" s="782"/>
      <c r="BA41" s="782"/>
      <c r="BB41" s="782"/>
      <c r="BC41" s="782"/>
      <c r="BD41" s="782"/>
      <c r="BE41" s="782"/>
      <c r="BF41" s="782"/>
      <c r="BG41" s="782"/>
      <c r="BH41" s="782"/>
      <c r="BI41" s="782"/>
      <c r="BJ41" s="770"/>
      <c r="BK41" s="769" t="s">
        <v>199</v>
      </c>
      <c r="BL41" s="769" t="s">
        <v>199</v>
      </c>
      <c r="BM41" s="769" t="s">
        <v>199</v>
      </c>
      <c r="BN41" s="782"/>
      <c r="BO41" s="782"/>
      <c r="BP41" s="782"/>
      <c r="BQ41" s="782"/>
      <c r="BR41" s="782"/>
      <c r="BS41" s="782"/>
      <c r="BT41" s="782"/>
      <c r="BU41" s="782"/>
      <c r="BV41" s="782"/>
      <c r="BW41" s="782"/>
      <c r="BX41" s="782"/>
      <c r="BY41" s="782"/>
      <c r="BZ41" s="782"/>
      <c r="CA41" s="770"/>
      <c r="CB41" s="769" t="s">
        <v>199</v>
      </c>
      <c r="CC41" s="769" t="s">
        <v>199</v>
      </c>
      <c r="CD41" s="769" t="s">
        <v>199</v>
      </c>
      <c r="CE41" s="782"/>
      <c r="CF41" s="782"/>
      <c r="CG41" s="782"/>
      <c r="CH41" s="782"/>
      <c r="CI41" s="782"/>
      <c r="CJ41" s="782"/>
      <c r="CK41" s="782"/>
      <c r="CL41" s="782"/>
      <c r="CM41" s="782"/>
      <c r="CN41" s="782"/>
      <c r="CO41" s="782"/>
      <c r="CP41" s="782"/>
    </row>
    <row r="42" ht="15" customHeight="1" spans="2:94">
      <c r="B42" s="767" t="s">
        <v>1486</v>
      </c>
      <c r="C42" s="784"/>
      <c r="D42" s="784"/>
      <c r="E42" s="784"/>
      <c r="F42" s="784"/>
      <c r="G42" s="784"/>
      <c r="H42" s="784"/>
      <c r="I42" s="784"/>
      <c r="J42" s="770" t="s">
        <v>1534</v>
      </c>
      <c r="K42" s="770"/>
      <c r="L42" s="769" t="s">
        <v>1464</v>
      </c>
      <c r="M42" s="769" t="s">
        <v>199</v>
      </c>
      <c r="N42" s="769" t="s">
        <v>199</v>
      </c>
      <c r="O42" s="782"/>
      <c r="P42" s="782"/>
      <c r="Q42" s="782"/>
      <c r="R42" s="782"/>
      <c r="S42" s="782"/>
      <c r="T42" s="782"/>
      <c r="U42" s="782"/>
      <c r="V42" s="782"/>
      <c r="W42" s="783"/>
      <c r="X42" s="782"/>
      <c r="Y42" s="782"/>
      <c r="Z42" s="782"/>
      <c r="AA42" s="770"/>
      <c r="AB42" s="770"/>
      <c r="AC42" s="769" t="s">
        <v>199</v>
      </c>
      <c r="AD42" s="769" t="s">
        <v>199</v>
      </c>
      <c r="AE42" s="769" t="s">
        <v>199</v>
      </c>
      <c r="AF42" s="782"/>
      <c r="AG42" s="782"/>
      <c r="AH42" s="782"/>
      <c r="AI42" s="782"/>
      <c r="AJ42" s="782"/>
      <c r="AK42" s="782"/>
      <c r="AL42" s="782"/>
      <c r="AM42" s="782"/>
      <c r="AN42" s="782"/>
      <c r="AO42" s="782"/>
      <c r="AP42" s="782"/>
      <c r="AQ42" s="782"/>
      <c r="AR42" s="782"/>
      <c r="AS42" s="770"/>
      <c r="AT42" s="769" t="s">
        <v>199</v>
      </c>
      <c r="AU42" s="769" t="s">
        <v>199</v>
      </c>
      <c r="AV42" s="769" t="s">
        <v>199</v>
      </c>
      <c r="AW42" s="782"/>
      <c r="AX42" s="782"/>
      <c r="AY42" s="782"/>
      <c r="AZ42" s="782"/>
      <c r="BA42" s="782"/>
      <c r="BB42" s="782"/>
      <c r="BC42" s="782"/>
      <c r="BD42" s="782"/>
      <c r="BE42" s="782"/>
      <c r="BF42" s="782"/>
      <c r="BG42" s="782"/>
      <c r="BH42" s="782"/>
      <c r="BI42" s="782"/>
      <c r="BJ42" s="770"/>
      <c r="BK42" s="769" t="s">
        <v>199</v>
      </c>
      <c r="BL42" s="769" t="s">
        <v>199</v>
      </c>
      <c r="BM42" s="769" t="s">
        <v>199</v>
      </c>
      <c r="BN42" s="782"/>
      <c r="BO42" s="782"/>
      <c r="BP42" s="782"/>
      <c r="BQ42" s="782"/>
      <c r="BR42" s="782"/>
      <c r="BS42" s="782"/>
      <c r="BT42" s="782"/>
      <c r="BU42" s="782"/>
      <c r="BV42" s="782"/>
      <c r="BW42" s="782"/>
      <c r="BX42" s="782"/>
      <c r="BY42" s="782"/>
      <c r="BZ42" s="782"/>
      <c r="CA42" s="770"/>
      <c r="CB42" s="769" t="s">
        <v>199</v>
      </c>
      <c r="CC42" s="769" t="s">
        <v>199</v>
      </c>
      <c r="CD42" s="769" t="s">
        <v>199</v>
      </c>
      <c r="CE42" s="782"/>
      <c r="CF42" s="782"/>
      <c r="CG42" s="782"/>
      <c r="CH42" s="782"/>
      <c r="CI42" s="782"/>
      <c r="CJ42" s="782"/>
      <c r="CK42" s="782"/>
      <c r="CL42" s="782"/>
      <c r="CM42" s="782"/>
      <c r="CN42" s="782"/>
      <c r="CO42" s="782"/>
      <c r="CP42" s="782"/>
    </row>
    <row r="43" ht="15" customHeight="1" spans="2:94">
      <c r="B43" s="767" t="s">
        <v>1487</v>
      </c>
      <c r="C43" s="784"/>
      <c r="D43" s="784"/>
      <c r="E43" s="784"/>
      <c r="F43" s="784"/>
      <c r="G43" s="784"/>
      <c r="H43" s="784"/>
      <c r="I43" s="784"/>
      <c r="J43" s="770" t="s">
        <v>1534</v>
      </c>
      <c r="K43" s="770"/>
      <c r="L43" s="769" t="s">
        <v>1464</v>
      </c>
      <c r="M43" s="769" t="s">
        <v>199</v>
      </c>
      <c r="N43" s="769" t="s">
        <v>199</v>
      </c>
      <c r="O43" s="782"/>
      <c r="P43" s="782"/>
      <c r="Q43" s="782"/>
      <c r="R43" s="782"/>
      <c r="S43" s="782"/>
      <c r="T43" s="782"/>
      <c r="U43" s="782"/>
      <c r="V43" s="782"/>
      <c r="W43" s="783"/>
      <c r="X43" s="782"/>
      <c r="Y43" s="782"/>
      <c r="Z43" s="782"/>
      <c r="AA43" s="770"/>
      <c r="AB43" s="770"/>
      <c r="AC43" s="769" t="s">
        <v>199</v>
      </c>
      <c r="AD43" s="769" t="s">
        <v>199</v>
      </c>
      <c r="AE43" s="769" t="s">
        <v>199</v>
      </c>
      <c r="AF43" s="782"/>
      <c r="AG43" s="782"/>
      <c r="AH43" s="782"/>
      <c r="AI43" s="782"/>
      <c r="AJ43" s="782"/>
      <c r="AK43" s="782"/>
      <c r="AL43" s="782"/>
      <c r="AM43" s="782"/>
      <c r="AN43" s="782"/>
      <c r="AO43" s="782"/>
      <c r="AP43" s="782"/>
      <c r="AQ43" s="782"/>
      <c r="AR43" s="782"/>
      <c r="AS43" s="770"/>
      <c r="AT43" s="769" t="s">
        <v>199</v>
      </c>
      <c r="AU43" s="769" t="s">
        <v>199</v>
      </c>
      <c r="AV43" s="769" t="s">
        <v>199</v>
      </c>
      <c r="AW43" s="782"/>
      <c r="AX43" s="782"/>
      <c r="AY43" s="782"/>
      <c r="AZ43" s="782"/>
      <c r="BA43" s="782"/>
      <c r="BB43" s="782"/>
      <c r="BC43" s="782"/>
      <c r="BD43" s="782"/>
      <c r="BE43" s="782"/>
      <c r="BF43" s="782"/>
      <c r="BG43" s="782"/>
      <c r="BH43" s="782"/>
      <c r="BI43" s="782"/>
      <c r="BJ43" s="770"/>
      <c r="BK43" s="769" t="s">
        <v>199</v>
      </c>
      <c r="BL43" s="769" t="s">
        <v>199</v>
      </c>
      <c r="BM43" s="769" t="s">
        <v>199</v>
      </c>
      <c r="BN43" s="782"/>
      <c r="BO43" s="782"/>
      <c r="BP43" s="782"/>
      <c r="BQ43" s="782"/>
      <c r="BR43" s="782"/>
      <c r="BS43" s="782"/>
      <c r="BT43" s="782"/>
      <c r="BU43" s="782"/>
      <c r="BV43" s="782"/>
      <c r="BW43" s="782"/>
      <c r="BX43" s="782"/>
      <c r="BY43" s="782"/>
      <c r="BZ43" s="782"/>
      <c r="CA43" s="770"/>
      <c r="CB43" s="769" t="s">
        <v>199</v>
      </c>
      <c r="CC43" s="769" t="s">
        <v>199</v>
      </c>
      <c r="CD43" s="769" t="s">
        <v>199</v>
      </c>
      <c r="CE43" s="782"/>
      <c r="CF43" s="782"/>
      <c r="CG43" s="782"/>
      <c r="CH43" s="782"/>
      <c r="CI43" s="782"/>
      <c r="CJ43" s="782"/>
      <c r="CK43" s="782"/>
      <c r="CL43" s="782"/>
      <c r="CM43" s="782"/>
      <c r="CN43" s="782"/>
      <c r="CO43" s="782"/>
      <c r="CP43" s="782"/>
    </row>
    <row r="44" ht="15" customHeight="1" spans="2:94">
      <c r="B44" s="767" t="s">
        <v>1488</v>
      </c>
      <c r="C44" s="784"/>
      <c r="D44" s="784"/>
      <c r="E44" s="784"/>
      <c r="F44" s="784"/>
      <c r="G44" s="784"/>
      <c r="H44" s="784"/>
      <c r="I44" s="784"/>
      <c r="J44" s="770" t="s">
        <v>1534</v>
      </c>
      <c r="K44" s="770"/>
      <c r="L44" s="769" t="s">
        <v>1464</v>
      </c>
      <c r="M44" s="769" t="s">
        <v>199</v>
      </c>
      <c r="N44" s="769" t="s">
        <v>199</v>
      </c>
      <c r="O44" s="782"/>
      <c r="P44" s="782"/>
      <c r="Q44" s="782"/>
      <c r="R44" s="782"/>
      <c r="S44" s="782"/>
      <c r="T44" s="782"/>
      <c r="U44" s="782"/>
      <c r="V44" s="782"/>
      <c r="W44" s="783"/>
      <c r="X44" s="782"/>
      <c r="Y44" s="782"/>
      <c r="Z44" s="782"/>
      <c r="AA44" s="770"/>
      <c r="AB44" s="770"/>
      <c r="AC44" s="769" t="s">
        <v>199</v>
      </c>
      <c r="AD44" s="769" t="s">
        <v>199</v>
      </c>
      <c r="AE44" s="769" t="s">
        <v>199</v>
      </c>
      <c r="AF44" s="782"/>
      <c r="AG44" s="782"/>
      <c r="AH44" s="782"/>
      <c r="AI44" s="782"/>
      <c r="AJ44" s="782"/>
      <c r="AK44" s="782"/>
      <c r="AL44" s="782"/>
      <c r="AM44" s="782"/>
      <c r="AN44" s="782"/>
      <c r="AO44" s="782"/>
      <c r="AP44" s="782"/>
      <c r="AQ44" s="782"/>
      <c r="AR44" s="782"/>
      <c r="AS44" s="770"/>
      <c r="AT44" s="769" t="s">
        <v>199</v>
      </c>
      <c r="AU44" s="769" t="s">
        <v>199</v>
      </c>
      <c r="AV44" s="769" t="s">
        <v>199</v>
      </c>
      <c r="AW44" s="782"/>
      <c r="AX44" s="782"/>
      <c r="AY44" s="782"/>
      <c r="AZ44" s="782"/>
      <c r="BA44" s="782"/>
      <c r="BB44" s="782"/>
      <c r="BC44" s="782"/>
      <c r="BD44" s="782"/>
      <c r="BE44" s="782"/>
      <c r="BF44" s="782"/>
      <c r="BG44" s="782"/>
      <c r="BH44" s="782"/>
      <c r="BI44" s="782"/>
      <c r="BJ44" s="770"/>
      <c r="BK44" s="769" t="s">
        <v>199</v>
      </c>
      <c r="BL44" s="769" t="s">
        <v>199</v>
      </c>
      <c r="BM44" s="769" t="s">
        <v>199</v>
      </c>
      <c r="BN44" s="782"/>
      <c r="BO44" s="782"/>
      <c r="BP44" s="782"/>
      <c r="BQ44" s="782"/>
      <c r="BR44" s="782"/>
      <c r="BS44" s="782"/>
      <c r="BT44" s="782"/>
      <c r="BU44" s="782"/>
      <c r="BV44" s="782"/>
      <c r="BW44" s="782"/>
      <c r="BX44" s="782"/>
      <c r="BY44" s="782"/>
      <c r="BZ44" s="782"/>
      <c r="CA44" s="770"/>
      <c r="CB44" s="769" t="s">
        <v>199</v>
      </c>
      <c r="CC44" s="769" t="s">
        <v>199</v>
      </c>
      <c r="CD44" s="769" t="s">
        <v>199</v>
      </c>
      <c r="CE44" s="782"/>
      <c r="CF44" s="782"/>
      <c r="CG44" s="782"/>
      <c r="CH44" s="782"/>
      <c r="CI44" s="782"/>
      <c r="CJ44" s="782"/>
      <c r="CK44" s="782"/>
      <c r="CL44" s="782"/>
      <c r="CM44" s="782"/>
      <c r="CN44" s="782"/>
      <c r="CO44" s="782"/>
      <c r="CP44" s="782"/>
    </row>
    <row r="45" ht="15" customHeight="1" spans="2:94">
      <c r="B45" s="767" t="s">
        <v>1489</v>
      </c>
      <c r="C45" s="784"/>
      <c r="D45" s="784"/>
      <c r="E45" s="784"/>
      <c r="F45" s="784"/>
      <c r="G45" s="784"/>
      <c r="H45" s="784"/>
      <c r="I45" s="784"/>
      <c r="J45" s="770" t="s">
        <v>1534</v>
      </c>
      <c r="K45" s="770"/>
      <c r="L45" s="769" t="s">
        <v>1464</v>
      </c>
      <c r="M45" s="769" t="s">
        <v>199</v>
      </c>
      <c r="N45" s="769" t="s">
        <v>199</v>
      </c>
      <c r="O45" s="782"/>
      <c r="P45" s="782"/>
      <c r="Q45" s="782"/>
      <c r="R45" s="782"/>
      <c r="S45" s="782"/>
      <c r="T45" s="782"/>
      <c r="U45" s="782"/>
      <c r="V45" s="782"/>
      <c r="W45" s="783"/>
      <c r="X45" s="782"/>
      <c r="Y45" s="782"/>
      <c r="Z45" s="782"/>
      <c r="AA45" s="770"/>
      <c r="AB45" s="770"/>
      <c r="AC45" s="769" t="s">
        <v>199</v>
      </c>
      <c r="AD45" s="769" t="s">
        <v>199</v>
      </c>
      <c r="AE45" s="769" t="s">
        <v>199</v>
      </c>
      <c r="AF45" s="782"/>
      <c r="AG45" s="782"/>
      <c r="AH45" s="782"/>
      <c r="AI45" s="782"/>
      <c r="AJ45" s="782"/>
      <c r="AK45" s="782"/>
      <c r="AL45" s="782"/>
      <c r="AM45" s="782"/>
      <c r="AN45" s="782"/>
      <c r="AO45" s="782"/>
      <c r="AP45" s="782"/>
      <c r="AQ45" s="782"/>
      <c r="AR45" s="782"/>
      <c r="AS45" s="770"/>
      <c r="AT45" s="769" t="s">
        <v>199</v>
      </c>
      <c r="AU45" s="769" t="s">
        <v>199</v>
      </c>
      <c r="AV45" s="769" t="s">
        <v>199</v>
      </c>
      <c r="AW45" s="782"/>
      <c r="AX45" s="782"/>
      <c r="AY45" s="782"/>
      <c r="AZ45" s="782"/>
      <c r="BA45" s="782"/>
      <c r="BB45" s="782"/>
      <c r="BC45" s="782"/>
      <c r="BD45" s="782"/>
      <c r="BE45" s="782"/>
      <c r="BF45" s="782"/>
      <c r="BG45" s="782"/>
      <c r="BH45" s="782"/>
      <c r="BI45" s="782"/>
      <c r="BJ45" s="770"/>
      <c r="BK45" s="769" t="s">
        <v>199</v>
      </c>
      <c r="BL45" s="769" t="s">
        <v>199</v>
      </c>
      <c r="BM45" s="769" t="s">
        <v>199</v>
      </c>
      <c r="BN45" s="782"/>
      <c r="BO45" s="782"/>
      <c r="BP45" s="782"/>
      <c r="BQ45" s="782"/>
      <c r="BR45" s="782"/>
      <c r="BS45" s="782"/>
      <c r="BT45" s="782"/>
      <c r="BU45" s="782"/>
      <c r="BV45" s="782"/>
      <c r="BW45" s="782"/>
      <c r="BX45" s="782"/>
      <c r="BY45" s="782"/>
      <c r="BZ45" s="782"/>
      <c r="CA45" s="770"/>
      <c r="CB45" s="769" t="s">
        <v>199</v>
      </c>
      <c r="CC45" s="769" t="s">
        <v>199</v>
      </c>
      <c r="CD45" s="769" t="s">
        <v>199</v>
      </c>
      <c r="CE45" s="782"/>
      <c r="CF45" s="782"/>
      <c r="CG45" s="782"/>
      <c r="CH45" s="782"/>
      <c r="CI45" s="782"/>
      <c r="CJ45" s="782"/>
      <c r="CK45" s="782"/>
      <c r="CL45" s="782"/>
      <c r="CM45" s="782"/>
      <c r="CN45" s="782"/>
      <c r="CO45" s="782"/>
      <c r="CP45" s="782"/>
    </row>
    <row r="46" ht="15" customHeight="1" spans="2:94">
      <c r="B46" s="767" t="s">
        <v>1490</v>
      </c>
      <c r="C46" s="786"/>
      <c r="D46" s="786"/>
      <c r="E46" s="786"/>
      <c r="F46" s="786"/>
      <c r="G46" s="786"/>
      <c r="H46" s="784"/>
      <c r="I46" s="784"/>
      <c r="J46" s="770" t="s">
        <v>1534</v>
      </c>
      <c r="K46" s="770"/>
      <c r="L46" s="769" t="s">
        <v>1464</v>
      </c>
      <c r="M46" s="769" t="s">
        <v>199</v>
      </c>
      <c r="N46" s="769" t="s">
        <v>199</v>
      </c>
      <c r="O46" s="782"/>
      <c r="P46" s="782"/>
      <c r="Q46" s="782"/>
      <c r="R46" s="782"/>
      <c r="S46" s="782"/>
      <c r="T46" s="782"/>
      <c r="U46" s="782"/>
      <c r="V46" s="782"/>
      <c r="W46" s="783"/>
      <c r="X46" s="782"/>
      <c r="Y46" s="782"/>
      <c r="Z46" s="782"/>
      <c r="AA46" s="770"/>
      <c r="AB46" s="770"/>
      <c r="AC46" s="769" t="s">
        <v>199</v>
      </c>
      <c r="AD46" s="769" t="s">
        <v>199</v>
      </c>
      <c r="AE46" s="769" t="s">
        <v>199</v>
      </c>
      <c r="AF46" s="782"/>
      <c r="AG46" s="782"/>
      <c r="AH46" s="782"/>
      <c r="AI46" s="782"/>
      <c r="AJ46" s="782"/>
      <c r="AK46" s="782"/>
      <c r="AL46" s="782"/>
      <c r="AM46" s="782"/>
      <c r="AN46" s="782"/>
      <c r="AO46" s="782"/>
      <c r="AP46" s="782"/>
      <c r="AQ46" s="782"/>
      <c r="AR46" s="782"/>
      <c r="AS46" s="770"/>
      <c r="AT46" s="769" t="s">
        <v>199</v>
      </c>
      <c r="AU46" s="769" t="s">
        <v>199</v>
      </c>
      <c r="AV46" s="769" t="s">
        <v>199</v>
      </c>
      <c r="AW46" s="782"/>
      <c r="AX46" s="782"/>
      <c r="AY46" s="782"/>
      <c r="AZ46" s="782"/>
      <c r="BA46" s="782"/>
      <c r="BB46" s="782"/>
      <c r="BC46" s="782"/>
      <c r="BD46" s="782"/>
      <c r="BE46" s="782"/>
      <c r="BF46" s="782"/>
      <c r="BG46" s="782"/>
      <c r="BH46" s="782"/>
      <c r="BI46" s="782"/>
      <c r="BJ46" s="770"/>
      <c r="BK46" s="769" t="s">
        <v>199</v>
      </c>
      <c r="BL46" s="769" t="s">
        <v>199</v>
      </c>
      <c r="BM46" s="769" t="s">
        <v>199</v>
      </c>
      <c r="BN46" s="782"/>
      <c r="BO46" s="782"/>
      <c r="BP46" s="782"/>
      <c r="BQ46" s="782"/>
      <c r="BR46" s="782"/>
      <c r="BS46" s="782"/>
      <c r="BT46" s="782"/>
      <c r="BU46" s="782"/>
      <c r="BV46" s="782"/>
      <c r="BW46" s="782"/>
      <c r="BX46" s="782"/>
      <c r="BY46" s="782"/>
      <c r="BZ46" s="782"/>
      <c r="CA46" s="770"/>
      <c r="CB46" s="769" t="s">
        <v>199</v>
      </c>
      <c r="CC46" s="769" t="s">
        <v>199</v>
      </c>
      <c r="CD46" s="769" t="s">
        <v>199</v>
      </c>
      <c r="CE46" s="782"/>
      <c r="CF46" s="782"/>
      <c r="CG46" s="782"/>
      <c r="CH46" s="782"/>
      <c r="CI46" s="782"/>
      <c r="CJ46" s="782"/>
      <c r="CK46" s="782"/>
      <c r="CL46" s="782"/>
      <c r="CM46" s="782"/>
      <c r="CN46" s="782"/>
      <c r="CO46" s="782"/>
      <c r="CP46" s="782"/>
    </row>
    <row r="47" ht="15" customHeight="1" spans="2:94">
      <c r="B47" s="767" t="s">
        <v>1491</v>
      </c>
      <c r="C47" s="786"/>
      <c r="D47" s="786"/>
      <c r="E47" s="786"/>
      <c r="F47" s="786"/>
      <c r="G47" s="786"/>
      <c r="H47" s="784"/>
      <c r="I47" s="784"/>
      <c r="J47" s="770" t="s">
        <v>1534</v>
      </c>
      <c r="K47" s="770"/>
      <c r="L47" s="769" t="s">
        <v>1464</v>
      </c>
      <c r="M47" s="769" t="s">
        <v>199</v>
      </c>
      <c r="N47" s="769" t="s">
        <v>199</v>
      </c>
      <c r="O47" s="782"/>
      <c r="P47" s="782"/>
      <c r="Q47" s="782"/>
      <c r="R47" s="782"/>
      <c r="S47" s="782"/>
      <c r="T47" s="782"/>
      <c r="U47" s="782"/>
      <c r="V47" s="782"/>
      <c r="W47" s="783"/>
      <c r="X47" s="782"/>
      <c r="Y47" s="782"/>
      <c r="Z47" s="782"/>
      <c r="AA47" s="770"/>
      <c r="AB47" s="770"/>
      <c r="AC47" s="769" t="s">
        <v>199</v>
      </c>
      <c r="AD47" s="769" t="s">
        <v>199</v>
      </c>
      <c r="AE47" s="769" t="s">
        <v>199</v>
      </c>
      <c r="AF47" s="782"/>
      <c r="AG47" s="782"/>
      <c r="AH47" s="782"/>
      <c r="AI47" s="782"/>
      <c r="AJ47" s="782"/>
      <c r="AK47" s="782"/>
      <c r="AL47" s="782"/>
      <c r="AM47" s="782"/>
      <c r="AN47" s="782"/>
      <c r="AO47" s="782"/>
      <c r="AP47" s="782"/>
      <c r="AQ47" s="782"/>
      <c r="AR47" s="782"/>
      <c r="AS47" s="770"/>
      <c r="AT47" s="769" t="s">
        <v>199</v>
      </c>
      <c r="AU47" s="769" t="s">
        <v>199</v>
      </c>
      <c r="AV47" s="769" t="s">
        <v>199</v>
      </c>
      <c r="AW47" s="782"/>
      <c r="AX47" s="782"/>
      <c r="AY47" s="782"/>
      <c r="AZ47" s="782"/>
      <c r="BA47" s="782"/>
      <c r="BB47" s="782"/>
      <c r="BC47" s="782"/>
      <c r="BD47" s="782"/>
      <c r="BE47" s="782"/>
      <c r="BF47" s="782"/>
      <c r="BG47" s="782"/>
      <c r="BH47" s="782"/>
      <c r="BI47" s="782"/>
      <c r="BJ47" s="770"/>
      <c r="BK47" s="769" t="s">
        <v>199</v>
      </c>
      <c r="BL47" s="769" t="s">
        <v>199</v>
      </c>
      <c r="BM47" s="769" t="s">
        <v>199</v>
      </c>
      <c r="BN47" s="782"/>
      <c r="BO47" s="782"/>
      <c r="BP47" s="782"/>
      <c r="BQ47" s="782"/>
      <c r="BR47" s="782"/>
      <c r="BS47" s="782"/>
      <c r="BT47" s="782"/>
      <c r="BU47" s="782"/>
      <c r="BV47" s="782"/>
      <c r="BW47" s="782"/>
      <c r="BX47" s="782"/>
      <c r="BY47" s="782"/>
      <c r="BZ47" s="782"/>
      <c r="CA47" s="770"/>
      <c r="CB47" s="769" t="s">
        <v>199</v>
      </c>
      <c r="CC47" s="769" t="s">
        <v>199</v>
      </c>
      <c r="CD47" s="769" t="s">
        <v>199</v>
      </c>
      <c r="CE47" s="782"/>
      <c r="CF47" s="782"/>
      <c r="CG47" s="782"/>
      <c r="CH47" s="782"/>
      <c r="CI47" s="782"/>
      <c r="CJ47" s="782"/>
      <c r="CK47" s="782"/>
      <c r="CL47" s="782"/>
      <c r="CM47" s="782"/>
      <c r="CN47" s="782"/>
      <c r="CO47" s="782"/>
      <c r="CP47" s="782"/>
    </row>
    <row r="48" ht="15" customHeight="1" spans="2:94">
      <c r="B48" s="767" t="s">
        <v>1492</v>
      </c>
      <c r="C48" s="786"/>
      <c r="D48" s="786"/>
      <c r="E48" s="786"/>
      <c r="F48" s="786"/>
      <c r="G48" s="786"/>
      <c r="H48" s="784"/>
      <c r="I48" s="784"/>
      <c r="J48" s="770" t="s">
        <v>1534</v>
      </c>
      <c r="K48" s="770"/>
      <c r="L48" s="769" t="s">
        <v>1464</v>
      </c>
      <c r="M48" s="769" t="s">
        <v>199</v>
      </c>
      <c r="N48" s="769" t="s">
        <v>199</v>
      </c>
      <c r="O48" s="782"/>
      <c r="P48" s="782"/>
      <c r="Q48" s="782"/>
      <c r="R48" s="782"/>
      <c r="S48" s="782"/>
      <c r="T48" s="782"/>
      <c r="U48" s="782"/>
      <c r="V48" s="782"/>
      <c r="W48" s="783"/>
      <c r="X48" s="782"/>
      <c r="Y48" s="782"/>
      <c r="Z48" s="782"/>
      <c r="AA48" s="770"/>
      <c r="AB48" s="770"/>
      <c r="AC48" s="769" t="s">
        <v>199</v>
      </c>
      <c r="AD48" s="769" t="s">
        <v>199</v>
      </c>
      <c r="AE48" s="769" t="s">
        <v>199</v>
      </c>
      <c r="AF48" s="782"/>
      <c r="AG48" s="782"/>
      <c r="AH48" s="782"/>
      <c r="AI48" s="782"/>
      <c r="AJ48" s="782"/>
      <c r="AK48" s="782"/>
      <c r="AL48" s="782"/>
      <c r="AM48" s="782"/>
      <c r="AN48" s="782"/>
      <c r="AO48" s="782"/>
      <c r="AP48" s="782"/>
      <c r="AQ48" s="782"/>
      <c r="AR48" s="782"/>
      <c r="AS48" s="770"/>
      <c r="AT48" s="769" t="s">
        <v>199</v>
      </c>
      <c r="AU48" s="769" t="s">
        <v>199</v>
      </c>
      <c r="AV48" s="769" t="s">
        <v>199</v>
      </c>
      <c r="AW48" s="782"/>
      <c r="AX48" s="782"/>
      <c r="AY48" s="782"/>
      <c r="AZ48" s="782"/>
      <c r="BA48" s="782"/>
      <c r="BB48" s="782"/>
      <c r="BC48" s="782"/>
      <c r="BD48" s="782"/>
      <c r="BE48" s="782"/>
      <c r="BF48" s="782"/>
      <c r="BG48" s="782"/>
      <c r="BH48" s="782"/>
      <c r="BI48" s="782"/>
      <c r="BJ48" s="770"/>
      <c r="BK48" s="769" t="s">
        <v>199</v>
      </c>
      <c r="BL48" s="769" t="s">
        <v>199</v>
      </c>
      <c r="BM48" s="769" t="s">
        <v>199</v>
      </c>
      <c r="BN48" s="782"/>
      <c r="BO48" s="782"/>
      <c r="BP48" s="782"/>
      <c r="BQ48" s="782"/>
      <c r="BR48" s="782"/>
      <c r="BS48" s="782"/>
      <c r="BT48" s="782"/>
      <c r="BU48" s="782"/>
      <c r="BV48" s="782"/>
      <c r="BW48" s="782"/>
      <c r="BX48" s="782"/>
      <c r="BY48" s="782"/>
      <c r="BZ48" s="782"/>
      <c r="CA48" s="770"/>
      <c r="CB48" s="769" t="s">
        <v>199</v>
      </c>
      <c r="CC48" s="769" t="s">
        <v>199</v>
      </c>
      <c r="CD48" s="769" t="s">
        <v>199</v>
      </c>
      <c r="CE48" s="782"/>
      <c r="CF48" s="782"/>
      <c r="CG48" s="782"/>
      <c r="CH48" s="782"/>
      <c r="CI48" s="782"/>
      <c r="CJ48" s="782"/>
      <c r="CK48" s="782"/>
      <c r="CL48" s="782"/>
      <c r="CM48" s="782"/>
      <c r="CN48" s="782"/>
      <c r="CO48" s="782"/>
      <c r="CP48" s="782"/>
    </row>
    <row r="49" ht="15" customHeight="1" spans="2:94">
      <c r="B49" s="767" t="s">
        <v>1493</v>
      </c>
      <c r="C49" s="786"/>
      <c r="D49" s="786"/>
      <c r="E49" s="786"/>
      <c r="F49" s="786"/>
      <c r="G49" s="786"/>
      <c r="H49" s="784"/>
      <c r="I49" s="784"/>
      <c r="J49" s="770" t="s">
        <v>1534</v>
      </c>
      <c r="K49" s="770"/>
      <c r="L49" s="769" t="s">
        <v>1464</v>
      </c>
      <c r="M49" s="769" t="s">
        <v>199</v>
      </c>
      <c r="N49" s="769" t="s">
        <v>199</v>
      </c>
      <c r="O49" s="782"/>
      <c r="P49" s="782"/>
      <c r="Q49" s="782"/>
      <c r="R49" s="782"/>
      <c r="S49" s="782"/>
      <c r="T49" s="782"/>
      <c r="U49" s="782"/>
      <c r="V49" s="782"/>
      <c r="W49" s="783"/>
      <c r="X49" s="782"/>
      <c r="Y49" s="782"/>
      <c r="Z49" s="782"/>
      <c r="AA49" s="770"/>
      <c r="AB49" s="770"/>
      <c r="AC49" s="769" t="s">
        <v>199</v>
      </c>
      <c r="AD49" s="769" t="s">
        <v>199</v>
      </c>
      <c r="AE49" s="769" t="s">
        <v>199</v>
      </c>
      <c r="AF49" s="782"/>
      <c r="AG49" s="782"/>
      <c r="AH49" s="782"/>
      <c r="AI49" s="782"/>
      <c r="AJ49" s="782"/>
      <c r="AK49" s="782"/>
      <c r="AL49" s="782"/>
      <c r="AM49" s="782"/>
      <c r="AN49" s="782"/>
      <c r="AO49" s="782"/>
      <c r="AP49" s="782"/>
      <c r="AQ49" s="782"/>
      <c r="AR49" s="782"/>
      <c r="AS49" s="770"/>
      <c r="AT49" s="769" t="s">
        <v>199</v>
      </c>
      <c r="AU49" s="769" t="s">
        <v>199</v>
      </c>
      <c r="AV49" s="769" t="s">
        <v>199</v>
      </c>
      <c r="AW49" s="782"/>
      <c r="AX49" s="782"/>
      <c r="AY49" s="782"/>
      <c r="AZ49" s="782"/>
      <c r="BA49" s="782"/>
      <c r="BB49" s="782"/>
      <c r="BC49" s="782"/>
      <c r="BD49" s="782"/>
      <c r="BE49" s="782"/>
      <c r="BF49" s="782"/>
      <c r="BG49" s="782"/>
      <c r="BH49" s="782"/>
      <c r="BI49" s="782"/>
      <c r="BJ49" s="770"/>
      <c r="BK49" s="769" t="s">
        <v>199</v>
      </c>
      <c r="BL49" s="769" t="s">
        <v>199</v>
      </c>
      <c r="BM49" s="769" t="s">
        <v>199</v>
      </c>
      <c r="BN49" s="782"/>
      <c r="BO49" s="782"/>
      <c r="BP49" s="782"/>
      <c r="BQ49" s="782"/>
      <c r="BR49" s="782"/>
      <c r="BS49" s="782"/>
      <c r="BT49" s="782"/>
      <c r="BU49" s="782"/>
      <c r="BV49" s="782"/>
      <c r="BW49" s="782"/>
      <c r="BX49" s="782"/>
      <c r="BY49" s="782"/>
      <c r="BZ49" s="782"/>
      <c r="CA49" s="770"/>
      <c r="CB49" s="769" t="s">
        <v>199</v>
      </c>
      <c r="CC49" s="769" t="s">
        <v>199</v>
      </c>
      <c r="CD49" s="769" t="s">
        <v>199</v>
      </c>
      <c r="CE49" s="782"/>
      <c r="CF49" s="782"/>
      <c r="CG49" s="782"/>
      <c r="CH49" s="782"/>
      <c r="CI49" s="782"/>
      <c r="CJ49" s="782"/>
      <c r="CK49" s="782"/>
      <c r="CL49" s="782"/>
      <c r="CM49" s="782"/>
      <c r="CN49" s="782"/>
      <c r="CO49" s="782"/>
      <c r="CP49" s="782"/>
    </row>
    <row r="50" ht="15" customHeight="1" spans="2:94">
      <c r="B50" s="767" t="s">
        <v>1494</v>
      </c>
      <c r="C50" s="784"/>
      <c r="D50" s="784"/>
      <c r="E50" s="784"/>
      <c r="F50" s="784"/>
      <c r="G50" s="784"/>
      <c r="H50" s="784"/>
      <c r="I50" s="784"/>
      <c r="J50" s="770" t="s">
        <v>1534</v>
      </c>
      <c r="K50" s="770"/>
      <c r="L50" s="769" t="s">
        <v>1464</v>
      </c>
      <c r="M50" s="769" t="s">
        <v>199</v>
      </c>
      <c r="N50" s="769" t="s">
        <v>199</v>
      </c>
      <c r="O50" s="782"/>
      <c r="P50" s="782"/>
      <c r="Q50" s="782"/>
      <c r="R50" s="782"/>
      <c r="S50" s="782"/>
      <c r="T50" s="782"/>
      <c r="U50" s="782"/>
      <c r="V50" s="782"/>
      <c r="W50" s="783"/>
      <c r="X50" s="782"/>
      <c r="Y50" s="782"/>
      <c r="Z50" s="782"/>
      <c r="AA50" s="770"/>
      <c r="AB50" s="770"/>
      <c r="AC50" s="769" t="s">
        <v>199</v>
      </c>
      <c r="AD50" s="769" t="s">
        <v>199</v>
      </c>
      <c r="AE50" s="769" t="s">
        <v>199</v>
      </c>
      <c r="AF50" s="782"/>
      <c r="AG50" s="782"/>
      <c r="AH50" s="782"/>
      <c r="AI50" s="782"/>
      <c r="AJ50" s="782"/>
      <c r="AK50" s="782"/>
      <c r="AL50" s="782"/>
      <c r="AM50" s="782"/>
      <c r="AN50" s="782"/>
      <c r="AO50" s="782"/>
      <c r="AP50" s="782"/>
      <c r="AQ50" s="782"/>
      <c r="AR50" s="782"/>
      <c r="AS50" s="770"/>
      <c r="AT50" s="769" t="s">
        <v>199</v>
      </c>
      <c r="AU50" s="769" t="s">
        <v>199</v>
      </c>
      <c r="AV50" s="769" t="s">
        <v>199</v>
      </c>
      <c r="AW50" s="782"/>
      <c r="AX50" s="782"/>
      <c r="AY50" s="782"/>
      <c r="AZ50" s="782"/>
      <c r="BA50" s="782"/>
      <c r="BB50" s="782"/>
      <c r="BC50" s="782"/>
      <c r="BD50" s="782"/>
      <c r="BE50" s="782"/>
      <c r="BF50" s="782"/>
      <c r="BG50" s="782"/>
      <c r="BH50" s="782"/>
      <c r="BI50" s="782"/>
      <c r="BJ50" s="770"/>
      <c r="BK50" s="769" t="s">
        <v>199</v>
      </c>
      <c r="BL50" s="769" t="s">
        <v>199</v>
      </c>
      <c r="BM50" s="769" t="s">
        <v>199</v>
      </c>
      <c r="BN50" s="782"/>
      <c r="BO50" s="782"/>
      <c r="BP50" s="782"/>
      <c r="BQ50" s="782"/>
      <c r="BR50" s="782"/>
      <c r="BS50" s="782"/>
      <c r="BT50" s="782"/>
      <c r="BU50" s="782"/>
      <c r="BV50" s="782"/>
      <c r="BW50" s="782"/>
      <c r="BX50" s="782"/>
      <c r="BY50" s="782"/>
      <c r="BZ50" s="782"/>
      <c r="CA50" s="770"/>
      <c r="CB50" s="769" t="s">
        <v>199</v>
      </c>
      <c r="CC50" s="769" t="s">
        <v>199</v>
      </c>
      <c r="CD50" s="769" t="s">
        <v>199</v>
      </c>
      <c r="CE50" s="782"/>
      <c r="CF50" s="782"/>
      <c r="CG50" s="782"/>
      <c r="CH50" s="782"/>
      <c r="CI50" s="782"/>
      <c r="CJ50" s="782"/>
      <c r="CK50" s="782"/>
      <c r="CL50" s="782"/>
      <c r="CM50" s="782"/>
      <c r="CN50" s="782"/>
      <c r="CO50" s="782"/>
      <c r="CP50" s="782"/>
    </row>
    <row r="51" ht="15" customHeight="1" spans="2:94">
      <c r="B51" s="767" t="s">
        <v>1495</v>
      </c>
      <c r="C51" s="784"/>
      <c r="D51" s="784"/>
      <c r="E51" s="784"/>
      <c r="F51" s="784"/>
      <c r="G51" s="784"/>
      <c r="H51" s="784"/>
      <c r="I51" s="784"/>
      <c r="J51" s="770" t="s">
        <v>1534</v>
      </c>
      <c r="K51" s="770"/>
      <c r="L51" s="769" t="s">
        <v>1464</v>
      </c>
      <c r="M51" s="769" t="s">
        <v>199</v>
      </c>
      <c r="N51" s="769" t="s">
        <v>199</v>
      </c>
      <c r="O51" s="782"/>
      <c r="P51" s="782"/>
      <c r="Q51" s="782"/>
      <c r="R51" s="782"/>
      <c r="S51" s="782"/>
      <c r="T51" s="782"/>
      <c r="U51" s="782"/>
      <c r="V51" s="782"/>
      <c r="W51" s="783"/>
      <c r="X51" s="782"/>
      <c r="Y51" s="782"/>
      <c r="Z51" s="782"/>
      <c r="AA51" s="770"/>
      <c r="AB51" s="770"/>
      <c r="AC51" s="769" t="s">
        <v>199</v>
      </c>
      <c r="AD51" s="769" t="s">
        <v>199</v>
      </c>
      <c r="AE51" s="769" t="s">
        <v>199</v>
      </c>
      <c r="AF51" s="782"/>
      <c r="AG51" s="782"/>
      <c r="AH51" s="782"/>
      <c r="AI51" s="782"/>
      <c r="AJ51" s="782"/>
      <c r="AK51" s="782"/>
      <c r="AL51" s="782"/>
      <c r="AM51" s="782"/>
      <c r="AN51" s="782"/>
      <c r="AO51" s="782"/>
      <c r="AP51" s="782"/>
      <c r="AQ51" s="782"/>
      <c r="AR51" s="782"/>
      <c r="AS51" s="770"/>
      <c r="AT51" s="769" t="s">
        <v>199</v>
      </c>
      <c r="AU51" s="769" t="s">
        <v>199</v>
      </c>
      <c r="AV51" s="769" t="s">
        <v>199</v>
      </c>
      <c r="AW51" s="782"/>
      <c r="AX51" s="782"/>
      <c r="AY51" s="782"/>
      <c r="AZ51" s="782"/>
      <c r="BA51" s="782"/>
      <c r="BB51" s="782"/>
      <c r="BC51" s="782"/>
      <c r="BD51" s="782"/>
      <c r="BE51" s="782"/>
      <c r="BF51" s="782"/>
      <c r="BG51" s="782"/>
      <c r="BH51" s="782"/>
      <c r="BI51" s="782"/>
      <c r="BJ51" s="770"/>
      <c r="BK51" s="769" t="s">
        <v>199</v>
      </c>
      <c r="BL51" s="769" t="s">
        <v>199</v>
      </c>
      <c r="BM51" s="769" t="s">
        <v>199</v>
      </c>
      <c r="BN51" s="782"/>
      <c r="BO51" s="782"/>
      <c r="BP51" s="782"/>
      <c r="BQ51" s="782"/>
      <c r="BR51" s="782"/>
      <c r="BS51" s="782"/>
      <c r="BT51" s="782"/>
      <c r="BU51" s="782"/>
      <c r="BV51" s="782"/>
      <c r="BW51" s="782"/>
      <c r="BX51" s="782"/>
      <c r="BY51" s="782"/>
      <c r="BZ51" s="782"/>
      <c r="CA51" s="770"/>
      <c r="CB51" s="769" t="s">
        <v>199</v>
      </c>
      <c r="CC51" s="769" t="s">
        <v>199</v>
      </c>
      <c r="CD51" s="769" t="s">
        <v>199</v>
      </c>
      <c r="CE51" s="782"/>
      <c r="CF51" s="782"/>
      <c r="CG51" s="782"/>
      <c r="CH51" s="782"/>
      <c r="CI51" s="782"/>
      <c r="CJ51" s="782"/>
      <c r="CK51" s="782"/>
      <c r="CL51" s="782"/>
      <c r="CM51" s="782"/>
      <c r="CN51" s="782"/>
      <c r="CO51" s="782"/>
      <c r="CP51" s="782"/>
    </row>
    <row r="52" ht="15" customHeight="1" spans="2:94">
      <c r="B52" s="767" t="s">
        <v>1496</v>
      </c>
      <c r="C52" s="784"/>
      <c r="D52" s="784"/>
      <c r="E52" s="784"/>
      <c r="F52" s="784"/>
      <c r="G52" s="784"/>
      <c r="H52" s="784"/>
      <c r="I52" s="784"/>
      <c r="J52" s="770" t="s">
        <v>1534</v>
      </c>
      <c r="K52" s="770"/>
      <c r="L52" s="769" t="s">
        <v>1464</v>
      </c>
      <c r="M52" s="769" t="s">
        <v>199</v>
      </c>
      <c r="N52" s="769" t="s">
        <v>199</v>
      </c>
      <c r="O52" s="782"/>
      <c r="P52" s="782"/>
      <c r="Q52" s="782"/>
      <c r="R52" s="782"/>
      <c r="S52" s="782"/>
      <c r="T52" s="782"/>
      <c r="U52" s="782"/>
      <c r="V52" s="782"/>
      <c r="W52" s="783"/>
      <c r="X52" s="782"/>
      <c r="Y52" s="782"/>
      <c r="Z52" s="782"/>
      <c r="AA52" s="770"/>
      <c r="AB52" s="770"/>
      <c r="AC52" s="769" t="s">
        <v>199</v>
      </c>
      <c r="AD52" s="769" t="s">
        <v>199</v>
      </c>
      <c r="AE52" s="769" t="s">
        <v>199</v>
      </c>
      <c r="AF52" s="782"/>
      <c r="AG52" s="782"/>
      <c r="AH52" s="782"/>
      <c r="AI52" s="782"/>
      <c r="AJ52" s="782"/>
      <c r="AK52" s="782"/>
      <c r="AL52" s="782"/>
      <c r="AM52" s="782"/>
      <c r="AN52" s="782"/>
      <c r="AO52" s="782"/>
      <c r="AP52" s="782"/>
      <c r="AQ52" s="782"/>
      <c r="AR52" s="782"/>
      <c r="AS52" s="770"/>
      <c r="AT52" s="769" t="s">
        <v>199</v>
      </c>
      <c r="AU52" s="769" t="s">
        <v>199</v>
      </c>
      <c r="AV52" s="769" t="s">
        <v>199</v>
      </c>
      <c r="AW52" s="782"/>
      <c r="AX52" s="782"/>
      <c r="AY52" s="782"/>
      <c r="AZ52" s="782"/>
      <c r="BA52" s="782"/>
      <c r="BB52" s="782"/>
      <c r="BC52" s="782"/>
      <c r="BD52" s="782"/>
      <c r="BE52" s="782"/>
      <c r="BF52" s="782"/>
      <c r="BG52" s="782"/>
      <c r="BH52" s="782"/>
      <c r="BI52" s="782"/>
      <c r="BJ52" s="770"/>
      <c r="BK52" s="769" t="s">
        <v>199</v>
      </c>
      <c r="BL52" s="769" t="s">
        <v>199</v>
      </c>
      <c r="BM52" s="769" t="s">
        <v>199</v>
      </c>
      <c r="BN52" s="782"/>
      <c r="BO52" s="782"/>
      <c r="BP52" s="782"/>
      <c r="BQ52" s="782"/>
      <c r="BR52" s="782"/>
      <c r="BS52" s="782"/>
      <c r="BT52" s="782"/>
      <c r="BU52" s="782"/>
      <c r="BV52" s="782"/>
      <c r="BW52" s="782"/>
      <c r="BX52" s="782"/>
      <c r="BY52" s="782"/>
      <c r="BZ52" s="782"/>
      <c r="CA52" s="770"/>
      <c r="CB52" s="769" t="s">
        <v>199</v>
      </c>
      <c r="CC52" s="769" t="s">
        <v>199</v>
      </c>
      <c r="CD52" s="769" t="s">
        <v>199</v>
      </c>
      <c r="CE52" s="782"/>
      <c r="CF52" s="782"/>
      <c r="CG52" s="782"/>
      <c r="CH52" s="782"/>
      <c r="CI52" s="782"/>
      <c r="CJ52" s="782"/>
      <c r="CK52" s="782"/>
      <c r="CL52" s="782"/>
      <c r="CM52" s="782"/>
      <c r="CN52" s="782"/>
      <c r="CO52" s="782"/>
      <c r="CP52" s="782"/>
    </row>
    <row r="53" ht="15" customHeight="1" spans="2:94">
      <c r="B53" s="767" t="s">
        <v>1497</v>
      </c>
      <c r="C53" s="784"/>
      <c r="D53" s="784"/>
      <c r="E53" s="784"/>
      <c r="F53" s="784"/>
      <c r="G53" s="784"/>
      <c r="H53" s="784"/>
      <c r="I53" s="784"/>
      <c r="J53" s="770" t="s">
        <v>1534</v>
      </c>
      <c r="K53" s="770"/>
      <c r="L53" s="769" t="s">
        <v>1464</v>
      </c>
      <c r="M53" s="769" t="s">
        <v>199</v>
      </c>
      <c r="N53" s="769" t="s">
        <v>199</v>
      </c>
      <c r="O53" s="782"/>
      <c r="P53" s="782"/>
      <c r="Q53" s="782"/>
      <c r="R53" s="782"/>
      <c r="S53" s="782"/>
      <c r="T53" s="782"/>
      <c r="U53" s="782"/>
      <c r="V53" s="782"/>
      <c r="W53" s="783"/>
      <c r="X53" s="782"/>
      <c r="Y53" s="782"/>
      <c r="Z53" s="782"/>
      <c r="AA53" s="770"/>
      <c r="AB53" s="770"/>
      <c r="AC53" s="769" t="s">
        <v>199</v>
      </c>
      <c r="AD53" s="769" t="s">
        <v>199</v>
      </c>
      <c r="AE53" s="769" t="s">
        <v>199</v>
      </c>
      <c r="AF53" s="782"/>
      <c r="AG53" s="782"/>
      <c r="AH53" s="782"/>
      <c r="AI53" s="782"/>
      <c r="AJ53" s="782"/>
      <c r="AK53" s="782"/>
      <c r="AL53" s="782"/>
      <c r="AM53" s="782"/>
      <c r="AN53" s="782"/>
      <c r="AO53" s="782"/>
      <c r="AP53" s="782"/>
      <c r="AQ53" s="782"/>
      <c r="AR53" s="782"/>
      <c r="AS53" s="770"/>
      <c r="AT53" s="769" t="s">
        <v>199</v>
      </c>
      <c r="AU53" s="769" t="s">
        <v>199</v>
      </c>
      <c r="AV53" s="769" t="s">
        <v>199</v>
      </c>
      <c r="AW53" s="782"/>
      <c r="AX53" s="782"/>
      <c r="AY53" s="782"/>
      <c r="AZ53" s="782"/>
      <c r="BA53" s="782"/>
      <c r="BB53" s="782"/>
      <c r="BC53" s="782"/>
      <c r="BD53" s="782"/>
      <c r="BE53" s="782"/>
      <c r="BF53" s="782"/>
      <c r="BG53" s="782"/>
      <c r="BH53" s="782"/>
      <c r="BI53" s="782"/>
      <c r="BJ53" s="770"/>
      <c r="BK53" s="769" t="s">
        <v>199</v>
      </c>
      <c r="BL53" s="769" t="s">
        <v>199</v>
      </c>
      <c r="BM53" s="769" t="s">
        <v>199</v>
      </c>
      <c r="BN53" s="782"/>
      <c r="BO53" s="782"/>
      <c r="BP53" s="782"/>
      <c r="BQ53" s="782"/>
      <c r="BR53" s="782"/>
      <c r="BS53" s="782"/>
      <c r="BT53" s="782"/>
      <c r="BU53" s="782"/>
      <c r="BV53" s="782"/>
      <c r="BW53" s="782"/>
      <c r="BX53" s="782"/>
      <c r="BY53" s="782"/>
      <c r="BZ53" s="782"/>
      <c r="CA53" s="770"/>
      <c r="CB53" s="769" t="s">
        <v>199</v>
      </c>
      <c r="CC53" s="769" t="s">
        <v>199</v>
      </c>
      <c r="CD53" s="769" t="s">
        <v>199</v>
      </c>
      <c r="CE53" s="782"/>
      <c r="CF53" s="782"/>
      <c r="CG53" s="782"/>
      <c r="CH53" s="782"/>
      <c r="CI53" s="782"/>
      <c r="CJ53" s="782"/>
      <c r="CK53" s="782"/>
      <c r="CL53" s="782"/>
      <c r="CM53" s="782"/>
      <c r="CN53" s="782"/>
      <c r="CO53" s="782"/>
      <c r="CP53" s="782"/>
    </row>
    <row r="54" ht="15" customHeight="1" spans="2:94">
      <c r="B54" s="767" t="s">
        <v>1498</v>
      </c>
      <c r="C54" s="784"/>
      <c r="D54" s="784"/>
      <c r="E54" s="784"/>
      <c r="F54" s="784"/>
      <c r="G54" s="784"/>
      <c r="H54" s="784"/>
      <c r="I54" s="784"/>
      <c r="J54" s="770" t="s">
        <v>1534</v>
      </c>
      <c r="K54" s="770"/>
      <c r="L54" s="769" t="s">
        <v>1464</v>
      </c>
      <c r="M54" s="769" t="s">
        <v>199</v>
      </c>
      <c r="N54" s="769" t="s">
        <v>199</v>
      </c>
      <c r="O54" s="782"/>
      <c r="P54" s="782"/>
      <c r="Q54" s="782"/>
      <c r="R54" s="782"/>
      <c r="S54" s="782"/>
      <c r="T54" s="782"/>
      <c r="U54" s="782"/>
      <c r="V54" s="782"/>
      <c r="W54" s="787"/>
      <c r="X54" s="782"/>
      <c r="Y54" s="782"/>
      <c r="Z54" s="782"/>
      <c r="AA54" s="770"/>
      <c r="AB54" s="770"/>
      <c r="AC54" s="769" t="s">
        <v>199</v>
      </c>
      <c r="AD54" s="769" t="s">
        <v>199</v>
      </c>
      <c r="AE54" s="769" t="s">
        <v>199</v>
      </c>
      <c r="AF54" s="782"/>
      <c r="AG54" s="782"/>
      <c r="AH54" s="782"/>
      <c r="AI54" s="782"/>
      <c r="AJ54" s="782"/>
      <c r="AK54" s="782"/>
      <c r="AL54" s="782"/>
      <c r="AM54" s="782"/>
      <c r="AN54" s="788"/>
      <c r="AO54" s="782"/>
      <c r="AP54" s="782"/>
      <c r="AQ54" s="782"/>
      <c r="AR54" s="782"/>
      <c r="AS54" s="770"/>
      <c r="AT54" s="769" t="s">
        <v>199</v>
      </c>
      <c r="AU54" s="769" t="s">
        <v>199</v>
      </c>
      <c r="AV54" s="769" t="s">
        <v>199</v>
      </c>
      <c r="AW54" s="782"/>
      <c r="AX54" s="782"/>
      <c r="AY54" s="782"/>
      <c r="AZ54" s="782"/>
      <c r="BA54" s="782"/>
      <c r="BB54" s="782"/>
      <c r="BC54" s="782"/>
      <c r="BD54" s="782"/>
      <c r="BE54" s="788"/>
      <c r="BF54" s="782"/>
      <c r="BG54" s="782"/>
      <c r="BH54" s="782"/>
      <c r="BI54" s="782"/>
      <c r="BJ54" s="770"/>
      <c r="BK54" s="769" t="s">
        <v>199</v>
      </c>
      <c r="BL54" s="769" t="s">
        <v>199</v>
      </c>
      <c r="BM54" s="769" t="s">
        <v>199</v>
      </c>
      <c r="BN54" s="782"/>
      <c r="BO54" s="782"/>
      <c r="BP54" s="782"/>
      <c r="BQ54" s="782"/>
      <c r="BR54" s="782"/>
      <c r="BS54" s="782"/>
      <c r="BT54" s="782"/>
      <c r="BU54" s="782"/>
      <c r="BV54" s="788"/>
      <c r="BW54" s="782"/>
      <c r="BX54" s="782"/>
      <c r="BY54" s="782"/>
      <c r="BZ54" s="782"/>
      <c r="CA54" s="770"/>
      <c r="CB54" s="769" t="s">
        <v>199</v>
      </c>
      <c r="CC54" s="769" t="s">
        <v>199</v>
      </c>
      <c r="CD54" s="769" t="s">
        <v>199</v>
      </c>
      <c r="CE54" s="782"/>
      <c r="CF54" s="782"/>
      <c r="CG54" s="782"/>
      <c r="CH54" s="782"/>
      <c r="CI54" s="782"/>
      <c r="CJ54" s="782"/>
      <c r="CK54" s="782"/>
      <c r="CL54" s="782"/>
      <c r="CM54" s="788"/>
      <c r="CN54" s="782"/>
      <c r="CO54" s="782"/>
      <c r="CP54" s="782"/>
    </row>
    <row r="55" ht="15" customHeight="1" spans="2:94">
      <c r="B55" s="767" t="s">
        <v>1499</v>
      </c>
      <c r="C55" s="784"/>
      <c r="D55" s="784"/>
      <c r="E55" s="784"/>
      <c r="F55" s="784"/>
      <c r="G55" s="784"/>
      <c r="H55" s="784"/>
      <c r="I55" s="784"/>
      <c r="J55" s="770" t="s">
        <v>1534</v>
      </c>
      <c r="K55" s="770"/>
      <c r="L55" s="769" t="s">
        <v>1464</v>
      </c>
      <c r="M55" s="769" t="s">
        <v>199</v>
      </c>
      <c r="N55" s="769" t="s">
        <v>199</v>
      </c>
      <c r="O55" s="782"/>
      <c r="P55" s="782"/>
      <c r="Q55" s="782"/>
      <c r="R55" s="782"/>
      <c r="S55" s="782"/>
      <c r="T55" s="782"/>
      <c r="U55" s="782"/>
      <c r="V55" s="782"/>
      <c r="W55" s="783"/>
      <c r="X55" s="782"/>
      <c r="Y55" s="782"/>
      <c r="Z55" s="782"/>
      <c r="AA55" s="770"/>
      <c r="AB55" s="770"/>
      <c r="AC55" s="769" t="s">
        <v>199</v>
      </c>
      <c r="AD55" s="769" t="s">
        <v>199</v>
      </c>
      <c r="AE55" s="769" t="s">
        <v>199</v>
      </c>
      <c r="AF55" s="782"/>
      <c r="AG55" s="782"/>
      <c r="AH55" s="782"/>
      <c r="AI55" s="782"/>
      <c r="AJ55" s="782"/>
      <c r="AK55" s="782"/>
      <c r="AL55" s="782"/>
      <c r="AM55" s="782"/>
      <c r="AN55" s="782"/>
      <c r="AO55" s="782"/>
      <c r="AP55" s="782"/>
      <c r="AQ55" s="782"/>
      <c r="AR55" s="782"/>
      <c r="AS55" s="770"/>
      <c r="AT55" s="769" t="s">
        <v>199</v>
      </c>
      <c r="AU55" s="769" t="s">
        <v>199</v>
      </c>
      <c r="AV55" s="769" t="s">
        <v>199</v>
      </c>
      <c r="AW55" s="782"/>
      <c r="AX55" s="782"/>
      <c r="AY55" s="782"/>
      <c r="AZ55" s="782"/>
      <c r="BA55" s="782"/>
      <c r="BB55" s="782"/>
      <c r="BC55" s="782"/>
      <c r="BD55" s="782"/>
      <c r="BE55" s="782"/>
      <c r="BF55" s="782"/>
      <c r="BG55" s="782"/>
      <c r="BH55" s="782"/>
      <c r="BI55" s="782"/>
      <c r="BJ55" s="770"/>
      <c r="BK55" s="769" t="s">
        <v>199</v>
      </c>
      <c r="BL55" s="769" t="s">
        <v>199</v>
      </c>
      <c r="BM55" s="769" t="s">
        <v>199</v>
      </c>
      <c r="BN55" s="782"/>
      <c r="BO55" s="782"/>
      <c r="BP55" s="782"/>
      <c r="BQ55" s="782"/>
      <c r="BR55" s="782"/>
      <c r="BS55" s="782"/>
      <c r="BT55" s="782"/>
      <c r="BU55" s="782"/>
      <c r="BV55" s="782"/>
      <c r="BW55" s="782"/>
      <c r="BX55" s="782"/>
      <c r="BY55" s="782"/>
      <c r="BZ55" s="782"/>
      <c r="CA55" s="770"/>
      <c r="CB55" s="769" t="s">
        <v>199</v>
      </c>
      <c r="CC55" s="769" t="s">
        <v>199</v>
      </c>
      <c r="CD55" s="769" t="s">
        <v>199</v>
      </c>
      <c r="CE55" s="782"/>
      <c r="CF55" s="782"/>
      <c r="CG55" s="782"/>
      <c r="CH55" s="782"/>
      <c r="CI55" s="782"/>
      <c r="CJ55" s="782"/>
      <c r="CK55" s="782"/>
      <c r="CL55" s="782"/>
      <c r="CM55" s="782"/>
      <c r="CN55" s="782"/>
      <c r="CO55" s="782"/>
      <c r="CP55" s="782"/>
    </row>
    <row r="56" ht="15" customHeight="1" spans="2:94">
      <c r="B56" s="767" t="s">
        <v>1500</v>
      </c>
      <c r="C56" s="784"/>
      <c r="D56" s="784"/>
      <c r="E56" s="784"/>
      <c r="F56" s="784"/>
      <c r="G56" s="784"/>
      <c r="H56" s="784"/>
      <c r="I56" s="784"/>
      <c r="J56" s="770" t="s">
        <v>1534</v>
      </c>
      <c r="K56" s="770"/>
      <c r="L56" s="769" t="s">
        <v>1464</v>
      </c>
      <c r="M56" s="769" t="s">
        <v>199</v>
      </c>
      <c r="N56" s="769" t="s">
        <v>199</v>
      </c>
      <c r="O56" s="782"/>
      <c r="P56" s="782"/>
      <c r="Q56" s="782"/>
      <c r="R56" s="782"/>
      <c r="S56" s="782"/>
      <c r="T56" s="782"/>
      <c r="U56" s="782"/>
      <c r="V56" s="782"/>
      <c r="W56" s="783"/>
      <c r="X56" s="782"/>
      <c r="Y56" s="782"/>
      <c r="Z56" s="782"/>
      <c r="AA56" s="770"/>
      <c r="AB56" s="770"/>
      <c r="AC56" s="769" t="s">
        <v>199</v>
      </c>
      <c r="AD56" s="769" t="s">
        <v>199</v>
      </c>
      <c r="AE56" s="769" t="s">
        <v>199</v>
      </c>
      <c r="AF56" s="782"/>
      <c r="AG56" s="782"/>
      <c r="AH56" s="782"/>
      <c r="AI56" s="782"/>
      <c r="AJ56" s="782"/>
      <c r="AK56" s="782"/>
      <c r="AL56" s="782"/>
      <c r="AM56" s="782"/>
      <c r="AN56" s="782"/>
      <c r="AO56" s="782"/>
      <c r="AP56" s="782"/>
      <c r="AQ56" s="782"/>
      <c r="AR56" s="782"/>
      <c r="AS56" s="770"/>
      <c r="AT56" s="769" t="s">
        <v>199</v>
      </c>
      <c r="AU56" s="769" t="s">
        <v>199</v>
      </c>
      <c r="AV56" s="769" t="s">
        <v>199</v>
      </c>
      <c r="AW56" s="782"/>
      <c r="AX56" s="782"/>
      <c r="AY56" s="782"/>
      <c r="AZ56" s="782"/>
      <c r="BA56" s="782"/>
      <c r="BB56" s="782"/>
      <c r="BC56" s="782"/>
      <c r="BD56" s="782"/>
      <c r="BE56" s="782"/>
      <c r="BF56" s="782"/>
      <c r="BG56" s="782"/>
      <c r="BH56" s="782"/>
      <c r="BI56" s="782"/>
      <c r="BJ56" s="770"/>
      <c r="BK56" s="769" t="s">
        <v>199</v>
      </c>
      <c r="BL56" s="769" t="s">
        <v>199</v>
      </c>
      <c r="BM56" s="769" t="s">
        <v>199</v>
      </c>
      <c r="BN56" s="782"/>
      <c r="BO56" s="782"/>
      <c r="BP56" s="782"/>
      <c r="BQ56" s="782"/>
      <c r="BR56" s="782"/>
      <c r="BS56" s="782"/>
      <c r="BT56" s="782"/>
      <c r="BU56" s="782"/>
      <c r="BV56" s="782"/>
      <c r="BW56" s="782"/>
      <c r="BX56" s="782"/>
      <c r="BY56" s="782"/>
      <c r="BZ56" s="782"/>
      <c r="CA56" s="770"/>
      <c r="CB56" s="769" t="s">
        <v>199</v>
      </c>
      <c r="CC56" s="769" t="s">
        <v>199</v>
      </c>
      <c r="CD56" s="769" t="s">
        <v>199</v>
      </c>
      <c r="CE56" s="782"/>
      <c r="CF56" s="782"/>
      <c r="CG56" s="782"/>
      <c r="CH56" s="782"/>
      <c r="CI56" s="782"/>
      <c r="CJ56" s="782"/>
      <c r="CK56" s="782"/>
      <c r="CL56" s="782"/>
      <c r="CM56" s="782"/>
      <c r="CN56" s="782"/>
      <c r="CO56" s="782"/>
      <c r="CP56" s="782"/>
    </row>
    <row r="57" ht="15" customHeight="1" spans="2:94">
      <c r="B57" s="767" t="s">
        <v>1501</v>
      </c>
      <c r="C57" s="784"/>
      <c r="D57" s="784"/>
      <c r="E57" s="784"/>
      <c r="F57" s="784"/>
      <c r="G57" s="784"/>
      <c r="H57" s="784"/>
      <c r="I57" s="784"/>
      <c r="J57" s="770" t="s">
        <v>1534</v>
      </c>
      <c r="K57" s="770"/>
      <c r="L57" s="769" t="s">
        <v>1464</v>
      </c>
      <c r="M57" s="769" t="s">
        <v>199</v>
      </c>
      <c r="N57" s="769" t="s">
        <v>199</v>
      </c>
      <c r="O57" s="782"/>
      <c r="P57" s="782"/>
      <c r="Q57" s="782"/>
      <c r="R57" s="782"/>
      <c r="S57" s="782"/>
      <c r="T57" s="782"/>
      <c r="U57" s="782"/>
      <c r="V57" s="782"/>
      <c r="W57" s="783"/>
      <c r="X57" s="782"/>
      <c r="Y57" s="782"/>
      <c r="Z57" s="782"/>
      <c r="AA57" s="770"/>
      <c r="AB57" s="770"/>
      <c r="AC57" s="769" t="s">
        <v>199</v>
      </c>
      <c r="AD57" s="769" t="s">
        <v>199</v>
      </c>
      <c r="AE57" s="769" t="s">
        <v>199</v>
      </c>
      <c r="AF57" s="782"/>
      <c r="AG57" s="782"/>
      <c r="AH57" s="782"/>
      <c r="AI57" s="782"/>
      <c r="AJ57" s="782"/>
      <c r="AK57" s="782"/>
      <c r="AL57" s="782"/>
      <c r="AM57" s="782"/>
      <c r="AN57" s="782"/>
      <c r="AO57" s="782"/>
      <c r="AP57" s="782"/>
      <c r="AQ57" s="782"/>
      <c r="AR57" s="782"/>
      <c r="AS57" s="770"/>
      <c r="AT57" s="769" t="s">
        <v>199</v>
      </c>
      <c r="AU57" s="769" t="s">
        <v>199</v>
      </c>
      <c r="AV57" s="769" t="s">
        <v>199</v>
      </c>
      <c r="AW57" s="782"/>
      <c r="AX57" s="782"/>
      <c r="AY57" s="782"/>
      <c r="AZ57" s="782"/>
      <c r="BA57" s="782"/>
      <c r="BB57" s="782"/>
      <c r="BC57" s="782"/>
      <c r="BD57" s="782"/>
      <c r="BE57" s="782"/>
      <c r="BF57" s="782"/>
      <c r="BG57" s="782"/>
      <c r="BH57" s="782"/>
      <c r="BI57" s="782"/>
      <c r="BJ57" s="770"/>
      <c r="BK57" s="769" t="s">
        <v>199</v>
      </c>
      <c r="BL57" s="769" t="s">
        <v>199</v>
      </c>
      <c r="BM57" s="769" t="s">
        <v>199</v>
      </c>
      <c r="BN57" s="782"/>
      <c r="BO57" s="782"/>
      <c r="BP57" s="782"/>
      <c r="BQ57" s="782"/>
      <c r="BR57" s="782"/>
      <c r="BS57" s="782"/>
      <c r="BT57" s="782"/>
      <c r="BU57" s="782"/>
      <c r="BV57" s="782"/>
      <c r="BW57" s="782"/>
      <c r="BX57" s="782"/>
      <c r="BY57" s="782"/>
      <c r="BZ57" s="782"/>
      <c r="CA57" s="770"/>
      <c r="CB57" s="769" t="s">
        <v>199</v>
      </c>
      <c r="CC57" s="769" t="s">
        <v>199</v>
      </c>
      <c r="CD57" s="769" t="s">
        <v>199</v>
      </c>
      <c r="CE57" s="782"/>
      <c r="CF57" s="782"/>
      <c r="CG57" s="782"/>
      <c r="CH57" s="782"/>
      <c r="CI57" s="782"/>
      <c r="CJ57" s="782"/>
      <c r="CK57" s="782"/>
      <c r="CL57" s="782"/>
      <c r="CM57" s="782"/>
      <c r="CN57" s="782"/>
      <c r="CO57" s="782"/>
      <c r="CP57" s="782"/>
    </row>
    <row r="58" ht="15" customHeight="1" spans="2:94">
      <c r="B58" s="767" t="s">
        <v>1502</v>
      </c>
      <c r="C58" s="784"/>
      <c r="D58" s="784"/>
      <c r="E58" s="784"/>
      <c r="F58" s="784"/>
      <c r="G58" s="784"/>
      <c r="H58" s="784"/>
      <c r="I58" s="784"/>
      <c r="J58" s="770" t="s">
        <v>1534</v>
      </c>
      <c r="K58" s="770"/>
      <c r="L58" s="769" t="s">
        <v>1464</v>
      </c>
      <c r="M58" s="769" t="s">
        <v>199</v>
      </c>
      <c r="N58" s="769" t="s">
        <v>199</v>
      </c>
      <c r="O58" s="782"/>
      <c r="P58" s="782"/>
      <c r="Q58" s="782"/>
      <c r="R58" s="782"/>
      <c r="S58" s="782"/>
      <c r="T58" s="782"/>
      <c r="U58" s="782"/>
      <c r="V58" s="782"/>
      <c r="W58" s="783"/>
      <c r="X58" s="782"/>
      <c r="Y58" s="782"/>
      <c r="Z58" s="782"/>
      <c r="AA58" s="770"/>
      <c r="AB58" s="770"/>
      <c r="AC58" s="769" t="s">
        <v>199</v>
      </c>
      <c r="AD58" s="769" t="s">
        <v>199</v>
      </c>
      <c r="AE58" s="769" t="s">
        <v>199</v>
      </c>
      <c r="AF58" s="782"/>
      <c r="AG58" s="782"/>
      <c r="AH58" s="782"/>
      <c r="AI58" s="782"/>
      <c r="AJ58" s="782"/>
      <c r="AK58" s="782"/>
      <c r="AL58" s="782"/>
      <c r="AM58" s="782"/>
      <c r="AN58" s="782"/>
      <c r="AO58" s="782"/>
      <c r="AP58" s="782"/>
      <c r="AQ58" s="782"/>
      <c r="AR58" s="782"/>
      <c r="AS58" s="770"/>
      <c r="AT58" s="769" t="s">
        <v>199</v>
      </c>
      <c r="AU58" s="769" t="s">
        <v>199</v>
      </c>
      <c r="AV58" s="769" t="s">
        <v>199</v>
      </c>
      <c r="AW58" s="782"/>
      <c r="AX58" s="782"/>
      <c r="AY58" s="782"/>
      <c r="AZ58" s="782"/>
      <c r="BA58" s="782"/>
      <c r="BB58" s="782"/>
      <c r="BC58" s="782"/>
      <c r="BD58" s="782"/>
      <c r="BE58" s="782"/>
      <c r="BF58" s="782"/>
      <c r="BG58" s="782"/>
      <c r="BH58" s="782"/>
      <c r="BI58" s="782"/>
      <c r="BJ58" s="770"/>
      <c r="BK58" s="769" t="s">
        <v>199</v>
      </c>
      <c r="BL58" s="769" t="s">
        <v>199</v>
      </c>
      <c r="BM58" s="769" t="s">
        <v>199</v>
      </c>
      <c r="BN58" s="782"/>
      <c r="BO58" s="782"/>
      <c r="BP58" s="782"/>
      <c r="BQ58" s="782"/>
      <c r="BR58" s="782"/>
      <c r="BS58" s="782"/>
      <c r="BT58" s="782"/>
      <c r="BU58" s="782"/>
      <c r="BV58" s="782"/>
      <c r="BW58" s="782"/>
      <c r="BX58" s="782"/>
      <c r="BY58" s="782"/>
      <c r="BZ58" s="782"/>
      <c r="CA58" s="770"/>
      <c r="CB58" s="769" t="s">
        <v>199</v>
      </c>
      <c r="CC58" s="769" t="s">
        <v>199</v>
      </c>
      <c r="CD58" s="769" t="s">
        <v>199</v>
      </c>
      <c r="CE58" s="782"/>
      <c r="CF58" s="782"/>
      <c r="CG58" s="782"/>
      <c r="CH58" s="782"/>
      <c r="CI58" s="782"/>
      <c r="CJ58" s="782"/>
      <c r="CK58" s="782"/>
      <c r="CL58" s="782"/>
      <c r="CM58" s="782"/>
      <c r="CN58" s="782"/>
      <c r="CO58" s="782"/>
      <c r="CP58" s="782"/>
    </row>
    <row r="59" ht="15" customHeight="1" spans="2:94">
      <c r="B59" s="767" t="s">
        <v>1503</v>
      </c>
      <c r="C59" s="784"/>
      <c r="D59" s="784"/>
      <c r="E59" s="784"/>
      <c r="F59" s="784"/>
      <c r="G59" s="784"/>
      <c r="H59" s="784"/>
      <c r="I59" s="784"/>
      <c r="J59" s="770" t="s">
        <v>1534</v>
      </c>
      <c r="K59" s="770"/>
      <c r="L59" s="769" t="s">
        <v>1464</v>
      </c>
      <c r="M59" s="769" t="s">
        <v>199</v>
      </c>
      <c r="N59" s="769" t="s">
        <v>199</v>
      </c>
      <c r="O59" s="782"/>
      <c r="P59" s="782"/>
      <c r="Q59" s="782"/>
      <c r="R59" s="782"/>
      <c r="S59" s="782"/>
      <c r="T59" s="782"/>
      <c r="U59" s="782"/>
      <c r="V59" s="782"/>
      <c r="W59" s="783"/>
      <c r="X59" s="782"/>
      <c r="Y59" s="782"/>
      <c r="Z59" s="782"/>
      <c r="AA59" s="770"/>
      <c r="AB59" s="770"/>
      <c r="AC59" s="769" t="s">
        <v>199</v>
      </c>
      <c r="AD59" s="769" t="s">
        <v>199</v>
      </c>
      <c r="AE59" s="769" t="s">
        <v>199</v>
      </c>
      <c r="AF59" s="782"/>
      <c r="AG59" s="782"/>
      <c r="AH59" s="782"/>
      <c r="AI59" s="782"/>
      <c r="AJ59" s="782"/>
      <c r="AK59" s="782"/>
      <c r="AL59" s="782"/>
      <c r="AM59" s="782"/>
      <c r="AN59" s="782"/>
      <c r="AO59" s="782"/>
      <c r="AP59" s="782"/>
      <c r="AQ59" s="782"/>
      <c r="AR59" s="782"/>
      <c r="AS59" s="770"/>
      <c r="AT59" s="769" t="s">
        <v>199</v>
      </c>
      <c r="AU59" s="769" t="s">
        <v>199</v>
      </c>
      <c r="AV59" s="769" t="s">
        <v>199</v>
      </c>
      <c r="AW59" s="782"/>
      <c r="AX59" s="782"/>
      <c r="AY59" s="782"/>
      <c r="AZ59" s="782"/>
      <c r="BA59" s="782"/>
      <c r="BB59" s="782"/>
      <c r="BC59" s="782"/>
      <c r="BD59" s="782"/>
      <c r="BE59" s="782"/>
      <c r="BF59" s="782"/>
      <c r="BG59" s="782"/>
      <c r="BH59" s="782"/>
      <c r="BI59" s="782"/>
      <c r="BJ59" s="770"/>
      <c r="BK59" s="769" t="s">
        <v>199</v>
      </c>
      <c r="BL59" s="769" t="s">
        <v>199</v>
      </c>
      <c r="BM59" s="769" t="s">
        <v>199</v>
      </c>
      <c r="BN59" s="782"/>
      <c r="BO59" s="782"/>
      <c r="BP59" s="782"/>
      <c r="BQ59" s="782"/>
      <c r="BR59" s="782"/>
      <c r="BS59" s="782"/>
      <c r="BT59" s="782"/>
      <c r="BU59" s="782"/>
      <c r="BV59" s="782"/>
      <c r="BW59" s="782"/>
      <c r="BX59" s="782"/>
      <c r="BY59" s="782"/>
      <c r="BZ59" s="782"/>
      <c r="CA59" s="770"/>
      <c r="CB59" s="769" t="s">
        <v>199</v>
      </c>
      <c r="CC59" s="769" t="s">
        <v>199</v>
      </c>
      <c r="CD59" s="769" t="s">
        <v>199</v>
      </c>
      <c r="CE59" s="782"/>
      <c r="CF59" s="782"/>
      <c r="CG59" s="782"/>
      <c r="CH59" s="782"/>
      <c r="CI59" s="782"/>
      <c r="CJ59" s="782"/>
      <c r="CK59" s="782"/>
      <c r="CL59" s="782"/>
      <c r="CM59" s="782"/>
      <c r="CN59" s="782"/>
      <c r="CO59" s="782"/>
      <c r="CP59" s="782"/>
    </row>
    <row r="60" ht="15" customHeight="1" spans="2:94">
      <c r="B60" s="767" t="s">
        <v>1504</v>
      </c>
      <c r="C60" s="784"/>
      <c r="D60" s="784"/>
      <c r="E60" s="784"/>
      <c r="F60" s="784"/>
      <c r="G60" s="784"/>
      <c r="H60" s="784"/>
      <c r="I60" s="784"/>
      <c r="J60" s="770" t="s">
        <v>1534</v>
      </c>
      <c r="K60" s="770"/>
      <c r="L60" s="769" t="s">
        <v>1464</v>
      </c>
      <c r="M60" s="769" t="s">
        <v>199</v>
      </c>
      <c r="N60" s="769" t="s">
        <v>199</v>
      </c>
      <c r="O60" s="782"/>
      <c r="P60" s="782"/>
      <c r="Q60" s="782"/>
      <c r="R60" s="782"/>
      <c r="S60" s="782"/>
      <c r="T60" s="782"/>
      <c r="U60" s="782"/>
      <c r="V60" s="782"/>
      <c r="W60" s="783"/>
      <c r="X60" s="782"/>
      <c r="Y60" s="782"/>
      <c r="Z60" s="782"/>
      <c r="AA60" s="770"/>
      <c r="AB60" s="770"/>
      <c r="AC60" s="769" t="s">
        <v>199</v>
      </c>
      <c r="AD60" s="769" t="s">
        <v>199</v>
      </c>
      <c r="AE60" s="769" t="s">
        <v>199</v>
      </c>
      <c r="AF60" s="782"/>
      <c r="AG60" s="782"/>
      <c r="AH60" s="782"/>
      <c r="AI60" s="782"/>
      <c r="AJ60" s="782"/>
      <c r="AK60" s="782"/>
      <c r="AL60" s="782"/>
      <c r="AM60" s="782"/>
      <c r="AN60" s="782"/>
      <c r="AO60" s="782"/>
      <c r="AP60" s="782"/>
      <c r="AQ60" s="782"/>
      <c r="AR60" s="782"/>
      <c r="AS60" s="770"/>
      <c r="AT60" s="769" t="s">
        <v>199</v>
      </c>
      <c r="AU60" s="769" t="s">
        <v>199</v>
      </c>
      <c r="AV60" s="769" t="s">
        <v>199</v>
      </c>
      <c r="AW60" s="782"/>
      <c r="AX60" s="782"/>
      <c r="AY60" s="782"/>
      <c r="AZ60" s="782"/>
      <c r="BA60" s="782"/>
      <c r="BB60" s="782"/>
      <c r="BC60" s="782"/>
      <c r="BD60" s="782"/>
      <c r="BE60" s="782"/>
      <c r="BF60" s="782"/>
      <c r="BG60" s="782"/>
      <c r="BH60" s="782"/>
      <c r="BI60" s="782"/>
      <c r="BJ60" s="770"/>
      <c r="BK60" s="769" t="s">
        <v>199</v>
      </c>
      <c r="BL60" s="769" t="s">
        <v>199</v>
      </c>
      <c r="BM60" s="769" t="s">
        <v>199</v>
      </c>
      <c r="BN60" s="782"/>
      <c r="BO60" s="782"/>
      <c r="BP60" s="782"/>
      <c r="BQ60" s="782"/>
      <c r="BR60" s="782"/>
      <c r="BS60" s="782"/>
      <c r="BT60" s="782"/>
      <c r="BU60" s="782"/>
      <c r="BV60" s="782"/>
      <c r="BW60" s="782"/>
      <c r="BX60" s="782"/>
      <c r="BY60" s="782"/>
      <c r="BZ60" s="782"/>
      <c r="CA60" s="770"/>
      <c r="CB60" s="769" t="s">
        <v>199</v>
      </c>
      <c r="CC60" s="769" t="s">
        <v>199</v>
      </c>
      <c r="CD60" s="769" t="s">
        <v>199</v>
      </c>
      <c r="CE60" s="782"/>
      <c r="CF60" s="782"/>
      <c r="CG60" s="782"/>
      <c r="CH60" s="782"/>
      <c r="CI60" s="782"/>
      <c r="CJ60" s="782"/>
      <c r="CK60" s="782"/>
      <c r="CL60" s="782"/>
      <c r="CM60" s="782"/>
      <c r="CN60" s="782"/>
      <c r="CO60" s="782"/>
      <c r="CP60" s="782"/>
    </row>
    <row r="61" ht="15" customHeight="1" spans="2:94">
      <c r="B61" s="767" t="s">
        <v>1505</v>
      </c>
      <c r="C61" s="784"/>
      <c r="D61" s="784"/>
      <c r="E61" s="784"/>
      <c r="F61" s="784"/>
      <c r="G61" s="784"/>
      <c r="H61" s="784"/>
      <c r="I61" s="784"/>
      <c r="J61" s="770" t="s">
        <v>1534</v>
      </c>
      <c r="K61" s="770"/>
      <c r="L61" s="769" t="s">
        <v>1464</v>
      </c>
      <c r="M61" s="769" t="s">
        <v>199</v>
      </c>
      <c r="N61" s="769" t="s">
        <v>199</v>
      </c>
      <c r="O61" s="782"/>
      <c r="P61" s="782"/>
      <c r="Q61" s="782"/>
      <c r="R61" s="782"/>
      <c r="S61" s="782"/>
      <c r="T61" s="782"/>
      <c r="U61" s="782"/>
      <c r="V61" s="782"/>
      <c r="W61" s="783"/>
      <c r="X61" s="782"/>
      <c r="Y61" s="782"/>
      <c r="Z61" s="782"/>
      <c r="AA61" s="770"/>
      <c r="AB61" s="770"/>
      <c r="AC61" s="769" t="s">
        <v>199</v>
      </c>
      <c r="AD61" s="769" t="s">
        <v>199</v>
      </c>
      <c r="AE61" s="769" t="s">
        <v>199</v>
      </c>
      <c r="AF61" s="782"/>
      <c r="AG61" s="782"/>
      <c r="AH61" s="782"/>
      <c r="AI61" s="782"/>
      <c r="AJ61" s="782"/>
      <c r="AK61" s="782"/>
      <c r="AL61" s="782"/>
      <c r="AM61" s="782"/>
      <c r="AN61" s="782"/>
      <c r="AO61" s="782"/>
      <c r="AP61" s="782"/>
      <c r="AQ61" s="782"/>
      <c r="AR61" s="782"/>
      <c r="AS61" s="770"/>
      <c r="AT61" s="769" t="s">
        <v>199</v>
      </c>
      <c r="AU61" s="769" t="s">
        <v>199</v>
      </c>
      <c r="AV61" s="769" t="s">
        <v>199</v>
      </c>
      <c r="AW61" s="782"/>
      <c r="AX61" s="782"/>
      <c r="AY61" s="782"/>
      <c r="AZ61" s="782"/>
      <c r="BA61" s="782"/>
      <c r="BB61" s="782"/>
      <c r="BC61" s="782"/>
      <c r="BD61" s="782"/>
      <c r="BE61" s="782"/>
      <c r="BF61" s="782"/>
      <c r="BG61" s="782"/>
      <c r="BH61" s="782"/>
      <c r="BI61" s="782"/>
      <c r="BJ61" s="770"/>
      <c r="BK61" s="769" t="s">
        <v>199</v>
      </c>
      <c r="BL61" s="769" t="s">
        <v>199</v>
      </c>
      <c r="BM61" s="769" t="s">
        <v>199</v>
      </c>
      <c r="BN61" s="782"/>
      <c r="BO61" s="782"/>
      <c r="BP61" s="782"/>
      <c r="BQ61" s="782"/>
      <c r="BR61" s="782"/>
      <c r="BS61" s="782"/>
      <c r="BT61" s="782"/>
      <c r="BU61" s="782"/>
      <c r="BV61" s="782"/>
      <c r="BW61" s="782"/>
      <c r="BX61" s="782"/>
      <c r="BY61" s="782"/>
      <c r="BZ61" s="782"/>
      <c r="CA61" s="770"/>
      <c r="CB61" s="769" t="s">
        <v>199</v>
      </c>
      <c r="CC61" s="769" t="s">
        <v>199</v>
      </c>
      <c r="CD61" s="769" t="s">
        <v>199</v>
      </c>
      <c r="CE61" s="782"/>
      <c r="CF61" s="782"/>
      <c r="CG61" s="782"/>
      <c r="CH61" s="782"/>
      <c r="CI61" s="782"/>
      <c r="CJ61" s="782"/>
      <c r="CK61" s="782"/>
      <c r="CL61" s="782"/>
      <c r="CM61" s="782"/>
      <c r="CN61" s="782"/>
      <c r="CO61" s="782"/>
      <c r="CP61" s="782"/>
    </row>
    <row r="62" ht="15" customHeight="1" spans="2:94">
      <c r="B62" s="767" t="s">
        <v>1506</v>
      </c>
      <c r="C62" s="784"/>
      <c r="D62" s="784"/>
      <c r="E62" s="784"/>
      <c r="F62" s="784"/>
      <c r="G62" s="784"/>
      <c r="H62" s="784"/>
      <c r="I62" s="784"/>
      <c r="J62" s="770" t="s">
        <v>1534</v>
      </c>
      <c r="K62" s="770"/>
      <c r="L62" s="769" t="s">
        <v>1464</v>
      </c>
      <c r="M62" s="769" t="s">
        <v>199</v>
      </c>
      <c r="N62" s="769" t="s">
        <v>199</v>
      </c>
      <c r="O62" s="782"/>
      <c r="P62" s="782"/>
      <c r="Q62" s="782"/>
      <c r="R62" s="782"/>
      <c r="S62" s="782"/>
      <c r="T62" s="782"/>
      <c r="U62" s="782"/>
      <c r="V62" s="782"/>
      <c r="W62" s="783"/>
      <c r="X62" s="782"/>
      <c r="Y62" s="782"/>
      <c r="Z62" s="782"/>
      <c r="AA62" s="770"/>
      <c r="AB62" s="770"/>
      <c r="AC62" s="769" t="s">
        <v>199</v>
      </c>
      <c r="AD62" s="769" t="s">
        <v>199</v>
      </c>
      <c r="AE62" s="769" t="s">
        <v>199</v>
      </c>
      <c r="AF62" s="782"/>
      <c r="AG62" s="782"/>
      <c r="AH62" s="782"/>
      <c r="AI62" s="782"/>
      <c r="AJ62" s="782"/>
      <c r="AK62" s="782"/>
      <c r="AL62" s="782"/>
      <c r="AM62" s="782"/>
      <c r="AN62" s="782"/>
      <c r="AO62" s="782"/>
      <c r="AP62" s="782"/>
      <c r="AQ62" s="782"/>
      <c r="AR62" s="782"/>
      <c r="AS62" s="770"/>
      <c r="AT62" s="769" t="s">
        <v>199</v>
      </c>
      <c r="AU62" s="769" t="s">
        <v>199</v>
      </c>
      <c r="AV62" s="769" t="s">
        <v>199</v>
      </c>
      <c r="AW62" s="782"/>
      <c r="AX62" s="782"/>
      <c r="AY62" s="782"/>
      <c r="AZ62" s="782"/>
      <c r="BA62" s="782"/>
      <c r="BB62" s="782"/>
      <c r="BC62" s="782"/>
      <c r="BD62" s="782"/>
      <c r="BE62" s="782"/>
      <c r="BF62" s="782"/>
      <c r="BG62" s="782"/>
      <c r="BH62" s="782"/>
      <c r="BI62" s="782"/>
      <c r="BJ62" s="770"/>
      <c r="BK62" s="769" t="s">
        <v>199</v>
      </c>
      <c r="BL62" s="769" t="s">
        <v>199</v>
      </c>
      <c r="BM62" s="769" t="s">
        <v>199</v>
      </c>
      <c r="BN62" s="782"/>
      <c r="BO62" s="782"/>
      <c r="BP62" s="782"/>
      <c r="BQ62" s="782"/>
      <c r="BR62" s="782"/>
      <c r="BS62" s="782"/>
      <c r="BT62" s="782"/>
      <c r="BU62" s="782"/>
      <c r="BV62" s="782"/>
      <c r="BW62" s="782"/>
      <c r="BX62" s="782"/>
      <c r="BY62" s="782"/>
      <c r="BZ62" s="782"/>
      <c r="CA62" s="770"/>
      <c r="CB62" s="769" t="s">
        <v>199</v>
      </c>
      <c r="CC62" s="769" t="s">
        <v>199</v>
      </c>
      <c r="CD62" s="769" t="s">
        <v>199</v>
      </c>
      <c r="CE62" s="782"/>
      <c r="CF62" s="782"/>
      <c r="CG62" s="782"/>
      <c r="CH62" s="782"/>
      <c r="CI62" s="782"/>
      <c r="CJ62" s="782"/>
      <c r="CK62" s="782"/>
      <c r="CL62" s="782"/>
      <c r="CM62" s="782"/>
      <c r="CN62" s="782"/>
      <c r="CO62" s="782"/>
      <c r="CP62" s="782"/>
    </row>
    <row r="63" ht="15" customHeight="1" spans="2:94">
      <c r="B63" s="767" t="s">
        <v>1507</v>
      </c>
      <c r="C63" s="784"/>
      <c r="D63" s="784"/>
      <c r="E63" s="784"/>
      <c r="F63" s="784"/>
      <c r="G63" s="784"/>
      <c r="H63" s="784"/>
      <c r="I63" s="784"/>
      <c r="J63" s="770" t="s">
        <v>1534</v>
      </c>
      <c r="K63" s="770"/>
      <c r="L63" s="769" t="s">
        <v>1464</v>
      </c>
      <c r="M63" s="769" t="s">
        <v>199</v>
      </c>
      <c r="N63" s="769" t="s">
        <v>199</v>
      </c>
      <c r="O63" s="782"/>
      <c r="P63" s="782"/>
      <c r="Q63" s="782"/>
      <c r="R63" s="782"/>
      <c r="S63" s="782"/>
      <c r="T63" s="782"/>
      <c r="U63" s="782"/>
      <c r="V63" s="782"/>
      <c r="W63" s="783"/>
      <c r="X63" s="782"/>
      <c r="Y63" s="782"/>
      <c r="Z63" s="782"/>
      <c r="AA63" s="770"/>
      <c r="AB63" s="770"/>
      <c r="AC63" s="769" t="s">
        <v>199</v>
      </c>
      <c r="AD63" s="769" t="s">
        <v>199</v>
      </c>
      <c r="AE63" s="769" t="s">
        <v>199</v>
      </c>
      <c r="AF63" s="782"/>
      <c r="AG63" s="782"/>
      <c r="AH63" s="782"/>
      <c r="AI63" s="782"/>
      <c r="AJ63" s="782"/>
      <c r="AK63" s="782"/>
      <c r="AL63" s="782"/>
      <c r="AM63" s="782"/>
      <c r="AN63" s="782"/>
      <c r="AO63" s="782"/>
      <c r="AP63" s="782"/>
      <c r="AQ63" s="782"/>
      <c r="AR63" s="782"/>
      <c r="AS63" s="770"/>
      <c r="AT63" s="769" t="s">
        <v>199</v>
      </c>
      <c r="AU63" s="769" t="s">
        <v>199</v>
      </c>
      <c r="AV63" s="769" t="s">
        <v>199</v>
      </c>
      <c r="AW63" s="782"/>
      <c r="AX63" s="782"/>
      <c r="AY63" s="782"/>
      <c r="AZ63" s="782"/>
      <c r="BA63" s="782"/>
      <c r="BB63" s="782"/>
      <c r="BC63" s="782"/>
      <c r="BD63" s="782"/>
      <c r="BE63" s="782"/>
      <c r="BF63" s="782"/>
      <c r="BG63" s="782"/>
      <c r="BH63" s="782"/>
      <c r="BI63" s="782"/>
      <c r="BJ63" s="770"/>
      <c r="BK63" s="769" t="s">
        <v>199</v>
      </c>
      <c r="BL63" s="769" t="s">
        <v>199</v>
      </c>
      <c r="BM63" s="769" t="s">
        <v>199</v>
      </c>
      <c r="BN63" s="782"/>
      <c r="BO63" s="782"/>
      <c r="BP63" s="782"/>
      <c r="BQ63" s="782"/>
      <c r="BR63" s="782"/>
      <c r="BS63" s="782"/>
      <c r="BT63" s="782"/>
      <c r="BU63" s="782"/>
      <c r="BV63" s="782"/>
      <c r="BW63" s="782"/>
      <c r="BX63" s="782"/>
      <c r="BY63" s="782"/>
      <c r="BZ63" s="782"/>
      <c r="CA63" s="770"/>
      <c r="CB63" s="769" t="s">
        <v>199</v>
      </c>
      <c r="CC63" s="769" t="s">
        <v>199</v>
      </c>
      <c r="CD63" s="769" t="s">
        <v>199</v>
      </c>
      <c r="CE63" s="782"/>
      <c r="CF63" s="782"/>
      <c r="CG63" s="782"/>
      <c r="CH63" s="782"/>
      <c r="CI63" s="782"/>
      <c r="CJ63" s="782"/>
      <c r="CK63" s="782"/>
      <c r="CL63" s="782"/>
      <c r="CM63" s="782"/>
      <c r="CN63" s="782"/>
      <c r="CO63" s="782"/>
      <c r="CP63" s="782"/>
    </row>
    <row r="64" ht="15" customHeight="1" spans="2:94">
      <c r="B64" s="767" t="s">
        <v>1508</v>
      </c>
      <c r="C64" s="784"/>
      <c r="D64" s="784"/>
      <c r="E64" s="784"/>
      <c r="F64" s="784"/>
      <c r="G64" s="784"/>
      <c r="H64" s="784"/>
      <c r="I64" s="784"/>
      <c r="J64" s="770" t="s">
        <v>1534</v>
      </c>
      <c r="K64" s="770"/>
      <c r="L64" s="769" t="s">
        <v>1464</v>
      </c>
      <c r="M64" s="769" t="s">
        <v>199</v>
      </c>
      <c r="N64" s="769" t="s">
        <v>199</v>
      </c>
      <c r="O64" s="782"/>
      <c r="P64" s="782"/>
      <c r="Q64" s="782"/>
      <c r="R64" s="782"/>
      <c r="S64" s="782"/>
      <c r="T64" s="782"/>
      <c r="U64" s="782"/>
      <c r="V64" s="782"/>
      <c r="W64" s="783"/>
      <c r="X64" s="782"/>
      <c r="Y64" s="782"/>
      <c r="Z64" s="782"/>
      <c r="AA64" s="770"/>
      <c r="AB64" s="770"/>
      <c r="AC64" s="769" t="s">
        <v>199</v>
      </c>
      <c r="AD64" s="769" t="s">
        <v>199</v>
      </c>
      <c r="AE64" s="769" t="s">
        <v>199</v>
      </c>
      <c r="AF64" s="782"/>
      <c r="AG64" s="782"/>
      <c r="AH64" s="782"/>
      <c r="AI64" s="782"/>
      <c r="AJ64" s="782"/>
      <c r="AK64" s="782"/>
      <c r="AL64" s="782"/>
      <c r="AM64" s="782"/>
      <c r="AN64" s="782"/>
      <c r="AO64" s="782"/>
      <c r="AP64" s="782"/>
      <c r="AQ64" s="782"/>
      <c r="AR64" s="782"/>
      <c r="AS64" s="770"/>
      <c r="AT64" s="769" t="s">
        <v>199</v>
      </c>
      <c r="AU64" s="769" t="s">
        <v>199</v>
      </c>
      <c r="AV64" s="769" t="s">
        <v>199</v>
      </c>
      <c r="AW64" s="782"/>
      <c r="AX64" s="782"/>
      <c r="AY64" s="782"/>
      <c r="AZ64" s="782"/>
      <c r="BA64" s="782"/>
      <c r="BB64" s="782"/>
      <c r="BC64" s="782"/>
      <c r="BD64" s="782"/>
      <c r="BE64" s="782"/>
      <c r="BF64" s="782"/>
      <c r="BG64" s="782"/>
      <c r="BH64" s="782"/>
      <c r="BI64" s="782"/>
      <c r="BJ64" s="770"/>
      <c r="BK64" s="769" t="s">
        <v>199</v>
      </c>
      <c r="BL64" s="769" t="s">
        <v>199</v>
      </c>
      <c r="BM64" s="769" t="s">
        <v>199</v>
      </c>
      <c r="BN64" s="782"/>
      <c r="BO64" s="782"/>
      <c r="BP64" s="782"/>
      <c r="BQ64" s="782"/>
      <c r="BR64" s="782"/>
      <c r="BS64" s="782"/>
      <c r="BT64" s="782"/>
      <c r="BU64" s="782"/>
      <c r="BV64" s="782"/>
      <c r="BW64" s="782"/>
      <c r="BX64" s="782"/>
      <c r="BY64" s="782"/>
      <c r="BZ64" s="782"/>
      <c r="CA64" s="770"/>
      <c r="CB64" s="769" t="s">
        <v>199</v>
      </c>
      <c r="CC64" s="769" t="s">
        <v>199</v>
      </c>
      <c r="CD64" s="769" t="s">
        <v>199</v>
      </c>
      <c r="CE64" s="782"/>
      <c r="CF64" s="782"/>
      <c r="CG64" s="782"/>
      <c r="CH64" s="782"/>
      <c r="CI64" s="782"/>
      <c r="CJ64" s="782"/>
      <c r="CK64" s="782"/>
      <c r="CL64" s="782"/>
      <c r="CM64" s="782"/>
      <c r="CN64" s="782"/>
      <c r="CO64" s="782"/>
      <c r="CP64" s="782"/>
    </row>
    <row r="65" ht="15" customHeight="1" spans="2:94">
      <c r="B65" s="767" t="s">
        <v>1509</v>
      </c>
      <c r="C65" s="784"/>
      <c r="D65" s="784"/>
      <c r="E65" s="784"/>
      <c r="F65" s="784"/>
      <c r="G65" s="784"/>
      <c r="H65" s="784"/>
      <c r="I65" s="784"/>
      <c r="J65" s="770" t="s">
        <v>1534</v>
      </c>
      <c r="K65" s="770"/>
      <c r="L65" s="769" t="s">
        <v>1464</v>
      </c>
      <c r="M65" s="769" t="s">
        <v>199</v>
      </c>
      <c r="N65" s="769" t="s">
        <v>199</v>
      </c>
      <c r="O65" s="782"/>
      <c r="P65" s="782"/>
      <c r="Q65" s="782"/>
      <c r="R65" s="782"/>
      <c r="S65" s="782"/>
      <c r="T65" s="782"/>
      <c r="U65" s="782"/>
      <c r="V65" s="782"/>
      <c r="W65" s="783"/>
      <c r="X65" s="782"/>
      <c r="Y65" s="782"/>
      <c r="Z65" s="782"/>
      <c r="AA65" s="770"/>
      <c r="AB65" s="770"/>
      <c r="AC65" s="769" t="s">
        <v>199</v>
      </c>
      <c r="AD65" s="769" t="s">
        <v>199</v>
      </c>
      <c r="AE65" s="769" t="s">
        <v>199</v>
      </c>
      <c r="AF65" s="782"/>
      <c r="AG65" s="782"/>
      <c r="AH65" s="782"/>
      <c r="AI65" s="782"/>
      <c r="AJ65" s="782"/>
      <c r="AK65" s="782"/>
      <c r="AL65" s="782"/>
      <c r="AM65" s="782"/>
      <c r="AN65" s="782"/>
      <c r="AO65" s="782"/>
      <c r="AP65" s="782"/>
      <c r="AQ65" s="782"/>
      <c r="AR65" s="782"/>
      <c r="AS65" s="770"/>
      <c r="AT65" s="769" t="s">
        <v>199</v>
      </c>
      <c r="AU65" s="769" t="s">
        <v>199</v>
      </c>
      <c r="AV65" s="769" t="s">
        <v>199</v>
      </c>
      <c r="AW65" s="782"/>
      <c r="AX65" s="782"/>
      <c r="AY65" s="782"/>
      <c r="AZ65" s="782"/>
      <c r="BA65" s="782"/>
      <c r="BB65" s="782"/>
      <c r="BC65" s="782"/>
      <c r="BD65" s="782"/>
      <c r="BE65" s="782"/>
      <c r="BF65" s="782"/>
      <c r="BG65" s="782"/>
      <c r="BH65" s="782"/>
      <c r="BI65" s="782"/>
      <c r="BJ65" s="770"/>
      <c r="BK65" s="769" t="s">
        <v>199</v>
      </c>
      <c r="BL65" s="769" t="s">
        <v>199</v>
      </c>
      <c r="BM65" s="769" t="s">
        <v>199</v>
      </c>
      <c r="BN65" s="782"/>
      <c r="BO65" s="782"/>
      <c r="BP65" s="782"/>
      <c r="BQ65" s="782"/>
      <c r="BR65" s="782"/>
      <c r="BS65" s="782"/>
      <c r="BT65" s="782"/>
      <c r="BU65" s="782"/>
      <c r="BV65" s="782"/>
      <c r="BW65" s="782"/>
      <c r="BX65" s="782"/>
      <c r="BY65" s="782"/>
      <c r="BZ65" s="782"/>
      <c r="CA65" s="770"/>
      <c r="CB65" s="769" t="s">
        <v>199</v>
      </c>
      <c r="CC65" s="769" t="s">
        <v>199</v>
      </c>
      <c r="CD65" s="769" t="s">
        <v>199</v>
      </c>
      <c r="CE65" s="782"/>
      <c r="CF65" s="782"/>
      <c r="CG65" s="782"/>
      <c r="CH65" s="782"/>
      <c r="CI65" s="782"/>
      <c r="CJ65" s="782"/>
      <c r="CK65" s="782"/>
      <c r="CL65" s="782"/>
      <c r="CM65" s="782"/>
      <c r="CN65" s="782"/>
      <c r="CO65" s="782"/>
      <c r="CP65" s="782"/>
    </row>
    <row r="66" ht="15" customHeight="1" spans="2:94">
      <c r="B66" s="767" t="s">
        <v>1510</v>
      </c>
      <c r="C66" s="784"/>
      <c r="D66" s="786"/>
      <c r="E66" s="786"/>
      <c r="F66" s="786"/>
      <c r="G66" s="786"/>
      <c r="H66" s="784"/>
      <c r="I66" s="784"/>
      <c r="J66" s="770" t="s">
        <v>1534</v>
      </c>
      <c r="K66" s="770"/>
      <c r="L66" s="769" t="s">
        <v>1464</v>
      </c>
      <c r="M66" s="769" t="s">
        <v>199</v>
      </c>
      <c r="N66" s="769" t="s">
        <v>199</v>
      </c>
      <c r="O66" s="782"/>
      <c r="P66" s="782"/>
      <c r="Q66" s="782"/>
      <c r="R66" s="782"/>
      <c r="S66" s="782"/>
      <c r="T66" s="782"/>
      <c r="U66" s="782"/>
      <c r="V66" s="782"/>
      <c r="W66" s="783"/>
      <c r="X66" s="782"/>
      <c r="Y66" s="782"/>
      <c r="Z66" s="782"/>
      <c r="AA66" s="770"/>
      <c r="AB66" s="770"/>
      <c r="AC66" s="769" t="s">
        <v>199</v>
      </c>
      <c r="AD66" s="769" t="s">
        <v>199</v>
      </c>
      <c r="AE66" s="769" t="s">
        <v>199</v>
      </c>
      <c r="AF66" s="782"/>
      <c r="AG66" s="782"/>
      <c r="AH66" s="782"/>
      <c r="AI66" s="782"/>
      <c r="AJ66" s="782"/>
      <c r="AK66" s="782"/>
      <c r="AL66" s="782"/>
      <c r="AM66" s="782"/>
      <c r="AN66" s="782"/>
      <c r="AO66" s="782"/>
      <c r="AP66" s="782"/>
      <c r="AQ66" s="782"/>
      <c r="AR66" s="782"/>
      <c r="AS66" s="770"/>
      <c r="AT66" s="769" t="s">
        <v>199</v>
      </c>
      <c r="AU66" s="769" t="s">
        <v>199</v>
      </c>
      <c r="AV66" s="769" t="s">
        <v>199</v>
      </c>
      <c r="AW66" s="782"/>
      <c r="AX66" s="782"/>
      <c r="AY66" s="782"/>
      <c r="AZ66" s="782"/>
      <c r="BA66" s="782"/>
      <c r="BB66" s="782"/>
      <c r="BC66" s="782"/>
      <c r="BD66" s="782"/>
      <c r="BE66" s="782"/>
      <c r="BF66" s="782"/>
      <c r="BG66" s="782"/>
      <c r="BH66" s="782"/>
      <c r="BI66" s="782"/>
      <c r="BJ66" s="770"/>
      <c r="BK66" s="769" t="s">
        <v>199</v>
      </c>
      <c r="BL66" s="769" t="s">
        <v>199</v>
      </c>
      <c r="BM66" s="769" t="s">
        <v>199</v>
      </c>
      <c r="BN66" s="782"/>
      <c r="BO66" s="782"/>
      <c r="BP66" s="782"/>
      <c r="BQ66" s="782"/>
      <c r="BR66" s="782"/>
      <c r="BS66" s="782"/>
      <c r="BT66" s="782"/>
      <c r="BU66" s="782"/>
      <c r="BV66" s="782"/>
      <c r="BW66" s="782"/>
      <c r="BX66" s="782"/>
      <c r="BY66" s="782"/>
      <c r="BZ66" s="782"/>
      <c r="CA66" s="770"/>
      <c r="CB66" s="769" t="s">
        <v>199</v>
      </c>
      <c r="CC66" s="769" t="s">
        <v>199</v>
      </c>
      <c r="CD66" s="769" t="s">
        <v>199</v>
      </c>
      <c r="CE66" s="782"/>
      <c r="CF66" s="782"/>
      <c r="CG66" s="782"/>
      <c r="CH66" s="782"/>
      <c r="CI66" s="782"/>
      <c r="CJ66" s="782"/>
      <c r="CK66" s="782"/>
      <c r="CL66" s="782"/>
      <c r="CM66" s="782"/>
      <c r="CN66" s="782"/>
      <c r="CO66" s="782"/>
      <c r="CP66" s="782"/>
    </row>
    <row r="67" ht="15" customHeight="1" spans="2:94">
      <c r="B67" s="767" t="s">
        <v>1511</v>
      </c>
      <c r="C67" s="784"/>
      <c r="D67" s="784"/>
      <c r="E67" s="784"/>
      <c r="F67" s="784"/>
      <c r="G67" s="784"/>
      <c r="H67" s="784"/>
      <c r="I67" s="784"/>
      <c r="J67" s="770" t="s">
        <v>1534</v>
      </c>
      <c r="K67" s="770"/>
      <c r="L67" s="769" t="s">
        <v>1464</v>
      </c>
      <c r="M67" s="769" t="s">
        <v>199</v>
      </c>
      <c r="N67" s="769" t="s">
        <v>199</v>
      </c>
      <c r="O67" s="782"/>
      <c r="P67" s="782"/>
      <c r="Q67" s="782"/>
      <c r="R67" s="782"/>
      <c r="S67" s="782"/>
      <c r="T67" s="782"/>
      <c r="U67" s="782"/>
      <c r="V67" s="782"/>
      <c r="W67" s="783"/>
      <c r="X67" s="782"/>
      <c r="Y67" s="782"/>
      <c r="Z67" s="782"/>
      <c r="AA67" s="770"/>
      <c r="AB67" s="770"/>
      <c r="AC67" s="769" t="s">
        <v>199</v>
      </c>
      <c r="AD67" s="769" t="s">
        <v>199</v>
      </c>
      <c r="AE67" s="769" t="s">
        <v>199</v>
      </c>
      <c r="AF67" s="782"/>
      <c r="AG67" s="782"/>
      <c r="AH67" s="782"/>
      <c r="AI67" s="782"/>
      <c r="AJ67" s="782"/>
      <c r="AK67" s="782"/>
      <c r="AL67" s="782"/>
      <c r="AM67" s="782"/>
      <c r="AN67" s="782"/>
      <c r="AO67" s="782"/>
      <c r="AP67" s="782"/>
      <c r="AQ67" s="782"/>
      <c r="AR67" s="782"/>
      <c r="AS67" s="770"/>
      <c r="AT67" s="769" t="s">
        <v>199</v>
      </c>
      <c r="AU67" s="769" t="s">
        <v>199</v>
      </c>
      <c r="AV67" s="769" t="s">
        <v>199</v>
      </c>
      <c r="AW67" s="782"/>
      <c r="AX67" s="782"/>
      <c r="AY67" s="782"/>
      <c r="AZ67" s="782"/>
      <c r="BA67" s="782"/>
      <c r="BB67" s="782"/>
      <c r="BC67" s="782"/>
      <c r="BD67" s="782"/>
      <c r="BE67" s="782"/>
      <c r="BF67" s="782"/>
      <c r="BG67" s="782"/>
      <c r="BH67" s="782"/>
      <c r="BI67" s="782"/>
      <c r="BJ67" s="770"/>
      <c r="BK67" s="769" t="s">
        <v>199</v>
      </c>
      <c r="BL67" s="769" t="s">
        <v>199</v>
      </c>
      <c r="BM67" s="769" t="s">
        <v>199</v>
      </c>
      <c r="BN67" s="782"/>
      <c r="BO67" s="782"/>
      <c r="BP67" s="782"/>
      <c r="BQ67" s="782"/>
      <c r="BR67" s="782"/>
      <c r="BS67" s="782"/>
      <c r="BT67" s="782"/>
      <c r="BU67" s="782"/>
      <c r="BV67" s="782"/>
      <c r="BW67" s="782"/>
      <c r="BX67" s="782"/>
      <c r="BY67" s="782"/>
      <c r="BZ67" s="782"/>
      <c r="CA67" s="770"/>
      <c r="CB67" s="769" t="s">
        <v>199</v>
      </c>
      <c r="CC67" s="769" t="s">
        <v>199</v>
      </c>
      <c r="CD67" s="769" t="s">
        <v>199</v>
      </c>
      <c r="CE67" s="782"/>
      <c r="CF67" s="782"/>
      <c r="CG67" s="782"/>
      <c r="CH67" s="782"/>
      <c r="CI67" s="782"/>
      <c r="CJ67" s="782"/>
      <c r="CK67" s="782"/>
      <c r="CL67" s="782"/>
      <c r="CM67" s="782"/>
      <c r="CN67" s="782"/>
      <c r="CO67" s="782"/>
      <c r="CP67" s="782"/>
    </row>
    <row r="68" ht="15" customHeight="1" spans="2:94">
      <c r="B68" s="767" t="s">
        <v>1512</v>
      </c>
      <c r="C68" s="784"/>
      <c r="D68" s="784"/>
      <c r="E68" s="784"/>
      <c r="F68" s="784"/>
      <c r="G68" s="784"/>
      <c r="H68" s="784"/>
      <c r="I68" s="784"/>
      <c r="J68" s="770" t="s">
        <v>1534</v>
      </c>
      <c r="K68" s="770"/>
      <c r="L68" s="769" t="s">
        <v>1464</v>
      </c>
      <c r="M68" s="769" t="s">
        <v>199</v>
      </c>
      <c r="N68" s="769" t="s">
        <v>199</v>
      </c>
      <c r="O68" s="782"/>
      <c r="P68" s="782"/>
      <c r="Q68" s="782"/>
      <c r="R68" s="782"/>
      <c r="S68" s="782"/>
      <c r="T68" s="782"/>
      <c r="U68" s="782"/>
      <c r="V68" s="782"/>
      <c r="W68" s="783"/>
      <c r="X68" s="782"/>
      <c r="Y68" s="782"/>
      <c r="Z68" s="782"/>
      <c r="AA68" s="770"/>
      <c r="AB68" s="770"/>
      <c r="AC68" s="769" t="s">
        <v>199</v>
      </c>
      <c r="AD68" s="769" t="s">
        <v>199</v>
      </c>
      <c r="AE68" s="769" t="s">
        <v>199</v>
      </c>
      <c r="AF68" s="782"/>
      <c r="AG68" s="782"/>
      <c r="AH68" s="782"/>
      <c r="AI68" s="782"/>
      <c r="AJ68" s="782"/>
      <c r="AK68" s="782"/>
      <c r="AL68" s="782"/>
      <c r="AM68" s="782"/>
      <c r="AN68" s="782"/>
      <c r="AO68" s="782"/>
      <c r="AP68" s="782"/>
      <c r="AQ68" s="782"/>
      <c r="AR68" s="782"/>
      <c r="AS68" s="770"/>
      <c r="AT68" s="769" t="s">
        <v>199</v>
      </c>
      <c r="AU68" s="769" t="s">
        <v>199</v>
      </c>
      <c r="AV68" s="769" t="s">
        <v>199</v>
      </c>
      <c r="AW68" s="782"/>
      <c r="AX68" s="782"/>
      <c r="AY68" s="782"/>
      <c r="AZ68" s="782"/>
      <c r="BA68" s="782"/>
      <c r="BB68" s="782"/>
      <c r="BC68" s="782"/>
      <c r="BD68" s="782"/>
      <c r="BE68" s="782"/>
      <c r="BF68" s="782"/>
      <c r="BG68" s="782"/>
      <c r="BH68" s="782"/>
      <c r="BI68" s="782"/>
      <c r="BJ68" s="770"/>
      <c r="BK68" s="769" t="s">
        <v>199</v>
      </c>
      <c r="BL68" s="769" t="s">
        <v>199</v>
      </c>
      <c r="BM68" s="769" t="s">
        <v>199</v>
      </c>
      <c r="BN68" s="782"/>
      <c r="BO68" s="782"/>
      <c r="BP68" s="782"/>
      <c r="BQ68" s="782"/>
      <c r="BR68" s="782"/>
      <c r="BS68" s="782"/>
      <c r="BT68" s="782"/>
      <c r="BU68" s="782"/>
      <c r="BV68" s="782"/>
      <c r="BW68" s="782"/>
      <c r="BX68" s="782"/>
      <c r="BY68" s="782"/>
      <c r="BZ68" s="782"/>
      <c r="CA68" s="770"/>
      <c r="CB68" s="769" t="s">
        <v>199</v>
      </c>
      <c r="CC68" s="769" t="s">
        <v>199</v>
      </c>
      <c r="CD68" s="769" t="s">
        <v>199</v>
      </c>
      <c r="CE68" s="782"/>
      <c r="CF68" s="782"/>
      <c r="CG68" s="782"/>
      <c r="CH68" s="782"/>
      <c r="CI68" s="782"/>
      <c r="CJ68" s="782"/>
      <c r="CK68" s="782"/>
      <c r="CL68" s="782"/>
      <c r="CM68" s="782"/>
      <c r="CN68" s="782"/>
      <c r="CO68" s="782"/>
      <c r="CP68" s="782"/>
    </row>
    <row r="69" ht="15" customHeight="1" spans="2:94">
      <c r="B69" s="767" t="s">
        <v>1513</v>
      </c>
      <c r="C69" s="784"/>
      <c r="D69" s="784"/>
      <c r="E69" s="784"/>
      <c r="F69" s="784"/>
      <c r="G69" s="784"/>
      <c r="H69" s="784"/>
      <c r="I69" s="784"/>
      <c r="J69" s="770" t="s">
        <v>1534</v>
      </c>
      <c r="K69" s="770"/>
      <c r="L69" s="769" t="s">
        <v>1464</v>
      </c>
      <c r="M69" s="769" t="s">
        <v>199</v>
      </c>
      <c r="N69" s="769" t="s">
        <v>199</v>
      </c>
      <c r="O69" s="782"/>
      <c r="P69" s="782"/>
      <c r="Q69" s="782"/>
      <c r="R69" s="782"/>
      <c r="S69" s="782"/>
      <c r="T69" s="782"/>
      <c r="U69" s="782"/>
      <c r="V69" s="782"/>
      <c r="W69" s="783"/>
      <c r="X69" s="782"/>
      <c r="Y69" s="782"/>
      <c r="Z69" s="782"/>
      <c r="AA69" s="770"/>
      <c r="AB69" s="770"/>
      <c r="AC69" s="769" t="s">
        <v>199</v>
      </c>
      <c r="AD69" s="769" t="s">
        <v>199</v>
      </c>
      <c r="AE69" s="769" t="s">
        <v>199</v>
      </c>
      <c r="AF69" s="782"/>
      <c r="AG69" s="782"/>
      <c r="AH69" s="782"/>
      <c r="AI69" s="782"/>
      <c r="AJ69" s="782"/>
      <c r="AK69" s="782"/>
      <c r="AL69" s="782"/>
      <c r="AM69" s="782"/>
      <c r="AN69" s="782"/>
      <c r="AO69" s="782"/>
      <c r="AP69" s="782"/>
      <c r="AQ69" s="782"/>
      <c r="AR69" s="782"/>
      <c r="AS69" s="770"/>
      <c r="AT69" s="769" t="s">
        <v>199</v>
      </c>
      <c r="AU69" s="769" t="s">
        <v>199</v>
      </c>
      <c r="AV69" s="769" t="s">
        <v>199</v>
      </c>
      <c r="AW69" s="782"/>
      <c r="AX69" s="782"/>
      <c r="AY69" s="782"/>
      <c r="AZ69" s="782"/>
      <c r="BA69" s="782"/>
      <c r="BB69" s="782"/>
      <c r="BC69" s="782"/>
      <c r="BD69" s="782"/>
      <c r="BE69" s="782"/>
      <c r="BF69" s="782"/>
      <c r="BG69" s="782"/>
      <c r="BH69" s="782"/>
      <c r="BI69" s="782"/>
      <c r="BJ69" s="770"/>
      <c r="BK69" s="769" t="s">
        <v>199</v>
      </c>
      <c r="BL69" s="769" t="s">
        <v>199</v>
      </c>
      <c r="BM69" s="769" t="s">
        <v>199</v>
      </c>
      <c r="BN69" s="782"/>
      <c r="BO69" s="782"/>
      <c r="BP69" s="782"/>
      <c r="BQ69" s="782"/>
      <c r="BR69" s="782"/>
      <c r="BS69" s="782"/>
      <c r="BT69" s="782"/>
      <c r="BU69" s="782"/>
      <c r="BV69" s="782"/>
      <c r="BW69" s="782"/>
      <c r="BX69" s="782"/>
      <c r="BY69" s="782"/>
      <c r="BZ69" s="782"/>
      <c r="CA69" s="770"/>
      <c r="CB69" s="769" t="s">
        <v>199</v>
      </c>
      <c r="CC69" s="769" t="s">
        <v>199</v>
      </c>
      <c r="CD69" s="769" t="s">
        <v>199</v>
      </c>
      <c r="CE69" s="782"/>
      <c r="CF69" s="782"/>
      <c r="CG69" s="782"/>
      <c r="CH69" s="782"/>
      <c r="CI69" s="782"/>
      <c r="CJ69" s="782"/>
      <c r="CK69" s="782"/>
      <c r="CL69" s="782"/>
      <c r="CM69" s="782"/>
      <c r="CN69" s="782"/>
      <c r="CO69" s="782"/>
      <c r="CP69" s="782"/>
    </row>
    <row r="70" ht="15" customHeight="1" spans="2:94">
      <c r="B70" s="767" t="s">
        <v>1514</v>
      </c>
      <c r="C70" s="784"/>
      <c r="D70" s="784"/>
      <c r="E70" s="784"/>
      <c r="F70" s="784"/>
      <c r="G70" s="784"/>
      <c r="H70" s="784"/>
      <c r="I70" s="784"/>
      <c r="J70" s="770" t="s">
        <v>1534</v>
      </c>
      <c r="K70" s="770"/>
      <c r="L70" s="769" t="s">
        <v>1464</v>
      </c>
      <c r="M70" s="769" t="s">
        <v>199</v>
      </c>
      <c r="N70" s="769" t="s">
        <v>199</v>
      </c>
      <c r="O70" s="782"/>
      <c r="P70" s="782"/>
      <c r="Q70" s="782"/>
      <c r="R70" s="782"/>
      <c r="S70" s="782"/>
      <c r="T70" s="782"/>
      <c r="U70" s="782"/>
      <c r="V70" s="782"/>
      <c r="W70" s="783"/>
      <c r="X70" s="782"/>
      <c r="Y70" s="782"/>
      <c r="Z70" s="782"/>
      <c r="AA70" s="770"/>
      <c r="AB70" s="770"/>
      <c r="AC70" s="769" t="s">
        <v>199</v>
      </c>
      <c r="AD70" s="769" t="s">
        <v>199</v>
      </c>
      <c r="AE70" s="769" t="s">
        <v>199</v>
      </c>
      <c r="AF70" s="782"/>
      <c r="AG70" s="782"/>
      <c r="AH70" s="782"/>
      <c r="AI70" s="782"/>
      <c r="AJ70" s="782"/>
      <c r="AK70" s="782"/>
      <c r="AL70" s="782"/>
      <c r="AM70" s="782"/>
      <c r="AN70" s="782"/>
      <c r="AO70" s="782"/>
      <c r="AP70" s="782"/>
      <c r="AQ70" s="782"/>
      <c r="AR70" s="782"/>
      <c r="AS70" s="770"/>
      <c r="AT70" s="769" t="s">
        <v>199</v>
      </c>
      <c r="AU70" s="769" t="s">
        <v>199</v>
      </c>
      <c r="AV70" s="769" t="s">
        <v>199</v>
      </c>
      <c r="AW70" s="782"/>
      <c r="AX70" s="782"/>
      <c r="AY70" s="782"/>
      <c r="AZ70" s="782"/>
      <c r="BA70" s="782"/>
      <c r="BB70" s="782"/>
      <c r="BC70" s="782"/>
      <c r="BD70" s="782"/>
      <c r="BE70" s="782"/>
      <c r="BF70" s="782"/>
      <c r="BG70" s="782"/>
      <c r="BH70" s="782"/>
      <c r="BI70" s="782"/>
      <c r="BJ70" s="770"/>
      <c r="BK70" s="769" t="s">
        <v>199</v>
      </c>
      <c r="BL70" s="769" t="s">
        <v>199</v>
      </c>
      <c r="BM70" s="769" t="s">
        <v>199</v>
      </c>
      <c r="BN70" s="782"/>
      <c r="BO70" s="782"/>
      <c r="BP70" s="782"/>
      <c r="BQ70" s="782"/>
      <c r="BR70" s="782"/>
      <c r="BS70" s="782"/>
      <c r="BT70" s="782"/>
      <c r="BU70" s="782"/>
      <c r="BV70" s="782"/>
      <c r="BW70" s="782"/>
      <c r="BX70" s="782"/>
      <c r="BY70" s="782"/>
      <c r="BZ70" s="782"/>
      <c r="CA70" s="770"/>
      <c r="CB70" s="769" t="s">
        <v>199</v>
      </c>
      <c r="CC70" s="769" t="s">
        <v>199</v>
      </c>
      <c r="CD70" s="769" t="s">
        <v>199</v>
      </c>
      <c r="CE70" s="782"/>
      <c r="CF70" s="782"/>
      <c r="CG70" s="782"/>
      <c r="CH70" s="782"/>
      <c r="CI70" s="782"/>
      <c r="CJ70" s="782"/>
      <c r="CK70" s="782"/>
      <c r="CL70" s="782"/>
      <c r="CM70" s="782"/>
      <c r="CN70" s="782"/>
      <c r="CO70" s="782"/>
      <c r="CP70" s="782"/>
    </row>
    <row r="71" ht="15" customHeight="1" spans="2:94">
      <c r="B71" s="767" t="s">
        <v>1515</v>
      </c>
      <c r="C71" s="785"/>
      <c r="D71" s="785"/>
      <c r="E71" s="785"/>
      <c r="F71" s="785"/>
      <c r="G71" s="785"/>
      <c r="H71" s="789"/>
      <c r="I71" s="789"/>
      <c r="J71" s="770" t="s">
        <v>1534</v>
      </c>
      <c r="K71" s="770"/>
      <c r="L71" s="769" t="s">
        <v>1464</v>
      </c>
      <c r="M71" s="769" t="s">
        <v>199</v>
      </c>
      <c r="N71" s="769" t="s">
        <v>199</v>
      </c>
      <c r="O71" s="790"/>
      <c r="P71" s="790"/>
      <c r="Q71" s="790"/>
      <c r="R71" s="790"/>
      <c r="S71" s="790"/>
      <c r="T71" s="790"/>
      <c r="U71" s="790"/>
      <c r="V71" s="790"/>
      <c r="W71" s="791"/>
      <c r="X71" s="790"/>
      <c r="Y71" s="790"/>
      <c r="Z71" s="790"/>
      <c r="AA71" s="770"/>
      <c r="AB71" s="770"/>
      <c r="AC71" s="769" t="s">
        <v>199</v>
      </c>
      <c r="AD71" s="769" t="s">
        <v>199</v>
      </c>
      <c r="AE71" s="769" t="s">
        <v>199</v>
      </c>
      <c r="AF71" s="790"/>
      <c r="AG71" s="790"/>
      <c r="AH71" s="790"/>
      <c r="AI71" s="790"/>
      <c r="AJ71" s="790"/>
      <c r="AK71" s="790"/>
      <c r="AL71" s="790"/>
      <c r="AM71" s="790"/>
      <c r="AN71" s="790"/>
      <c r="AO71" s="790"/>
      <c r="AP71" s="790"/>
      <c r="AQ71" s="790"/>
      <c r="AR71" s="790"/>
      <c r="AS71" s="770"/>
      <c r="AT71" s="769" t="s">
        <v>199</v>
      </c>
      <c r="AU71" s="769" t="s">
        <v>199</v>
      </c>
      <c r="AV71" s="769" t="s">
        <v>199</v>
      </c>
      <c r="AW71" s="790"/>
      <c r="AX71" s="790"/>
      <c r="AY71" s="790"/>
      <c r="AZ71" s="790"/>
      <c r="BA71" s="790"/>
      <c r="BB71" s="790"/>
      <c r="BC71" s="790"/>
      <c r="BD71" s="790"/>
      <c r="BE71" s="790"/>
      <c r="BF71" s="790"/>
      <c r="BG71" s="790"/>
      <c r="BH71" s="790"/>
      <c r="BI71" s="790"/>
      <c r="BJ71" s="770"/>
      <c r="BK71" s="769" t="s">
        <v>199</v>
      </c>
      <c r="BL71" s="769" t="s">
        <v>199</v>
      </c>
      <c r="BM71" s="769" t="s">
        <v>199</v>
      </c>
      <c r="BN71" s="790"/>
      <c r="BO71" s="790"/>
      <c r="BP71" s="790"/>
      <c r="BQ71" s="790"/>
      <c r="BR71" s="790"/>
      <c r="BS71" s="790"/>
      <c r="BT71" s="790"/>
      <c r="BU71" s="790"/>
      <c r="BV71" s="790"/>
      <c r="BW71" s="790"/>
      <c r="BX71" s="790"/>
      <c r="BY71" s="790"/>
      <c r="BZ71" s="790"/>
      <c r="CA71" s="770"/>
      <c r="CB71" s="769" t="s">
        <v>199</v>
      </c>
      <c r="CC71" s="769" t="s">
        <v>199</v>
      </c>
      <c r="CD71" s="769" t="s">
        <v>199</v>
      </c>
      <c r="CE71" s="790"/>
      <c r="CF71" s="790"/>
      <c r="CG71" s="790"/>
      <c r="CH71" s="790"/>
      <c r="CI71" s="790"/>
      <c r="CJ71" s="790"/>
      <c r="CK71" s="790"/>
      <c r="CL71" s="790"/>
      <c r="CM71" s="790"/>
      <c r="CN71" s="790"/>
      <c r="CO71" s="790"/>
      <c r="CP71" s="790"/>
    </row>
    <row r="72" ht="15" customHeight="1" spans="2:94">
      <c r="B72" s="767" t="s">
        <v>1516</v>
      </c>
      <c r="C72" s="785"/>
      <c r="D72" s="785"/>
      <c r="E72" s="785"/>
      <c r="F72" s="785"/>
      <c r="G72" s="785"/>
      <c r="H72" s="789"/>
      <c r="I72" s="789"/>
      <c r="J72" s="770" t="s">
        <v>1534</v>
      </c>
      <c r="K72" s="770"/>
      <c r="L72" s="769" t="s">
        <v>1464</v>
      </c>
      <c r="M72" s="769" t="s">
        <v>199</v>
      </c>
      <c r="N72" s="769" t="s">
        <v>199</v>
      </c>
      <c r="O72" s="790"/>
      <c r="P72" s="790"/>
      <c r="Q72" s="790"/>
      <c r="R72" s="790"/>
      <c r="S72" s="790"/>
      <c r="T72" s="790"/>
      <c r="U72" s="790"/>
      <c r="V72" s="790"/>
      <c r="W72" s="791"/>
      <c r="X72" s="790"/>
      <c r="Y72" s="790"/>
      <c r="Z72" s="790"/>
      <c r="AA72" s="770"/>
      <c r="AB72" s="770"/>
      <c r="AC72" s="769" t="s">
        <v>199</v>
      </c>
      <c r="AD72" s="769" t="s">
        <v>199</v>
      </c>
      <c r="AE72" s="769" t="s">
        <v>199</v>
      </c>
      <c r="AF72" s="790"/>
      <c r="AG72" s="790"/>
      <c r="AH72" s="790"/>
      <c r="AI72" s="790"/>
      <c r="AJ72" s="790"/>
      <c r="AK72" s="790"/>
      <c r="AL72" s="790"/>
      <c r="AM72" s="790"/>
      <c r="AN72" s="790"/>
      <c r="AO72" s="790"/>
      <c r="AP72" s="790"/>
      <c r="AQ72" s="790"/>
      <c r="AR72" s="790"/>
      <c r="AS72" s="770"/>
      <c r="AT72" s="769" t="s">
        <v>199</v>
      </c>
      <c r="AU72" s="769" t="s">
        <v>199</v>
      </c>
      <c r="AV72" s="769" t="s">
        <v>199</v>
      </c>
      <c r="AW72" s="790"/>
      <c r="AX72" s="790"/>
      <c r="AY72" s="790"/>
      <c r="AZ72" s="790"/>
      <c r="BA72" s="790"/>
      <c r="BB72" s="790"/>
      <c r="BC72" s="790"/>
      <c r="BD72" s="790"/>
      <c r="BE72" s="790"/>
      <c r="BF72" s="790"/>
      <c r="BG72" s="790"/>
      <c r="BH72" s="790"/>
      <c r="BI72" s="790"/>
      <c r="BJ72" s="770"/>
      <c r="BK72" s="769" t="s">
        <v>199</v>
      </c>
      <c r="BL72" s="769" t="s">
        <v>199</v>
      </c>
      <c r="BM72" s="769" t="s">
        <v>199</v>
      </c>
      <c r="BN72" s="790"/>
      <c r="BO72" s="790"/>
      <c r="BP72" s="790"/>
      <c r="BQ72" s="790"/>
      <c r="BR72" s="790"/>
      <c r="BS72" s="790"/>
      <c r="BT72" s="790"/>
      <c r="BU72" s="790"/>
      <c r="BV72" s="790"/>
      <c r="BW72" s="790"/>
      <c r="BX72" s="790"/>
      <c r="BY72" s="790"/>
      <c r="BZ72" s="790"/>
      <c r="CA72" s="770"/>
      <c r="CB72" s="769" t="s">
        <v>199</v>
      </c>
      <c r="CC72" s="769" t="s">
        <v>199</v>
      </c>
      <c r="CD72" s="769" t="s">
        <v>199</v>
      </c>
      <c r="CE72" s="790"/>
      <c r="CF72" s="790"/>
      <c r="CG72" s="790"/>
      <c r="CH72" s="790"/>
      <c r="CI72" s="790"/>
      <c r="CJ72" s="790"/>
      <c r="CK72" s="790"/>
      <c r="CL72" s="790"/>
      <c r="CM72" s="790"/>
      <c r="CN72" s="790"/>
      <c r="CO72" s="790"/>
      <c r="CP72" s="790"/>
    </row>
    <row r="73" ht="15" customHeight="1" spans="2:94">
      <c r="B73" s="767" t="s">
        <v>1517</v>
      </c>
      <c r="C73" s="785"/>
      <c r="D73" s="785"/>
      <c r="E73" s="785"/>
      <c r="F73" s="785"/>
      <c r="G73" s="785"/>
      <c r="H73" s="789"/>
      <c r="I73" s="789"/>
      <c r="J73" s="792"/>
      <c r="K73" s="792"/>
      <c r="L73" s="769" t="s">
        <v>1464</v>
      </c>
      <c r="M73" s="769" t="s">
        <v>199</v>
      </c>
      <c r="N73" s="769" t="s">
        <v>199</v>
      </c>
      <c r="O73" s="790"/>
      <c r="P73" s="790"/>
      <c r="Q73" s="790"/>
      <c r="R73" s="790"/>
      <c r="S73" s="790"/>
      <c r="T73" s="790"/>
      <c r="U73" s="790"/>
      <c r="V73" s="790"/>
      <c r="W73" s="791"/>
      <c r="X73" s="790"/>
      <c r="Y73" s="790"/>
      <c r="Z73" s="790"/>
      <c r="AA73" s="770"/>
      <c r="AB73" s="792"/>
      <c r="AC73" s="769" t="s">
        <v>199</v>
      </c>
      <c r="AD73" s="769" t="s">
        <v>199</v>
      </c>
      <c r="AE73" s="769" t="s">
        <v>199</v>
      </c>
      <c r="AF73" s="790"/>
      <c r="AG73" s="790"/>
      <c r="AH73" s="790"/>
      <c r="AI73" s="790"/>
      <c r="AJ73" s="790"/>
      <c r="AK73" s="790"/>
      <c r="AL73" s="790"/>
      <c r="AM73" s="790"/>
      <c r="AN73" s="790"/>
      <c r="AO73" s="790"/>
      <c r="AP73" s="790"/>
      <c r="AQ73" s="790"/>
      <c r="AR73" s="790"/>
      <c r="AS73" s="792"/>
      <c r="AT73" s="769" t="s">
        <v>199</v>
      </c>
      <c r="AU73" s="769" t="s">
        <v>199</v>
      </c>
      <c r="AV73" s="769" t="s">
        <v>199</v>
      </c>
      <c r="AW73" s="790"/>
      <c r="AX73" s="790"/>
      <c r="AY73" s="790"/>
      <c r="AZ73" s="790"/>
      <c r="BA73" s="790"/>
      <c r="BB73" s="790"/>
      <c r="BC73" s="790"/>
      <c r="BD73" s="790"/>
      <c r="BE73" s="790"/>
      <c r="BF73" s="790"/>
      <c r="BG73" s="790"/>
      <c r="BH73" s="790"/>
      <c r="BI73" s="790"/>
      <c r="BJ73" s="792"/>
      <c r="BK73" s="769" t="s">
        <v>199</v>
      </c>
      <c r="BL73" s="769" t="s">
        <v>199</v>
      </c>
      <c r="BM73" s="769" t="s">
        <v>199</v>
      </c>
      <c r="BN73" s="790"/>
      <c r="BO73" s="790"/>
      <c r="BP73" s="790"/>
      <c r="BQ73" s="790"/>
      <c r="BR73" s="790"/>
      <c r="BS73" s="790"/>
      <c r="BT73" s="790"/>
      <c r="BU73" s="790"/>
      <c r="BV73" s="790"/>
      <c r="BW73" s="790"/>
      <c r="BX73" s="790"/>
      <c r="BY73" s="790"/>
      <c r="BZ73" s="790"/>
      <c r="CA73" s="792"/>
      <c r="CB73" s="769" t="s">
        <v>199</v>
      </c>
      <c r="CC73" s="769" t="s">
        <v>199</v>
      </c>
      <c r="CD73" s="769" t="s">
        <v>199</v>
      </c>
      <c r="CE73" s="790"/>
      <c r="CF73" s="790"/>
      <c r="CG73" s="790"/>
      <c r="CH73" s="790"/>
      <c r="CI73" s="790"/>
      <c r="CJ73" s="790"/>
      <c r="CK73" s="790"/>
      <c r="CL73" s="790"/>
      <c r="CM73" s="790"/>
      <c r="CN73" s="790"/>
      <c r="CO73" s="790"/>
      <c r="CP73" s="790"/>
    </row>
    <row r="74" ht="15" customHeight="1" spans="2:94">
      <c r="B74" s="767" t="s">
        <v>1518</v>
      </c>
      <c r="C74" s="785"/>
      <c r="D74" s="785"/>
      <c r="E74" s="785"/>
      <c r="F74" s="785"/>
      <c r="G74" s="785"/>
      <c r="H74" s="793"/>
      <c r="I74" s="793"/>
      <c r="J74" s="793"/>
      <c r="K74" s="793"/>
      <c r="L74" s="769" t="s">
        <v>1464</v>
      </c>
      <c r="M74" s="769" t="s">
        <v>199</v>
      </c>
      <c r="N74" s="769" t="s">
        <v>199</v>
      </c>
      <c r="O74" s="790"/>
      <c r="P74" s="790"/>
      <c r="Q74" s="790"/>
      <c r="R74" s="790"/>
      <c r="S74" s="790"/>
      <c r="T74" s="790"/>
      <c r="U74" s="790"/>
      <c r="V74" s="790"/>
      <c r="W74" s="791"/>
      <c r="X74" s="790"/>
      <c r="Y74" s="790"/>
      <c r="Z74" s="790"/>
      <c r="AA74" s="770"/>
      <c r="AB74" s="793"/>
      <c r="AC74" s="769" t="s">
        <v>199</v>
      </c>
      <c r="AD74" s="769" t="s">
        <v>199</v>
      </c>
      <c r="AE74" s="769" t="s">
        <v>199</v>
      </c>
      <c r="AF74" s="790"/>
      <c r="AG74" s="790"/>
      <c r="AH74" s="790"/>
      <c r="AI74" s="790"/>
      <c r="AJ74" s="790"/>
      <c r="AK74" s="790"/>
      <c r="AL74" s="790"/>
      <c r="AM74" s="790"/>
      <c r="AN74" s="790"/>
      <c r="AO74" s="790"/>
      <c r="AP74" s="790"/>
      <c r="AQ74" s="790"/>
      <c r="AR74" s="790"/>
      <c r="AS74" s="793"/>
      <c r="AT74" s="769" t="s">
        <v>199</v>
      </c>
      <c r="AU74" s="769" t="s">
        <v>199</v>
      </c>
      <c r="AV74" s="769" t="s">
        <v>199</v>
      </c>
      <c r="AW74" s="790"/>
      <c r="AX74" s="790"/>
      <c r="AY74" s="790"/>
      <c r="AZ74" s="790"/>
      <c r="BA74" s="790"/>
      <c r="BB74" s="790"/>
      <c r="BC74" s="790"/>
      <c r="BD74" s="790"/>
      <c r="BE74" s="790"/>
      <c r="BF74" s="790"/>
      <c r="BG74" s="790"/>
      <c r="BH74" s="790"/>
      <c r="BI74" s="790"/>
      <c r="BJ74" s="793"/>
      <c r="BK74" s="769" t="s">
        <v>199</v>
      </c>
      <c r="BL74" s="769" t="s">
        <v>199</v>
      </c>
      <c r="BM74" s="769" t="s">
        <v>199</v>
      </c>
      <c r="BN74" s="790"/>
      <c r="BO74" s="790"/>
      <c r="BP74" s="790"/>
      <c r="BQ74" s="790"/>
      <c r="BR74" s="790"/>
      <c r="BS74" s="790"/>
      <c r="BT74" s="790"/>
      <c r="BU74" s="790"/>
      <c r="BV74" s="790"/>
      <c r="BW74" s="790"/>
      <c r="BX74" s="790"/>
      <c r="BY74" s="790"/>
      <c r="BZ74" s="790"/>
      <c r="CA74" s="793"/>
      <c r="CB74" s="769" t="s">
        <v>199</v>
      </c>
      <c r="CC74" s="769" t="s">
        <v>199</v>
      </c>
      <c r="CD74" s="769" t="s">
        <v>199</v>
      </c>
      <c r="CE74" s="790"/>
      <c r="CF74" s="790"/>
      <c r="CG74" s="790"/>
      <c r="CH74" s="790"/>
      <c r="CI74" s="790"/>
      <c r="CJ74" s="790"/>
      <c r="CK74" s="790"/>
      <c r="CL74" s="790"/>
      <c r="CM74" s="790"/>
      <c r="CN74" s="790"/>
      <c r="CO74" s="790"/>
      <c r="CP74" s="790"/>
    </row>
    <row r="75" ht="15" customHeight="1" spans="2:94">
      <c r="B75" s="767" t="s">
        <v>1519</v>
      </c>
      <c r="C75" s="785"/>
      <c r="D75" s="785"/>
      <c r="E75" s="785"/>
      <c r="F75" s="785"/>
      <c r="G75" s="785"/>
      <c r="H75" s="789"/>
      <c r="I75" s="789"/>
      <c r="J75" s="793"/>
      <c r="K75" s="793"/>
      <c r="L75" s="769" t="s">
        <v>1464</v>
      </c>
      <c r="M75" s="769" t="s">
        <v>199</v>
      </c>
      <c r="N75" s="769" t="s">
        <v>199</v>
      </c>
      <c r="O75" s="790"/>
      <c r="P75" s="790"/>
      <c r="Q75" s="790"/>
      <c r="R75" s="790"/>
      <c r="S75" s="790"/>
      <c r="T75" s="790"/>
      <c r="U75" s="790"/>
      <c r="V75" s="790"/>
      <c r="W75" s="791"/>
      <c r="X75" s="790"/>
      <c r="Y75" s="790"/>
      <c r="Z75" s="790"/>
      <c r="AA75" s="770"/>
      <c r="AB75" s="793"/>
      <c r="AC75" s="769" t="s">
        <v>199</v>
      </c>
      <c r="AD75" s="769" t="s">
        <v>199</v>
      </c>
      <c r="AE75" s="769" t="s">
        <v>199</v>
      </c>
      <c r="AF75" s="790"/>
      <c r="AG75" s="790"/>
      <c r="AH75" s="790"/>
      <c r="AI75" s="790"/>
      <c r="AJ75" s="790"/>
      <c r="AK75" s="790"/>
      <c r="AL75" s="790"/>
      <c r="AM75" s="790"/>
      <c r="AN75" s="790"/>
      <c r="AO75" s="790"/>
      <c r="AP75" s="790"/>
      <c r="AQ75" s="790"/>
      <c r="AR75" s="790"/>
      <c r="AS75" s="793"/>
      <c r="AT75" s="769" t="s">
        <v>199</v>
      </c>
      <c r="AU75" s="769" t="s">
        <v>199</v>
      </c>
      <c r="AV75" s="769" t="s">
        <v>199</v>
      </c>
      <c r="AW75" s="790"/>
      <c r="AX75" s="790"/>
      <c r="AY75" s="790"/>
      <c r="AZ75" s="790"/>
      <c r="BA75" s="790"/>
      <c r="BB75" s="790"/>
      <c r="BC75" s="790"/>
      <c r="BD75" s="790"/>
      <c r="BE75" s="790"/>
      <c r="BF75" s="790"/>
      <c r="BG75" s="790"/>
      <c r="BH75" s="790"/>
      <c r="BI75" s="790"/>
      <c r="BJ75" s="793"/>
      <c r="BK75" s="769" t="s">
        <v>199</v>
      </c>
      <c r="BL75" s="769" t="s">
        <v>199</v>
      </c>
      <c r="BM75" s="769" t="s">
        <v>199</v>
      </c>
      <c r="BN75" s="790"/>
      <c r="BO75" s="790"/>
      <c r="BP75" s="790"/>
      <c r="BQ75" s="790"/>
      <c r="BR75" s="790"/>
      <c r="BS75" s="790"/>
      <c r="BT75" s="790"/>
      <c r="BU75" s="790"/>
      <c r="BV75" s="790"/>
      <c r="BW75" s="790"/>
      <c r="BX75" s="790"/>
      <c r="BY75" s="790"/>
      <c r="BZ75" s="790"/>
      <c r="CA75" s="793"/>
      <c r="CB75" s="769" t="s">
        <v>199</v>
      </c>
      <c r="CC75" s="769" t="s">
        <v>199</v>
      </c>
      <c r="CD75" s="769" t="s">
        <v>199</v>
      </c>
      <c r="CE75" s="790"/>
      <c r="CF75" s="790"/>
      <c r="CG75" s="790"/>
      <c r="CH75" s="790"/>
      <c r="CI75" s="790"/>
      <c r="CJ75" s="790"/>
      <c r="CK75" s="790"/>
      <c r="CL75" s="790"/>
      <c r="CM75" s="790"/>
      <c r="CN75" s="790"/>
      <c r="CO75" s="790"/>
      <c r="CP75" s="790"/>
    </row>
    <row r="76" ht="15" customHeight="1" spans="2:94">
      <c r="B76" s="767" t="s">
        <v>1520</v>
      </c>
      <c r="C76" s="785"/>
      <c r="D76" s="785"/>
      <c r="E76" s="785"/>
      <c r="F76" s="785"/>
      <c r="G76" s="785"/>
      <c r="H76" s="793"/>
      <c r="I76" s="793"/>
      <c r="J76" s="793"/>
      <c r="K76" s="793"/>
      <c r="L76" s="769" t="s">
        <v>1464</v>
      </c>
      <c r="M76" s="769" t="s">
        <v>199</v>
      </c>
      <c r="N76" s="769" t="s">
        <v>199</v>
      </c>
      <c r="O76" s="790"/>
      <c r="P76" s="790"/>
      <c r="Q76" s="790"/>
      <c r="R76" s="790"/>
      <c r="S76" s="790"/>
      <c r="T76" s="790"/>
      <c r="U76" s="790"/>
      <c r="V76" s="790"/>
      <c r="W76" s="791"/>
      <c r="X76" s="790"/>
      <c r="Y76" s="790"/>
      <c r="Z76" s="790"/>
      <c r="AA76" s="770"/>
      <c r="AB76" s="793"/>
      <c r="AC76" s="769" t="s">
        <v>199</v>
      </c>
      <c r="AD76" s="769" t="s">
        <v>199</v>
      </c>
      <c r="AE76" s="769" t="s">
        <v>199</v>
      </c>
      <c r="AF76" s="790"/>
      <c r="AG76" s="790"/>
      <c r="AH76" s="790"/>
      <c r="AI76" s="790"/>
      <c r="AJ76" s="790"/>
      <c r="AK76" s="790"/>
      <c r="AL76" s="790"/>
      <c r="AM76" s="790"/>
      <c r="AN76" s="790"/>
      <c r="AO76" s="790"/>
      <c r="AP76" s="790"/>
      <c r="AQ76" s="790"/>
      <c r="AR76" s="790"/>
      <c r="AS76" s="793"/>
      <c r="AT76" s="769" t="s">
        <v>199</v>
      </c>
      <c r="AU76" s="769" t="s">
        <v>199</v>
      </c>
      <c r="AV76" s="769" t="s">
        <v>199</v>
      </c>
      <c r="AW76" s="790"/>
      <c r="AX76" s="790"/>
      <c r="AY76" s="790"/>
      <c r="AZ76" s="790"/>
      <c r="BA76" s="790"/>
      <c r="BB76" s="790"/>
      <c r="BC76" s="790"/>
      <c r="BD76" s="790"/>
      <c r="BE76" s="790"/>
      <c r="BF76" s="790"/>
      <c r="BG76" s="790"/>
      <c r="BH76" s="790"/>
      <c r="BI76" s="790"/>
      <c r="BJ76" s="793"/>
      <c r="BK76" s="769" t="s">
        <v>199</v>
      </c>
      <c r="BL76" s="769" t="s">
        <v>199</v>
      </c>
      <c r="BM76" s="769" t="s">
        <v>199</v>
      </c>
      <c r="BN76" s="790"/>
      <c r="BO76" s="790"/>
      <c r="BP76" s="790"/>
      <c r="BQ76" s="790"/>
      <c r="BR76" s="790"/>
      <c r="BS76" s="790"/>
      <c r="BT76" s="790"/>
      <c r="BU76" s="790"/>
      <c r="BV76" s="790"/>
      <c r="BW76" s="790"/>
      <c r="BX76" s="790"/>
      <c r="BY76" s="790"/>
      <c r="BZ76" s="790"/>
      <c r="CA76" s="793"/>
      <c r="CB76" s="769" t="s">
        <v>199</v>
      </c>
      <c r="CC76" s="769" t="s">
        <v>199</v>
      </c>
      <c r="CD76" s="769" t="s">
        <v>199</v>
      </c>
      <c r="CE76" s="790"/>
      <c r="CF76" s="790"/>
      <c r="CG76" s="790"/>
      <c r="CH76" s="790"/>
      <c r="CI76" s="790"/>
      <c r="CJ76" s="790"/>
      <c r="CK76" s="790"/>
      <c r="CL76" s="790"/>
      <c r="CM76" s="790"/>
      <c r="CN76" s="790"/>
      <c r="CO76" s="790"/>
      <c r="CP76" s="790"/>
    </row>
    <row r="77" ht="15" customHeight="1" spans="2:94">
      <c r="B77" s="767" t="s">
        <v>1521</v>
      </c>
      <c r="C77" s="785"/>
      <c r="D77" s="785"/>
      <c r="E77" s="785"/>
      <c r="F77" s="785"/>
      <c r="G77" s="785"/>
      <c r="H77" s="789"/>
      <c r="I77" s="789"/>
      <c r="J77" s="793"/>
      <c r="K77" s="793"/>
      <c r="L77" s="769" t="s">
        <v>1464</v>
      </c>
      <c r="M77" s="769" t="s">
        <v>199</v>
      </c>
      <c r="N77" s="769" t="s">
        <v>199</v>
      </c>
      <c r="O77" s="790"/>
      <c r="P77" s="790"/>
      <c r="Q77" s="790"/>
      <c r="R77" s="790"/>
      <c r="S77" s="790"/>
      <c r="T77" s="790"/>
      <c r="U77" s="790"/>
      <c r="V77" s="790"/>
      <c r="W77" s="791"/>
      <c r="X77" s="790"/>
      <c r="Y77" s="790"/>
      <c r="Z77" s="790"/>
      <c r="AA77" s="770"/>
      <c r="AB77" s="793"/>
      <c r="AC77" s="769" t="s">
        <v>199</v>
      </c>
      <c r="AD77" s="769" t="s">
        <v>199</v>
      </c>
      <c r="AE77" s="769" t="s">
        <v>199</v>
      </c>
      <c r="AF77" s="790"/>
      <c r="AG77" s="790"/>
      <c r="AH77" s="790"/>
      <c r="AI77" s="790"/>
      <c r="AJ77" s="790"/>
      <c r="AK77" s="790"/>
      <c r="AL77" s="790"/>
      <c r="AM77" s="790"/>
      <c r="AN77" s="790"/>
      <c r="AO77" s="790"/>
      <c r="AP77" s="790"/>
      <c r="AQ77" s="790"/>
      <c r="AR77" s="790"/>
      <c r="AS77" s="793"/>
      <c r="AT77" s="769" t="s">
        <v>199</v>
      </c>
      <c r="AU77" s="769" t="s">
        <v>199</v>
      </c>
      <c r="AV77" s="769" t="s">
        <v>199</v>
      </c>
      <c r="AW77" s="790"/>
      <c r="AX77" s="790"/>
      <c r="AY77" s="790"/>
      <c r="AZ77" s="790"/>
      <c r="BA77" s="790"/>
      <c r="BB77" s="790"/>
      <c r="BC77" s="790"/>
      <c r="BD77" s="790"/>
      <c r="BE77" s="790"/>
      <c r="BF77" s="790"/>
      <c r="BG77" s="790"/>
      <c r="BH77" s="790"/>
      <c r="BI77" s="790"/>
      <c r="BJ77" s="793"/>
      <c r="BK77" s="769" t="s">
        <v>199</v>
      </c>
      <c r="BL77" s="769" t="s">
        <v>199</v>
      </c>
      <c r="BM77" s="769" t="s">
        <v>199</v>
      </c>
      <c r="BN77" s="790"/>
      <c r="BO77" s="790"/>
      <c r="BP77" s="790"/>
      <c r="BQ77" s="790"/>
      <c r="BR77" s="790"/>
      <c r="BS77" s="790"/>
      <c r="BT77" s="790"/>
      <c r="BU77" s="790"/>
      <c r="BV77" s="790"/>
      <c r="BW77" s="790"/>
      <c r="BX77" s="790"/>
      <c r="BY77" s="790"/>
      <c r="BZ77" s="790"/>
      <c r="CA77" s="793"/>
      <c r="CB77" s="769" t="s">
        <v>199</v>
      </c>
      <c r="CC77" s="769" t="s">
        <v>199</v>
      </c>
      <c r="CD77" s="769" t="s">
        <v>199</v>
      </c>
      <c r="CE77" s="790"/>
      <c r="CF77" s="790"/>
      <c r="CG77" s="790"/>
      <c r="CH77" s="790"/>
      <c r="CI77" s="790"/>
      <c r="CJ77" s="790"/>
      <c r="CK77" s="790"/>
      <c r="CL77" s="790"/>
      <c r="CM77" s="790"/>
      <c r="CN77" s="790"/>
      <c r="CO77" s="790"/>
      <c r="CP77" s="790"/>
    </row>
    <row r="78" ht="15" customHeight="1" spans="2:94">
      <c r="B78" s="767" t="s">
        <v>1522</v>
      </c>
      <c r="C78" s="785"/>
      <c r="D78" s="785"/>
      <c r="E78" s="785"/>
      <c r="F78" s="785"/>
      <c r="G78" s="785"/>
      <c r="H78" s="789"/>
      <c r="I78" s="789"/>
      <c r="J78" s="793"/>
      <c r="K78" s="793"/>
      <c r="L78" s="769" t="s">
        <v>1464</v>
      </c>
      <c r="M78" s="769" t="s">
        <v>199</v>
      </c>
      <c r="N78" s="769" t="s">
        <v>199</v>
      </c>
      <c r="O78" s="790"/>
      <c r="P78" s="790"/>
      <c r="Q78" s="790"/>
      <c r="R78" s="790"/>
      <c r="S78" s="790"/>
      <c r="T78" s="790"/>
      <c r="U78" s="790"/>
      <c r="V78" s="790"/>
      <c r="W78" s="791"/>
      <c r="X78" s="790"/>
      <c r="Y78" s="790"/>
      <c r="Z78" s="790"/>
      <c r="AA78" s="770"/>
      <c r="AB78" s="793"/>
      <c r="AC78" s="769" t="s">
        <v>199</v>
      </c>
      <c r="AD78" s="769" t="s">
        <v>199</v>
      </c>
      <c r="AE78" s="769" t="s">
        <v>199</v>
      </c>
      <c r="AF78" s="790"/>
      <c r="AG78" s="790"/>
      <c r="AH78" s="790"/>
      <c r="AI78" s="790"/>
      <c r="AJ78" s="790"/>
      <c r="AK78" s="790"/>
      <c r="AL78" s="790"/>
      <c r="AM78" s="790"/>
      <c r="AN78" s="790"/>
      <c r="AO78" s="790"/>
      <c r="AP78" s="790"/>
      <c r="AQ78" s="790"/>
      <c r="AR78" s="790"/>
      <c r="AS78" s="793"/>
      <c r="AT78" s="769" t="s">
        <v>199</v>
      </c>
      <c r="AU78" s="769" t="s">
        <v>199</v>
      </c>
      <c r="AV78" s="769" t="s">
        <v>199</v>
      </c>
      <c r="AW78" s="790"/>
      <c r="AX78" s="790"/>
      <c r="AY78" s="790"/>
      <c r="AZ78" s="790"/>
      <c r="BA78" s="790"/>
      <c r="BB78" s="790"/>
      <c r="BC78" s="790"/>
      <c r="BD78" s="790"/>
      <c r="BE78" s="790"/>
      <c r="BF78" s="790"/>
      <c r="BG78" s="790"/>
      <c r="BH78" s="790"/>
      <c r="BI78" s="790"/>
      <c r="BJ78" s="793"/>
      <c r="BK78" s="769" t="s">
        <v>199</v>
      </c>
      <c r="BL78" s="769" t="s">
        <v>199</v>
      </c>
      <c r="BM78" s="769" t="s">
        <v>199</v>
      </c>
      <c r="BN78" s="790"/>
      <c r="BO78" s="790"/>
      <c r="BP78" s="790"/>
      <c r="BQ78" s="790"/>
      <c r="BR78" s="790"/>
      <c r="BS78" s="790"/>
      <c r="BT78" s="790"/>
      <c r="BU78" s="790"/>
      <c r="BV78" s="790"/>
      <c r="BW78" s="790"/>
      <c r="BX78" s="790"/>
      <c r="BY78" s="790"/>
      <c r="BZ78" s="790"/>
      <c r="CA78" s="793"/>
      <c r="CB78" s="769" t="s">
        <v>199</v>
      </c>
      <c r="CC78" s="769" t="s">
        <v>199</v>
      </c>
      <c r="CD78" s="769" t="s">
        <v>199</v>
      </c>
      <c r="CE78" s="790"/>
      <c r="CF78" s="790"/>
      <c r="CG78" s="790"/>
      <c r="CH78" s="790"/>
      <c r="CI78" s="790"/>
      <c r="CJ78" s="790"/>
      <c r="CK78" s="790"/>
      <c r="CL78" s="790"/>
      <c r="CM78" s="790"/>
      <c r="CN78" s="790"/>
      <c r="CO78" s="790"/>
      <c r="CP78" s="790"/>
    </row>
    <row r="79" ht="15" customHeight="1" spans="2:94">
      <c r="B79" s="767" t="s">
        <v>1523</v>
      </c>
      <c r="C79" s="785"/>
      <c r="D79" s="785"/>
      <c r="E79" s="785"/>
      <c r="F79" s="785"/>
      <c r="G79" s="785"/>
      <c r="H79" s="793"/>
      <c r="I79" s="793"/>
      <c r="J79" s="793"/>
      <c r="K79" s="793"/>
      <c r="L79" s="769" t="s">
        <v>1464</v>
      </c>
      <c r="M79" s="769" t="s">
        <v>199</v>
      </c>
      <c r="N79" s="769" t="s">
        <v>199</v>
      </c>
      <c r="O79" s="790"/>
      <c r="P79" s="790"/>
      <c r="Q79" s="790"/>
      <c r="R79" s="790"/>
      <c r="S79" s="790"/>
      <c r="T79" s="790"/>
      <c r="U79" s="790"/>
      <c r="V79" s="790"/>
      <c r="W79" s="791"/>
      <c r="X79" s="790"/>
      <c r="Y79" s="790"/>
      <c r="Z79" s="790"/>
      <c r="AA79" s="770"/>
      <c r="AB79" s="793"/>
      <c r="AC79" s="769" t="s">
        <v>199</v>
      </c>
      <c r="AD79" s="769" t="s">
        <v>199</v>
      </c>
      <c r="AE79" s="769" t="s">
        <v>199</v>
      </c>
      <c r="AF79" s="790"/>
      <c r="AG79" s="790"/>
      <c r="AH79" s="790"/>
      <c r="AI79" s="790"/>
      <c r="AJ79" s="790"/>
      <c r="AK79" s="790"/>
      <c r="AL79" s="790"/>
      <c r="AM79" s="790"/>
      <c r="AN79" s="790"/>
      <c r="AO79" s="790"/>
      <c r="AP79" s="790"/>
      <c r="AQ79" s="790"/>
      <c r="AR79" s="790"/>
      <c r="AS79" s="793"/>
      <c r="AT79" s="769" t="s">
        <v>199</v>
      </c>
      <c r="AU79" s="769" t="s">
        <v>199</v>
      </c>
      <c r="AV79" s="769" t="s">
        <v>199</v>
      </c>
      <c r="AW79" s="790"/>
      <c r="AX79" s="790"/>
      <c r="AY79" s="790"/>
      <c r="AZ79" s="790"/>
      <c r="BA79" s="790"/>
      <c r="BB79" s="790"/>
      <c r="BC79" s="790"/>
      <c r="BD79" s="790"/>
      <c r="BE79" s="790"/>
      <c r="BF79" s="790"/>
      <c r="BG79" s="790"/>
      <c r="BH79" s="790"/>
      <c r="BI79" s="790"/>
      <c r="BJ79" s="793"/>
      <c r="BK79" s="769" t="s">
        <v>199</v>
      </c>
      <c r="BL79" s="769" t="s">
        <v>199</v>
      </c>
      <c r="BM79" s="769" t="s">
        <v>199</v>
      </c>
      <c r="BN79" s="790"/>
      <c r="BO79" s="790"/>
      <c r="BP79" s="790"/>
      <c r="BQ79" s="790"/>
      <c r="BR79" s="790"/>
      <c r="BS79" s="790"/>
      <c r="BT79" s="790"/>
      <c r="BU79" s="790"/>
      <c r="BV79" s="790"/>
      <c r="BW79" s="790"/>
      <c r="BX79" s="790"/>
      <c r="BY79" s="790"/>
      <c r="BZ79" s="790"/>
      <c r="CA79" s="793"/>
      <c r="CB79" s="769" t="s">
        <v>199</v>
      </c>
      <c r="CC79" s="769" t="s">
        <v>199</v>
      </c>
      <c r="CD79" s="769" t="s">
        <v>199</v>
      </c>
      <c r="CE79" s="790"/>
      <c r="CF79" s="790"/>
      <c r="CG79" s="790"/>
      <c r="CH79" s="790"/>
      <c r="CI79" s="790"/>
      <c r="CJ79" s="790"/>
      <c r="CK79" s="790"/>
      <c r="CL79" s="790"/>
      <c r="CM79" s="790"/>
      <c r="CN79" s="790"/>
      <c r="CO79" s="790"/>
      <c r="CP79" s="790"/>
    </row>
    <row r="80" ht="15" customHeight="1" spans="2:94">
      <c r="B80" s="767" t="s">
        <v>1524</v>
      </c>
      <c r="C80" s="785"/>
      <c r="D80" s="785"/>
      <c r="E80" s="785"/>
      <c r="F80" s="785"/>
      <c r="G80" s="785"/>
      <c r="H80" s="793"/>
      <c r="I80" s="793"/>
      <c r="J80" s="793"/>
      <c r="K80" s="793"/>
      <c r="L80" s="769" t="s">
        <v>1464</v>
      </c>
      <c r="M80" s="769" t="s">
        <v>199</v>
      </c>
      <c r="N80" s="769" t="s">
        <v>199</v>
      </c>
      <c r="O80" s="790"/>
      <c r="P80" s="790"/>
      <c r="Q80" s="790"/>
      <c r="R80" s="790"/>
      <c r="S80" s="790"/>
      <c r="T80" s="790"/>
      <c r="U80" s="790"/>
      <c r="V80" s="790"/>
      <c r="W80" s="791"/>
      <c r="X80" s="790"/>
      <c r="Y80" s="790"/>
      <c r="Z80" s="790"/>
      <c r="AA80" s="770"/>
      <c r="AB80" s="793"/>
      <c r="AC80" s="769" t="s">
        <v>199</v>
      </c>
      <c r="AD80" s="769" t="s">
        <v>199</v>
      </c>
      <c r="AE80" s="769" t="s">
        <v>199</v>
      </c>
      <c r="AF80" s="790"/>
      <c r="AG80" s="790"/>
      <c r="AH80" s="790"/>
      <c r="AI80" s="790"/>
      <c r="AJ80" s="790"/>
      <c r="AK80" s="790"/>
      <c r="AL80" s="790"/>
      <c r="AM80" s="790"/>
      <c r="AN80" s="790"/>
      <c r="AO80" s="790"/>
      <c r="AP80" s="790"/>
      <c r="AQ80" s="790"/>
      <c r="AR80" s="790"/>
      <c r="AS80" s="793"/>
      <c r="AT80" s="769" t="s">
        <v>199</v>
      </c>
      <c r="AU80" s="769" t="s">
        <v>199</v>
      </c>
      <c r="AV80" s="769" t="s">
        <v>199</v>
      </c>
      <c r="AW80" s="790"/>
      <c r="AX80" s="790"/>
      <c r="AY80" s="790"/>
      <c r="AZ80" s="790"/>
      <c r="BA80" s="790"/>
      <c r="BB80" s="790"/>
      <c r="BC80" s="790"/>
      <c r="BD80" s="790"/>
      <c r="BE80" s="790"/>
      <c r="BF80" s="790"/>
      <c r="BG80" s="790"/>
      <c r="BH80" s="790"/>
      <c r="BI80" s="790"/>
      <c r="BJ80" s="793"/>
      <c r="BK80" s="769" t="s">
        <v>199</v>
      </c>
      <c r="BL80" s="769" t="s">
        <v>199</v>
      </c>
      <c r="BM80" s="769" t="s">
        <v>199</v>
      </c>
      <c r="BN80" s="790"/>
      <c r="BO80" s="790"/>
      <c r="BP80" s="790"/>
      <c r="BQ80" s="790"/>
      <c r="BR80" s="790"/>
      <c r="BS80" s="790"/>
      <c r="BT80" s="790"/>
      <c r="BU80" s="790"/>
      <c r="BV80" s="790"/>
      <c r="BW80" s="790"/>
      <c r="BX80" s="790"/>
      <c r="BY80" s="790"/>
      <c r="BZ80" s="790"/>
      <c r="CA80" s="793"/>
      <c r="CB80" s="769" t="s">
        <v>199</v>
      </c>
      <c r="CC80" s="769" t="s">
        <v>199</v>
      </c>
      <c r="CD80" s="769" t="s">
        <v>199</v>
      </c>
      <c r="CE80" s="790"/>
      <c r="CF80" s="790"/>
      <c r="CG80" s="790"/>
      <c r="CH80" s="790"/>
      <c r="CI80" s="790"/>
      <c r="CJ80" s="790"/>
      <c r="CK80" s="790"/>
      <c r="CL80" s="790"/>
      <c r="CM80" s="790"/>
      <c r="CN80" s="790"/>
      <c r="CO80" s="790"/>
      <c r="CP80" s="790"/>
    </row>
    <row r="81" ht="15" customHeight="1" spans="2:94">
      <c r="B81" s="767" t="s">
        <v>1525</v>
      </c>
      <c r="C81" s="785"/>
      <c r="D81" s="785"/>
      <c r="E81" s="785"/>
      <c r="F81" s="785"/>
      <c r="G81" s="785"/>
      <c r="H81" s="793"/>
      <c r="I81" s="793"/>
      <c r="J81" s="793"/>
      <c r="K81" s="793"/>
      <c r="L81" s="769" t="s">
        <v>1464</v>
      </c>
      <c r="M81" s="769" t="s">
        <v>199</v>
      </c>
      <c r="N81" s="769" t="s">
        <v>199</v>
      </c>
      <c r="O81" s="790"/>
      <c r="P81" s="790"/>
      <c r="Q81" s="790"/>
      <c r="R81" s="790"/>
      <c r="S81" s="790"/>
      <c r="T81" s="790"/>
      <c r="U81" s="790"/>
      <c r="V81" s="790"/>
      <c r="W81" s="791"/>
      <c r="X81" s="790"/>
      <c r="Y81" s="790"/>
      <c r="Z81" s="790"/>
      <c r="AA81" s="770"/>
      <c r="AB81" s="793"/>
      <c r="AC81" s="769" t="s">
        <v>199</v>
      </c>
      <c r="AD81" s="769" t="s">
        <v>199</v>
      </c>
      <c r="AE81" s="769" t="s">
        <v>199</v>
      </c>
      <c r="AF81" s="790"/>
      <c r="AG81" s="790"/>
      <c r="AH81" s="790"/>
      <c r="AI81" s="790"/>
      <c r="AJ81" s="790"/>
      <c r="AK81" s="790"/>
      <c r="AL81" s="790"/>
      <c r="AM81" s="790"/>
      <c r="AN81" s="790"/>
      <c r="AO81" s="790"/>
      <c r="AP81" s="790"/>
      <c r="AQ81" s="790"/>
      <c r="AR81" s="790"/>
      <c r="AS81" s="793"/>
      <c r="AT81" s="769" t="s">
        <v>199</v>
      </c>
      <c r="AU81" s="769" t="s">
        <v>199</v>
      </c>
      <c r="AV81" s="769" t="s">
        <v>199</v>
      </c>
      <c r="AW81" s="790"/>
      <c r="AX81" s="790"/>
      <c r="AY81" s="790"/>
      <c r="AZ81" s="790"/>
      <c r="BA81" s="790"/>
      <c r="BB81" s="790"/>
      <c r="BC81" s="790"/>
      <c r="BD81" s="790"/>
      <c r="BE81" s="790"/>
      <c r="BF81" s="790"/>
      <c r="BG81" s="790"/>
      <c r="BH81" s="790"/>
      <c r="BI81" s="790"/>
      <c r="BJ81" s="793"/>
      <c r="BK81" s="769" t="s">
        <v>199</v>
      </c>
      <c r="BL81" s="769" t="s">
        <v>199</v>
      </c>
      <c r="BM81" s="769" t="s">
        <v>199</v>
      </c>
      <c r="BN81" s="790"/>
      <c r="BO81" s="790"/>
      <c r="BP81" s="790"/>
      <c r="BQ81" s="790"/>
      <c r="BR81" s="790"/>
      <c r="BS81" s="790"/>
      <c r="BT81" s="790"/>
      <c r="BU81" s="790"/>
      <c r="BV81" s="790"/>
      <c r="BW81" s="790"/>
      <c r="BX81" s="790"/>
      <c r="BY81" s="790"/>
      <c r="BZ81" s="790"/>
      <c r="CA81" s="793"/>
      <c r="CB81" s="769" t="s">
        <v>199</v>
      </c>
      <c r="CC81" s="769" t="s">
        <v>199</v>
      </c>
      <c r="CD81" s="769" t="s">
        <v>199</v>
      </c>
      <c r="CE81" s="790"/>
      <c r="CF81" s="790"/>
      <c r="CG81" s="790"/>
      <c r="CH81" s="790"/>
      <c r="CI81" s="790"/>
      <c r="CJ81" s="790"/>
      <c r="CK81" s="790"/>
      <c r="CL81" s="790"/>
      <c r="CM81" s="790"/>
      <c r="CN81" s="790"/>
      <c r="CO81" s="790"/>
      <c r="CP81" s="790"/>
    </row>
    <row r="82" ht="15" customHeight="1" spans="2:94">
      <c r="B82" s="767" t="s">
        <v>1526</v>
      </c>
      <c r="C82" s="785"/>
      <c r="D82" s="785"/>
      <c r="E82" s="785"/>
      <c r="F82" s="785"/>
      <c r="G82" s="785"/>
      <c r="H82" s="789"/>
      <c r="I82" s="789"/>
      <c r="J82" s="770" t="s">
        <v>1534</v>
      </c>
      <c r="K82" s="770"/>
      <c r="L82" s="769" t="s">
        <v>1464</v>
      </c>
      <c r="M82" s="769" t="s">
        <v>199</v>
      </c>
      <c r="N82" s="769" t="s">
        <v>199</v>
      </c>
      <c r="O82" s="790"/>
      <c r="P82" s="790"/>
      <c r="Q82" s="790"/>
      <c r="R82" s="790"/>
      <c r="S82" s="790"/>
      <c r="T82" s="790"/>
      <c r="U82" s="790"/>
      <c r="V82" s="790"/>
      <c r="W82" s="791"/>
      <c r="X82" s="790"/>
      <c r="Y82" s="790"/>
      <c r="Z82" s="790"/>
      <c r="AA82" s="770"/>
      <c r="AB82" s="770"/>
      <c r="AC82" s="769" t="s">
        <v>199</v>
      </c>
      <c r="AD82" s="769" t="s">
        <v>199</v>
      </c>
      <c r="AE82" s="769" t="s">
        <v>199</v>
      </c>
      <c r="AF82" s="790"/>
      <c r="AG82" s="790"/>
      <c r="AH82" s="790"/>
      <c r="AI82" s="790"/>
      <c r="AJ82" s="790"/>
      <c r="AK82" s="790"/>
      <c r="AL82" s="790"/>
      <c r="AM82" s="790"/>
      <c r="AN82" s="790"/>
      <c r="AO82" s="790"/>
      <c r="AP82" s="790"/>
      <c r="AQ82" s="790"/>
      <c r="AR82" s="790"/>
      <c r="AS82" s="770"/>
      <c r="AT82" s="769" t="s">
        <v>199</v>
      </c>
      <c r="AU82" s="769" t="s">
        <v>199</v>
      </c>
      <c r="AV82" s="769" t="s">
        <v>199</v>
      </c>
      <c r="AW82" s="790"/>
      <c r="AX82" s="790"/>
      <c r="AY82" s="790"/>
      <c r="AZ82" s="790"/>
      <c r="BA82" s="790"/>
      <c r="BB82" s="790"/>
      <c r="BC82" s="790"/>
      <c r="BD82" s="790"/>
      <c r="BE82" s="790"/>
      <c r="BF82" s="790"/>
      <c r="BG82" s="790"/>
      <c r="BH82" s="790"/>
      <c r="BI82" s="790"/>
      <c r="BJ82" s="770"/>
      <c r="BK82" s="769" t="s">
        <v>199</v>
      </c>
      <c r="BL82" s="769" t="s">
        <v>199</v>
      </c>
      <c r="BM82" s="769" t="s">
        <v>199</v>
      </c>
      <c r="BN82" s="790"/>
      <c r="BO82" s="790"/>
      <c r="BP82" s="790"/>
      <c r="BQ82" s="790"/>
      <c r="BR82" s="790"/>
      <c r="BS82" s="790"/>
      <c r="BT82" s="790"/>
      <c r="BU82" s="790"/>
      <c r="BV82" s="790"/>
      <c r="BW82" s="790"/>
      <c r="BX82" s="790"/>
      <c r="BY82" s="790"/>
      <c r="BZ82" s="790"/>
      <c r="CA82" s="770"/>
      <c r="CB82" s="769" t="s">
        <v>199</v>
      </c>
      <c r="CC82" s="769" t="s">
        <v>199</v>
      </c>
      <c r="CD82" s="769" t="s">
        <v>199</v>
      </c>
      <c r="CE82" s="790"/>
      <c r="CF82" s="790"/>
      <c r="CG82" s="790"/>
      <c r="CH82" s="790"/>
      <c r="CI82" s="790"/>
      <c r="CJ82" s="790"/>
      <c r="CK82" s="790"/>
      <c r="CL82" s="790"/>
      <c r="CM82" s="790"/>
      <c r="CN82" s="790"/>
      <c r="CO82" s="790"/>
      <c r="CP82" s="790"/>
    </row>
    <row r="83" ht="15" customHeight="1" spans="2:94">
      <c r="B83" s="767" t="s">
        <v>1527</v>
      </c>
      <c r="C83" s="785"/>
      <c r="D83" s="785"/>
      <c r="E83" s="785"/>
      <c r="F83" s="785"/>
      <c r="G83" s="785"/>
      <c r="H83" s="789"/>
      <c r="I83" s="789"/>
      <c r="J83" s="770" t="s">
        <v>1534</v>
      </c>
      <c r="K83" s="770"/>
      <c r="L83" s="769" t="s">
        <v>1464</v>
      </c>
      <c r="M83" s="769" t="s">
        <v>199</v>
      </c>
      <c r="N83" s="769" t="s">
        <v>199</v>
      </c>
      <c r="O83" s="790"/>
      <c r="P83" s="790"/>
      <c r="Q83" s="790"/>
      <c r="R83" s="790"/>
      <c r="S83" s="790"/>
      <c r="T83" s="790"/>
      <c r="U83" s="790"/>
      <c r="V83" s="790"/>
      <c r="W83" s="791"/>
      <c r="X83" s="790"/>
      <c r="Y83" s="790"/>
      <c r="Z83" s="790"/>
      <c r="AA83" s="770"/>
      <c r="AB83" s="770"/>
      <c r="AC83" s="769" t="s">
        <v>199</v>
      </c>
      <c r="AD83" s="769" t="s">
        <v>199</v>
      </c>
      <c r="AE83" s="769" t="s">
        <v>199</v>
      </c>
      <c r="AF83" s="790"/>
      <c r="AG83" s="790"/>
      <c r="AH83" s="790"/>
      <c r="AI83" s="790"/>
      <c r="AJ83" s="790"/>
      <c r="AK83" s="790"/>
      <c r="AL83" s="790"/>
      <c r="AM83" s="790"/>
      <c r="AN83" s="790"/>
      <c r="AO83" s="790"/>
      <c r="AP83" s="790"/>
      <c r="AQ83" s="790"/>
      <c r="AR83" s="790"/>
      <c r="AS83" s="770"/>
      <c r="AT83" s="769" t="s">
        <v>199</v>
      </c>
      <c r="AU83" s="769" t="s">
        <v>199</v>
      </c>
      <c r="AV83" s="769" t="s">
        <v>199</v>
      </c>
      <c r="AW83" s="790"/>
      <c r="AX83" s="790"/>
      <c r="AY83" s="790"/>
      <c r="AZ83" s="790"/>
      <c r="BA83" s="790"/>
      <c r="BB83" s="790"/>
      <c r="BC83" s="790"/>
      <c r="BD83" s="790"/>
      <c r="BE83" s="790"/>
      <c r="BF83" s="790"/>
      <c r="BG83" s="790"/>
      <c r="BH83" s="790"/>
      <c r="BI83" s="790"/>
      <c r="BJ83" s="770"/>
      <c r="BK83" s="769" t="s">
        <v>199</v>
      </c>
      <c r="BL83" s="769" t="s">
        <v>199</v>
      </c>
      <c r="BM83" s="769" t="s">
        <v>199</v>
      </c>
      <c r="BN83" s="790"/>
      <c r="BO83" s="790"/>
      <c r="BP83" s="790"/>
      <c r="BQ83" s="790"/>
      <c r="BR83" s="790"/>
      <c r="BS83" s="790"/>
      <c r="BT83" s="790"/>
      <c r="BU83" s="790"/>
      <c r="BV83" s="790"/>
      <c r="BW83" s="790"/>
      <c r="BX83" s="790"/>
      <c r="BY83" s="790"/>
      <c r="BZ83" s="790"/>
      <c r="CA83" s="770"/>
      <c r="CB83" s="769" t="s">
        <v>199</v>
      </c>
      <c r="CC83" s="769" t="s">
        <v>199</v>
      </c>
      <c r="CD83" s="769" t="s">
        <v>199</v>
      </c>
      <c r="CE83" s="790"/>
      <c r="CF83" s="790"/>
      <c r="CG83" s="790"/>
      <c r="CH83" s="790"/>
      <c r="CI83" s="790"/>
      <c r="CJ83" s="790"/>
      <c r="CK83" s="790"/>
      <c r="CL83" s="790"/>
      <c r="CM83" s="790"/>
      <c r="CN83" s="790"/>
      <c r="CO83" s="790"/>
      <c r="CP83" s="790"/>
    </row>
    <row r="84" ht="15" customHeight="1" spans="2:94">
      <c r="B84" s="767" t="s">
        <v>1528</v>
      </c>
      <c r="C84" s="785"/>
      <c r="D84" s="785"/>
      <c r="E84" s="785"/>
      <c r="F84" s="785"/>
      <c r="G84" s="785"/>
      <c r="H84" s="789"/>
      <c r="I84" s="789"/>
      <c r="J84" s="770" t="s">
        <v>1534</v>
      </c>
      <c r="K84" s="770"/>
      <c r="L84" s="769" t="s">
        <v>1464</v>
      </c>
      <c r="M84" s="769" t="s">
        <v>199</v>
      </c>
      <c r="N84" s="769" t="s">
        <v>199</v>
      </c>
      <c r="O84" s="790"/>
      <c r="P84" s="790"/>
      <c r="Q84" s="790"/>
      <c r="R84" s="790"/>
      <c r="S84" s="790"/>
      <c r="T84" s="790"/>
      <c r="U84" s="790"/>
      <c r="V84" s="790"/>
      <c r="W84" s="791"/>
      <c r="X84" s="790"/>
      <c r="Y84" s="790"/>
      <c r="Z84" s="790"/>
      <c r="AA84" s="770"/>
      <c r="AB84" s="770"/>
      <c r="AC84" s="769" t="s">
        <v>199</v>
      </c>
      <c r="AD84" s="769" t="s">
        <v>199</v>
      </c>
      <c r="AE84" s="769" t="s">
        <v>199</v>
      </c>
      <c r="AF84" s="790"/>
      <c r="AG84" s="790"/>
      <c r="AH84" s="790"/>
      <c r="AI84" s="790"/>
      <c r="AJ84" s="790"/>
      <c r="AK84" s="790"/>
      <c r="AL84" s="790"/>
      <c r="AM84" s="790"/>
      <c r="AN84" s="790"/>
      <c r="AO84" s="790"/>
      <c r="AP84" s="790"/>
      <c r="AQ84" s="790"/>
      <c r="AR84" s="790"/>
      <c r="AS84" s="770"/>
      <c r="AT84" s="769" t="s">
        <v>199</v>
      </c>
      <c r="AU84" s="769" t="s">
        <v>199</v>
      </c>
      <c r="AV84" s="769" t="s">
        <v>199</v>
      </c>
      <c r="AW84" s="790"/>
      <c r="AX84" s="790"/>
      <c r="AY84" s="790"/>
      <c r="AZ84" s="790"/>
      <c r="BA84" s="790"/>
      <c r="BB84" s="790"/>
      <c r="BC84" s="790"/>
      <c r="BD84" s="790"/>
      <c r="BE84" s="790"/>
      <c r="BF84" s="790"/>
      <c r="BG84" s="790"/>
      <c r="BH84" s="790"/>
      <c r="BI84" s="790"/>
      <c r="BJ84" s="770"/>
      <c r="BK84" s="769" t="s">
        <v>199</v>
      </c>
      <c r="BL84" s="769" t="s">
        <v>199</v>
      </c>
      <c r="BM84" s="769" t="s">
        <v>199</v>
      </c>
      <c r="BN84" s="790"/>
      <c r="BO84" s="790"/>
      <c r="BP84" s="790"/>
      <c r="BQ84" s="790"/>
      <c r="BR84" s="790"/>
      <c r="BS84" s="790"/>
      <c r="BT84" s="790"/>
      <c r="BU84" s="790"/>
      <c r="BV84" s="790"/>
      <c r="BW84" s="790"/>
      <c r="BX84" s="790"/>
      <c r="BY84" s="790"/>
      <c r="BZ84" s="790"/>
      <c r="CA84" s="770"/>
      <c r="CB84" s="769" t="s">
        <v>199</v>
      </c>
      <c r="CC84" s="769" t="s">
        <v>199</v>
      </c>
      <c r="CD84" s="769" t="s">
        <v>199</v>
      </c>
      <c r="CE84" s="790"/>
      <c r="CF84" s="790"/>
      <c r="CG84" s="790"/>
      <c r="CH84" s="790"/>
      <c r="CI84" s="790"/>
      <c r="CJ84" s="790"/>
      <c r="CK84" s="790"/>
      <c r="CL84" s="790"/>
      <c r="CM84" s="790"/>
      <c r="CN84" s="790"/>
      <c r="CO84" s="790"/>
      <c r="CP84" s="790"/>
    </row>
    <row r="85" ht="15" customHeight="1" spans="2:94">
      <c r="B85" s="767" t="s">
        <v>1529</v>
      </c>
      <c r="C85" s="784"/>
      <c r="D85" s="784"/>
      <c r="E85" s="784"/>
      <c r="F85" s="784"/>
      <c r="G85" s="784"/>
      <c r="H85" s="784"/>
      <c r="I85" s="784"/>
      <c r="J85" s="770" t="s">
        <v>1534</v>
      </c>
      <c r="K85" s="770"/>
      <c r="L85" s="769" t="s">
        <v>1464</v>
      </c>
      <c r="M85" s="769" t="s">
        <v>199</v>
      </c>
      <c r="N85" s="769" t="s">
        <v>199</v>
      </c>
      <c r="O85" s="782"/>
      <c r="P85" s="782"/>
      <c r="Q85" s="782"/>
      <c r="R85" s="782"/>
      <c r="S85" s="782"/>
      <c r="T85" s="782"/>
      <c r="U85" s="782"/>
      <c r="V85" s="782"/>
      <c r="W85" s="783"/>
      <c r="X85" s="782"/>
      <c r="Y85" s="782"/>
      <c r="Z85" s="782"/>
      <c r="AA85" s="770"/>
      <c r="AB85" s="770"/>
      <c r="AC85" s="769" t="s">
        <v>199</v>
      </c>
      <c r="AD85" s="769" t="s">
        <v>199</v>
      </c>
      <c r="AE85" s="769" t="s">
        <v>199</v>
      </c>
      <c r="AF85" s="782"/>
      <c r="AG85" s="782"/>
      <c r="AH85" s="782"/>
      <c r="AI85" s="782"/>
      <c r="AJ85" s="782"/>
      <c r="AK85" s="782"/>
      <c r="AL85" s="782"/>
      <c r="AM85" s="782"/>
      <c r="AN85" s="782"/>
      <c r="AO85" s="782"/>
      <c r="AP85" s="782"/>
      <c r="AQ85" s="782"/>
      <c r="AR85" s="782"/>
      <c r="AS85" s="770"/>
      <c r="AT85" s="769" t="s">
        <v>199</v>
      </c>
      <c r="AU85" s="769" t="s">
        <v>199</v>
      </c>
      <c r="AV85" s="769" t="s">
        <v>199</v>
      </c>
      <c r="AW85" s="782"/>
      <c r="AX85" s="782"/>
      <c r="AY85" s="782"/>
      <c r="AZ85" s="782"/>
      <c r="BA85" s="782"/>
      <c r="BB85" s="782"/>
      <c r="BC85" s="782"/>
      <c r="BD85" s="782"/>
      <c r="BE85" s="782"/>
      <c r="BF85" s="782"/>
      <c r="BG85" s="782"/>
      <c r="BH85" s="782"/>
      <c r="BI85" s="782"/>
      <c r="BJ85" s="770"/>
      <c r="BK85" s="769" t="s">
        <v>199</v>
      </c>
      <c r="BL85" s="769" t="s">
        <v>199</v>
      </c>
      <c r="BM85" s="769" t="s">
        <v>199</v>
      </c>
      <c r="BN85" s="782"/>
      <c r="BO85" s="782"/>
      <c r="BP85" s="782"/>
      <c r="BQ85" s="782"/>
      <c r="BR85" s="782"/>
      <c r="BS85" s="782"/>
      <c r="BT85" s="782"/>
      <c r="BU85" s="782"/>
      <c r="BV85" s="782"/>
      <c r="BW85" s="782"/>
      <c r="BX85" s="782"/>
      <c r="BY85" s="782"/>
      <c r="BZ85" s="782"/>
      <c r="CA85" s="770"/>
      <c r="CB85" s="769" t="s">
        <v>199</v>
      </c>
      <c r="CC85" s="769" t="s">
        <v>199</v>
      </c>
      <c r="CD85" s="769" t="s">
        <v>199</v>
      </c>
      <c r="CE85" s="782"/>
      <c r="CF85" s="782"/>
      <c r="CG85" s="782"/>
      <c r="CH85" s="782"/>
      <c r="CI85" s="782"/>
      <c r="CJ85" s="782"/>
      <c r="CK85" s="782"/>
      <c r="CL85" s="782"/>
      <c r="CM85" s="782"/>
      <c r="CN85" s="782"/>
      <c r="CO85" s="782"/>
      <c r="CP85" s="782"/>
    </row>
    <row r="86" ht="15" customHeight="1" spans="2:94">
      <c r="B86" s="767" t="s">
        <v>1530</v>
      </c>
      <c r="C86" s="784"/>
      <c r="D86" s="784"/>
      <c r="E86" s="784"/>
      <c r="F86" s="784"/>
      <c r="G86" s="784"/>
      <c r="H86" s="784"/>
      <c r="I86" s="784"/>
      <c r="J86" s="770" t="s">
        <v>1534</v>
      </c>
      <c r="K86" s="770"/>
      <c r="L86" s="769" t="s">
        <v>1464</v>
      </c>
      <c r="M86" s="769" t="s">
        <v>199</v>
      </c>
      <c r="N86" s="769" t="s">
        <v>199</v>
      </c>
      <c r="O86" s="782"/>
      <c r="P86" s="782"/>
      <c r="Q86" s="782"/>
      <c r="R86" s="782"/>
      <c r="S86" s="782"/>
      <c r="T86" s="782"/>
      <c r="U86" s="782"/>
      <c r="V86" s="782"/>
      <c r="W86" s="783"/>
      <c r="X86" s="782"/>
      <c r="Y86" s="782"/>
      <c r="Z86" s="782"/>
      <c r="AA86" s="770"/>
      <c r="AB86" s="770"/>
      <c r="AC86" s="769" t="s">
        <v>199</v>
      </c>
      <c r="AD86" s="769" t="s">
        <v>199</v>
      </c>
      <c r="AE86" s="769" t="s">
        <v>199</v>
      </c>
      <c r="AF86" s="782"/>
      <c r="AG86" s="782"/>
      <c r="AH86" s="782"/>
      <c r="AI86" s="782"/>
      <c r="AJ86" s="782"/>
      <c r="AK86" s="782"/>
      <c r="AL86" s="782"/>
      <c r="AM86" s="782"/>
      <c r="AN86" s="782"/>
      <c r="AO86" s="782"/>
      <c r="AP86" s="782"/>
      <c r="AQ86" s="782"/>
      <c r="AR86" s="782"/>
      <c r="AS86" s="770"/>
      <c r="AT86" s="769" t="s">
        <v>199</v>
      </c>
      <c r="AU86" s="769" t="s">
        <v>199</v>
      </c>
      <c r="AV86" s="769" t="s">
        <v>199</v>
      </c>
      <c r="AW86" s="782"/>
      <c r="AX86" s="782"/>
      <c r="AY86" s="782"/>
      <c r="AZ86" s="782"/>
      <c r="BA86" s="782"/>
      <c r="BB86" s="782"/>
      <c r="BC86" s="782"/>
      <c r="BD86" s="782"/>
      <c r="BE86" s="782"/>
      <c r="BF86" s="782"/>
      <c r="BG86" s="782"/>
      <c r="BH86" s="782"/>
      <c r="BI86" s="782"/>
      <c r="BJ86" s="770"/>
      <c r="BK86" s="769" t="s">
        <v>199</v>
      </c>
      <c r="BL86" s="769" t="s">
        <v>199</v>
      </c>
      <c r="BM86" s="769" t="s">
        <v>199</v>
      </c>
      <c r="BN86" s="782"/>
      <c r="BO86" s="782"/>
      <c r="BP86" s="782"/>
      <c r="BQ86" s="782"/>
      <c r="BR86" s="782"/>
      <c r="BS86" s="782"/>
      <c r="BT86" s="782"/>
      <c r="BU86" s="782"/>
      <c r="BV86" s="782"/>
      <c r="BW86" s="782"/>
      <c r="BX86" s="782"/>
      <c r="BY86" s="782"/>
      <c r="BZ86" s="782"/>
      <c r="CA86" s="770"/>
      <c r="CB86" s="769" t="s">
        <v>199</v>
      </c>
      <c r="CC86" s="769" t="s">
        <v>199</v>
      </c>
      <c r="CD86" s="769" t="s">
        <v>199</v>
      </c>
      <c r="CE86" s="782"/>
      <c r="CF86" s="782"/>
      <c r="CG86" s="782"/>
      <c r="CH86" s="782"/>
      <c r="CI86" s="782"/>
      <c r="CJ86" s="782"/>
      <c r="CK86" s="782"/>
      <c r="CL86" s="782"/>
      <c r="CM86" s="782"/>
      <c r="CN86" s="782"/>
      <c r="CO86" s="782"/>
      <c r="CP86" s="782"/>
    </row>
    <row r="87" ht="15" customHeight="1" spans="2:94">
      <c r="B87" s="767" t="s">
        <v>1531</v>
      </c>
      <c r="C87" s="784"/>
      <c r="D87" s="784"/>
      <c r="E87" s="784"/>
      <c r="F87" s="784"/>
      <c r="G87" s="784"/>
      <c r="H87" s="784"/>
      <c r="I87" s="784"/>
      <c r="J87" s="770" t="s">
        <v>1534</v>
      </c>
      <c r="K87" s="770"/>
      <c r="L87" s="769" t="s">
        <v>1464</v>
      </c>
      <c r="M87" s="769" t="s">
        <v>199</v>
      </c>
      <c r="N87" s="769" t="s">
        <v>199</v>
      </c>
      <c r="O87" s="782"/>
      <c r="P87" s="782"/>
      <c r="Q87" s="782"/>
      <c r="R87" s="782"/>
      <c r="S87" s="782"/>
      <c r="T87" s="782"/>
      <c r="U87" s="782"/>
      <c r="V87" s="782"/>
      <c r="W87" s="783"/>
      <c r="X87" s="782"/>
      <c r="Y87" s="782"/>
      <c r="Z87" s="782"/>
      <c r="AA87" s="770"/>
      <c r="AB87" s="770"/>
      <c r="AC87" s="769" t="s">
        <v>199</v>
      </c>
      <c r="AD87" s="769" t="s">
        <v>199</v>
      </c>
      <c r="AE87" s="769" t="s">
        <v>199</v>
      </c>
      <c r="AF87" s="782"/>
      <c r="AG87" s="782"/>
      <c r="AH87" s="782"/>
      <c r="AI87" s="782"/>
      <c r="AJ87" s="782"/>
      <c r="AK87" s="782"/>
      <c r="AL87" s="782"/>
      <c r="AM87" s="782"/>
      <c r="AN87" s="782"/>
      <c r="AO87" s="782"/>
      <c r="AP87" s="782"/>
      <c r="AQ87" s="782"/>
      <c r="AR87" s="782"/>
      <c r="AS87" s="770"/>
      <c r="AT87" s="769" t="s">
        <v>199</v>
      </c>
      <c r="AU87" s="769" t="s">
        <v>199</v>
      </c>
      <c r="AV87" s="769" t="s">
        <v>199</v>
      </c>
      <c r="AW87" s="782"/>
      <c r="AX87" s="782"/>
      <c r="AY87" s="782"/>
      <c r="AZ87" s="782"/>
      <c r="BA87" s="782"/>
      <c r="BB87" s="782"/>
      <c r="BC87" s="782"/>
      <c r="BD87" s="782"/>
      <c r="BE87" s="782"/>
      <c r="BF87" s="782"/>
      <c r="BG87" s="782"/>
      <c r="BH87" s="782"/>
      <c r="BI87" s="782"/>
      <c r="BJ87" s="770"/>
      <c r="BK87" s="769" t="s">
        <v>199</v>
      </c>
      <c r="BL87" s="769" t="s">
        <v>199</v>
      </c>
      <c r="BM87" s="769" t="s">
        <v>199</v>
      </c>
      <c r="BN87" s="782"/>
      <c r="BO87" s="782"/>
      <c r="BP87" s="782"/>
      <c r="BQ87" s="782"/>
      <c r="BR87" s="782"/>
      <c r="BS87" s="782"/>
      <c r="BT87" s="782"/>
      <c r="BU87" s="782"/>
      <c r="BV87" s="782"/>
      <c r="BW87" s="782"/>
      <c r="BX87" s="782"/>
      <c r="BY87" s="782"/>
      <c r="BZ87" s="782"/>
      <c r="CA87" s="770"/>
      <c r="CB87" s="769" t="s">
        <v>199</v>
      </c>
      <c r="CC87" s="769" t="s">
        <v>199</v>
      </c>
      <c r="CD87" s="769" t="s">
        <v>199</v>
      </c>
      <c r="CE87" s="782"/>
      <c r="CF87" s="782"/>
      <c r="CG87" s="782"/>
      <c r="CH87" s="782"/>
      <c r="CI87" s="782"/>
      <c r="CJ87" s="782"/>
      <c r="CK87" s="782"/>
      <c r="CL87" s="782"/>
      <c r="CM87" s="782"/>
      <c r="CN87" s="782"/>
      <c r="CO87" s="782"/>
      <c r="CP87" s="782"/>
    </row>
    <row r="88" ht="15" customHeight="1" spans="2:94">
      <c r="B88" s="767" t="s">
        <v>1532</v>
      </c>
      <c r="C88" s="784"/>
      <c r="D88" s="784"/>
      <c r="E88" s="784"/>
      <c r="F88" s="784"/>
      <c r="G88" s="784"/>
      <c r="H88" s="784"/>
      <c r="I88" s="784"/>
      <c r="J88" s="770" t="s">
        <v>1534</v>
      </c>
      <c r="K88" s="770"/>
      <c r="L88" s="769" t="s">
        <v>1464</v>
      </c>
      <c r="M88" s="769" t="s">
        <v>199</v>
      </c>
      <c r="N88" s="769" t="s">
        <v>199</v>
      </c>
      <c r="O88" s="782">
        <v>0</v>
      </c>
      <c r="P88" s="782">
        <v>0</v>
      </c>
      <c r="Q88" s="782">
        <v>0</v>
      </c>
      <c r="R88" s="782">
        <v>0</v>
      </c>
      <c r="S88" s="782">
        <v>0</v>
      </c>
      <c r="T88" s="782">
        <v>0</v>
      </c>
      <c r="U88" s="782">
        <v>0</v>
      </c>
      <c r="V88" s="782">
        <v>0</v>
      </c>
      <c r="W88" s="783">
        <v>0</v>
      </c>
      <c r="X88" s="782">
        <v>0</v>
      </c>
      <c r="Y88" s="782">
        <v>0</v>
      </c>
      <c r="Z88" s="782">
        <v>0</v>
      </c>
      <c r="AA88" s="770"/>
      <c r="AB88" s="770"/>
      <c r="AC88" s="769" t="s">
        <v>199</v>
      </c>
      <c r="AD88" s="769" t="s">
        <v>199</v>
      </c>
      <c r="AE88" s="769" t="s">
        <v>199</v>
      </c>
      <c r="AF88" s="782">
        <v>0</v>
      </c>
      <c r="AG88" s="782">
        <v>0</v>
      </c>
      <c r="AH88" s="782">
        <v>0</v>
      </c>
      <c r="AI88" s="782">
        <v>0</v>
      </c>
      <c r="AJ88" s="782">
        <v>0</v>
      </c>
      <c r="AK88" s="782">
        <v>0</v>
      </c>
      <c r="AL88" s="782">
        <v>0</v>
      </c>
      <c r="AM88" s="782">
        <v>0</v>
      </c>
      <c r="AN88" s="782">
        <v>0</v>
      </c>
      <c r="AO88" s="782">
        <v>0</v>
      </c>
      <c r="AP88" s="782">
        <v>0</v>
      </c>
      <c r="AQ88" s="782">
        <v>0</v>
      </c>
      <c r="AR88" s="782"/>
      <c r="AS88" s="770"/>
      <c r="AT88" s="769" t="s">
        <v>199</v>
      </c>
      <c r="AU88" s="769" t="s">
        <v>199</v>
      </c>
      <c r="AV88" s="769" t="s">
        <v>199</v>
      </c>
      <c r="AW88" s="782">
        <v>0</v>
      </c>
      <c r="AX88" s="782">
        <v>0</v>
      </c>
      <c r="AY88" s="782">
        <v>0</v>
      </c>
      <c r="AZ88" s="782">
        <v>0</v>
      </c>
      <c r="BA88" s="782">
        <v>0</v>
      </c>
      <c r="BB88" s="782">
        <v>0</v>
      </c>
      <c r="BC88" s="782">
        <v>0</v>
      </c>
      <c r="BD88" s="782">
        <v>0</v>
      </c>
      <c r="BE88" s="782">
        <v>0</v>
      </c>
      <c r="BF88" s="782">
        <v>0</v>
      </c>
      <c r="BG88" s="782">
        <v>0</v>
      </c>
      <c r="BH88" s="782">
        <v>0</v>
      </c>
      <c r="BI88" s="782"/>
      <c r="BJ88" s="770"/>
      <c r="BK88" s="769" t="s">
        <v>199</v>
      </c>
      <c r="BL88" s="769" t="s">
        <v>199</v>
      </c>
      <c r="BM88" s="769" t="s">
        <v>199</v>
      </c>
      <c r="BN88" s="782">
        <v>0</v>
      </c>
      <c r="BO88" s="782">
        <v>0</v>
      </c>
      <c r="BP88" s="782">
        <v>0</v>
      </c>
      <c r="BQ88" s="782">
        <v>0</v>
      </c>
      <c r="BR88" s="782">
        <v>0</v>
      </c>
      <c r="BS88" s="782">
        <v>0</v>
      </c>
      <c r="BT88" s="782">
        <v>0</v>
      </c>
      <c r="BU88" s="782">
        <v>0</v>
      </c>
      <c r="BV88" s="782">
        <v>0</v>
      </c>
      <c r="BW88" s="782">
        <v>0</v>
      </c>
      <c r="BX88" s="782">
        <v>0</v>
      </c>
      <c r="BY88" s="782">
        <v>0</v>
      </c>
      <c r="BZ88" s="782"/>
      <c r="CA88" s="770"/>
      <c r="CB88" s="769" t="s">
        <v>199</v>
      </c>
      <c r="CC88" s="769" t="s">
        <v>199</v>
      </c>
      <c r="CD88" s="769" t="s">
        <v>199</v>
      </c>
      <c r="CE88" s="782">
        <v>0</v>
      </c>
      <c r="CF88" s="782">
        <v>0</v>
      </c>
      <c r="CG88" s="782">
        <v>0</v>
      </c>
      <c r="CH88" s="782">
        <v>0</v>
      </c>
      <c r="CI88" s="782">
        <v>0</v>
      </c>
      <c r="CJ88" s="782">
        <v>0</v>
      </c>
      <c r="CK88" s="782">
        <v>0</v>
      </c>
      <c r="CL88" s="782">
        <v>0</v>
      </c>
      <c r="CM88" s="782">
        <v>0</v>
      </c>
      <c r="CN88" s="782">
        <v>0</v>
      </c>
      <c r="CO88" s="782">
        <v>0</v>
      </c>
      <c r="CP88" s="782">
        <v>0</v>
      </c>
    </row>
    <row r="89" ht="15" customHeight="1" spans="2:94">
      <c r="B89" s="767" t="s">
        <v>1533</v>
      </c>
      <c r="C89" s="784"/>
      <c r="D89" s="784"/>
      <c r="E89" s="784"/>
      <c r="F89" s="784"/>
      <c r="G89" s="784"/>
      <c r="H89" s="784" t="s">
        <v>1534</v>
      </c>
      <c r="I89" s="784"/>
      <c r="J89" s="770" t="s">
        <v>1534</v>
      </c>
      <c r="K89" s="770"/>
      <c r="L89" s="769" t="s">
        <v>1464</v>
      </c>
      <c r="M89" s="769" t="s">
        <v>199</v>
      </c>
      <c r="N89" s="769" t="s">
        <v>199</v>
      </c>
      <c r="O89" s="782">
        <v>0</v>
      </c>
      <c r="P89" s="782">
        <v>0</v>
      </c>
      <c r="Q89" s="782">
        <v>0</v>
      </c>
      <c r="R89" s="782">
        <v>0</v>
      </c>
      <c r="S89" s="782">
        <v>0</v>
      </c>
      <c r="T89" s="782">
        <v>0</v>
      </c>
      <c r="U89" s="782">
        <v>0</v>
      </c>
      <c r="V89" s="782">
        <v>0</v>
      </c>
      <c r="W89" s="783">
        <v>0</v>
      </c>
      <c r="X89" s="782">
        <v>0</v>
      </c>
      <c r="Y89" s="782">
        <v>0</v>
      </c>
      <c r="Z89" s="782">
        <v>0</v>
      </c>
      <c r="AA89" s="770"/>
      <c r="AB89" s="770"/>
      <c r="AC89" s="769" t="s">
        <v>199</v>
      </c>
      <c r="AD89" s="769" t="s">
        <v>199</v>
      </c>
      <c r="AE89" s="769" t="s">
        <v>199</v>
      </c>
      <c r="AF89" s="782">
        <v>0</v>
      </c>
      <c r="AG89" s="782">
        <v>0</v>
      </c>
      <c r="AH89" s="782">
        <v>0</v>
      </c>
      <c r="AI89" s="782">
        <v>0</v>
      </c>
      <c r="AJ89" s="782">
        <v>0</v>
      </c>
      <c r="AK89" s="782">
        <v>0</v>
      </c>
      <c r="AL89" s="782">
        <v>0</v>
      </c>
      <c r="AM89" s="782">
        <v>0</v>
      </c>
      <c r="AN89" s="782">
        <v>0</v>
      </c>
      <c r="AO89" s="782">
        <v>0</v>
      </c>
      <c r="AP89" s="782">
        <v>0</v>
      </c>
      <c r="AQ89" s="782">
        <v>0</v>
      </c>
      <c r="AR89" s="782"/>
      <c r="AS89" s="770"/>
      <c r="AT89" s="769" t="s">
        <v>199</v>
      </c>
      <c r="AU89" s="769" t="s">
        <v>199</v>
      </c>
      <c r="AV89" s="769" t="s">
        <v>199</v>
      </c>
      <c r="AW89" s="782">
        <v>0</v>
      </c>
      <c r="AX89" s="782">
        <v>0</v>
      </c>
      <c r="AY89" s="782">
        <v>0</v>
      </c>
      <c r="AZ89" s="782">
        <v>0</v>
      </c>
      <c r="BA89" s="782">
        <v>0</v>
      </c>
      <c r="BB89" s="782">
        <v>0</v>
      </c>
      <c r="BC89" s="782">
        <v>0</v>
      </c>
      <c r="BD89" s="782">
        <v>0</v>
      </c>
      <c r="BE89" s="782">
        <v>0</v>
      </c>
      <c r="BF89" s="782">
        <v>0</v>
      </c>
      <c r="BG89" s="782">
        <v>0</v>
      </c>
      <c r="BH89" s="782">
        <v>0</v>
      </c>
      <c r="BI89" s="782"/>
      <c r="BJ89" s="770"/>
      <c r="BK89" s="769" t="s">
        <v>199</v>
      </c>
      <c r="BL89" s="769" t="s">
        <v>199</v>
      </c>
      <c r="BM89" s="769" t="s">
        <v>199</v>
      </c>
      <c r="BN89" s="782">
        <v>0</v>
      </c>
      <c r="BO89" s="782">
        <v>0</v>
      </c>
      <c r="BP89" s="782">
        <v>0</v>
      </c>
      <c r="BQ89" s="782">
        <v>0</v>
      </c>
      <c r="BR89" s="782">
        <v>0</v>
      </c>
      <c r="BS89" s="782">
        <v>0</v>
      </c>
      <c r="BT89" s="782">
        <v>0</v>
      </c>
      <c r="BU89" s="782">
        <v>0</v>
      </c>
      <c r="BV89" s="782">
        <v>0</v>
      </c>
      <c r="BW89" s="782">
        <v>0</v>
      </c>
      <c r="BX89" s="782">
        <v>0</v>
      </c>
      <c r="BY89" s="782">
        <v>0</v>
      </c>
      <c r="BZ89" s="782"/>
      <c r="CA89" s="770"/>
      <c r="CB89" s="769" t="s">
        <v>199</v>
      </c>
      <c r="CC89" s="769" t="s">
        <v>199</v>
      </c>
      <c r="CD89" s="769" t="s">
        <v>199</v>
      </c>
      <c r="CE89" s="782">
        <v>0</v>
      </c>
      <c r="CF89" s="782">
        <v>0</v>
      </c>
      <c r="CG89" s="782">
        <v>0</v>
      </c>
      <c r="CH89" s="782">
        <v>0</v>
      </c>
      <c r="CI89" s="782">
        <v>0</v>
      </c>
      <c r="CJ89" s="782">
        <v>0</v>
      </c>
      <c r="CK89" s="782">
        <v>0</v>
      </c>
      <c r="CL89" s="782">
        <v>0</v>
      </c>
      <c r="CM89" s="782">
        <v>0</v>
      </c>
      <c r="CN89" s="782">
        <v>0</v>
      </c>
      <c r="CO89" s="782">
        <v>0</v>
      </c>
      <c r="CP89" s="782">
        <v>0</v>
      </c>
    </row>
    <row r="90" ht="15" customHeight="1" spans="2:94">
      <c r="B90" s="767" t="s">
        <v>1535</v>
      </c>
      <c r="C90" s="784"/>
      <c r="D90" s="784" t="s">
        <v>1534</v>
      </c>
      <c r="E90" s="784"/>
      <c r="F90" s="784"/>
      <c r="G90" s="784"/>
      <c r="H90" s="784" t="s">
        <v>1534</v>
      </c>
      <c r="I90" s="784"/>
      <c r="J90" s="770" t="s">
        <v>1534</v>
      </c>
      <c r="K90" s="770"/>
      <c r="L90" s="769" t="s">
        <v>1464</v>
      </c>
      <c r="M90" s="769" t="s">
        <v>199</v>
      </c>
      <c r="N90" s="769" t="s">
        <v>199</v>
      </c>
      <c r="O90" s="782">
        <v>0</v>
      </c>
      <c r="P90" s="782">
        <v>0</v>
      </c>
      <c r="Q90" s="782">
        <v>0</v>
      </c>
      <c r="R90" s="782">
        <v>0</v>
      </c>
      <c r="S90" s="782">
        <v>0</v>
      </c>
      <c r="T90" s="782">
        <v>0</v>
      </c>
      <c r="U90" s="782">
        <v>0</v>
      </c>
      <c r="V90" s="782">
        <v>0</v>
      </c>
      <c r="W90" s="783">
        <v>0</v>
      </c>
      <c r="X90" s="782">
        <v>0</v>
      </c>
      <c r="Y90" s="782">
        <v>0</v>
      </c>
      <c r="Z90" s="782">
        <v>0</v>
      </c>
      <c r="AA90" s="770"/>
      <c r="AB90" s="770"/>
      <c r="AC90" s="769" t="s">
        <v>199</v>
      </c>
      <c r="AD90" s="769" t="s">
        <v>199</v>
      </c>
      <c r="AE90" s="769" t="s">
        <v>199</v>
      </c>
      <c r="AF90" s="782">
        <v>0</v>
      </c>
      <c r="AG90" s="782">
        <v>0</v>
      </c>
      <c r="AH90" s="782">
        <v>0</v>
      </c>
      <c r="AI90" s="782">
        <v>0</v>
      </c>
      <c r="AJ90" s="782">
        <v>0</v>
      </c>
      <c r="AK90" s="782">
        <v>0</v>
      </c>
      <c r="AL90" s="782">
        <v>0</v>
      </c>
      <c r="AM90" s="782">
        <v>0</v>
      </c>
      <c r="AN90" s="782">
        <v>0</v>
      </c>
      <c r="AO90" s="782">
        <v>0</v>
      </c>
      <c r="AP90" s="782">
        <v>0</v>
      </c>
      <c r="AQ90" s="782">
        <v>0</v>
      </c>
      <c r="AR90" s="782"/>
      <c r="AS90" s="770"/>
      <c r="AT90" s="769" t="s">
        <v>199</v>
      </c>
      <c r="AU90" s="769" t="s">
        <v>199</v>
      </c>
      <c r="AV90" s="769" t="s">
        <v>199</v>
      </c>
      <c r="AW90" s="782">
        <v>0</v>
      </c>
      <c r="AX90" s="782">
        <v>0</v>
      </c>
      <c r="AY90" s="782">
        <v>0</v>
      </c>
      <c r="AZ90" s="782">
        <v>0</v>
      </c>
      <c r="BA90" s="782">
        <v>0</v>
      </c>
      <c r="BB90" s="782">
        <v>0</v>
      </c>
      <c r="BC90" s="782">
        <v>0</v>
      </c>
      <c r="BD90" s="782">
        <v>0</v>
      </c>
      <c r="BE90" s="782">
        <v>0</v>
      </c>
      <c r="BF90" s="782">
        <v>0</v>
      </c>
      <c r="BG90" s="782">
        <v>0</v>
      </c>
      <c r="BH90" s="782">
        <v>0</v>
      </c>
      <c r="BI90" s="782"/>
      <c r="BJ90" s="770"/>
      <c r="BK90" s="769" t="s">
        <v>199</v>
      </c>
      <c r="BL90" s="769" t="s">
        <v>199</v>
      </c>
      <c r="BM90" s="769" t="s">
        <v>199</v>
      </c>
      <c r="BN90" s="782">
        <v>0</v>
      </c>
      <c r="BO90" s="782">
        <v>0</v>
      </c>
      <c r="BP90" s="782">
        <v>0</v>
      </c>
      <c r="BQ90" s="782">
        <v>0</v>
      </c>
      <c r="BR90" s="782">
        <v>0</v>
      </c>
      <c r="BS90" s="782">
        <v>0</v>
      </c>
      <c r="BT90" s="782">
        <v>0</v>
      </c>
      <c r="BU90" s="782">
        <v>0</v>
      </c>
      <c r="BV90" s="782">
        <v>0</v>
      </c>
      <c r="BW90" s="782">
        <v>0</v>
      </c>
      <c r="BX90" s="782">
        <v>0</v>
      </c>
      <c r="BY90" s="782">
        <v>0</v>
      </c>
      <c r="BZ90" s="782"/>
      <c r="CA90" s="770"/>
      <c r="CB90" s="769" t="s">
        <v>199</v>
      </c>
      <c r="CC90" s="769" t="s">
        <v>199</v>
      </c>
      <c r="CD90" s="769" t="s">
        <v>199</v>
      </c>
      <c r="CE90" s="782">
        <v>0</v>
      </c>
      <c r="CF90" s="782">
        <v>0</v>
      </c>
      <c r="CG90" s="782">
        <v>0</v>
      </c>
      <c r="CH90" s="782">
        <v>0</v>
      </c>
      <c r="CI90" s="782">
        <v>0</v>
      </c>
      <c r="CJ90" s="782">
        <v>0</v>
      </c>
      <c r="CK90" s="782">
        <v>0</v>
      </c>
      <c r="CL90" s="782">
        <v>0</v>
      </c>
      <c r="CM90" s="782">
        <v>0</v>
      </c>
      <c r="CN90" s="782">
        <v>0</v>
      </c>
      <c r="CO90" s="782">
        <v>0</v>
      </c>
      <c r="CP90" s="782">
        <v>0</v>
      </c>
    </row>
    <row r="91" ht="15" customHeight="1" spans="2:94">
      <c r="B91" s="767" t="s">
        <v>1536</v>
      </c>
      <c r="C91" s="784"/>
      <c r="D91" s="784" t="s">
        <v>1534</v>
      </c>
      <c r="E91" s="784"/>
      <c r="F91" s="784"/>
      <c r="G91" s="784"/>
      <c r="H91" s="784" t="s">
        <v>1534</v>
      </c>
      <c r="I91" s="784"/>
      <c r="J91" s="770" t="s">
        <v>1534</v>
      </c>
      <c r="K91" s="770"/>
      <c r="L91" s="769" t="s">
        <v>1464</v>
      </c>
      <c r="M91" s="769" t="s">
        <v>199</v>
      </c>
      <c r="N91" s="769" t="s">
        <v>199</v>
      </c>
      <c r="O91" s="782">
        <v>0</v>
      </c>
      <c r="P91" s="782">
        <v>0</v>
      </c>
      <c r="Q91" s="782">
        <v>0</v>
      </c>
      <c r="R91" s="782">
        <v>0</v>
      </c>
      <c r="S91" s="782">
        <v>0</v>
      </c>
      <c r="T91" s="782">
        <v>0</v>
      </c>
      <c r="U91" s="782">
        <v>0</v>
      </c>
      <c r="V91" s="782">
        <v>0</v>
      </c>
      <c r="W91" s="783">
        <v>0</v>
      </c>
      <c r="X91" s="782">
        <v>0</v>
      </c>
      <c r="Y91" s="782">
        <v>0</v>
      </c>
      <c r="Z91" s="782">
        <v>0</v>
      </c>
      <c r="AA91" s="770"/>
      <c r="AB91" s="770"/>
      <c r="AC91" s="769" t="s">
        <v>199</v>
      </c>
      <c r="AD91" s="769" t="s">
        <v>199</v>
      </c>
      <c r="AE91" s="769" t="s">
        <v>199</v>
      </c>
      <c r="AF91" s="782">
        <v>0</v>
      </c>
      <c r="AG91" s="782">
        <v>0</v>
      </c>
      <c r="AH91" s="782">
        <v>0</v>
      </c>
      <c r="AI91" s="782">
        <v>0</v>
      </c>
      <c r="AJ91" s="782">
        <v>0</v>
      </c>
      <c r="AK91" s="782">
        <v>0</v>
      </c>
      <c r="AL91" s="782">
        <v>0</v>
      </c>
      <c r="AM91" s="782">
        <v>0</v>
      </c>
      <c r="AN91" s="782">
        <v>0</v>
      </c>
      <c r="AO91" s="782">
        <v>0</v>
      </c>
      <c r="AP91" s="782">
        <v>0</v>
      </c>
      <c r="AQ91" s="782">
        <v>0</v>
      </c>
      <c r="AR91" s="782"/>
      <c r="AS91" s="770"/>
      <c r="AT91" s="769" t="s">
        <v>199</v>
      </c>
      <c r="AU91" s="769" t="s">
        <v>199</v>
      </c>
      <c r="AV91" s="769" t="s">
        <v>199</v>
      </c>
      <c r="AW91" s="782">
        <v>0</v>
      </c>
      <c r="AX91" s="782">
        <v>0</v>
      </c>
      <c r="AY91" s="782">
        <v>0</v>
      </c>
      <c r="AZ91" s="782">
        <v>0</v>
      </c>
      <c r="BA91" s="782">
        <v>0</v>
      </c>
      <c r="BB91" s="782">
        <v>0</v>
      </c>
      <c r="BC91" s="782">
        <v>0</v>
      </c>
      <c r="BD91" s="782">
        <v>0</v>
      </c>
      <c r="BE91" s="782">
        <v>0</v>
      </c>
      <c r="BF91" s="782">
        <v>0</v>
      </c>
      <c r="BG91" s="782">
        <v>0</v>
      </c>
      <c r="BH91" s="782">
        <v>0</v>
      </c>
      <c r="BI91" s="782"/>
      <c r="BJ91" s="770"/>
      <c r="BK91" s="769" t="s">
        <v>199</v>
      </c>
      <c r="BL91" s="769" t="s">
        <v>199</v>
      </c>
      <c r="BM91" s="769" t="s">
        <v>199</v>
      </c>
      <c r="BN91" s="782">
        <v>0</v>
      </c>
      <c r="BO91" s="782">
        <v>0</v>
      </c>
      <c r="BP91" s="782">
        <v>0</v>
      </c>
      <c r="BQ91" s="782">
        <v>0</v>
      </c>
      <c r="BR91" s="782">
        <v>0</v>
      </c>
      <c r="BS91" s="782">
        <v>0</v>
      </c>
      <c r="BT91" s="782">
        <v>0</v>
      </c>
      <c r="BU91" s="782">
        <v>0</v>
      </c>
      <c r="BV91" s="782">
        <v>0</v>
      </c>
      <c r="BW91" s="782">
        <v>0</v>
      </c>
      <c r="BX91" s="782">
        <v>0</v>
      </c>
      <c r="BY91" s="782">
        <v>0</v>
      </c>
      <c r="BZ91" s="782"/>
      <c r="CA91" s="770"/>
      <c r="CB91" s="769" t="s">
        <v>199</v>
      </c>
      <c r="CC91" s="769" t="s">
        <v>199</v>
      </c>
      <c r="CD91" s="769" t="s">
        <v>199</v>
      </c>
      <c r="CE91" s="782">
        <v>0</v>
      </c>
      <c r="CF91" s="782">
        <v>0</v>
      </c>
      <c r="CG91" s="782">
        <v>0</v>
      </c>
      <c r="CH91" s="782">
        <v>0</v>
      </c>
      <c r="CI91" s="782">
        <v>0</v>
      </c>
      <c r="CJ91" s="782">
        <v>0</v>
      </c>
      <c r="CK91" s="782">
        <v>0</v>
      </c>
      <c r="CL91" s="782">
        <v>0</v>
      </c>
      <c r="CM91" s="782">
        <v>0</v>
      </c>
      <c r="CN91" s="782">
        <v>0</v>
      </c>
      <c r="CO91" s="782">
        <v>0</v>
      </c>
      <c r="CP91" s="782">
        <v>0</v>
      </c>
    </row>
    <row r="92" ht="15" customHeight="1" spans="2:94">
      <c r="B92" s="767" t="s">
        <v>1537</v>
      </c>
      <c r="C92" s="784"/>
      <c r="D92" s="784" t="s">
        <v>1534</v>
      </c>
      <c r="E92" s="784"/>
      <c r="F92" s="784"/>
      <c r="G92" s="784"/>
      <c r="H92" s="784" t="s">
        <v>1534</v>
      </c>
      <c r="I92" s="784"/>
      <c r="J92" s="770" t="s">
        <v>1534</v>
      </c>
      <c r="K92" s="770"/>
      <c r="L92" s="769" t="s">
        <v>1464</v>
      </c>
      <c r="M92" s="769" t="s">
        <v>199</v>
      </c>
      <c r="N92" s="769" t="s">
        <v>199</v>
      </c>
      <c r="O92" s="782">
        <v>0</v>
      </c>
      <c r="P92" s="782">
        <v>0</v>
      </c>
      <c r="Q92" s="782">
        <v>0</v>
      </c>
      <c r="R92" s="782">
        <v>0</v>
      </c>
      <c r="S92" s="782">
        <v>0</v>
      </c>
      <c r="T92" s="782">
        <v>0</v>
      </c>
      <c r="U92" s="782">
        <v>0</v>
      </c>
      <c r="V92" s="782">
        <v>0</v>
      </c>
      <c r="W92" s="783">
        <v>0</v>
      </c>
      <c r="X92" s="782">
        <v>0</v>
      </c>
      <c r="Y92" s="782">
        <v>0</v>
      </c>
      <c r="Z92" s="782">
        <v>0</v>
      </c>
      <c r="AA92" s="770"/>
      <c r="AB92" s="770"/>
      <c r="AC92" s="769" t="s">
        <v>199</v>
      </c>
      <c r="AD92" s="769" t="s">
        <v>199</v>
      </c>
      <c r="AE92" s="769" t="s">
        <v>199</v>
      </c>
      <c r="AF92" s="782">
        <v>0</v>
      </c>
      <c r="AG92" s="782">
        <v>0</v>
      </c>
      <c r="AH92" s="782">
        <v>0</v>
      </c>
      <c r="AI92" s="782">
        <v>0</v>
      </c>
      <c r="AJ92" s="782">
        <v>0</v>
      </c>
      <c r="AK92" s="782">
        <v>0</v>
      </c>
      <c r="AL92" s="782">
        <v>0</v>
      </c>
      <c r="AM92" s="782">
        <v>0</v>
      </c>
      <c r="AN92" s="782">
        <v>0</v>
      </c>
      <c r="AO92" s="782">
        <v>0</v>
      </c>
      <c r="AP92" s="782">
        <v>0</v>
      </c>
      <c r="AQ92" s="782">
        <v>0</v>
      </c>
      <c r="AR92" s="782"/>
      <c r="AS92" s="770"/>
      <c r="AT92" s="769" t="s">
        <v>199</v>
      </c>
      <c r="AU92" s="769" t="s">
        <v>199</v>
      </c>
      <c r="AV92" s="769" t="s">
        <v>199</v>
      </c>
      <c r="AW92" s="782">
        <v>0</v>
      </c>
      <c r="AX92" s="782">
        <v>0</v>
      </c>
      <c r="AY92" s="782">
        <v>0</v>
      </c>
      <c r="AZ92" s="782">
        <v>0</v>
      </c>
      <c r="BA92" s="782">
        <v>0</v>
      </c>
      <c r="BB92" s="782">
        <v>0</v>
      </c>
      <c r="BC92" s="782">
        <v>0</v>
      </c>
      <c r="BD92" s="782">
        <v>0</v>
      </c>
      <c r="BE92" s="782">
        <v>0</v>
      </c>
      <c r="BF92" s="782">
        <v>0</v>
      </c>
      <c r="BG92" s="782">
        <v>0</v>
      </c>
      <c r="BH92" s="782">
        <v>0</v>
      </c>
      <c r="BI92" s="782"/>
      <c r="BJ92" s="770"/>
      <c r="BK92" s="769" t="s">
        <v>199</v>
      </c>
      <c r="BL92" s="769" t="s">
        <v>199</v>
      </c>
      <c r="BM92" s="769" t="s">
        <v>199</v>
      </c>
      <c r="BN92" s="782">
        <v>0</v>
      </c>
      <c r="BO92" s="782">
        <v>0</v>
      </c>
      <c r="BP92" s="782">
        <v>0</v>
      </c>
      <c r="BQ92" s="782">
        <v>0</v>
      </c>
      <c r="BR92" s="782">
        <v>0</v>
      </c>
      <c r="BS92" s="782">
        <v>0</v>
      </c>
      <c r="BT92" s="782">
        <v>0</v>
      </c>
      <c r="BU92" s="782">
        <v>0</v>
      </c>
      <c r="BV92" s="782">
        <v>0</v>
      </c>
      <c r="BW92" s="782">
        <v>0</v>
      </c>
      <c r="BX92" s="782">
        <v>0</v>
      </c>
      <c r="BY92" s="782">
        <v>0</v>
      </c>
      <c r="BZ92" s="782"/>
      <c r="CA92" s="770"/>
      <c r="CB92" s="769" t="s">
        <v>199</v>
      </c>
      <c r="CC92" s="769" t="s">
        <v>199</v>
      </c>
      <c r="CD92" s="769" t="s">
        <v>199</v>
      </c>
      <c r="CE92" s="782">
        <v>0</v>
      </c>
      <c r="CF92" s="782">
        <v>0</v>
      </c>
      <c r="CG92" s="782">
        <v>0</v>
      </c>
      <c r="CH92" s="782">
        <v>0</v>
      </c>
      <c r="CI92" s="782">
        <v>0</v>
      </c>
      <c r="CJ92" s="782">
        <v>0</v>
      </c>
      <c r="CK92" s="782">
        <v>0</v>
      </c>
      <c r="CL92" s="782">
        <v>0</v>
      </c>
      <c r="CM92" s="782">
        <v>0</v>
      </c>
      <c r="CN92" s="782">
        <v>0</v>
      </c>
      <c r="CO92" s="782">
        <v>0</v>
      </c>
      <c r="CP92" s="782">
        <v>0</v>
      </c>
    </row>
    <row r="93" ht="15" customHeight="1" spans="2:94">
      <c r="B93" s="767" t="s">
        <v>1538</v>
      </c>
      <c r="C93" s="784"/>
      <c r="D93" s="784" t="s">
        <v>1534</v>
      </c>
      <c r="E93" s="784"/>
      <c r="F93" s="784"/>
      <c r="G93" s="784"/>
      <c r="H93" s="784" t="s">
        <v>1534</v>
      </c>
      <c r="I93" s="784"/>
      <c r="J93" s="770" t="s">
        <v>1534</v>
      </c>
      <c r="K93" s="770"/>
      <c r="L93" s="769" t="s">
        <v>1464</v>
      </c>
      <c r="M93" s="769" t="s">
        <v>199</v>
      </c>
      <c r="N93" s="769" t="s">
        <v>199</v>
      </c>
      <c r="O93" s="782">
        <v>0</v>
      </c>
      <c r="P93" s="782">
        <v>0</v>
      </c>
      <c r="Q93" s="782">
        <v>0</v>
      </c>
      <c r="R93" s="782">
        <v>0</v>
      </c>
      <c r="S93" s="782">
        <v>0</v>
      </c>
      <c r="T93" s="782">
        <v>0</v>
      </c>
      <c r="U93" s="782">
        <v>0</v>
      </c>
      <c r="V93" s="782">
        <v>0</v>
      </c>
      <c r="W93" s="783">
        <v>0</v>
      </c>
      <c r="X93" s="782">
        <v>0</v>
      </c>
      <c r="Y93" s="782">
        <v>0</v>
      </c>
      <c r="Z93" s="782">
        <v>0</v>
      </c>
      <c r="AA93" s="770"/>
      <c r="AB93" s="770"/>
      <c r="AC93" s="769" t="s">
        <v>199</v>
      </c>
      <c r="AD93" s="769" t="s">
        <v>199</v>
      </c>
      <c r="AE93" s="769" t="s">
        <v>199</v>
      </c>
      <c r="AF93" s="782">
        <v>0</v>
      </c>
      <c r="AG93" s="782">
        <v>0</v>
      </c>
      <c r="AH93" s="782">
        <v>0</v>
      </c>
      <c r="AI93" s="782">
        <v>0</v>
      </c>
      <c r="AJ93" s="782">
        <v>0</v>
      </c>
      <c r="AK93" s="782">
        <v>0</v>
      </c>
      <c r="AL93" s="782">
        <v>0</v>
      </c>
      <c r="AM93" s="782">
        <v>0</v>
      </c>
      <c r="AN93" s="782">
        <v>0</v>
      </c>
      <c r="AO93" s="782">
        <v>0</v>
      </c>
      <c r="AP93" s="782">
        <v>0</v>
      </c>
      <c r="AQ93" s="782">
        <v>0</v>
      </c>
      <c r="AR93" s="782"/>
      <c r="AS93" s="770"/>
      <c r="AT93" s="769" t="s">
        <v>199</v>
      </c>
      <c r="AU93" s="769" t="s">
        <v>199</v>
      </c>
      <c r="AV93" s="769" t="s">
        <v>199</v>
      </c>
      <c r="AW93" s="782">
        <v>0</v>
      </c>
      <c r="AX93" s="782">
        <v>0</v>
      </c>
      <c r="AY93" s="782">
        <v>0</v>
      </c>
      <c r="AZ93" s="782">
        <v>0</v>
      </c>
      <c r="BA93" s="782">
        <v>0</v>
      </c>
      <c r="BB93" s="782">
        <v>0</v>
      </c>
      <c r="BC93" s="782">
        <v>0</v>
      </c>
      <c r="BD93" s="782">
        <v>0</v>
      </c>
      <c r="BE93" s="782">
        <v>0</v>
      </c>
      <c r="BF93" s="782">
        <v>0</v>
      </c>
      <c r="BG93" s="782">
        <v>0</v>
      </c>
      <c r="BH93" s="782">
        <v>0</v>
      </c>
      <c r="BI93" s="782"/>
      <c r="BJ93" s="770"/>
      <c r="BK93" s="769" t="s">
        <v>199</v>
      </c>
      <c r="BL93" s="769" t="s">
        <v>199</v>
      </c>
      <c r="BM93" s="769" t="s">
        <v>199</v>
      </c>
      <c r="BN93" s="782">
        <v>0</v>
      </c>
      <c r="BO93" s="782">
        <v>0</v>
      </c>
      <c r="BP93" s="782">
        <v>0</v>
      </c>
      <c r="BQ93" s="782">
        <v>0</v>
      </c>
      <c r="BR93" s="782">
        <v>0</v>
      </c>
      <c r="BS93" s="782">
        <v>0</v>
      </c>
      <c r="BT93" s="782">
        <v>0</v>
      </c>
      <c r="BU93" s="782">
        <v>0</v>
      </c>
      <c r="BV93" s="782">
        <v>0</v>
      </c>
      <c r="BW93" s="782">
        <v>0</v>
      </c>
      <c r="BX93" s="782">
        <v>0</v>
      </c>
      <c r="BY93" s="782">
        <v>0</v>
      </c>
      <c r="BZ93" s="782"/>
      <c r="CA93" s="770"/>
      <c r="CB93" s="769" t="s">
        <v>199</v>
      </c>
      <c r="CC93" s="769" t="s">
        <v>199</v>
      </c>
      <c r="CD93" s="769" t="s">
        <v>199</v>
      </c>
      <c r="CE93" s="782">
        <v>0</v>
      </c>
      <c r="CF93" s="782">
        <v>0</v>
      </c>
      <c r="CG93" s="782">
        <v>0</v>
      </c>
      <c r="CH93" s="782">
        <v>0</v>
      </c>
      <c r="CI93" s="782">
        <v>0</v>
      </c>
      <c r="CJ93" s="782">
        <v>0</v>
      </c>
      <c r="CK93" s="782">
        <v>0</v>
      </c>
      <c r="CL93" s="782">
        <v>0</v>
      </c>
      <c r="CM93" s="782">
        <v>0</v>
      </c>
      <c r="CN93" s="782">
        <v>0</v>
      </c>
      <c r="CO93" s="782">
        <v>0</v>
      </c>
      <c r="CP93" s="782">
        <v>0</v>
      </c>
    </row>
    <row r="94" ht="15" customHeight="1" spans="2:94">
      <c r="B94" s="767" t="s">
        <v>1539</v>
      </c>
      <c r="C94" s="784"/>
      <c r="D94" s="784" t="s">
        <v>1534</v>
      </c>
      <c r="E94" s="784"/>
      <c r="F94" s="784"/>
      <c r="G94" s="784"/>
      <c r="H94" s="784" t="s">
        <v>1534</v>
      </c>
      <c r="I94" s="784"/>
      <c r="J94" s="770" t="s">
        <v>1534</v>
      </c>
      <c r="K94" s="770"/>
      <c r="L94" s="769" t="s">
        <v>1464</v>
      </c>
      <c r="M94" s="769" t="s">
        <v>199</v>
      </c>
      <c r="N94" s="769" t="s">
        <v>199</v>
      </c>
      <c r="O94" s="782">
        <v>0</v>
      </c>
      <c r="P94" s="782">
        <v>0</v>
      </c>
      <c r="Q94" s="782">
        <v>0</v>
      </c>
      <c r="R94" s="782">
        <v>0</v>
      </c>
      <c r="S94" s="782">
        <v>0</v>
      </c>
      <c r="T94" s="782">
        <v>0</v>
      </c>
      <c r="U94" s="782">
        <v>0</v>
      </c>
      <c r="V94" s="782">
        <v>0</v>
      </c>
      <c r="W94" s="783">
        <v>0</v>
      </c>
      <c r="X94" s="782">
        <v>0</v>
      </c>
      <c r="Y94" s="782">
        <v>0</v>
      </c>
      <c r="Z94" s="782">
        <v>0</v>
      </c>
      <c r="AA94" s="770"/>
      <c r="AB94" s="770"/>
      <c r="AC94" s="769" t="s">
        <v>199</v>
      </c>
      <c r="AD94" s="769" t="s">
        <v>199</v>
      </c>
      <c r="AE94" s="769" t="s">
        <v>199</v>
      </c>
      <c r="AF94" s="782">
        <v>0</v>
      </c>
      <c r="AG94" s="782">
        <v>0</v>
      </c>
      <c r="AH94" s="782">
        <v>0</v>
      </c>
      <c r="AI94" s="782">
        <v>0</v>
      </c>
      <c r="AJ94" s="782">
        <v>0</v>
      </c>
      <c r="AK94" s="782">
        <v>0</v>
      </c>
      <c r="AL94" s="782">
        <v>0</v>
      </c>
      <c r="AM94" s="782">
        <v>0</v>
      </c>
      <c r="AN94" s="782">
        <v>0</v>
      </c>
      <c r="AO94" s="782">
        <v>0</v>
      </c>
      <c r="AP94" s="782">
        <v>0</v>
      </c>
      <c r="AQ94" s="782">
        <v>0</v>
      </c>
      <c r="AR94" s="782"/>
      <c r="AS94" s="770"/>
      <c r="AT94" s="769" t="s">
        <v>199</v>
      </c>
      <c r="AU94" s="769" t="s">
        <v>199</v>
      </c>
      <c r="AV94" s="769" t="s">
        <v>199</v>
      </c>
      <c r="AW94" s="782">
        <v>0</v>
      </c>
      <c r="AX94" s="782">
        <v>0</v>
      </c>
      <c r="AY94" s="782">
        <v>0</v>
      </c>
      <c r="AZ94" s="782">
        <v>0</v>
      </c>
      <c r="BA94" s="782">
        <v>0</v>
      </c>
      <c r="BB94" s="782">
        <v>0</v>
      </c>
      <c r="BC94" s="782">
        <v>0</v>
      </c>
      <c r="BD94" s="782">
        <v>0</v>
      </c>
      <c r="BE94" s="782">
        <v>0</v>
      </c>
      <c r="BF94" s="782">
        <v>0</v>
      </c>
      <c r="BG94" s="782">
        <v>0</v>
      </c>
      <c r="BH94" s="782">
        <v>0</v>
      </c>
      <c r="BI94" s="782"/>
      <c r="BJ94" s="770"/>
      <c r="BK94" s="769" t="s">
        <v>199</v>
      </c>
      <c r="BL94" s="769" t="s">
        <v>199</v>
      </c>
      <c r="BM94" s="769" t="s">
        <v>199</v>
      </c>
      <c r="BN94" s="782">
        <v>0</v>
      </c>
      <c r="BO94" s="782">
        <v>0</v>
      </c>
      <c r="BP94" s="782">
        <v>0</v>
      </c>
      <c r="BQ94" s="782">
        <v>0</v>
      </c>
      <c r="BR94" s="782">
        <v>0</v>
      </c>
      <c r="BS94" s="782">
        <v>0</v>
      </c>
      <c r="BT94" s="782">
        <v>0</v>
      </c>
      <c r="BU94" s="782">
        <v>0</v>
      </c>
      <c r="BV94" s="782">
        <v>0</v>
      </c>
      <c r="BW94" s="782">
        <v>0</v>
      </c>
      <c r="BX94" s="782">
        <v>0</v>
      </c>
      <c r="BY94" s="782">
        <v>0</v>
      </c>
      <c r="BZ94" s="782"/>
      <c r="CA94" s="770"/>
      <c r="CB94" s="769" t="s">
        <v>199</v>
      </c>
      <c r="CC94" s="769" t="s">
        <v>199</v>
      </c>
      <c r="CD94" s="769" t="s">
        <v>199</v>
      </c>
      <c r="CE94" s="782">
        <v>0</v>
      </c>
      <c r="CF94" s="782">
        <v>0</v>
      </c>
      <c r="CG94" s="782">
        <v>0</v>
      </c>
      <c r="CH94" s="782">
        <v>0</v>
      </c>
      <c r="CI94" s="782">
        <v>0</v>
      </c>
      <c r="CJ94" s="782">
        <v>0</v>
      </c>
      <c r="CK94" s="782">
        <v>0</v>
      </c>
      <c r="CL94" s="782">
        <v>0</v>
      </c>
      <c r="CM94" s="782">
        <v>0</v>
      </c>
      <c r="CN94" s="782">
        <v>0</v>
      </c>
      <c r="CO94" s="782">
        <v>0</v>
      </c>
      <c r="CP94" s="782">
        <v>0</v>
      </c>
    </row>
    <row r="95" ht="15" customHeight="1" spans="2:94">
      <c r="B95" s="767" t="s">
        <v>1540</v>
      </c>
      <c r="C95" s="784"/>
      <c r="D95" s="784" t="s">
        <v>1534</v>
      </c>
      <c r="E95" s="784"/>
      <c r="F95" s="784"/>
      <c r="G95" s="784"/>
      <c r="H95" s="784" t="s">
        <v>1534</v>
      </c>
      <c r="I95" s="784"/>
      <c r="J95" s="770" t="s">
        <v>1534</v>
      </c>
      <c r="K95" s="770"/>
      <c r="L95" s="769" t="s">
        <v>1464</v>
      </c>
      <c r="M95" s="769" t="s">
        <v>199</v>
      </c>
      <c r="N95" s="769" t="s">
        <v>199</v>
      </c>
      <c r="O95" s="782">
        <v>0</v>
      </c>
      <c r="P95" s="782">
        <v>0</v>
      </c>
      <c r="Q95" s="782">
        <v>0</v>
      </c>
      <c r="R95" s="782">
        <v>0</v>
      </c>
      <c r="S95" s="782">
        <v>0</v>
      </c>
      <c r="T95" s="782">
        <v>0</v>
      </c>
      <c r="U95" s="782">
        <v>0</v>
      </c>
      <c r="V95" s="782">
        <v>0</v>
      </c>
      <c r="W95" s="783">
        <v>0</v>
      </c>
      <c r="X95" s="782">
        <v>0</v>
      </c>
      <c r="Y95" s="782">
        <v>0</v>
      </c>
      <c r="Z95" s="782">
        <v>0</v>
      </c>
      <c r="AA95" s="770"/>
      <c r="AB95" s="770"/>
      <c r="AC95" s="769" t="s">
        <v>199</v>
      </c>
      <c r="AD95" s="769" t="s">
        <v>199</v>
      </c>
      <c r="AE95" s="769" t="s">
        <v>199</v>
      </c>
      <c r="AF95" s="782">
        <v>0</v>
      </c>
      <c r="AG95" s="782">
        <v>0</v>
      </c>
      <c r="AH95" s="782">
        <v>0</v>
      </c>
      <c r="AI95" s="782">
        <v>0</v>
      </c>
      <c r="AJ95" s="782">
        <v>0</v>
      </c>
      <c r="AK95" s="782">
        <v>0</v>
      </c>
      <c r="AL95" s="782">
        <v>0</v>
      </c>
      <c r="AM95" s="782">
        <v>0</v>
      </c>
      <c r="AN95" s="782">
        <v>0</v>
      </c>
      <c r="AO95" s="782">
        <v>0</v>
      </c>
      <c r="AP95" s="782">
        <v>0</v>
      </c>
      <c r="AQ95" s="782">
        <v>0</v>
      </c>
      <c r="AR95" s="782"/>
      <c r="AS95" s="770"/>
      <c r="AT95" s="769" t="s">
        <v>199</v>
      </c>
      <c r="AU95" s="769" t="s">
        <v>199</v>
      </c>
      <c r="AV95" s="769" t="s">
        <v>199</v>
      </c>
      <c r="AW95" s="782">
        <v>0</v>
      </c>
      <c r="AX95" s="782">
        <v>0</v>
      </c>
      <c r="AY95" s="782">
        <v>0</v>
      </c>
      <c r="AZ95" s="782">
        <v>0</v>
      </c>
      <c r="BA95" s="782">
        <v>0</v>
      </c>
      <c r="BB95" s="782">
        <v>0</v>
      </c>
      <c r="BC95" s="782">
        <v>0</v>
      </c>
      <c r="BD95" s="782">
        <v>0</v>
      </c>
      <c r="BE95" s="782">
        <v>0</v>
      </c>
      <c r="BF95" s="782">
        <v>0</v>
      </c>
      <c r="BG95" s="782">
        <v>0</v>
      </c>
      <c r="BH95" s="782">
        <v>0</v>
      </c>
      <c r="BI95" s="782"/>
      <c r="BJ95" s="770"/>
      <c r="BK95" s="769" t="s">
        <v>199</v>
      </c>
      <c r="BL95" s="769" t="s">
        <v>199</v>
      </c>
      <c r="BM95" s="769" t="s">
        <v>199</v>
      </c>
      <c r="BN95" s="782">
        <v>0</v>
      </c>
      <c r="BO95" s="782">
        <v>0</v>
      </c>
      <c r="BP95" s="782">
        <v>0</v>
      </c>
      <c r="BQ95" s="782">
        <v>0</v>
      </c>
      <c r="BR95" s="782">
        <v>0</v>
      </c>
      <c r="BS95" s="782">
        <v>0</v>
      </c>
      <c r="BT95" s="782">
        <v>0</v>
      </c>
      <c r="BU95" s="782">
        <v>0</v>
      </c>
      <c r="BV95" s="782">
        <v>0</v>
      </c>
      <c r="BW95" s="782">
        <v>0</v>
      </c>
      <c r="BX95" s="782">
        <v>0</v>
      </c>
      <c r="BY95" s="782">
        <v>0</v>
      </c>
      <c r="BZ95" s="782"/>
      <c r="CA95" s="770"/>
      <c r="CB95" s="769" t="s">
        <v>199</v>
      </c>
      <c r="CC95" s="769" t="s">
        <v>199</v>
      </c>
      <c r="CD95" s="769" t="s">
        <v>199</v>
      </c>
      <c r="CE95" s="782">
        <v>0</v>
      </c>
      <c r="CF95" s="782">
        <v>0</v>
      </c>
      <c r="CG95" s="782">
        <v>0</v>
      </c>
      <c r="CH95" s="782">
        <v>0</v>
      </c>
      <c r="CI95" s="782">
        <v>0</v>
      </c>
      <c r="CJ95" s="782">
        <v>0</v>
      </c>
      <c r="CK95" s="782">
        <v>0</v>
      </c>
      <c r="CL95" s="782">
        <v>0</v>
      </c>
      <c r="CM95" s="782">
        <v>0</v>
      </c>
      <c r="CN95" s="782">
        <v>0</v>
      </c>
      <c r="CO95" s="782">
        <v>0</v>
      </c>
      <c r="CP95" s="782">
        <v>0</v>
      </c>
    </row>
    <row r="96" ht="15" customHeight="1" spans="2:94">
      <c r="B96" s="767" t="s">
        <v>1541</v>
      </c>
      <c r="C96" s="784"/>
      <c r="D96" s="784" t="s">
        <v>1534</v>
      </c>
      <c r="E96" s="784"/>
      <c r="F96" s="784"/>
      <c r="G96" s="784"/>
      <c r="H96" s="784" t="s">
        <v>1534</v>
      </c>
      <c r="I96" s="784"/>
      <c r="J96" s="770" t="s">
        <v>1534</v>
      </c>
      <c r="K96" s="770"/>
      <c r="L96" s="769" t="s">
        <v>1464</v>
      </c>
      <c r="M96" s="769" t="s">
        <v>199</v>
      </c>
      <c r="N96" s="769" t="s">
        <v>199</v>
      </c>
      <c r="O96" s="782">
        <v>0</v>
      </c>
      <c r="P96" s="782">
        <v>0</v>
      </c>
      <c r="Q96" s="782">
        <v>0</v>
      </c>
      <c r="R96" s="782">
        <v>0</v>
      </c>
      <c r="S96" s="782">
        <v>0</v>
      </c>
      <c r="T96" s="782">
        <v>0</v>
      </c>
      <c r="U96" s="782">
        <v>0</v>
      </c>
      <c r="V96" s="782">
        <v>0</v>
      </c>
      <c r="W96" s="783">
        <v>0</v>
      </c>
      <c r="X96" s="782">
        <v>0</v>
      </c>
      <c r="Y96" s="782">
        <v>0</v>
      </c>
      <c r="Z96" s="782">
        <v>0</v>
      </c>
      <c r="AA96" s="770"/>
      <c r="AB96" s="770"/>
      <c r="AC96" s="769" t="s">
        <v>199</v>
      </c>
      <c r="AD96" s="769" t="s">
        <v>199</v>
      </c>
      <c r="AE96" s="769" t="s">
        <v>199</v>
      </c>
      <c r="AF96" s="782">
        <v>0</v>
      </c>
      <c r="AG96" s="782">
        <v>0</v>
      </c>
      <c r="AH96" s="782">
        <v>0</v>
      </c>
      <c r="AI96" s="782">
        <v>0</v>
      </c>
      <c r="AJ96" s="782">
        <v>0</v>
      </c>
      <c r="AK96" s="782">
        <v>0</v>
      </c>
      <c r="AL96" s="782">
        <v>0</v>
      </c>
      <c r="AM96" s="782">
        <v>0</v>
      </c>
      <c r="AN96" s="782">
        <v>0</v>
      </c>
      <c r="AO96" s="782">
        <v>0</v>
      </c>
      <c r="AP96" s="782">
        <v>0</v>
      </c>
      <c r="AQ96" s="782">
        <v>0</v>
      </c>
      <c r="AR96" s="782"/>
      <c r="AS96" s="770"/>
      <c r="AT96" s="769" t="s">
        <v>199</v>
      </c>
      <c r="AU96" s="769" t="s">
        <v>199</v>
      </c>
      <c r="AV96" s="769" t="s">
        <v>199</v>
      </c>
      <c r="AW96" s="782">
        <v>0</v>
      </c>
      <c r="AX96" s="782">
        <v>0</v>
      </c>
      <c r="AY96" s="782">
        <v>0</v>
      </c>
      <c r="AZ96" s="782">
        <v>0</v>
      </c>
      <c r="BA96" s="782">
        <v>0</v>
      </c>
      <c r="BB96" s="782">
        <v>0</v>
      </c>
      <c r="BC96" s="782">
        <v>0</v>
      </c>
      <c r="BD96" s="782">
        <v>0</v>
      </c>
      <c r="BE96" s="782">
        <v>0</v>
      </c>
      <c r="BF96" s="782">
        <v>0</v>
      </c>
      <c r="BG96" s="782">
        <v>0</v>
      </c>
      <c r="BH96" s="782">
        <v>0</v>
      </c>
      <c r="BI96" s="782"/>
      <c r="BJ96" s="770"/>
      <c r="BK96" s="769" t="s">
        <v>199</v>
      </c>
      <c r="BL96" s="769" t="s">
        <v>199</v>
      </c>
      <c r="BM96" s="769" t="s">
        <v>199</v>
      </c>
      <c r="BN96" s="782">
        <v>0</v>
      </c>
      <c r="BO96" s="782">
        <v>0</v>
      </c>
      <c r="BP96" s="782">
        <v>0</v>
      </c>
      <c r="BQ96" s="782">
        <v>0</v>
      </c>
      <c r="BR96" s="782">
        <v>0</v>
      </c>
      <c r="BS96" s="782">
        <v>0</v>
      </c>
      <c r="BT96" s="782">
        <v>0</v>
      </c>
      <c r="BU96" s="782">
        <v>0</v>
      </c>
      <c r="BV96" s="782">
        <v>0</v>
      </c>
      <c r="BW96" s="782">
        <v>0</v>
      </c>
      <c r="BX96" s="782">
        <v>0</v>
      </c>
      <c r="BY96" s="782">
        <v>0</v>
      </c>
      <c r="BZ96" s="782"/>
      <c r="CA96" s="770"/>
      <c r="CB96" s="769" t="s">
        <v>199</v>
      </c>
      <c r="CC96" s="769" t="s">
        <v>199</v>
      </c>
      <c r="CD96" s="769" t="s">
        <v>199</v>
      </c>
      <c r="CE96" s="782">
        <v>0</v>
      </c>
      <c r="CF96" s="782">
        <v>0</v>
      </c>
      <c r="CG96" s="782">
        <v>0</v>
      </c>
      <c r="CH96" s="782">
        <v>0</v>
      </c>
      <c r="CI96" s="782">
        <v>0</v>
      </c>
      <c r="CJ96" s="782">
        <v>0</v>
      </c>
      <c r="CK96" s="782">
        <v>0</v>
      </c>
      <c r="CL96" s="782">
        <v>0</v>
      </c>
      <c r="CM96" s="782">
        <v>0</v>
      </c>
      <c r="CN96" s="782">
        <v>0</v>
      </c>
      <c r="CO96" s="782">
        <v>0</v>
      </c>
      <c r="CP96" s="782">
        <v>0</v>
      </c>
    </row>
    <row r="97" ht="15" customHeight="1" spans="2:94">
      <c r="B97" s="767" t="s">
        <v>1542</v>
      </c>
      <c r="C97" s="784"/>
      <c r="D97" s="784" t="s">
        <v>1534</v>
      </c>
      <c r="E97" s="784"/>
      <c r="F97" s="784"/>
      <c r="G97" s="784"/>
      <c r="H97" s="784" t="s">
        <v>1534</v>
      </c>
      <c r="I97" s="784"/>
      <c r="J97" s="770" t="s">
        <v>1534</v>
      </c>
      <c r="K97" s="770"/>
      <c r="L97" s="769" t="s">
        <v>1464</v>
      </c>
      <c r="M97" s="769" t="s">
        <v>199</v>
      </c>
      <c r="N97" s="769" t="s">
        <v>199</v>
      </c>
      <c r="O97" s="782">
        <v>0</v>
      </c>
      <c r="P97" s="782">
        <v>0</v>
      </c>
      <c r="Q97" s="782">
        <v>0</v>
      </c>
      <c r="R97" s="782">
        <v>0</v>
      </c>
      <c r="S97" s="782">
        <v>0</v>
      </c>
      <c r="T97" s="782">
        <v>0</v>
      </c>
      <c r="U97" s="782">
        <v>0</v>
      </c>
      <c r="V97" s="782">
        <v>0</v>
      </c>
      <c r="W97" s="783">
        <v>0</v>
      </c>
      <c r="X97" s="782">
        <v>0</v>
      </c>
      <c r="Y97" s="782">
        <v>0</v>
      </c>
      <c r="Z97" s="782">
        <v>0</v>
      </c>
      <c r="AA97" s="770"/>
      <c r="AB97" s="770"/>
      <c r="AC97" s="769" t="s">
        <v>199</v>
      </c>
      <c r="AD97" s="769" t="s">
        <v>199</v>
      </c>
      <c r="AE97" s="769" t="s">
        <v>199</v>
      </c>
      <c r="AF97" s="782">
        <v>0</v>
      </c>
      <c r="AG97" s="782">
        <v>0</v>
      </c>
      <c r="AH97" s="782">
        <v>0</v>
      </c>
      <c r="AI97" s="782">
        <v>0</v>
      </c>
      <c r="AJ97" s="782">
        <v>0</v>
      </c>
      <c r="AK97" s="782">
        <v>0</v>
      </c>
      <c r="AL97" s="782">
        <v>0</v>
      </c>
      <c r="AM97" s="782">
        <v>0</v>
      </c>
      <c r="AN97" s="782">
        <v>0</v>
      </c>
      <c r="AO97" s="782">
        <v>0</v>
      </c>
      <c r="AP97" s="782">
        <v>0</v>
      </c>
      <c r="AQ97" s="782">
        <v>0</v>
      </c>
      <c r="AR97" s="782"/>
      <c r="AS97" s="770"/>
      <c r="AT97" s="769" t="s">
        <v>199</v>
      </c>
      <c r="AU97" s="769" t="s">
        <v>199</v>
      </c>
      <c r="AV97" s="769" t="s">
        <v>199</v>
      </c>
      <c r="AW97" s="782">
        <v>0</v>
      </c>
      <c r="AX97" s="782">
        <v>0</v>
      </c>
      <c r="AY97" s="782">
        <v>0</v>
      </c>
      <c r="AZ97" s="782">
        <v>0</v>
      </c>
      <c r="BA97" s="782">
        <v>0</v>
      </c>
      <c r="BB97" s="782">
        <v>0</v>
      </c>
      <c r="BC97" s="782">
        <v>0</v>
      </c>
      <c r="BD97" s="782">
        <v>0</v>
      </c>
      <c r="BE97" s="782">
        <v>0</v>
      </c>
      <c r="BF97" s="782">
        <v>0</v>
      </c>
      <c r="BG97" s="782">
        <v>0</v>
      </c>
      <c r="BH97" s="782">
        <v>0</v>
      </c>
      <c r="BI97" s="782"/>
      <c r="BJ97" s="770"/>
      <c r="BK97" s="769" t="s">
        <v>199</v>
      </c>
      <c r="BL97" s="769" t="s">
        <v>199</v>
      </c>
      <c r="BM97" s="769" t="s">
        <v>199</v>
      </c>
      <c r="BN97" s="782">
        <v>0</v>
      </c>
      <c r="BO97" s="782">
        <v>0</v>
      </c>
      <c r="BP97" s="782">
        <v>0</v>
      </c>
      <c r="BQ97" s="782">
        <v>0</v>
      </c>
      <c r="BR97" s="782">
        <v>0</v>
      </c>
      <c r="BS97" s="782">
        <v>0</v>
      </c>
      <c r="BT97" s="782">
        <v>0</v>
      </c>
      <c r="BU97" s="782">
        <v>0</v>
      </c>
      <c r="BV97" s="782">
        <v>0</v>
      </c>
      <c r="BW97" s="782">
        <v>0</v>
      </c>
      <c r="BX97" s="782">
        <v>0</v>
      </c>
      <c r="BY97" s="782">
        <v>0</v>
      </c>
      <c r="BZ97" s="782"/>
      <c r="CA97" s="770"/>
      <c r="CB97" s="769" t="s">
        <v>199</v>
      </c>
      <c r="CC97" s="769" t="s">
        <v>199</v>
      </c>
      <c r="CD97" s="769" t="s">
        <v>199</v>
      </c>
      <c r="CE97" s="782">
        <v>0</v>
      </c>
      <c r="CF97" s="782">
        <v>0</v>
      </c>
      <c r="CG97" s="782">
        <v>0</v>
      </c>
      <c r="CH97" s="782">
        <v>0</v>
      </c>
      <c r="CI97" s="782">
        <v>0</v>
      </c>
      <c r="CJ97" s="782">
        <v>0</v>
      </c>
      <c r="CK97" s="782">
        <v>0</v>
      </c>
      <c r="CL97" s="782">
        <v>0</v>
      </c>
      <c r="CM97" s="782">
        <v>0</v>
      </c>
      <c r="CN97" s="782">
        <v>0</v>
      </c>
      <c r="CO97" s="782">
        <v>0</v>
      </c>
      <c r="CP97" s="782">
        <v>0</v>
      </c>
    </row>
    <row r="98" ht="15" customHeight="1" spans="2:94">
      <c r="B98" s="767" t="s">
        <v>1543</v>
      </c>
      <c r="C98" s="784"/>
      <c r="D98" s="784" t="s">
        <v>1534</v>
      </c>
      <c r="E98" s="784"/>
      <c r="F98" s="784"/>
      <c r="G98" s="784"/>
      <c r="H98" s="784" t="s">
        <v>1534</v>
      </c>
      <c r="I98" s="784"/>
      <c r="J98" s="770" t="s">
        <v>1534</v>
      </c>
      <c r="K98" s="770"/>
      <c r="L98" s="769" t="s">
        <v>1464</v>
      </c>
      <c r="M98" s="769" t="s">
        <v>199</v>
      </c>
      <c r="N98" s="769" t="s">
        <v>199</v>
      </c>
      <c r="O98" s="782">
        <v>0</v>
      </c>
      <c r="P98" s="782">
        <v>0</v>
      </c>
      <c r="Q98" s="782">
        <v>0</v>
      </c>
      <c r="R98" s="782">
        <v>0</v>
      </c>
      <c r="S98" s="782">
        <v>0</v>
      </c>
      <c r="T98" s="782">
        <v>0</v>
      </c>
      <c r="U98" s="782">
        <v>0</v>
      </c>
      <c r="V98" s="782">
        <v>0</v>
      </c>
      <c r="W98" s="783">
        <v>0</v>
      </c>
      <c r="X98" s="782">
        <v>0</v>
      </c>
      <c r="Y98" s="782">
        <v>0</v>
      </c>
      <c r="Z98" s="782">
        <v>0</v>
      </c>
      <c r="AA98" s="770"/>
      <c r="AB98" s="770"/>
      <c r="AC98" s="769" t="s">
        <v>199</v>
      </c>
      <c r="AD98" s="769" t="s">
        <v>199</v>
      </c>
      <c r="AE98" s="769" t="s">
        <v>199</v>
      </c>
      <c r="AF98" s="782">
        <v>0</v>
      </c>
      <c r="AG98" s="782">
        <v>0</v>
      </c>
      <c r="AH98" s="782">
        <v>0</v>
      </c>
      <c r="AI98" s="782">
        <v>0</v>
      </c>
      <c r="AJ98" s="782">
        <v>0</v>
      </c>
      <c r="AK98" s="782">
        <v>0</v>
      </c>
      <c r="AL98" s="782">
        <v>0</v>
      </c>
      <c r="AM98" s="782">
        <v>0</v>
      </c>
      <c r="AN98" s="782">
        <v>0</v>
      </c>
      <c r="AO98" s="782">
        <v>0</v>
      </c>
      <c r="AP98" s="782">
        <v>0</v>
      </c>
      <c r="AQ98" s="782">
        <v>0</v>
      </c>
      <c r="AR98" s="782"/>
      <c r="AS98" s="770"/>
      <c r="AT98" s="769" t="s">
        <v>199</v>
      </c>
      <c r="AU98" s="769" t="s">
        <v>199</v>
      </c>
      <c r="AV98" s="769" t="s">
        <v>199</v>
      </c>
      <c r="AW98" s="782">
        <v>0</v>
      </c>
      <c r="AX98" s="782">
        <v>0</v>
      </c>
      <c r="AY98" s="782">
        <v>0</v>
      </c>
      <c r="AZ98" s="782">
        <v>0</v>
      </c>
      <c r="BA98" s="782">
        <v>0</v>
      </c>
      <c r="BB98" s="782">
        <v>0</v>
      </c>
      <c r="BC98" s="782">
        <v>0</v>
      </c>
      <c r="BD98" s="782">
        <v>0</v>
      </c>
      <c r="BE98" s="782">
        <v>0</v>
      </c>
      <c r="BF98" s="782">
        <v>0</v>
      </c>
      <c r="BG98" s="782">
        <v>0</v>
      </c>
      <c r="BH98" s="782">
        <v>0</v>
      </c>
      <c r="BI98" s="782"/>
      <c r="BJ98" s="770"/>
      <c r="BK98" s="769" t="s">
        <v>199</v>
      </c>
      <c r="BL98" s="769" t="s">
        <v>199</v>
      </c>
      <c r="BM98" s="769" t="s">
        <v>199</v>
      </c>
      <c r="BN98" s="782">
        <v>0</v>
      </c>
      <c r="BO98" s="782">
        <v>0</v>
      </c>
      <c r="BP98" s="782">
        <v>0</v>
      </c>
      <c r="BQ98" s="782">
        <v>0</v>
      </c>
      <c r="BR98" s="782">
        <v>0</v>
      </c>
      <c r="BS98" s="782">
        <v>0</v>
      </c>
      <c r="BT98" s="782">
        <v>0</v>
      </c>
      <c r="BU98" s="782">
        <v>0</v>
      </c>
      <c r="BV98" s="782">
        <v>0</v>
      </c>
      <c r="BW98" s="782">
        <v>0</v>
      </c>
      <c r="BX98" s="782">
        <v>0</v>
      </c>
      <c r="BY98" s="782">
        <v>0</v>
      </c>
      <c r="BZ98" s="782"/>
      <c r="CA98" s="770"/>
      <c r="CB98" s="769" t="s">
        <v>199</v>
      </c>
      <c r="CC98" s="769" t="s">
        <v>199</v>
      </c>
      <c r="CD98" s="769" t="s">
        <v>199</v>
      </c>
      <c r="CE98" s="782">
        <v>0</v>
      </c>
      <c r="CF98" s="782">
        <v>0</v>
      </c>
      <c r="CG98" s="782">
        <v>0</v>
      </c>
      <c r="CH98" s="782">
        <v>0</v>
      </c>
      <c r="CI98" s="782">
        <v>0</v>
      </c>
      <c r="CJ98" s="782">
        <v>0</v>
      </c>
      <c r="CK98" s="782">
        <v>0</v>
      </c>
      <c r="CL98" s="782">
        <v>0</v>
      </c>
      <c r="CM98" s="782">
        <v>0</v>
      </c>
      <c r="CN98" s="782">
        <v>0</v>
      </c>
      <c r="CO98" s="782">
        <v>0</v>
      </c>
      <c r="CP98" s="782">
        <v>0</v>
      </c>
    </row>
    <row r="99" ht="15" customHeight="1" spans="2:94">
      <c r="B99" s="767" t="s">
        <v>1544</v>
      </c>
      <c r="C99" s="784"/>
      <c r="D99" s="784" t="s">
        <v>1534</v>
      </c>
      <c r="E99" s="784"/>
      <c r="F99" s="784"/>
      <c r="G99" s="784"/>
      <c r="H99" s="784" t="s">
        <v>1534</v>
      </c>
      <c r="I99" s="784"/>
      <c r="J99" s="770" t="s">
        <v>1534</v>
      </c>
      <c r="K99" s="770"/>
      <c r="L99" s="769" t="s">
        <v>1464</v>
      </c>
      <c r="M99" s="769" t="s">
        <v>199</v>
      </c>
      <c r="N99" s="769" t="s">
        <v>199</v>
      </c>
      <c r="O99" s="782">
        <v>0</v>
      </c>
      <c r="P99" s="782">
        <v>0</v>
      </c>
      <c r="Q99" s="782">
        <v>0</v>
      </c>
      <c r="R99" s="782">
        <v>0</v>
      </c>
      <c r="S99" s="782">
        <v>0</v>
      </c>
      <c r="T99" s="782">
        <v>0</v>
      </c>
      <c r="U99" s="782">
        <v>0</v>
      </c>
      <c r="V99" s="782">
        <v>0</v>
      </c>
      <c r="W99" s="783">
        <v>0</v>
      </c>
      <c r="X99" s="782">
        <v>0</v>
      </c>
      <c r="Y99" s="782">
        <v>0</v>
      </c>
      <c r="Z99" s="782">
        <v>0</v>
      </c>
      <c r="AA99" s="770"/>
      <c r="AB99" s="770"/>
      <c r="AC99" s="769" t="s">
        <v>199</v>
      </c>
      <c r="AD99" s="769" t="s">
        <v>199</v>
      </c>
      <c r="AE99" s="769" t="s">
        <v>199</v>
      </c>
      <c r="AF99" s="782">
        <v>0</v>
      </c>
      <c r="AG99" s="782">
        <v>0</v>
      </c>
      <c r="AH99" s="782">
        <v>0</v>
      </c>
      <c r="AI99" s="782">
        <v>0</v>
      </c>
      <c r="AJ99" s="782">
        <v>0</v>
      </c>
      <c r="AK99" s="782">
        <v>0</v>
      </c>
      <c r="AL99" s="782">
        <v>0</v>
      </c>
      <c r="AM99" s="782">
        <v>0</v>
      </c>
      <c r="AN99" s="782">
        <v>0</v>
      </c>
      <c r="AO99" s="782">
        <v>0</v>
      </c>
      <c r="AP99" s="782">
        <v>0</v>
      </c>
      <c r="AQ99" s="782">
        <v>0</v>
      </c>
      <c r="AR99" s="782"/>
      <c r="AS99" s="770"/>
      <c r="AT99" s="769" t="s">
        <v>199</v>
      </c>
      <c r="AU99" s="769" t="s">
        <v>199</v>
      </c>
      <c r="AV99" s="769" t="s">
        <v>199</v>
      </c>
      <c r="AW99" s="782">
        <v>0</v>
      </c>
      <c r="AX99" s="782">
        <v>0</v>
      </c>
      <c r="AY99" s="782">
        <v>0</v>
      </c>
      <c r="AZ99" s="782">
        <v>0</v>
      </c>
      <c r="BA99" s="782">
        <v>0</v>
      </c>
      <c r="BB99" s="782">
        <v>0</v>
      </c>
      <c r="BC99" s="782">
        <v>0</v>
      </c>
      <c r="BD99" s="782">
        <v>0</v>
      </c>
      <c r="BE99" s="782">
        <v>0</v>
      </c>
      <c r="BF99" s="782">
        <v>0</v>
      </c>
      <c r="BG99" s="782">
        <v>0</v>
      </c>
      <c r="BH99" s="782">
        <v>0</v>
      </c>
      <c r="BI99" s="782"/>
      <c r="BJ99" s="770"/>
      <c r="BK99" s="769" t="s">
        <v>199</v>
      </c>
      <c r="BL99" s="769" t="s">
        <v>199</v>
      </c>
      <c r="BM99" s="769" t="s">
        <v>199</v>
      </c>
      <c r="BN99" s="782">
        <v>0</v>
      </c>
      <c r="BO99" s="782">
        <v>0</v>
      </c>
      <c r="BP99" s="782">
        <v>0</v>
      </c>
      <c r="BQ99" s="782">
        <v>0</v>
      </c>
      <c r="BR99" s="782">
        <v>0</v>
      </c>
      <c r="BS99" s="782">
        <v>0</v>
      </c>
      <c r="BT99" s="782">
        <v>0</v>
      </c>
      <c r="BU99" s="782">
        <v>0</v>
      </c>
      <c r="BV99" s="782">
        <v>0</v>
      </c>
      <c r="BW99" s="782">
        <v>0</v>
      </c>
      <c r="BX99" s="782">
        <v>0</v>
      </c>
      <c r="BY99" s="782">
        <v>0</v>
      </c>
      <c r="BZ99" s="782"/>
      <c r="CA99" s="770"/>
      <c r="CB99" s="769" t="s">
        <v>199</v>
      </c>
      <c r="CC99" s="769" t="s">
        <v>199</v>
      </c>
      <c r="CD99" s="769" t="s">
        <v>199</v>
      </c>
      <c r="CE99" s="782">
        <v>0</v>
      </c>
      <c r="CF99" s="782">
        <v>0</v>
      </c>
      <c r="CG99" s="782">
        <v>0</v>
      </c>
      <c r="CH99" s="782">
        <v>0</v>
      </c>
      <c r="CI99" s="782">
        <v>0</v>
      </c>
      <c r="CJ99" s="782">
        <v>0</v>
      </c>
      <c r="CK99" s="782">
        <v>0</v>
      </c>
      <c r="CL99" s="782">
        <v>0</v>
      </c>
      <c r="CM99" s="782">
        <v>0</v>
      </c>
      <c r="CN99" s="782">
        <v>0</v>
      </c>
      <c r="CO99" s="782">
        <v>0</v>
      </c>
      <c r="CP99" s="782">
        <v>0</v>
      </c>
    </row>
    <row r="100" ht="15" customHeight="1" spans="2:94">
      <c r="B100" s="767" t="s">
        <v>1545</v>
      </c>
      <c r="C100" s="784"/>
      <c r="D100" s="784" t="s">
        <v>1534</v>
      </c>
      <c r="E100" s="784"/>
      <c r="F100" s="784"/>
      <c r="G100" s="784"/>
      <c r="H100" s="784" t="s">
        <v>1534</v>
      </c>
      <c r="I100" s="784"/>
      <c r="J100" s="770" t="s">
        <v>1534</v>
      </c>
      <c r="K100" s="770"/>
      <c r="L100" s="769" t="s">
        <v>1464</v>
      </c>
      <c r="M100" s="769" t="s">
        <v>199</v>
      </c>
      <c r="N100" s="769" t="s">
        <v>199</v>
      </c>
      <c r="O100" s="782">
        <v>0</v>
      </c>
      <c r="P100" s="782">
        <v>0</v>
      </c>
      <c r="Q100" s="782">
        <v>0</v>
      </c>
      <c r="R100" s="782">
        <v>0</v>
      </c>
      <c r="S100" s="782">
        <v>0</v>
      </c>
      <c r="T100" s="782">
        <v>0</v>
      </c>
      <c r="U100" s="782">
        <v>0</v>
      </c>
      <c r="V100" s="782">
        <v>0</v>
      </c>
      <c r="W100" s="783">
        <v>0</v>
      </c>
      <c r="X100" s="782">
        <v>0</v>
      </c>
      <c r="Y100" s="782">
        <v>0</v>
      </c>
      <c r="Z100" s="782">
        <v>0</v>
      </c>
      <c r="AA100" s="770"/>
      <c r="AB100" s="770"/>
      <c r="AC100" s="769" t="s">
        <v>199</v>
      </c>
      <c r="AD100" s="769" t="s">
        <v>199</v>
      </c>
      <c r="AE100" s="769" t="s">
        <v>199</v>
      </c>
      <c r="AF100" s="782">
        <v>0</v>
      </c>
      <c r="AG100" s="782">
        <v>0</v>
      </c>
      <c r="AH100" s="782">
        <v>0</v>
      </c>
      <c r="AI100" s="782">
        <v>0</v>
      </c>
      <c r="AJ100" s="782">
        <v>0</v>
      </c>
      <c r="AK100" s="782">
        <v>0</v>
      </c>
      <c r="AL100" s="782">
        <v>0</v>
      </c>
      <c r="AM100" s="782">
        <v>0</v>
      </c>
      <c r="AN100" s="782">
        <v>0</v>
      </c>
      <c r="AO100" s="782">
        <v>0</v>
      </c>
      <c r="AP100" s="782">
        <v>0</v>
      </c>
      <c r="AQ100" s="782">
        <v>0</v>
      </c>
      <c r="AR100" s="782"/>
      <c r="AS100" s="770"/>
      <c r="AT100" s="769" t="s">
        <v>199</v>
      </c>
      <c r="AU100" s="769" t="s">
        <v>199</v>
      </c>
      <c r="AV100" s="769" t="s">
        <v>199</v>
      </c>
      <c r="AW100" s="782">
        <v>0</v>
      </c>
      <c r="AX100" s="782">
        <v>0</v>
      </c>
      <c r="AY100" s="782">
        <v>0</v>
      </c>
      <c r="AZ100" s="782">
        <v>0</v>
      </c>
      <c r="BA100" s="782">
        <v>0</v>
      </c>
      <c r="BB100" s="782">
        <v>0</v>
      </c>
      <c r="BC100" s="782">
        <v>0</v>
      </c>
      <c r="BD100" s="782">
        <v>0</v>
      </c>
      <c r="BE100" s="782">
        <v>0</v>
      </c>
      <c r="BF100" s="782">
        <v>0</v>
      </c>
      <c r="BG100" s="782">
        <v>0</v>
      </c>
      <c r="BH100" s="782">
        <v>0</v>
      </c>
      <c r="BI100" s="782"/>
      <c r="BJ100" s="770"/>
      <c r="BK100" s="769" t="s">
        <v>199</v>
      </c>
      <c r="BL100" s="769" t="s">
        <v>199</v>
      </c>
      <c r="BM100" s="769" t="s">
        <v>199</v>
      </c>
      <c r="BN100" s="782">
        <v>0</v>
      </c>
      <c r="BO100" s="782">
        <v>0</v>
      </c>
      <c r="BP100" s="782">
        <v>0</v>
      </c>
      <c r="BQ100" s="782">
        <v>0</v>
      </c>
      <c r="BR100" s="782">
        <v>0</v>
      </c>
      <c r="BS100" s="782">
        <v>0</v>
      </c>
      <c r="BT100" s="782">
        <v>0</v>
      </c>
      <c r="BU100" s="782">
        <v>0</v>
      </c>
      <c r="BV100" s="782">
        <v>0</v>
      </c>
      <c r="BW100" s="782">
        <v>0</v>
      </c>
      <c r="BX100" s="782">
        <v>0</v>
      </c>
      <c r="BY100" s="782">
        <v>0</v>
      </c>
      <c r="BZ100" s="782"/>
      <c r="CA100" s="770"/>
      <c r="CB100" s="769" t="s">
        <v>199</v>
      </c>
      <c r="CC100" s="769" t="s">
        <v>199</v>
      </c>
      <c r="CD100" s="769" t="s">
        <v>199</v>
      </c>
      <c r="CE100" s="782">
        <v>0</v>
      </c>
      <c r="CF100" s="782">
        <v>0</v>
      </c>
      <c r="CG100" s="782">
        <v>0</v>
      </c>
      <c r="CH100" s="782">
        <v>0</v>
      </c>
      <c r="CI100" s="782">
        <v>0</v>
      </c>
      <c r="CJ100" s="782">
        <v>0</v>
      </c>
      <c r="CK100" s="782">
        <v>0</v>
      </c>
      <c r="CL100" s="782">
        <v>0</v>
      </c>
      <c r="CM100" s="782">
        <v>0</v>
      </c>
      <c r="CN100" s="782">
        <v>0</v>
      </c>
      <c r="CO100" s="782">
        <v>0</v>
      </c>
      <c r="CP100" s="782">
        <v>0</v>
      </c>
    </row>
    <row r="101" ht="15" customHeight="1" spans="2:94">
      <c r="B101" s="767" t="s">
        <v>1546</v>
      </c>
      <c r="C101" s="784"/>
      <c r="D101" s="784" t="s">
        <v>1534</v>
      </c>
      <c r="E101" s="784"/>
      <c r="F101" s="784"/>
      <c r="G101" s="784"/>
      <c r="H101" s="784" t="s">
        <v>1534</v>
      </c>
      <c r="I101" s="784"/>
      <c r="J101" s="770" t="s">
        <v>1534</v>
      </c>
      <c r="K101" s="770"/>
      <c r="L101" s="769" t="s">
        <v>1464</v>
      </c>
      <c r="M101" s="769" t="s">
        <v>199</v>
      </c>
      <c r="N101" s="769" t="s">
        <v>199</v>
      </c>
      <c r="O101" s="782">
        <v>0</v>
      </c>
      <c r="P101" s="782">
        <v>0</v>
      </c>
      <c r="Q101" s="782">
        <v>0</v>
      </c>
      <c r="R101" s="782">
        <v>0</v>
      </c>
      <c r="S101" s="782">
        <v>0</v>
      </c>
      <c r="T101" s="782">
        <v>0</v>
      </c>
      <c r="U101" s="782">
        <v>0</v>
      </c>
      <c r="V101" s="782">
        <v>0</v>
      </c>
      <c r="W101" s="783">
        <v>0</v>
      </c>
      <c r="X101" s="782">
        <v>0</v>
      </c>
      <c r="Y101" s="782">
        <v>0</v>
      </c>
      <c r="Z101" s="782">
        <v>0</v>
      </c>
      <c r="AA101" s="770"/>
      <c r="AB101" s="770"/>
      <c r="AC101" s="769" t="s">
        <v>199</v>
      </c>
      <c r="AD101" s="769" t="s">
        <v>199</v>
      </c>
      <c r="AE101" s="769" t="s">
        <v>199</v>
      </c>
      <c r="AF101" s="782">
        <v>0</v>
      </c>
      <c r="AG101" s="782">
        <v>0</v>
      </c>
      <c r="AH101" s="782">
        <v>0</v>
      </c>
      <c r="AI101" s="782">
        <v>0</v>
      </c>
      <c r="AJ101" s="782">
        <v>0</v>
      </c>
      <c r="AK101" s="782">
        <v>0</v>
      </c>
      <c r="AL101" s="782">
        <v>0</v>
      </c>
      <c r="AM101" s="782">
        <v>0</v>
      </c>
      <c r="AN101" s="782">
        <v>0</v>
      </c>
      <c r="AO101" s="782">
        <v>0</v>
      </c>
      <c r="AP101" s="782">
        <v>0</v>
      </c>
      <c r="AQ101" s="782">
        <v>0</v>
      </c>
      <c r="AR101" s="782"/>
      <c r="AS101" s="770"/>
      <c r="AT101" s="769" t="s">
        <v>199</v>
      </c>
      <c r="AU101" s="769" t="s">
        <v>199</v>
      </c>
      <c r="AV101" s="769" t="s">
        <v>199</v>
      </c>
      <c r="AW101" s="782">
        <v>0</v>
      </c>
      <c r="AX101" s="782">
        <v>0</v>
      </c>
      <c r="AY101" s="782">
        <v>0</v>
      </c>
      <c r="AZ101" s="782">
        <v>0</v>
      </c>
      <c r="BA101" s="782">
        <v>0</v>
      </c>
      <c r="BB101" s="782">
        <v>0</v>
      </c>
      <c r="BC101" s="782">
        <v>0</v>
      </c>
      <c r="BD101" s="782">
        <v>0</v>
      </c>
      <c r="BE101" s="782">
        <v>0</v>
      </c>
      <c r="BF101" s="782">
        <v>0</v>
      </c>
      <c r="BG101" s="782">
        <v>0</v>
      </c>
      <c r="BH101" s="782">
        <v>0</v>
      </c>
      <c r="BI101" s="782"/>
      <c r="BJ101" s="770"/>
      <c r="BK101" s="769" t="s">
        <v>199</v>
      </c>
      <c r="BL101" s="769" t="s">
        <v>199</v>
      </c>
      <c r="BM101" s="769" t="s">
        <v>199</v>
      </c>
      <c r="BN101" s="782">
        <v>0</v>
      </c>
      <c r="BO101" s="782">
        <v>0</v>
      </c>
      <c r="BP101" s="782">
        <v>0</v>
      </c>
      <c r="BQ101" s="782">
        <v>0</v>
      </c>
      <c r="BR101" s="782">
        <v>0</v>
      </c>
      <c r="BS101" s="782">
        <v>0</v>
      </c>
      <c r="BT101" s="782">
        <v>0</v>
      </c>
      <c r="BU101" s="782">
        <v>0</v>
      </c>
      <c r="BV101" s="782">
        <v>0</v>
      </c>
      <c r="BW101" s="782">
        <v>0</v>
      </c>
      <c r="BX101" s="782">
        <v>0</v>
      </c>
      <c r="BY101" s="782">
        <v>0</v>
      </c>
      <c r="BZ101" s="782"/>
      <c r="CA101" s="770"/>
      <c r="CB101" s="769" t="s">
        <v>199</v>
      </c>
      <c r="CC101" s="769" t="s">
        <v>199</v>
      </c>
      <c r="CD101" s="769" t="s">
        <v>199</v>
      </c>
      <c r="CE101" s="782">
        <v>0</v>
      </c>
      <c r="CF101" s="782">
        <v>0</v>
      </c>
      <c r="CG101" s="782">
        <v>0</v>
      </c>
      <c r="CH101" s="782">
        <v>0</v>
      </c>
      <c r="CI101" s="782">
        <v>0</v>
      </c>
      <c r="CJ101" s="782">
        <v>0</v>
      </c>
      <c r="CK101" s="782">
        <v>0</v>
      </c>
      <c r="CL101" s="782">
        <v>0</v>
      </c>
      <c r="CM101" s="782">
        <v>0</v>
      </c>
      <c r="CN101" s="782">
        <v>0</v>
      </c>
      <c r="CO101" s="782">
        <v>0</v>
      </c>
      <c r="CP101" s="782">
        <v>0</v>
      </c>
    </row>
    <row r="102" ht="15" customHeight="1" spans="2:94">
      <c r="B102" s="767" t="s">
        <v>1547</v>
      </c>
      <c r="C102" s="784"/>
      <c r="D102" s="784" t="s">
        <v>1534</v>
      </c>
      <c r="E102" s="784"/>
      <c r="F102" s="784"/>
      <c r="G102" s="784"/>
      <c r="H102" s="784" t="s">
        <v>1534</v>
      </c>
      <c r="I102" s="784"/>
      <c r="J102" s="770" t="s">
        <v>1534</v>
      </c>
      <c r="K102" s="770"/>
      <c r="L102" s="769" t="s">
        <v>1464</v>
      </c>
      <c r="M102" s="769" t="s">
        <v>199</v>
      </c>
      <c r="N102" s="769" t="s">
        <v>199</v>
      </c>
      <c r="O102" s="782">
        <v>0</v>
      </c>
      <c r="P102" s="782">
        <v>0</v>
      </c>
      <c r="Q102" s="782">
        <v>0</v>
      </c>
      <c r="R102" s="782">
        <v>0</v>
      </c>
      <c r="S102" s="782">
        <v>0</v>
      </c>
      <c r="T102" s="782">
        <v>0</v>
      </c>
      <c r="U102" s="782">
        <v>0</v>
      </c>
      <c r="V102" s="782">
        <v>0</v>
      </c>
      <c r="W102" s="782">
        <v>0</v>
      </c>
      <c r="X102" s="782">
        <v>0</v>
      </c>
      <c r="Y102" s="782">
        <v>0</v>
      </c>
      <c r="Z102" s="782">
        <v>0</v>
      </c>
      <c r="AA102" s="770"/>
      <c r="AB102" s="770"/>
      <c r="AC102" s="769" t="s">
        <v>199</v>
      </c>
      <c r="AD102" s="769" t="s">
        <v>199</v>
      </c>
      <c r="AE102" s="769" t="s">
        <v>199</v>
      </c>
      <c r="AF102" s="782">
        <v>0</v>
      </c>
      <c r="AG102" s="782">
        <v>0</v>
      </c>
      <c r="AH102" s="782">
        <v>0</v>
      </c>
      <c r="AI102" s="782">
        <v>0</v>
      </c>
      <c r="AJ102" s="782">
        <v>0</v>
      </c>
      <c r="AK102" s="782">
        <v>0</v>
      </c>
      <c r="AL102" s="782">
        <v>0</v>
      </c>
      <c r="AM102" s="782">
        <v>0</v>
      </c>
      <c r="AN102" s="782">
        <v>0</v>
      </c>
      <c r="AO102" s="782">
        <v>0</v>
      </c>
      <c r="AP102" s="782">
        <v>0</v>
      </c>
      <c r="AQ102" s="782">
        <v>0</v>
      </c>
      <c r="AR102" s="782"/>
      <c r="AS102" s="770"/>
      <c r="AT102" s="769" t="s">
        <v>199</v>
      </c>
      <c r="AU102" s="769" t="s">
        <v>199</v>
      </c>
      <c r="AV102" s="769" t="s">
        <v>199</v>
      </c>
      <c r="AW102" s="782">
        <v>0</v>
      </c>
      <c r="AX102" s="782">
        <v>0</v>
      </c>
      <c r="AY102" s="782">
        <v>0</v>
      </c>
      <c r="AZ102" s="782">
        <v>0</v>
      </c>
      <c r="BA102" s="782">
        <v>0</v>
      </c>
      <c r="BB102" s="782">
        <v>0</v>
      </c>
      <c r="BC102" s="782">
        <v>0</v>
      </c>
      <c r="BD102" s="782">
        <v>0</v>
      </c>
      <c r="BE102" s="782">
        <v>0</v>
      </c>
      <c r="BF102" s="782">
        <v>0</v>
      </c>
      <c r="BG102" s="782">
        <v>0</v>
      </c>
      <c r="BH102" s="782">
        <v>0</v>
      </c>
      <c r="BI102" s="782"/>
      <c r="BJ102" s="770"/>
      <c r="BK102" s="769" t="s">
        <v>199</v>
      </c>
      <c r="BL102" s="769" t="s">
        <v>199</v>
      </c>
      <c r="BM102" s="769" t="s">
        <v>199</v>
      </c>
      <c r="BN102" s="782">
        <v>0</v>
      </c>
      <c r="BO102" s="782">
        <v>0</v>
      </c>
      <c r="BP102" s="782">
        <v>0</v>
      </c>
      <c r="BQ102" s="782">
        <v>0</v>
      </c>
      <c r="BR102" s="782">
        <v>0</v>
      </c>
      <c r="BS102" s="782">
        <v>0</v>
      </c>
      <c r="BT102" s="782">
        <v>0</v>
      </c>
      <c r="BU102" s="782">
        <v>0</v>
      </c>
      <c r="BV102" s="782">
        <v>0</v>
      </c>
      <c r="BW102" s="782">
        <v>0</v>
      </c>
      <c r="BX102" s="782">
        <v>0</v>
      </c>
      <c r="BY102" s="782">
        <v>0</v>
      </c>
      <c r="BZ102" s="782"/>
      <c r="CA102" s="770"/>
      <c r="CB102" s="769" t="s">
        <v>199</v>
      </c>
      <c r="CC102" s="769" t="s">
        <v>199</v>
      </c>
      <c r="CD102" s="769" t="s">
        <v>199</v>
      </c>
      <c r="CE102" s="782">
        <v>0</v>
      </c>
      <c r="CF102" s="782">
        <v>0</v>
      </c>
      <c r="CG102" s="782">
        <v>0</v>
      </c>
      <c r="CH102" s="782">
        <v>0</v>
      </c>
      <c r="CI102" s="782">
        <v>0</v>
      </c>
      <c r="CJ102" s="782">
        <v>0</v>
      </c>
      <c r="CK102" s="782">
        <v>0</v>
      </c>
      <c r="CL102" s="782">
        <v>0</v>
      </c>
      <c r="CM102" s="782">
        <v>0</v>
      </c>
      <c r="CN102" s="782">
        <v>0</v>
      </c>
      <c r="CO102" s="782">
        <v>0</v>
      </c>
      <c r="CP102" s="782">
        <v>0</v>
      </c>
    </row>
    <row r="103" ht="15" customHeight="1" spans="2:94">
      <c r="B103" s="767" t="s">
        <v>1548</v>
      </c>
      <c r="C103" s="784"/>
      <c r="D103" s="784" t="s">
        <v>1534</v>
      </c>
      <c r="E103" s="784"/>
      <c r="F103" s="784"/>
      <c r="G103" s="784"/>
      <c r="H103" s="784" t="s">
        <v>1534</v>
      </c>
      <c r="I103" s="784"/>
      <c r="J103" s="770" t="s">
        <v>1534</v>
      </c>
      <c r="K103" s="770"/>
      <c r="L103" s="769" t="s">
        <v>1464</v>
      </c>
      <c r="M103" s="769" t="s">
        <v>199</v>
      </c>
      <c r="N103" s="769" t="s">
        <v>199</v>
      </c>
      <c r="O103" s="782">
        <v>0</v>
      </c>
      <c r="P103" s="782">
        <v>0</v>
      </c>
      <c r="Q103" s="782">
        <v>0</v>
      </c>
      <c r="R103" s="782">
        <v>0</v>
      </c>
      <c r="S103" s="782">
        <v>0</v>
      </c>
      <c r="T103" s="782">
        <v>0</v>
      </c>
      <c r="U103" s="782">
        <v>0</v>
      </c>
      <c r="V103" s="782">
        <v>0</v>
      </c>
      <c r="W103" s="782">
        <v>0</v>
      </c>
      <c r="X103" s="782">
        <v>0</v>
      </c>
      <c r="Y103" s="782">
        <v>0</v>
      </c>
      <c r="Z103" s="782">
        <v>0</v>
      </c>
      <c r="AA103" s="770"/>
      <c r="AB103" s="770"/>
      <c r="AC103" s="769" t="s">
        <v>199</v>
      </c>
      <c r="AD103" s="769" t="s">
        <v>199</v>
      </c>
      <c r="AE103" s="769" t="s">
        <v>199</v>
      </c>
      <c r="AF103" s="782">
        <v>0</v>
      </c>
      <c r="AG103" s="782">
        <v>0</v>
      </c>
      <c r="AH103" s="782">
        <v>0</v>
      </c>
      <c r="AI103" s="782">
        <v>0</v>
      </c>
      <c r="AJ103" s="782">
        <v>0</v>
      </c>
      <c r="AK103" s="782">
        <v>0</v>
      </c>
      <c r="AL103" s="782">
        <v>0</v>
      </c>
      <c r="AM103" s="782">
        <v>0</v>
      </c>
      <c r="AN103" s="782">
        <v>0</v>
      </c>
      <c r="AO103" s="782">
        <v>0</v>
      </c>
      <c r="AP103" s="782">
        <v>0</v>
      </c>
      <c r="AQ103" s="782">
        <v>0</v>
      </c>
      <c r="AR103" s="782"/>
      <c r="AS103" s="770"/>
      <c r="AT103" s="769" t="s">
        <v>199</v>
      </c>
      <c r="AU103" s="769" t="s">
        <v>199</v>
      </c>
      <c r="AV103" s="769" t="s">
        <v>199</v>
      </c>
      <c r="AW103" s="782">
        <v>0</v>
      </c>
      <c r="AX103" s="782">
        <v>0</v>
      </c>
      <c r="AY103" s="782">
        <v>0</v>
      </c>
      <c r="AZ103" s="782">
        <v>0</v>
      </c>
      <c r="BA103" s="782">
        <v>0</v>
      </c>
      <c r="BB103" s="782">
        <v>0</v>
      </c>
      <c r="BC103" s="782">
        <v>0</v>
      </c>
      <c r="BD103" s="782">
        <v>0</v>
      </c>
      <c r="BE103" s="782">
        <v>0</v>
      </c>
      <c r="BF103" s="782">
        <v>0</v>
      </c>
      <c r="BG103" s="782">
        <v>0</v>
      </c>
      <c r="BH103" s="782">
        <v>0</v>
      </c>
      <c r="BI103" s="782"/>
      <c r="BJ103" s="770"/>
      <c r="BK103" s="769" t="s">
        <v>199</v>
      </c>
      <c r="BL103" s="769" t="s">
        <v>199</v>
      </c>
      <c r="BM103" s="769" t="s">
        <v>199</v>
      </c>
      <c r="BN103" s="782">
        <v>0</v>
      </c>
      <c r="BO103" s="782">
        <v>0</v>
      </c>
      <c r="BP103" s="782">
        <v>0</v>
      </c>
      <c r="BQ103" s="782">
        <v>0</v>
      </c>
      <c r="BR103" s="782">
        <v>0</v>
      </c>
      <c r="BS103" s="782">
        <v>0</v>
      </c>
      <c r="BT103" s="782">
        <v>0</v>
      </c>
      <c r="BU103" s="782">
        <v>0</v>
      </c>
      <c r="BV103" s="782">
        <v>0</v>
      </c>
      <c r="BW103" s="782">
        <v>0</v>
      </c>
      <c r="BX103" s="782">
        <v>0</v>
      </c>
      <c r="BY103" s="782">
        <v>0</v>
      </c>
      <c r="BZ103" s="782"/>
      <c r="CA103" s="770"/>
      <c r="CB103" s="769" t="s">
        <v>199</v>
      </c>
      <c r="CC103" s="769" t="s">
        <v>199</v>
      </c>
      <c r="CD103" s="769" t="s">
        <v>199</v>
      </c>
      <c r="CE103" s="782">
        <v>0</v>
      </c>
      <c r="CF103" s="782">
        <v>0</v>
      </c>
      <c r="CG103" s="782">
        <v>0</v>
      </c>
      <c r="CH103" s="782">
        <v>0</v>
      </c>
      <c r="CI103" s="782">
        <v>0</v>
      </c>
      <c r="CJ103" s="782">
        <v>0</v>
      </c>
      <c r="CK103" s="782">
        <v>0</v>
      </c>
      <c r="CL103" s="782">
        <v>0</v>
      </c>
      <c r="CM103" s="782">
        <v>0</v>
      </c>
      <c r="CN103" s="782">
        <v>0</v>
      </c>
      <c r="CO103" s="782">
        <v>0</v>
      </c>
      <c r="CP103" s="782">
        <v>0</v>
      </c>
    </row>
    <row r="104" ht="15" customHeight="1" spans="2:94">
      <c r="B104" s="767" t="s">
        <v>1549</v>
      </c>
      <c r="C104" s="784"/>
      <c r="D104" s="784" t="s">
        <v>1534</v>
      </c>
      <c r="E104" s="784"/>
      <c r="F104" s="784"/>
      <c r="G104" s="784"/>
      <c r="H104" s="784" t="s">
        <v>1534</v>
      </c>
      <c r="I104" s="784"/>
      <c r="J104" s="770" t="s">
        <v>1534</v>
      </c>
      <c r="K104" s="770"/>
      <c r="L104" s="769" t="s">
        <v>1464</v>
      </c>
      <c r="M104" s="769" t="s">
        <v>199</v>
      </c>
      <c r="N104" s="769" t="s">
        <v>199</v>
      </c>
      <c r="O104" s="782">
        <v>0</v>
      </c>
      <c r="P104" s="782">
        <v>0</v>
      </c>
      <c r="Q104" s="782">
        <v>0</v>
      </c>
      <c r="R104" s="782">
        <v>0</v>
      </c>
      <c r="S104" s="782">
        <v>0</v>
      </c>
      <c r="T104" s="782">
        <v>0</v>
      </c>
      <c r="U104" s="782">
        <v>0</v>
      </c>
      <c r="V104" s="782">
        <v>0</v>
      </c>
      <c r="W104" s="782">
        <v>0</v>
      </c>
      <c r="X104" s="782">
        <v>0</v>
      </c>
      <c r="Y104" s="782">
        <v>0</v>
      </c>
      <c r="Z104" s="782">
        <v>0</v>
      </c>
      <c r="AA104" s="770"/>
      <c r="AB104" s="770"/>
      <c r="AC104" s="769" t="s">
        <v>199</v>
      </c>
      <c r="AD104" s="769" t="s">
        <v>199</v>
      </c>
      <c r="AE104" s="769" t="s">
        <v>199</v>
      </c>
      <c r="AF104" s="782">
        <v>0</v>
      </c>
      <c r="AG104" s="782">
        <v>0</v>
      </c>
      <c r="AH104" s="782">
        <v>0</v>
      </c>
      <c r="AI104" s="782">
        <v>0</v>
      </c>
      <c r="AJ104" s="782">
        <v>0</v>
      </c>
      <c r="AK104" s="782">
        <v>0</v>
      </c>
      <c r="AL104" s="782">
        <v>0</v>
      </c>
      <c r="AM104" s="782">
        <v>0</v>
      </c>
      <c r="AN104" s="782">
        <v>0</v>
      </c>
      <c r="AO104" s="782">
        <v>0</v>
      </c>
      <c r="AP104" s="782">
        <v>0</v>
      </c>
      <c r="AQ104" s="782">
        <v>0</v>
      </c>
      <c r="AR104" s="782"/>
      <c r="AS104" s="770"/>
      <c r="AT104" s="769" t="s">
        <v>199</v>
      </c>
      <c r="AU104" s="769" t="s">
        <v>199</v>
      </c>
      <c r="AV104" s="769" t="s">
        <v>199</v>
      </c>
      <c r="AW104" s="782">
        <v>0</v>
      </c>
      <c r="AX104" s="782">
        <v>0</v>
      </c>
      <c r="AY104" s="782">
        <v>0</v>
      </c>
      <c r="AZ104" s="782">
        <v>0</v>
      </c>
      <c r="BA104" s="782">
        <v>0</v>
      </c>
      <c r="BB104" s="782">
        <v>0</v>
      </c>
      <c r="BC104" s="782">
        <v>0</v>
      </c>
      <c r="BD104" s="782">
        <v>0</v>
      </c>
      <c r="BE104" s="782">
        <v>0</v>
      </c>
      <c r="BF104" s="782">
        <v>0</v>
      </c>
      <c r="BG104" s="782">
        <v>0</v>
      </c>
      <c r="BH104" s="782">
        <v>0</v>
      </c>
      <c r="BI104" s="782"/>
      <c r="BJ104" s="770"/>
      <c r="BK104" s="769" t="s">
        <v>199</v>
      </c>
      <c r="BL104" s="769" t="s">
        <v>199</v>
      </c>
      <c r="BM104" s="769" t="s">
        <v>199</v>
      </c>
      <c r="BN104" s="782">
        <v>0</v>
      </c>
      <c r="BO104" s="782">
        <v>0</v>
      </c>
      <c r="BP104" s="782">
        <v>0</v>
      </c>
      <c r="BQ104" s="782">
        <v>0</v>
      </c>
      <c r="BR104" s="782">
        <v>0</v>
      </c>
      <c r="BS104" s="782">
        <v>0</v>
      </c>
      <c r="BT104" s="782">
        <v>0</v>
      </c>
      <c r="BU104" s="782">
        <v>0</v>
      </c>
      <c r="BV104" s="782">
        <v>0</v>
      </c>
      <c r="BW104" s="782">
        <v>0</v>
      </c>
      <c r="BX104" s="782">
        <v>0</v>
      </c>
      <c r="BY104" s="782">
        <v>0</v>
      </c>
      <c r="BZ104" s="782"/>
      <c r="CA104" s="770"/>
      <c r="CB104" s="769" t="s">
        <v>199</v>
      </c>
      <c r="CC104" s="769" t="s">
        <v>199</v>
      </c>
      <c r="CD104" s="769" t="s">
        <v>199</v>
      </c>
      <c r="CE104" s="782">
        <v>0</v>
      </c>
      <c r="CF104" s="782">
        <v>0</v>
      </c>
      <c r="CG104" s="782">
        <v>0</v>
      </c>
      <c r="CH104" s="782">
        <v>0</v>
      </c>
      <c r="CI104" s="782">
        <v>0</v>
      </c>
      <c r="CJ104" s="782">
        <v>0</v>
      </c>
      <c r="CK104" s="782">
        <v>0</v>
      </c>
      <c r="CL104" s="782">
        <v>0</v>
      </c>
      <c r="CM104" s="782">
        <v>0</v>
      </c>
      <c r="CN104" s="782">
        <v>0</v>
      </c>
      <c r="CO104" s="782">
        <v>0</v>
      </c>
      <c r="CP104" s="782">
        <v>0</v>
      </c>
    </row>
    <row r="105" ht="15" customHeight="1" spans="2:94">
      <c r="B105" s="767" t="s">
        <v>1550</v>
      </c>
      <c r="C105" s="784"/>
      <c r="D105" s="784" t="s">
        <v>1534</v>
      </c>
      <c r="E105" s="784"/>
      <c r="F105" s="784"/>
      <c r="G105" s="784"/>
      <c r="H105" s="784" t="s">
        <v>1534</v>
      </c>
      <c r="I105" s="784"/>
      <c r="J105" s="770" t="s">
        <v>1534</v>
      </c>
      <c r="K105" s="770"/>
      <c r="L105" s="769" t="s">
        <v>1464</v>
      </c>
      <c r="M105" s="769" t="s">
        <v>199</v>
      </c>
      <c r="N105" s="769" t="s">
        <v>199</v>
      </c>
      <c r="O105" s="782">
        <v>0</v>
      </c>
      <c r="P105" s="782">
        <v>0</v>
      </c>
      <c r="Q105" s="782">
        <v>0</v>
      </c>
      <c r="R105" s="782">
        <v>0</v>
      </c>
      <c r="S105" s="782">
        <v>0</v>
      </c>
      <c r="T105" s="782">
        <v>0</v>
      </c>
      <c r="U105" s="782">
        <v>0</v>
      </c>
      <c r="V105" s="782">
        <v>0</v>
      </c>
      <c r="W105" s="782">
        <v>0</v>
      </c>
      <c r="X105" s="782">
        <v>0</v>
      </c>
      <c r="Y105" s="782">
        <v>0</v>
      </c>
      <c r="Z105" s="782">
        <v>0</v>
      </c>
      <c r="AA105" s="770"/>
      <c r="AB105" s="770"/>
      <c r="AC105" s="769" t="s">
        <v>199</v>
      </c>
      <c r="AD105" s="769" t="s">
        <v>199</v>
      </c>
      <c r="AE105" s="769" t="s">
        <v>199</v>
      </c>
      <c r="AF105" s="782">
        <v>0</v>
      </c>
      <c r="AG105" s="782">
        <v>0</v>
      </c>
      <c r="AH105" s="782">
        <v>0</v>
      </c>
      <c r="AI105" s="782">
        <v>0</v>
      </c>
      <c r="AJ105" s="782">
        <v>0</v>
      </c>
      <c r="AK105" s="782">
        <v>0</v>
      </c>
      <c r="AL105" s="782">
        <v>0</v>
      </c>
      <c r="AM105" s="782">
        <v>0</v>
      </c>
      <c r="AN105" s="782">
        <v>0</v>
      </c>
      <c r="AO105" s="782">
        <v>0</v>
      </c>
      <c r="AP105" s="782">
        <v>0</v>
      </c>
      <c r="AQ105" s="782">
        <v>0</v>
      </c>
      <c r="AR105" s="782"/>
      <c r="AS105" s="770"/>
      <c r="AT105" s="769" t="s">
        <v>199</v>
      </c>
      <c r="AU105" s="769" t="s">
        <v>199</v>
      </c>
      <c r="AV105" s="769" t="s">
        <v>199</v>
      </c>
      <c r="AW105" s="782">
        <v>0</v>
      </c>
      <c r="AX105" s="782">
        <v>0</v>
      </c>
      <c r="AY105" s="782">
        <v>0</v>
      </c>
      <c r="AZ105" s="782">
        <v>0</v>
      </c>
      <c r="BA105" s="782">
        <v>0</v>
      </c>
      <c r="BB105" s="782">
        <v>0</v>
      </c>
      <c r="BC105" s="782">
        <v>0</v>
      </c>
      <c r="BD105" s="782">
        <v>0</v>
      </c>
      <c r="BE105" s="782">
        <v>0</v>
      </c>
      <c r="BF105" s="782">
        <v>0</v>
      </c>
      <c r="BG105" s="782">
        <v>0</v>
      </c>
      <c r="BH105" s="782">
        <v>0</v>
      </c>
      <c r="BI105" s="782"/>
      <c r="BJ105" s="770"/>
      <c r="BK105" s="769" t="s">
        <v>199</v>
      </c>
      <c r="BL105" s="769" t="s">
        <v>199</v>
      </c>
      <c r="BM105" s="769" t="s">
        <v>199</v>
      </c>
      <c r="BN105" s="782">
        <v>0</v>
      </c>
      <c r="BO105" s="782">
        <v>0</v>
      </c>
      <c r="BP105" s="782">
        <v>0</v>
      </c>
      <c r="BQ105" s="782">
        <v>0</v>
      </c>
      <c r="BR105" s="782">
        <v>0</v>
      </c>
      <c r="BS105" s="782">
        <v>0</v>
      </c>
      <c r="BT105" s="782">
        <v>0</v>
      </c>
      <c r="BU105" s="782">
        <v>0</v>
      </c>
      <c r="BV105" s="782">
        <v>0</v>
      </c>
      <c r="BW105" s="782">
        <v>0</v>
      </c>
      <c r="BX105" s="782">
        <v>0</v>
      </c>
      <c r="BY105" s="782">
        <v>0</v>
      </c>
      <c r="BZ105" s="782"/>
      <c r="CA105" s="770"/>
      <c r="CB105" s="769" t="s">
        <v>199</v>
      </c>
      <c r="CC105" s="769" t="s">
        <v>199</v>
      </c>
      <c r="CD105" s="769" t="s">
        <v>199</v>
      </c>
      <c r="CE105" s="782">
        <v>0</v>
      </c>
      <c r="CF105" s="782">
        <v>0</v>
      </c>
      <c r="CG105" s="782">
        <v>0</v>
      </c>
      <c r="CH105" s="782">
        <v>0</v>
      </c>
      <c r="CI105" s="782">
        <v>0</v>
      </c>
      <c r="CJ105" s="782">
        <v>0</v>
      </c>
      <c r="CK105" s="782">
        <v>0</v>
      </c>
      <c r="CL105" s="782">
        <v>0</v>
      </c>
      <c r="CM105" s="782">
        <v>0</v>
      </c>
      <c r="CN105" s="782">
        <v>0</v>
      </c>
      <c r="CO105" s="782">
        <v>0</v>
      </c>
      <c r="CP105" s="782">
        <v>0</v>
      </c>
    </row>
    <row r="106" ht="15" customHeight="1" spans="2:94">
      <c r="B106" s="767" t="s">
        <v>1551</v>
      </c>
      <c r="C106" s="784"/>
      <c r="D106" s="784" t="s">
        <v>1534</v>
      </c>
      <c r="E106" s="784"/>
      <c r="F106" s="784"/>
      <c r="G106" s="784"/>
      <c r="H106" s="784" t="s">
        <v>1534</v>
      </c>
      <c r="I106" s="784"/>
      <c r="J106" s="770" t="s">
        <v>1534</v>
      </c>
      <c r="K106" s="770"/>
      <c r="L106" s="769" t="s">
        <v>1464</v>
      </c>
      <c r="M106" s="769" t="s">
        <v>199</v>
      </c>
      <c r="N106" s="769" t="s">
        <v>199</v>
      </c>
      <c r="O106" s="782">
        <v>0</v>
      </c>
      <c r="P106" s="782">
        <v>0</v>
      </c>
      <c r="Q106" s="782">
        <v>0</v>
      </c>
      <c r="R106" s="782">
        <v>0</v>
      </c>
      <c r="S106" s="782">
        <v>0</v>
      </c>
      <c r="T106" s="782">
        <v>0</v>
      </c>
      <c r="U106" s="782">
        <v>0</v>
      </c>
      <c r="V106" s="782">
        <v>0</v>
      </c>
      <c r="W106" s="782">
        <v>0</v>
      </c>
      <c r="X106" s="782">
        <v>0</v>
      </c>
      <c r="Y106" s="782">
        <v>0</v>
      </c>
      <c r="Z106" s="782">
        <v>0</v>
      </c>
      <c r="AA106" s="770"/>
      <c r="AB106" s="770"/>
      <c r="AC106" s="769" t="s">
        <v>199</v>
      </c>
      <c r="AD106" s="769" t="s">
        <v>199</v>
      </c>
      <c r="AE106" s="769" t="s">
        <v>199</v>
      </c>
      <c r="AF106" s="782">
        <v>0</v>
      </c>
      <c r="AG106" s="782">
        <v>0</v>
      </c>
      <c r="AH106" s="782">
        <v>0</v>
      </c>
      <c r="AI106" s="782">
        <v>0</v>
      </c>
      <c r="AJ106" s="782">
        <v>0</v>
      </c>
      <c r="AK106" s="782">
        <v>0</v>
      </c>
      <c r="AL106" s="782">
        <v>0</v>
      </c>
      <c r="AM106" s="782">
        <v>0</v>
      </c>
      <c r="AN106" s="782">
        <v>0</v>
      </c>
      <c r="AO106" s="782">
        <v>0</v>
      </c>
      <c r="AP106" s="782">
        <v>0</v>
      </c>
      <c r="AQ106" s="782">
        <v>0</v>
      </c>
      <c r="AR106" s="782"/>
      <c r="AS106" s="770"/>
      <c r="AT106" s="769" t="s">
        <v>199</v>
      </c>
      <c r="AU106" s="769" t="s">
        <v>199</v>
      </c>
      <c r="AV106" s="769" t="s">
        <v>199</v>
      </c>
      <c r="AW106" s="782">
        <v>0</v>
      </c>
      <c r="AX106" s="782">
        <v>0</v>
      </c>
      <c r="AY106" s="782">
        <v>0</v>
      </c>
      <c r="AZ106" s="782">
        <v>0</v>
      </c>
      <c r="BA106" s="782">
        <v>0</v>
      </c>
      <c r="BB106" s="782">
        <v>0</v>
      </c>
      <c r="BC106" s="782">
        <v>0</v>
      </c>
      <c r="BD106" s="782">
        <v>0</v>
      </c>
      <c r="BE106" s="782">
        <v>0</v>
      </c>
      <c r="BF106" s="782">
        <v>0</v>
      </c>
      <c r="BG106" s="782">
        <v>0</v>
      </c>
      <c r="BH106" s="782">
        <v>0</v>
      </c>
      <c r="BI106" s="782"/>
      <c r="BJ106" s="770"/>
      <c r="BK106" s="769" t="s">
        <v>199</v>
      </c>
      <c r="BL106" s="769" t="s">
        <v>199</v>
      </c>
      <c r="BM106" s="769" t="s">
        <v>199</v>
      </c>
      <c r="BN106" s="782">
        <v>0</v>
      </c>
      <c r="BO106" s="782">
        <v>0</v>
      </c>
      <c r="BP106" s="782">
        <v>0</v>
      </c>
      <c r="BQ106" s="782">
        <v>0</v>
      </c>
      <c r="BR106" s="782">
        <v>0</v>
      </c>
      <c r="BS106" s="782">
        <v>0</v>
      </c>
      <c r="BT106" s="782">
        <v>0</v>
      </c>
      <c r="BU106" s="782">
        <v>0</v>
      </c>
      <c r="BV106" s="782">
        <v>0</v>
      </c>
      <c r="BW106" s="782">
        <v>0</v>
      </c>
      <c r="BX106" s="782">
        <v>0</v>
      </c>
      <c r="BY106" s="782">
        <v>0</v>
      </c>
      <c r="BZ106" s="782"/>
      <c r="CA106" s="770"/>
      <c r="CB106" s="769" t="s">
        <v>199</v>
      </c>
      <c r="CC106" s="769" t="s">
        <v>199</v>
      </c>
      <c r="CD106" s="769" t="s">
        <v>199</v>
      </c>
      <c r="CE106" s="782">
        <v>0</v>
      </c>
      <c r="CF106" s="782">
        <v>0</v>
      </c>
      <c r="CG106" s="782">
        <v>0</v>
      </c>
      <c r="CH106" s="782">
        <v>0</v>
      </c>
      <c r="CI106" s="782">
        <v>0</v>
      </c>
      <c r="CJ106" s="782">
        <v>0</v>
      </c>
      <c r="CK106" s="782">
        <v>0</v>
      </c>
      <c r="CL106" s="782">
        <v>0</v>
      </c>
      <c r="CM106" s="782">
        <v>0</v>
      </c>
      <c r="CN106" s="782">
        <v>0</v>
      </c>
      <c r="CO106" s="782">
        <v>0</v>
      </c>
      <c r="CP106" s="782">
        <v>0</v>
      </c>
    </row>
    <row r="107" ht="15" customHeight="1" spans="2:94">
      <c r="B107" s="767" t="s">
        <v>1552</v>
      </c>
      <c r="C107" s="784"/>
      <c r="D107" s="784" t="s">
        <v>1534</v>
      </c>
      <c r="E107" s="784"/>
      <c r="F107" s="784"/>
      <c r="G107" s="784"/>
      <c r="H107" s="784" t="s">
        <v>1534</v>
      </c>
      <c r="I107" s="784"/>
      <c r="J107" s="770" t="s">
        <v>1534</v>
      </c>
      <c r="K107" s="770"/>
      <c r="L107" s="769" t="s">
        <v>1464</v>
      </c>
      <c r="M107" s="769" t="s">
        <v>199</v>
      </c>
      <c r="N107" s="769" t="s">
        <v>199</v>
      </c>
      <c r="O107" s="782">
        <v>0</v>
      </c>
      <c r="P107" s="782">
        <v>0</v>
      </c>
      <c r="Q107" s="782">
        <v>0</v>
      </c>
      <c r="R107" s="782">
        <v>0</v>
      </c>
      <c r="S107" s="782">
        <v>0</v>
      </c>
      <c r="T107" s="782">
        <v>0</v>
      </c>
      <c r="U107" s="782">
        <v>0</v>
      </c>
      <c r="V107" s="782">
        <v>0</v>
      </c>
      <c r="W107" s="782">
        <v>0</v>
      </c>
      <c r="X107" s="782">
        <v>0</v>
      </c>
      <c r="Y107" s="782">
        <v>0</v>
      </c>
      <c r="Z107" s="782">
        <v>0</v>
      </c>
      <c r="AA107" s="770"/>
      <c r="AB107" s="770"/>
      <c r="AC107" s="769" t="s">
        <v>199</v>
      </c>
      <c r="AD107" s="769" t="s">
        <v>199</v>
      </c>
      <c r="AE107" s="769" t="s">
        <v>199</v>
      </c>
      <c r="AF107" s="782">
        <v>0</v>
      </c>
      <c r="AG107" s="782">
        <v>0</v>
      </c>
      <c r="AH107" s="782">
        <v>0</v>
      </c>
      <c r="AI107" s="782">
        <v>0</v>
      </c>
      <c r="AJ107" s="782">
        <v>0</v>
      </c>
      <c r="AK107" s="782">
        <v>0</v>
      </c>
      <c r="AL107" s="782">
        <v>0</v>
      </c>
      <c r="AM107" s="782">
        <v>0</v>
      </c>
      <c r="AN107" s="782">
        <v>0</v>
      </c>
      <c r="AO107" s="782">
        <v>0</v>
      </c>
      <c r="AP107" s="782">
        <v>0</v>
      </c>
      <c r="AQ107" s="782">
        <v>0</v>
      </c>
      <c r="AR107" s="782"/>
      <c r="AS107" s="770"/>
      <c r="AT107" s="769" t="s">
        <v>199</v>
      </c>
      <c r="AU107" s="769" t="s">
        <v>199</v>
      </c>
      <c r="AV107" s="769" t="s">
        <v>199</v>
      </c>
      <c r="AW107" s="782">
        <v>0</v>
      </c>
      <c r="AX107" s="782">
        <v>0</v>
      </c>
      <c r="AY107" s="782">
        <v>0</v>
      </c>
      <c r="AZ107" s="782">
        <v>0</v>
      </c>
      <c r="BA107" s="782">
        <v>0</v>
      </c>
      <c r="BB107" s="782">
        <v>0</v>
      </c>
      <c r="BC107" s="782">
        <v>0</v>
      </c>
      <c r="BD107" s="782">
        <v>0</v>
      </c>
      <c r="BE107" s="782">
        <v>0</v>
      </c>
      <c r="BF107" s="782">
        <v>0</v>
      </c>
      <c r="BG107" s="782">
        <v>0</v>
      </c>
      <c r="BH107" s="782">
        <v>0</v>
      </c>
      <c r="BI107" s="782"/>
      <c r="BJ107" s="770"/>
      <c r="BK107" s="769" t="s">
        <v>199</v>
      </c>
      <c r="BL107" s="769" t="s">
        <v>199</v>
      </c>
      <c r="BM107" s="769" t="s">
        <v>199</v>
      </c>
      <c r="BN107" s="782">
        <v>0</v>
      </c>
      <c r="BO107" s="782">
        <v>0</v>
      </c>
      <c r="BP107" s="782">
        <v>0</v>
      </c>
      <c r="BQ107" s="782">
        <v>0</v>
      </c>
      <c r="BR107" s="782">
        <v>0</v>
      </c>
      <c r="BS107" s="782">
        <v>0</v>
      </c>
      <c r="BT107" s="782">
        <v>0</v>
      </c>
      <c r="BU107" s="782">
        <v>0</v>
      </c>
      <c r="BV107" s="782">
        <v>0</v>
      </c>
      <c r="BW107" s="782">
        <v>0</v>
      </c>
      <c r="BX107" s="782">
        <v>0</v>
      </c>
      <c r="BY107" s="782">
        <v>0</v>
      </c>
      <c r="BZ107" s="782"/>
      <c r="CA107" s="770"/>
      <c r="CB107" s="769" t="s">
        <v>199</v>
      </c>
      <c r="CC107" s="769" t="s">
        <v>199</v>
      </c>
      <c r="CD107" s="769" t="s">
        <v>199</v>
      </c>
      <c r="CE107" s="782">
        <v>0</v>
      </c>
      <c r="CF107" s="782">
        <v>0</v>
      </c>
      <c r="CG107" s="782">
        <v>0</v>
      </c>
      <c r="CH107" s="782">
        <v>0</v>
      </c>
      <c r="CI107" s="782">
        <v>0</v>
      </c>
      <c r="CJ107" s="782">
        <v>0</v>
      </c>
      <c r="CK107" s="782">
        <v>0</v>
      </c>
      <c r="CL107" s="782">
        <v>0</v>
      </c>
      <c r="CM107" s="782">
        <v>0</v>
      </c>
      <c r="CN107" s="782">
        <v>0</v>
      </c>
      <c r="CO107" s="782">
        <v>0</v>
      </c>
      <c r="CP107" s="782">
        <v>0</v>
      </c>
    </row>
    <row r="108" ht="15" customHeight="1" spans="2:94">
      <c r="B108" s="767" t="s">
        <v>1553</v>
      </c>
      <c r="C108" s="784"/>
      <c r="D108" s="784" t="s">
        <v>1534</v>
      </c>
      <c r="E108" s="784"/>
      <c r="F108" s="784"/>
      <c r="G108" s="784"/>
      <c r="H108" s="784" t="s">
        <v>1534</v>
      </c>
      <c r="I108" s="784"/>
      <c r="J108" s="770" t="s">
        <v>1534</v>
      </c>
      <c r="K108" s="770"/>
      <c r="L108" s="769" t="s">
        <v>1464</v>
      </c>
      <c r="M108" s="769" t="s">
        <v>199</v>
      </c>
      <c r="N108" s="769" t="s">
        <v>199</v>
      </c>
      <c r="O108" s="782">
        <v>0</v>
      </c>
      <c r="P108" s="782">
        <v>0</v>
      </c>
      <c r="Q108" s="782">
        <v>0</v>
      </c>
      <c r="R108" s="782">
        <v>0</v>
      </c>
      <c r="S108" s="782">
        <v>0</v>
      </c>
      <c r="T108" s="782">
        <v>0</v>
      </c>
      <c r="U108" s="782">
        <v>0</v>
      </c>
      <c r="V108" s="782">
        <v>0</v>
      </c>
      <c r="W108" s="782">
        <v>0</v>
      </c>
      <c r="X108" s="782">
        <v>0</v>
      </c>
      <c r="Y108" s="782">
        <v>0</v>
      </c>
      <c r="Z108" s="782">
        <v>0</v>
      </c>
      <c r="AA108" s="770"/>
      <c r="AB108" s="770"/>
      <c r="AC108" s="769" t="s">
        <v>199</v>
      </c>
      <c r="AD108" s="769" t="s">
        <v>199</v>
      </c>
      <c r="AE108" s="769" t="s">
        <v>199</v>
      </c>
      <c r="AF108" s="782">
        <v>0</v>
      </c>
      <c r="AG108" s="782">
        <v>0</v>
      </c>
      <c r="AH108" s="782">
        <v>0</v>
      </c>
      <c r="AI108" s="782">
        <v>0</v>
      </c>
      <c r="AJ108" s="782">
        <v>0</v>
      </c>
      <c r="AK108" s="782">
        <v>0</v>
      </c>
      <c r="AL108" s="782">
        <v>0</v>
      </c>
      <c r="AM108" s="782">
        <v>0</v>
      </c>
      <c r="AN108" s="782">
        <v>0</v>
      </c>
      <c r="AO108" s="782">
        <v>0</v>
      </c>
      <c r="AP108" s="782">
        <v>0</v>
      </c>
      <c r="AQ108" s="782">
        <v>0</v>
      </c>
      <c r="AR108" s="782"/>
      <c r="AS108" s="770"/>
      <c r="AT108" s="769" t="s">
        <v>199</v>
      </c>
      <c r="AU108" s="769" t="s">
        <v>199</v>
      </c>
      <c r="AV108" s="769" t="s">
        <v>199</v>
      </c>
      <c r="AW108" s="782">
        <v>0</v>
      </c>
      <c r="AX108" s="782">
        <v>0</v>
      </c>
      <c r="AY108" s="782">
        <v>0</v>
      </c>
      <c r="AZ108" s="782">
        <v>0</v>
      </c>
      <c r="BA108" s="782">
        <v>0</v>
      </c>
      <c r="BB108" s="782">
        <v>0</v>
      </c>
      <c r="BC108" s="782">
        <v>0</v>
      </c>
      <c r="BD108" s="782">
        <v>0</v>
      </c>
      <c r="BE108" s="782">
        <v>0</v>
      </c>
      <c r="BF108" s="782">
        <v>0</v>
      </c>
      <c r="BG108" s="782">
        <v>0</v>
      </c>
      <c r="BH108" s="782">
        <v>0</v>
      </c>
      <c r="BI108" s="782"/>
      <c r="BJ108" s="770"/>
      <c r="BK108" s="769" t="s">
        <v>199</v>
      </c>
      <c r="BL108" s="769" t="s">
        <v>199</v>
      </c>
      <c r="BM108" s="769" t="s">
        <v>199</v>
      </c>
      <c r="BN108" s="782">
        <v>0</v>
      </c>
      <c r="BO108" s="782">
        <v>0</v>
      </c>
      <c r="BP108" s="782">
        <v>0</v>
      </c>
      <c r="BQ108" s="782">
        <v>0</v>
      </c>
      <c r="BR108" s="782">
        <v>0</v>
      </c>
      <c r="BS108" s="782">
        <v>0</v>
      </c>
      <c r="BT108" s="782">
        <v>0</v>
      </c>
      <c r="BU108" s="782">
        <v>0</v>
      </c>
      <c r="BV108" s="782">
        <v>0</v>
      </c>
      <c r="BW108" s="782">
        <v>0</v>
      </c>
      <c r="BX108" s="782">
        <v>0</v>
      </c>
      <c r="BY108" s="782">
        <v>0</v>
      </c>
      <c r="BZ108" s="782"/>
      <c r="CA108" s="770"/>
      <c r="CB108" s="769" t="s">
        <v>199</v>
      </c>
      <c r="CC108" s="769" t="s">
        <v>199</v>
      </c>
      <c r="CD108" s="769" t="s">
        <v>199</v>
      </c>
      <c r="CE108" s="782">
        <v>0</v>
      </c>
      <c r="CF108" s="782">
        <v>0</v>
      </c>
      <c r="CG108" s="782">
        <v>0</v>
      </c>
      <c r="CH108" s="782">
        <v>0</v>
      </c>
      <c r="CI108" s="782">
        <v>0</v>
      </c>
      <c r="CJ108" s="782">
        <v>0</v>
      </c>
      <c r="CK108" s="782">
        <v>0</v>
      </c>
      <c r="CL108" s="782">
        <v>0</v>
      </c>
      <c r="CM108" s="782">
        <v>0</v>
      </c>
      <c r="CN108" s="782">
        <v>0</v>
      </c>
      <c r="CO108" s="782">
        <v>0</v>
      </c>
      <c r="CP108" s="782">
        <v>0</v>
      </c>
    </row>
    <row r="109" ht="15" customHeight="1" spans="2:94">
      <c r="B109" s="767" t="s">
        <v>1554</v>
      </c>
      <c r="C109" s="784"/>
      <c r="D109" s="784" t="s">
        <v>1534</v>
      </c>
      <c r="E109" s="784"/>
      <c r="F109" s="784"/>
      <c r="G109" s="784"/>
      <c r="H109" s="784" t="s">
        <v>1534</v>
      </c>
      <c r="I109" s="784"/>
      <c r="J109" s="770" t="s">
        <v>1534</v>
      </c>
      <c r="K109" s="770"/>
      <c r="L109" s="769" t="s">
        <v>1464</v>
      </c>
      <c r="M109" s="769" t="s">
        <v>199</v>
      </c>
      <c r="N109" s="769" t="s">
        <v>199</v>
      </c>
      <c r="O109" s="782">
        <v>0</v>
      </c>
      <c r="P109" s="782">
        <v>0</v>
      </c>
      <c r="Q109" s="782">
        <v>0</v>
      </c>
      <c r="R109" s="782">
        <v>0</v>
      </c>
      <c r="S109" s="782">
        <v>0</v>
      </c>
      <c r="T109" s="782">
        <v>0</v>
      </c>
      <c r="U109" s="782">
        <v>0</v>
      </c>
      <c r="V109" s="782">
        <v>0</v>
      </c>
      <c r="W109" s="782">
        <v>0</v>
      </c>
      <c r="X109" s="782">
        <v>0</v>
      </c>
      <c r="Y109" s="782">
        <v>0</v>
      </c>
      <c r="Z109" s="782">
        <v>0</v>
      </c>
      <c r="AA109" s="770"/>
      <c r="AB109" s="770"/>
      <c r="AC109" s="769" t="s">
        <v>199</v>
      </c>
      <c r="AD109" s="769" t="s">
        <v>199</v>
      </c>
      <c r="AE109" s="769" t="s">
        <v>199</v>
      </c>
      <c r="AF109" s="782">
        <v>0</v>
      </c>
      <c r="AG109" s="782">
        <v>0</v>
      </c>
      <c r="AH109" s="782">
        <v>0</v>
      </c>
      <c r="AI109" s="782">
        <v>0</v>
      </c>
      <c r="AJ109" s="782">
        <v>0</v>
      </c>
      <c r="AK109" s="782">
        <v>0</v>
      </c>
      <c r="AL109" s="782">
        <v>0</v>
      </c>
      <c r="AM109" s="782">
        <v>0</v>
      </c>
      <c r="AN109" s="782">
        <v>0</v>
      </c>
      <c r="AO109" s="782">
        <v>0</v>
      </c>
      <c r="AP109" s="782">
        <v>0</v>
      </c>
      <c r="AQ109" s="782">
        <v>0</v>
      </c>
      <c r="AR109" s="782"/>
      <c r="AS109" s="770"/>
      <c r="AT109" s="769" t="s">
        <v>199</v>
      </c>
      <c r="AU109" s="769" t="s">
        <v>199</v>
      </c>
      <c r="AV109" s="769" t="s">
        <v>199</v>
      </c>
      <c r="AW109" s="782">
        <v>0</v>
      </c>
      <c r="AX109" s="782">
        <v>0</v>
      </c>
      <c r="AY109" s="782">
        <v>0</v>
      </c>
      <c r="AZ109" s="782">
        <v>0</v>
      </c>
      <c r="BA109" s="782">
        <v>0</v>
      </c>
      <c r="BB109" s="782">
        <v>0</v>
      </c>
      <c r="BC109" s="782">
        <v>0</v>
      </c>
      <c r="BD109" s="782">
        <v>0</v>
      </c>
      <c r="BE109" s="782">
        <v>0</v>
      </c>
      <c r="BF109" s="782">
        <v>0</v>
      </c>
      <c r="BG109" s="782">
        <v>0</v>
      </c>
      <c r="BH109" s="782">
        <v>0</v>
      </c>
      <c r="BI109" s="782"/>
      <c r="BJ109" s="770"/>
      <c r="BK109" s="769" t="s">
        <v>199</v>
      </c>
      <c r="BL109" s="769" t="s">
        <v>199</v>
      </c>
      <c r="BM109" s="769" t="s">
        <v>199</v>
      </c>
      <c r="BN109" s="782">
        <v>0</v>
      </c>
      <c r="BO109" s="782">
        <v>0</v>
      </c>
      <c r="BP109" s="782">
        <v>0</v>
      </c>
      <c r="BQ109" s="782">
        <v>0</v>
      </c>
      <c r="BR109" s="782">
        <v>0</v>
      </c>
      <c r="BS109" s="782">
        <v>0</v>
      </c>
      <c r="BT109" s="782">
        <v>0</v>
      </c>
      <c r="BU109" s="782">
        <v>0</v>
      </c>
      <c r="BV109" s="782">
        <v>0</v>
      </c>
      <c r="BW109" s="782">
        <v>0</v>
      </c>
      <c r="BX109" s="782">
        <v>0</v>
      </c>
      <c r="BY109" s="782">
        <v>0</v>
      </c>
      <c r="BZ109" s="782"/>
      <c r="CA109" s="770"/>
      <c r="CB109" s="769" t="s">
        <v>199</v>
      </c>
      <c r="CC109" s="769" t="s">
        <v>199</v>
      </c>
      <c r="CD109" s="769" t="s">
        <v>199</v>
      </c>
      <c r="CE109" s="782">
        <v>0</v>
      </c>
      <c r="CF109" s="782">
        <v>0</v>
      </c>
      <c r="CG109" s="782">
        <v>0</v>
      </c>
      <c r="CH109" s="782">
        <v>0</v>
      </c>
      <c r="CI109" s="782">
        <v>0</v>
      </c>
      <c r="CJ109" s="782">
        <v>0</v>
      </c>
      <c r="CK109" s="782">
        <v>0</v>
      </c>
      <c r="CL109" s="782">
        <v>0</v>
      </c>
      <c r="CM109" s="782">
        <v>0</v>
      </c>
      <c r="CN109" s="782">
        <v>0</v>
      </c>
      <c r="CO109" s="782">
        <v>0</v>
      </c>
      <c r="CP109" s="782">
        <v>0</v>
      </c>
    </row>
    <row r="110" ht="15" customHeight="1" spans="2:94">
      <c r="B110" s="767" t="s">
        <v>1555</v>
      </c>
      <c r="C110" s="784"/>
      <c r="D110" s="784" t="s">
        <v>1534</v>
      </c>
      <c r="E110" s="784"/>
      <c r="F110" s="784"/>
      <c r="G110" s="784"/>
      <c r="H110" s="784" t="s">
        <v>1534</v>
      </c>
      <c r="I110" s="784"/>
      <c r="J110" s="770" t="s">
        <v>1534</v>
      </c>
      <c r="K110" s="770"/>
      <c r="L110" s="769" t="s">
        <v>1464</v>
      </c>
      <c r="M110" s="769" t="s">
        <v>199</v>
      </c>
      <c r="N110" s="769" t="s">
        <v>199</v>
      </c>
      <c r="O110" s="782">
        <v>0</v>
      </c>
      <c r="P110" s="782">
        <v>0</v>
      </c>
      <c r="Q110" s="782">
        <v>0</v>
      </c>
      <c r="R110" s="782">
        <v>0</v>
      </c>
      <c r="S110" s="782">
        <v>0</v>
      </c>
      <c r="T110" s="782">
        <v>0</v>
      </c>
      <c r="U110" s="782">
        <v>0</v>
      </c>
      <c r="V110" s="782">
        <v>0</v>
      </c>
      <c r="W110" s="782">
        <v>0</v>
      </c>
      <c r="X110" s="782">
        <v>0</v>
      </c>
      <c r="Y110" s="782">
        <v>0</v>
      </c>
      <c r="Z110" s="782">
        <v>0</v>
      </c>
      <c r="AA110" s="770"/>
      <c r="AB110" s="770"/>
      <c r="AC110" s="769" t="s">
        <v>199</v>
      </c>
      <c r="AD110" s="769" t="s">
        <v>199</v>
      </c>
      <c r="AE110" s="769" t="s">
        <v>199</v>
      </c>
      <c r="AF110" s="782">
        <v>0</v>
      </c>
      <c r="AG110" s="782">
        <v>0</v>
      </c>
      <c r="AH110" s="782">
        <v>0</v>
      </c>
      <c r="AI110" s="782">
        <v>0</v>
      </c>
      <c r="AJ110" s="782">
        <v>0</v>
      </c>
      <c r="AK110" s="782">
        <v>0</v>
      </c>
      <c r="AL110" s="782">
        <v>0</v>
      </c>
      <c r="AM110" s="782">
        <v>0</v>
      </c>
      <c r="AN110" s="782">
        <v>0</v>
      </c>
      <c r="AO110" s="782">
        <v>0</v>
      </c>
      <c r="AP110" s="782">
        <v>0</v>
      </c>
      <c r="AQ110" s="782">
        <v>0</v>
      </c>
      <c r="AR110" s="782"/>
      <c r="AS110" s="770"/>
      <c r="AT110" s="769" t="s">
        <v>199</v>
      </c>
      <c r="AU110" s="769" t="s">
        <v>199</v>
      </c>
      <c r="AV110" s="769" t="s">
        <v>199</v>
      </c>
      <c r="AW110" s="782">
        <v>0</v>
      </c>
      <c r="AX110" s="782">
        <v>0</v>
      </c>
      <c r="AY110" s="782">
        <v>0</v>
      </c>
      <c r="AZ110" s="782">
        <v>0</v>
      </c>
      <c r="BA110" s="782">
        <v>0</v>
      </c>
      <c r="BB110" s="782">
        <v>0</v>
      </c>
      <c r="BC110" s="782">
        <v>0</v>
      </c>
      <c r="BD110" s="782">
        <v>0</v>
      </c>
      <c r="BE110" s="782">
        <v>0</v>
      </c>
      <c r="BF110" s="782">
        <v>0</v>
      </c>
      <c r="BG110" s="782">
        <v>0</v>
      </c>
      <c r="BH110" s="782">
        <v>0</v>
      </c>
      <c r="BI110" s="782"/>
      <c r="BJ110" s="770"/>
      <c r="BK110" s="769" t="s">
        <v>199</v>
      </c>
      <c r="BL110" s="769" t="s">
        <v>199</v>
      </c>
      <c r="BM110" s="769" t="s">
        <v>199</v>
      </c>
      <c r="BN110" s="782">
        <v>0</v>
      </c>
      <c r="BO110" s="782">
        <v>0</v>
      </c>
      <c r="BP110" s="782">
        <v>0</v>
      </c>
      <c r="BQ110" s="782">
        <v>0</v>
      </c>
      <c r="BR110" s="782">
        <v>0</v>
      </c>
      <c r="BS110" s="782">
        <v>0</v>
      </c>
      <c r="BT110" s="782">
        <v>0</v>
      </c>
      <c r="BU110" s="782">
        <v>0</v>
      </c>
      <c r="BV110" s="782">
        <v>0</v>
      </c>
      <c r="BW110" s="782">
        <v>0</v>
      </c>
      <c r="BX110" s="782">
        <v>0</v>
      </c>
      <c r="BY110" s="782">
        <v>0</v>
      </c>
      <c r="BZ110" s="782"/>
      <c r="CA110" s="770"/>
      <c r="CB110" s="769" t="s">
        <v>199</v>
      </c>
      <c r="CC110" s="769" t="s">
        <v>199</v>
      </c>
      <c r="CD110" s="769" t="s">
        <v>199</v>
      </c>
      <c r="CE110" s="782">
        <v>0</v>
      </c>
      <c r="CF110" s="782">
        <v>0</v>
      </c>
      <c r="CG110" s="782">
        <v>0</v>
      </c>
      <c r="CH110" s="782">
        <v>0</v>
      </c>
      <c r="CI110" s="782">
        <v>0</v>
      </c>
      <c r="CJ110" s="782">
        <v>0</v>
      </c>
      <c r="CK110" s="782">
        <v>0</v>
      </c>
      <c r="CL110" s="782">
        <v>0</v>
      </c>
      <c r="CM110" s="782">
        <v>0</v>
      </c>
      <c r="CN110" s="782">
        <v>0</v>
      </c>
      <c r="CO110" s="782">
        <v>0</v>
      </c>
      <c r="CP110" s="782">
        <v>0</v>
      </c>
    </row>
    <row r="111" ht="15" customHeight="1" spans="2:94">
      <c r="B111" s="767" t="s">
        <v>1556</v>
      </c>
      <c r="C111" s="784"/>
      <c r="D111" s="784" t="s">
        <v>1534</v>
      </c>
      <c r="E111" s="784"/>
      <c r="F111" s="784"/>
      <c r="G111" s="784"/>
      <c r="H111" s="784" t="s">
        <v>1534</v>
      </c>
      <c r="I111" s="784"/>
      <c r="J111" s="770" t="s">
        <v>1534</v>
      </c>
      <c r="K111" s="770"/>
      <c r="L111" s="769" t="s">
        <v>1464</v>
      </c>
      <c r="M111" s="769" t="s">
        <v>199</v>
      </c>
      <c r="N111" s="769" t="s">
        <v>199</v>
      </c>
      <c r="O111" s="782">
        <v>0</v>
      </c>
      <c r="P111" s="782">
        <v>0</v>
      </c>
      <c r="Q111" s="782">
        <v>0</v>
      </c>
      <c r="R111" s="782">
        <v>0</v>
      </c>
      <c r="S111" s="782">
        <v>0</v>
      </c>
      <c r="T111" s="782">
        <v>0</v>
      </c>
      <c r="U111" s="782">
        <v>0</v>
      </c>
      <c r="V111" s="782">
        <v>0</v>
      </c>
      <c r="W111" s="782">
        <v>0</v>
      </c>
      <c r="X111" s="782">
        <v>0</v>
      </c>
      <c r="Y111" s="782">
        <v>0</v>
      </c>
      <c r="Z111" s="782">
        <v>0</v>
      </c>
      <c r="AA111" s="770"/>
      <c r="AB111" s="770"/>
      <c r="AC111" s="769" t="s">
        <v>199</v>
      </c>
      <c r="AD111" s="769" t="s">
        <v>199</v>
      </c>
      <c r="AE111" s="769" t="s">
        <v>199</v>
      </c>
      <c r="AF111" s="782">
        <v>0</v>
      </c>
      <c r="AG111" s="782">
        <v>0</v>
      </c>
      <c r="AH111" s="782">
        <v>0</v>
      </c>
      <c r="AI111" s="782">
        <v>0</v>
      </c>
      <c r="AJ111" s="782">
        <v>0</v>
      </c>
      <c r="AK111" s="782">
        <v>0</v>
      </c>
      <c r="AL111" s="782">
        <v>0</v>
      </c>
      <c r="AM111" s="782">
        <v>0</v>
      </c>
      <c r="AN111" s="782">
        <v>0</v>
      </c>
      <c r="AO111" s="782">
        <v>0</v>
      </c>
      <c r="AP111" s="782">
        <v>0</v>
      </c>
      <c r="AQ111" s="782">
        <v>0</v>
      </c>
      <c r="AR111" s="782"/>
      <c r="AS111" s="770"/>
      <c r="AT111" s="769" t="s">
        <v>199</v>
      </c>
      <c r="AU111" s="769" t="s">
        <v>199</v>
      </c>
      <c r="AV111" s="769" t="s">
        <v>199</v>
      </c>
      <c r="AW111" s="782">
        <v>0</v>
      </c>
      <c r="AX111" s="782">
        <v>0</v>
      </c>
      <c r="AY111" s="782">
        <v>0</v>
      </c>
      <c r="AZ111" s="782">
        <v>0</v>
      </c>
      <c r="BA111" s="782">
        <v>0</v>
      </c>
      <c r="BB111" s="782">
        <v>0</v>
      </c>
      <c r="BC111" s="782">
        <v>0</v>
      </c>
      <c r="BD111" s="782">
        <v>0</v>
      </c>
      <c r="BE111" s="782">
        <v>0</v>
      </c>
      <c r="BF111" s="782">
        <v>0</v>
      </c>
      <c r="BG111" s="782">
        <v>0</v>
      </c>
      <c r="BH111" s="782">
        <v>0</v>
      </c>
      <c r="BI111" s="782"/>
      <c r="BJ111" s="770"/>
      <c r="BK111" s="769" t="s">
        <v>199</v>
      </c>
      <c r="BL111" s="769" t="s">
        <v>199</v>
      </c>
      <c r="BM111" s="769" t="s">
        <v>199</v>
      </c>
      <c r="BN111" s="782">
        <v>0</v>
      </c>
      <c r="BO111" s="782">
        <v>0</v>
      </c>
      <c r="BP111" s="782">
        <v>0</v>
      </c>
      <c r="BQ111" s="782">
        <v>0</v>
      </c>
      <c r="BR111" s="782">
        <v>0</v>
      </c>
      <c r="BS111" s="782">
        <v>0</v>
      </c>
      <c r="BT111" s="782">
        <v>0</v>
      </c>
      <c r="BU111" s="782">
        <v>0</v>
      </c>
      <c r="BV111" s="782">
        <v>0</v>
      </c>
      <c r="BW111" s="782">
        <v>0</v>
      </c>
      <c r="BX111" s="782">
        <v>0</v>
      </c>
      <c r="BY111" s="782">
        <v>0</v>
      </c>
      <c r="BZ111" s="782"/>
      <c r="CA111" s="770"/>
      <c r="CB111" s="769" t="s">
        <v>199</v>
      </c>
      <c r="CC111" s="769" t="s">
        <v>199</v>
      </c>
      <c r="CD111" s="769" t="s">
        <v>199</v>
      </c>
      <c r="CE111" s="782">
        <v>0</v>
      </c>
      <c r="CF111" s="782">
        <v>0</v>
      </c>
      <c r="CG111" s="782">
        <v>0</v>
      </c>
      <c r="CH111" s="782">
        <v>0</v>
      </c>
      <c r="CI111" s="782">
        <v>0</v>
      </c>
      <c r="CJ111" s="782">
        <v>0</v>
      </c>
      <c r="CK111" s="782">
        <v>0</v>
      </c>
      <c r="CL111" s="782">
        <v>0</v>
      </c>
      <c r="CM111" s="782">
        <v>0</v>
      </c>
      <c r="CN111" s="782">
        <v>0</v>
      </c>
      <c r="CO111" s="782">
        <v>0</v>
      </c>
      <c r="CP111" s="782">
        <v>0</v>
      </c>
    </row>
    <row r="112" ht="15" customHeight="1" spans="2:94">
      <c r="B112" s="767" t="s">
        <v>1557</v>
      </c>
      <c r="C112" s="784"/>
      <c r="D112" s="784" t="s">
        <v>1534</v>
      </c>
      <c r="E112" s="784"/>
      <c r="F112" s="784"/>
      <c r="G112" s="784"/>
      <c r="H112" s="784" t="s">
        <v>1534</v>
      </c>
      <c r="I112" s="784"/>
      <c r="J112" s="770" t="s">
        <v>1534</v>
      </c>
      <c r="K112" s="770"/>
      <c r="L112" s="769" t="s">
        <v>1464</v>
      </c>
      <c r="M112" s="769" t="s">
        <v>199</v>
      </c>
      <c r="N112" s="769" t="s">
        <v>199</v>
      </c>
      <c r="O112" s="782">
        <v>0</v>
      </c>
      <c r="P112" s="782">
        <v>0</v>
      </c>
      <c r="Q112" s="782">
        <v>0</v>
      </c>
      <c r="R112" s="782">
        <v>0</v>
      </c>
      <c r="S112" s="782">
        <v>0</v>
      </c>
      <c r="T112" s="782">
        <v>0</v>
      </c>
      <c r="U112" s="782">
        <v>0</v>
      </c>
      <c r="V112" s="782">
        <v>0</v>
      </c>
      <c r="W112" s="782">
        <v>0</v>
      </c>
      <c r="X112" s="782">
        <v>0</v>
      </c>
      <c r="Y112" s="782">
        <v>0</v>
      </c>
      <c r="Z112" s="782">
        <v>0</v>
      </c>
      <c r="AA112" s="770"/>
      <c r="AB112" s="770"/>
      <c r="AC112" s="769" t="s">
        <v>199</v>
      </c>
      <c r="AD112" s="769" t="s">
        <v>199</v>
      </c>
      <c r="AE112" s="769" t="s">
        <v>199</v>
      </c>
      <c r="AF112" s="782">
        <v>0</v>
      </c>
      <c r="AG112" s="782">
        <v>0</v>
      </c>
      <c r="AH112" s="782">
        <v>0</v>
      </c>
      <c r="AI112" s="782">
        <v>0</v>
      </c>
      <c r="AJ112" s="782">
        <v>0</v>
      </c>
      <c r="AK112" s="782">
        <v>0</v>
      </c>
      <c r="AL112" s="782">
        <v>0</v>
      </c>
      <c r="AM112" s="782">
        <v>0</v>
      </c>
      <c r="AN112" s="782">
        <v>0</v>
      </c>
      <c r="AO112" s="782">
        <v>0</v>
      </c>
      <c r="AP112" s="782">
        <v>0</v>
      </c>
      <c r="AQ112" s="782">
        <v>0</v>
      </c>
      <c r="AR112" s="782"/>
      <c r="AS112" s="770"/>
      <c r="AT112" s="769" t="s">
        <v>199</v>
      </c>
      <c r="AU112" s="769" t="s">
        <v>199</v>
      </c>
      <c r="AV112" s="769" t="s">
        <v>199</v>
      </c>
      <c r="AW112" s="782">
        <v>0</v>
      </c>
      <c r="AX112" s="782">
        <v>0</v>
      </c>
      <c r="AY112" s="782">
        <v>0</v>
      </c>
      <c r="AZ112" s="782">
        <v>0</v>
      </c>
      <c r="BA112" s="782">
        <v>0</v>
      </c>
      <c r="BB112" s="782">
        <v>0</v>
      </c>
      <c r="BC112" s="782">
        <v>0</v>
      </c>
      <c r="BD112" s="782">
        <v>0</v>
      </c>
      <c r="BE112" s="782">
        <v>0</v>
      </c>
      <c r="BF112" s="782">
        <v>0</v>
      </c>
      <c r="BG112" s="782">
        <v>0</v>
      </c>
      <c r="BH112" s="782">
        <v>0</v>
      </c>
      <c r="BI112" s="782"/>
      <c r="BJ112" s="770"/>
      <c r="BK112" s="769" t="s">
        <v>199</v>
      </c>
      <c r="BL112" s="769" t="s">
        <v>199</v>
      </c>
      <c r="BM112" s="769" t="s">
        <v>199</v>
      </c>
      <c r="BN112" s="782">
        <v>0</v>
      </c>
      <c r="BO112" s="782">
        <v>0</v>
      </c>
      <c r="BP112" s="782">
        <v>0</v>
      </c>
      <c r="BQ112" s="782">
        <v>0</v>
      </c>
      <c r="BR112" s="782">
        <v>0</v>
      </c>
      <c r="BS112" s="782">
        <v>0</v>
      </c>
      <c r="BT112" s="782">
        <v>0</v>
      </c>
      <c r="BU112" s="782">
        <v>0</v>
      </c>
      <c r="BV112" s="782">
        <v>0</v>
      </c>
      <c r="BW112" s="782">
        <v>0</v>
      </c>
      <c r="BX112" s="782">
        <v>0</v>
      </c>
      <c r="BY112" s="782">
        <v>0</v>
      </c>
      <c r="BZ112" s="782"/>
      <c r="CA112" s="770"/>
      <c r="CB112" s="769" t="s">
        <v>199</v>
      </c>
      <c r="CC112" s="769" t="s">
        <v>199</v>
      </c>
      <c r="CD112" s="769" t="s">
        <v>199</v>
      </c>
      <c r="CE112" s="782">
        <v>0</v>
      </c>
      <c r="CF112" s="782">
        <v>0</v>
      </c>
      <c r="CG112" s="782">
        <v>0</v>
      </c>
      <c r="CH112" s="782">
        <v>0</v>
      </c>
      <c r="CI112" s="782">
        <v>0</v>
      </c>
      <c r="CJ112" s="782">
        <v>0</v>
      </c>
      <c r="CK112" s="782">
        <v>0</v>
      </c>
      <c r="CL112" s="782">
        <v>0</v>
      </c>
      <c r="CM112" s="782">
        <v>0</v>
      </c>
      <c r="CN112" s="782">
        <v>0</v>
      </c>
      <c r="CO112" s="782">
        <v>0</v>
      </c>
      <c r="CP112" s="782">
        <v>0</v>
      </c>
    </row>
    <row r="113" ht="15" customHeight="1" spans="2:94">
      <c r="B113" s="767" t="s">
        <v>1558</v>
      </c>
      <c r="C113" s="784"/>
      <c r="D113" s="784" t="s">
        <v>1534</v>
      </c>
      <c r="E113" s="784"/>
      <c r="F113" s="784"/>
      <c r="G113" s="784"/>
      <c r="H113" s="784" t="s">
        <v>1534</v>
      </c>
      <c r="I113" s="784"/>
      <c r="J113" s="770" t="s">
        <v>1534</v>
      </c>
      <c r="K113" s="770"/>
      <c r="L113" s="769" t="s">
        <v>1464</v>
      </c>
      <c r="M113" s="769" t="s">
        <v>199</v>
      </c>
      <c r="N113" s="769" t="s">
        <v>199</v>
      </c>
      <c r="O113" s="782">
        <v>0</v>
      </c>
      <c r="P113" s="782">
        <v>0</v>
      </c>
      <c r="Q113" s="782">
        <v>0</v>
      </c>
      <c r="R113" s="782">
        <v>0</v>
      </c>
      <c r="S113" s="782">
        <v>0</v>
      </c>
      <c r="T113" s="782">
        <v>0</v>
      </c>
      <c r="U113" s="782">
        <v>0</v>
      </c>
      <c r="V113" s="782">
        <v>0</v>
      </c>
      <c r="W113" s="782">
        <v>0</v>
      </c>
      <c r="X113" s="782">
        <v>0</v>
      </c>
      <c r="Y113" s="782">
        <v>0</v>
      </c>
      <c r="Z113" s="782">
        <v>0</v>
      </c>
      <c r="AA113" s="770"/>
      <c r="AB113" s="770"/>
      <c r="AC113" s="769" t="s">
        <v>199</v>
      </c>
      <c r="AD113" s="769" t="s">
        <v>199</v>
      </c>
      <c r="AE113" s="769" t="s">
        <v>199</v>
      </c>
      <c r="AF113" s="782">
        <v>0</v>
      </c>
      <c r="AG113" s="782">
        <v>0</v>
      </c>
      <c r="AH113" s="782">
        <v>0</v>
      </c>
      <c r="AI113" s="782">
        <v>0</v>
      </c>
      <c r="AJ113" s="782">
        <v>0</v>
      </c>
      <c r="AK113" s="782">
        <v>0</v>
      </c>
      <c r="AL113" s="782">
        <v>0</v>
      </c>
      <c r="AM113" s="782">
        <v>0</v>
      </c>
      <c r="AN113" s="782">
        <v>0</v>
      </c>
      <c r="AO113" s="782">
        <v>0</v>
      </c>
      <c r="AP113" s="782">
        <v>0</v>
      </c>
      <c r="AQ113" s="782">
        <v>0</v>
      </c>
      <c r="AR113" s="782"/>
      <c r="AS113" s="770"/>
      <c r="AT113" s="769" t="s">
        <v>199</v>
      </c>
      <c r="AU113" s="769" t="s">
        <v>199</v>
      </c>
      <c r="AV113" s="769" t="s">
        <v>199</v>
      </c>
      <c r="AW113" s="782">
        <v>0</v>
      </c>
      <c r="AX113" s="782">
        <v>0</v>
      </c>
      <c r="AY113" s="782">
        <v>0</v>
      </c>
      <c r="AZ113" s="782">
        <v>0</v>
      </c>
      <c r="BA113" s="782">
        <v>0</v>
      </c>
      <c r="BB113" s="782">
        <v>0</v>
      </c>
      <c r="BC113" s="782">
        <v>0</v>
      </c>
      <c r="BD113" s="782">
        <v>0</v>
      </c>
      <c r="BE113" s="782">
        <v>0</v>
      </c>
      <c r="BF113" s="782">
        <v>0</v>
      </c>
      <c r="BG113" s="782">
        <v>0</v>
      </c>
      <c r="BH113" s="782">
        <v>0</v>
      </c>
      <c r="BI113" s="782"/>
      <c r="BJ113" s="770"/>
      <c r="BK113" s="769" t="s">
        <v>199</v>
      </c>
      <c r="BL113" s="769" t="s">
        <v>199</v>
      </c>
      <c r="BM113" s="769" t="s">
        <v>199</v>
      </c>
      <c r="BN113" s="782">
        <v>0</v>
      </c>
      <c r="BO113" s="782">
        <v>0</v>
      </c>
      <c r="BP113" s="782">
        <v>0</v>
      </c>
      <c r="BQ113" s="782">
        <v>0</v>
      </c>
      <c r="BR113" s="782">
        <v>0</v>
      </c>
      <c r="BS113" s="782">
        <v>0</v>
      </c>
      <c r="BT113" s="782">
        <v>0</v>
      </c>
      <c r="BU113" s="782">
        <v>0</v>
      </c>
      <c r="BV113" s="782">
        <v>0</v>
      </c>
      <c r="BW113" s="782">
        <v>0</v>
      </c>
      <c r="BX113" s="782">
        <v>0</v>
      </c>
      <c r="BY113" s="782">
        <v>0</v>
      </c>
      <c r="BZ113" s="782"/>
      <c r="CA113" s="770"/>
      <c r="CB113" s="769" t="s">
        <v>199</v>
      </c>
      <c r="CC113" s="769" t="s">
        <v>199</v>
      </c>
      <c r="CD113" s="769" t="s">
        <v>199</v>
      </c>
      <c r="CE113" s="782">
        <v>0</v>
      </c>
      <c r="CF113" s="782">
        <v>0</v>
      </c>
      <c r="CG113" s="782">
        <v>0</v>
      </c>
      <c r="CH113" s="782">
        <v>0</v>
      </c>
      <c r="CI113" s="782">
        <v>0</v>
      </c>
      <c r="CJ113" s="782">
        <v>0</v>
      </c>
      <c r="CK113" s="782">
        <v>0</v>
      </c>
      <c r="CL113" s="782">
        <v>0</v>
      </c>
      <c r="CM113" s="782">
        <v>0</v>
      </c>
      <c r="CN113" s="782">
        <v>0</v>
      </c>
      <c r="CO113" s="782">
        <v>0</v>
      </c>
      <c r="CP113" s="782">
        <v>0</v>
      </c>
    </row>
    <row r="114" ht="15" customHeight="1" spans="2:94">
      <c r="B114" s="767" t="s">
        <v>1559</v>
      </c>
      <c r="C114" s="784"/>
      <c r="D114" s="784" t="s">
        <v>1534</v>
      </c>
      <c r="E114" s="784"/>
      <c r="F114" s="784"/>
      <c r="G114" s="784"/>
      <c r="H114" s="784" t="s">
        <v>1534</v>
      </c>
      <c r="I114" s="784"/>
      <c r="J114" s="770" t="s">
        <v>1534</v>
      </c>
      <c r="K114" s="770"/>
      <c r="L114" s="769" t="s">
        <v>1464</v>
      </c>
      <c r="M114" s="769" t="s">
        <v>199</v>
      </c>
      <c r="N114" s="769" t="s">
        <v>199</v>
      </c>
      <c r="O114" s="782">
        <v>0</v>
      </c>
      <c r="P114" s="782">
        <v>0</v>
      </c>
      <c r="Q114" s="782">
        <v>0</v>
      </c>
      <c r="R114" s="782">
        <v>0</v>
      </c>
      <c r="S114" s="782">
        <v>0</v>
      </c>
      <c r="T114" s="782">
        <v>0</v>
      </c>
      <c r="U114" s="782">
        <v>0</v>
      </c>
      <c r="V114" s="782">
        <v>0</v>
      </c>
      <c r="W114" s="782">
        <v>0</v>
      </c>
      <c r="X114" s="782">
        <v>0</v>
      </c>
      <c r="Y114" s="782">
        <v>0</v>
      </c>
      <c r="Z114" s="782">
        <v>0</v>
      </c>
      <c r="AA114" s="770"/>
      <c r="AB114" s="770"/>
      <c r="AC114" s="769" t="s">
        <v>199</v>
      </c>
      <c r="AD114" s="769" t="s">
        <v>199</v>
      </c>
      <c r="AE114" s="769" t="s">
        <v>199</v>
      </c>
      <c r="AF114" s="782">
        <v>0</v>
      </c>
      <c r="AG114" s="782">
        <v>0</v>
      </c>
      <c r="AH114" s="782">
        <v>0</v>
      </c>
      <c r="AI114" s="782">
        <v>0</v>
      </c>
      <c r="AJ114" s="782">
        <v>0</v>
      </c>
      <c r="AK114" s="782">
        <v>0</v>
      </c>
      <c r="AL114" s="782">
        <v>0</v>
      </c>
      <c r="AM114" s="782">
        <v>0</v>
      </c>
      <c r="AN114" s="782">
        <v>0</v>
      </c>
      <c r="AO114" s="782">
        <v>0</v>
      </c>
      <c r="AP114" s="782">
        <v>0</v>
      </c>
      <c r="AQ114" s="782">
        <v>0</v>
      </c>
      <c r="AR114" s="782"/>
      <c r="AS114" s="770"/>
      <c r="AT114" s="769" t="s">
        <v>199</v>
      </c>
      <c r="AU114" s="769" t="s">
        <v>199</v>
      </c>
      <c r="AV114" s="769" t="s">
        <v>199</v>
      </c>
      <c r="AW114" s="782">
        <v>0</v>
      </c>
      <c r="AX114" s="782">
        <v>0</v>
      </c>
      <c r="AY114" s="782">
        <v>0</v>
      </c>
      <c r="AZ114" s="782">
        <v>0</v>
      </c>
      <c r="BA114" s="782">
        <v>0</v>
      </c>
      <c r="BB114" s="782">
        <v>0</v>
      </c>
      <c r="BC114" s="782">
        <v>0</v>
      </c>
      <c r="BD114" s="782">
        <v>0</v>
      </c>
      <c r="BE114" s="782">
        <v>0</v>
      </c>
      <c r="BF114" s="782">
        <v>0</v>
      </c>
      <c r="BG114" s="782">
        <v>0</v>
      </c>
      <c r="BH114" s="782">
        <v>0</v>
      </c>
      <c r="BI114" s="782"/>
      <c r="BJ114" s="770"/>
      <c r="BK114" s="769" t="s">
        <v>199</v>
      </c>
      <c r="BL114" s="769" t="s">
        <v>199</v>
      </c>
      <c r="BM114" s="769" t="s">
        <v>199</v>
      </c>
      <c r="BN114" s="782">
        <v>0</v>
      </c>
      <c r="BO114" s="782">
        <v>0</v>
      </c>
      <c r="BP114" s="782">
        <v>0</v>
      </c>
      <c r="BQ114" s="782">
        <v>0</v>
      </c>
      <c r="BR114" s="782">
        <v>0</v>
      </c>
      <c r="BS114" s="782">
        <v>0</v>
      </c>
      <c r="BT114" s="782">
        <v>0</v>
      </c>
      <c r="BU114" s="782">
        <v>0</v>
      </c>
      <c r="BV114" s="782">
        <v>0</v>
      </c>
      <c r="BW114" s="782">
        <v>0</v>
      </c>
      <c r="BX114" s="782">
        <v>0</v>
      </c>
      <c r="BY114" s="782">
        <v>0</v>
      </c>
      <c r="BZ114" s="782"/>
      <c r="CA114" s="770"/>
      <c r="CB114" s="769" t="s">
        <v>199</v>
      </c>
      <c r="CC114" s="769" t="s">
        <v>199</v>
      </c>
      <c r="CD114" s="769" t="s">
        <v>199</v>
      </c>
      <c r="CE114" s="782">
        <v>0</v>
      </c>
      <c r="CF114" s="782">
        <v>0</v>
      </c>
      <c r="CG114" s="782">
        <v>0</v>
      </c>
      <c r="CH114" s="782">
        <v>0</v>
      </c>
      <c r="CI114" s="782">
        <v>0</v>
      </c>
      <c r="CJ114" s="782">
        <v>0</v>
      </c>
      <c r="CK114" s="782">
        <v>0</v>
      </c>
      <c r="CL114" s="782">
        <v>0</v>
      </c>
      <c r="CM114" s="782">
        <v>0</v>
      </c>
      <c r="CN114" s="782">
        <v>0</v>
      </c>
      <c r="CO114" s="782">
        <v>0</v>
      </c>
      <c r="CP114" s="782">
        <v>0</v>
      </c>
    </row>
    <row r="115" ht="15" customHeight="1" spans="2:94">
      <c r="B115" s="767" t="s">
        <v>1560</v>
      </c>
      <c r="C115" s="784"/>
      <c r="D115" s="784" t="s">
        <v>1534</v>
      </c>
      <c r="E115" s="784"/>
      <c r="F115" s="784"/>
      <c r="G115" s="784"/>
      <c r="H115" s="784" t="s">
        <v>1534</v>
      </c>
      <c r="I115" s="784"/>
      <c r="J115" s="770" t="s">
        <v>1534</v>
      </c>
      <c r="K115" s="770"/>
      <c r="L115" s="769" t="s">
        <v>1464</v>
      </c>
      <c r="M115" s="769" t="s">
        <v>199</v>
      </c>
      <c r="N115" s="769" t="s">
        <v>199</v>
      </c>
      <c r="O115" s="782">
        <v>0</v>
      </c>
      <c r="P115" s="782">
        <v>0</v>
      </c>
      <c r="Q115" s="782">
        <v>0</v>
      </c>
      <c r="R115" s="782">
        <v>0</v>
      </c>
      <c r="S115" s="782">
        <v>0</v>
      </c>
      <c r="T115" s="782">
        <v>0</v>
      </c>
      <c r="U115" s="782">
        <v>0</v>
      </c>
      <c r="V115" s="782">
        <v>0</v>
      </c>
      <c r="W115" s="782">
        <v>0</v>
      </c>
      <c r="X115" s="782">
        <v>0</v>
      </c>
      <c r="Y115" s="782">
        <v>0</v>
      </c>
      <c r="Z115" s="782">
        <v>0</v>
      </c>
      <c r="AA115" s="770"/>
      <c r="AB115" s="770"/>
      <c r="AC115" s="769" t="s">
        <v>199</v>
      </c>
      <c r="AD115" s="769" t="s">
        <v>199</v>
      </c>
      <c r="AE115" s="769" t="s">
        <v>199</v>
      </c>
      <c r="AF115" s="782">
        <v>0</v>
      </c>
      <c r="AG115" s="782">
        <v>0</v>
      </c>
      <c r="AH115" s="782">
        <v>0</v>
      </c>
      <c r="AI115" s="782">
        <v>0</v>
      </c>
      <c r="AJ115" s="782">
        <v>0</v>
      </c>
      <c r="AK115" s="782">
        <v>0</v>
      </c>
      <c r="AL115" s="782">
        <v>0</v>
      </c>
      <c r="AM115" s="782">
        <v>0</v>
      </c>
      <c r="AN115" s="782">
        <v>0</v>
      </c>
      <c r="AO115" s="782">
        <v>0</v>
      </c>
      <c r="AP115" s="782">
        <v>0</v>
      </c>
      <c r="AQ115" s="782">
        <v>0</v>
      </c>
      <c r="AR115" s="782"/>
      <c r="AS115" s="770"/>
      <c r="AT115" s="769" t="s">
        <v>199</v>
      </c>
      <c r="AU115" s="769" t="s">
        <v>199</v>
      </c>
      <c r="AV115" s="769" t="s">
        <v>199</v>
      </c>
      <c r="AW115" s="782">
        <v>0</v>
      </c>
      <c r="AX115" s="782">
        <v>0</v>
      </c>
      <c r="AY115" s="782">
        <v>0</v>
      </c>
      <c r="AZ115" s="782">
        <v>0</v>
      </c>
      <c r="BA115" s="782">
        <v>0</v>
      </c>
      <c r="BB115" s="782">
        <v>0</v>
      </c>
      <c r="BC115" s="782">
        <v>0</v>
      </c>
      <c r="BD115" s="782">
        <v>0</v>
      </c>
      <c r="BE115" s="782">
        <v>0</v>
      </c>
      <c r="BF115" s="782">
        <v>0</v>
      </c>
      <c r="BG115" s="782">
        <v>0</v>
      </c>
      <c r="BH115" s="782">
        <v>0</v>
      </c>
      <c r="BI115" s="782"/>
      <c r="BJ115" s="770"/>
      <c r="BK115" s="769" t="s">
        <v>199</v>
      </c>
      <c r="BL115" s="769" t="s">
        <v>199</v>
      </c>
      <c r="BM115" s="769" t="s">
        <v>199</v>
      </c>
      <c r="BN115" s="782">
        <v>0</v>
      </c>
      <c r="BO115" s="782">
        <v>0</v>
      </c>
      <c r="BP115" s="782">
        <v>0</v>
      </c>
      <c r="BQ115" s="782">
        <v>0</v>
      </c>
      <c r="BR115" s="782">
        <v>0</v>
      </c>
      <c r="BS115" s="782">
        <v>0</v>
      </c>
      <c r="BT115" s="782">
        <v>0</v>
      </c>
      <c r="BU115" s="782">
        <v>0</v>
      </c>
      <c r="BV115" s="782">
        <v>0</v>
      </c>
      <c r="BW115" s="782">
        <v>0</v>
      </c>
      <c r="BX115" s="782">
        <v>0</v>
      </c>
      <c r="BY115" s="782">
        <v>0</v>
      </c>
      <c r="BZ115" s="782"/>
      <c r="CA115" s="770"/>
      <c r="CB115" s="769" t="s">
        <v>199</v>
      </c>
      <c r="CC115" s="769" t="s">
        <v>199</v>
      </c>
      <c r="CD115" s="769" t="s">
        <v>199</v>
      </c>
      <c r="CE115" s="782">
        <v>0</v>
      </c>
      <c r="CF115" s="782">
        <v>0</v>
      </c>
      <c r="CG115" s="782">
        <v>0</v>
      </c>
      <c r="CH115" s="782">
        <v>0</v>
      </c>
      <c r="CI115" s="782">
        <v>0</v>
      </c>
      <c r="CJ115" s="782">
        <v>0</v>
      </c>
      <c r="CK115" s="782">
        <v>0</v>
      </c>
      <c r="CL115" s="782">
        <v>0</v>
      </c>
      <c r="CM115" s="782">
        <v>0</v>
      </c>
      <c r="CN115" s="782">
        <v>0</v>
      </c>
      <c r="CO115" s="782">
        <v>0</v>
      </c>
      <c r="CP115" s="782">
        <v>0</v>
      </c>
    </row>
    <row r="116" ht="15" customHeight="1" spans="2:94">
      <c r="B116" s="767" t="s">
        <v>1561</v>
      </c>
      <c r="C116" s="784"/>
      <c r="D116" s="784" t="s">
        <v>1534</v>
      </c>
      <c r="E116" s="784"/>
      <c r="F116" s="784"/>
      <c r="G116" s="784"/>
      <c r="H116" s="784" t="s">
        <v>1534</v>
      </c>
      <c r="I116" s="784"/>
      <c r="J116" s="770" t="s">
        <v>1534</v>
      </c>
      <c r="K116" s="770"/>
      <c r="L116" s="769" t="s">
        <v>1464</v>
      </c>
      <c r="M116" s="769" t="s">
        <v>199</v>
      </c>
      <c r="N116" s="769" t="s">
        <v>199</v>
      </c>
      <c r="O116" s="782">
        <v>0</v>
      </c>
      <c r="P116" s="782">
        <v>0</v>
      </c>
      <c r="Q116" s="782">
        <v>0</v>
      </c>
      <c r="R116" s="782">
        <v>0</v>
      </c>
      <c r="S116" s="782">
        <v>0</v>
      </c>
      <c r="T116" s="782">
        <v>0</v>
      </c>
      <c r="U116" s="782">
        <v>0</v>
      </c>
      <c r="V116" s="782">
        <v>0</v>
      </c>
      <c r="W116" s="782">
        <v>0</v>
      </c>
      <c r="X116" s="782">
        <v>0</v>
      </c>
      <c r="Y116" s="782">
        <v>0</v>
      </c>
      <c r="Z116" s="782">
        <v>0</v>
      </c>
      <c r="AA116" s="770"/>
      <c r="AB116" s="770"/>
      <c r="AC116" s="769" t="s">
        <v>199</v>
      </c>
      <c r="AD116" s="769" t="s">
        <v>199</v>
      </c>
      <c r="AE116" s="769" t="s">
        <v>199</v>
      </c>
      <c r="AF116" s="782">
        <v>0</v>
      </c>
      <c r="AG116" s="782">
        <v>0</v>
      </c>
      <c r="AH116" s="782">
        <v>0</v>
      </c>
      <c r="AI116" s="782">
        <v>0</v>
      </c>
      <c r="AJ116" s="782">
        <v>0</v>
      </c>
      <c r="AK116" s="782">
        <v>0</v>
      </c>
      <c r="AL116" s="782">
        <v>0</v>
      </c>
      <c r="AM116" s="782">
        <v>0</v>
      </c>
      <c r="AN116" s="782">
        <v>0</v>
      </c>
      <c r="AO116" s="782">
        <v>0</v>
      </c>
      <c r="AP116" s="782">
        <v>0</v>
      </c>
      <c r="AQ116" s="782">
        <v>0</v>
      </c>
      <c r="AR116" s="782"/>
      <c r="AS116" s="770"/>
      <c r="AT116" s="769" t="s">
        <v>199</v>
      </c>
      <c r="AU116" s="769" t="s">
        <v>199</v>
      </c>
      <c r="AV116" s="769" t="s">
        <v>199</v>
      </c>
      <c r="AW116" s="782">
        <v>0</v>
      </c>
      <c r="AX116" s="782">
        <v>0</v>
      </c>
      <c r="AY116" s="782">
        <v>0</v>
      </c>
      <c r="AZ116" s="782">
        <v>0</v>
      </c>
      <c r="BA116" s="782">
        <v>0</v>
      </c>
      <c r="BB116" s="782">
        <v>0</v>
      </c>
      <c r="BC116" s="782">
        <v>0</v>
      </c>
      <c r="BD116" s="782">
        <v>0</v>
      </c>
      <c r="BE116" s="782">
        <v>0</v>
      </c>
      <c r="BF116" s="782">
        <v>0</v>
      </c>
      <c r="BG116" s="782">
        <v>0</v>
      </c>
      <c r="BH116" s="782">
        <v>0</v>
      </c>
      <c r="BI116" s="782"/>
      <c r="BJ116" s="770"/>
      <c r="BK116" s="769" t="s">
        <v>199</v>
      </c>
      <c r="BL116" s="769" t="s">
        <v>199</v>
      </c>
      <c r="BM116" s="769" t="s">
        <v>199</v>
      </c>
      <c r="BN116" s="782">
        <v>0</v>
      </c>
      <c r="BO116" s="782">
        <v>0</v>
      </c>
      <c r="BP116" s="782">
        <v>0</v>
      </c>
      <c r="BQ116" s="782">
        <v>0</v>
      </c>
      <c r="BR116" s="782">
        <v>0</v>
      </c>
      <c r="BS116" s="782">
        <v>0</v>
      </c>
      <c r="BT116" s="782">
        <v>0</v>
      </c>
      <c r="BU116" s="782">
        <v>0</v>
      </c>
      <c r="BV116" s="782">
        <v>0</v>
      </c>
      <c r="BW116" s="782">
        <v>0</v>
      </c>
      <c r="BX116" s="782">
        <v>0</v>
      </c>
      <c r="BY116" s="782">
        <v>0</v>
      </c>
      <c r="BZ116" s="782"/>
      <c r="CA116" s="770"/>
      <c r="CB116" s="769" t="s">
        <v>199</v>
      </c>
      <c r="CC116" s="769" t="s">
        <v>199</v>
      </c>
      <c r="CD116" s="769" t="s">
        <v>199</v>
      </c>
      <c r="CE116" s="782">
        <v>0</v>
      </c>
      <c r="CF116" s="782">
        <v>0</v>
      </c>
      <c r="CG116" s="782">
        <v>0</v>
      </c>
      <c r="CH116" s="782">
        <v>0</v>
      </c>
      <c r="CI116" s="782">
        <v>0</v>
      </c>
      <c r="CJ116" s="782">
        <v>0</v>
      </c>
      <c r="CK116" s="782">
        <v>0</v>
      </c>
      <c r="CL116" s="782">
        <v>0</v>
      </c>
      <c r="CM116" s="782">
        <v>0</v>
      </c>
      <c r="CN116" s="782">
        <v>0</v>
      </c>
      <c r="CO116" s="782">
        <v>0</v>
      </c>
      <c r="CP116" s="782">
        <v>0</v>
      </c>
    </row>
    <row r="117" ht="15" customHeight="1" spans="2:94">
      <c r="B117" s="767" t="s">
        <v>1562</v>
      </c>
      <c r="C117" s="784"/>
      <c r="D117" s="784" t="s">
        <v>1534</v>
      </c>
      <c r="E117" s="784"/>
      <c r="F117" s="784"/>
      <c r="G117" s="784"/>
      <c r="H117" s="784" t="s">
        <v>1534</v>
      </c>
      <c r="I117" s="784"/>
      <c r="J117" s="770" t="s">
        <v>1534</v>
      </c>
      <c r="K117" s="770"/>
      <c r="L117" s="769" t="s">
        <v>1464</v>
      </c>
      <c r="M117" s="769" t="s">
        <v>199</v>
      </c>
      <c r="N117" s="769" t="s">
        <v>199</v>
      </c>
      <c r="O117" s="782">
        <v>0</v>
      </c>
      <c r="P117" s="782">
        <v>0</v>
      </c>
      <c r="Q117" s="782">
        <v>0</v>
      </c>
      <c r="R117" s="782">
        <v>0</v>
      </c>
      <c r="S117" s="782">
        <v>0</v>
      </c>
      <c r="T117" s="782">
        <v>0</v>
      </c>
      <c r="U117" s="782">
        <v>0</v>
      </c>
      <c r="V117" s="782">
        <v>0</v>
      </c>
      <c r="W117" s="782">
        <v>0</v>
      </c>
      <c r="X117" s="782">
        <v>0</v>
      </c>
      <c r="Y117" s="782">
        <v>0</v>
      </c>
      <c r="Z117" s="782">
        <v>0</v>
      </c>
      <c r="AA117" s="770"/>
      <c r="AB117" s="770"/>
      <c r="AC117" s="769" t="s">
        <v>199</v>
      </c>
      <c r="AD117" s="769" t="s">
        <v>199</v>
      </c>
      <c r="AE117" s="769" t="s">
        <v>199</v>
      </c>
      <c r="AF117" s="782">
        <v>0</v>
      </c>
      <c r="AG117" s="782">
        <v>0</v>
      </c>
      <c r="AH117" s="782">
        <v>0</v>
      </c>
      <c r="AI117" s="782">
        <v>0</v>
      </c>
      <c r="AJ117" s="782">
        <v>0</v>
      </c>
      <c r="AK117" s="782">
        <v>0</v>
      </c>
      <c r="AL117" s="782">
        <v>0</v>
      </c>
      <c r="AM117" s="782">
        <v>0</v>
      </c>
      <c r="AN117" s="782">
        <v>0</v>
      </c>
      <c r="AO117" s="782">
        <v>0</v>
      </c>
      <c r="AP117" s="782">
        <v>0</v>
      </c>
      <c r="AQ117" s="782">
        <v>0</v>
      </c>
      <c r="AR117" s="782"/>
      <c r="AS117" s="770"/>
      <c r="AT117" s="769" t="s">
        <v>199</v>
      </c>
      <c r="AU117" s="769" t="s">
        <v>199</v>
      </c>
      <c r="AV117" s="769" t="s">
        <v>199</v>
      </c>
      <c r="AW117" s="782">
        <v>0</v>
      </c>
      <c r="AX117" s="782">
        <v>0</v>
      </c>
      <c r="AY117" s="782">
        <v>0</v>
      </c>
      <c r="AZ117" s="782">
        <v>0</v>
      </c>
      <c r="BA117" s="782">
        <v>0</v>
      </c>
      <c r="BB117" s="782">
        <v>0</v>
      </c>
      <c r="BC117" s="782">
        <v>0</v>
      </c>
      <c r="BD117" s="782">
        <v>0</v>
      </c>
      <c r="BE117" s="782">
        <v>0</v>
      </c>
      <c r="BF117" s="782">
        <v>0</v>
      </c>
      <c r="BG117" s="782">
        <v>0</v>
      </c>
      <c r="BH117" s="782">
        <v>0</v>
      </c>
      <c r="BI117" s="782"/>
      <c r="BJ117" s="770"/>
      <c r="BK117" s="769" t="s">
        <v>199</v>
      </c>
      <c r="BL117" s="769" t="s">
        <v>199</v>
      </c>
      <c r="BM117" s="769" t="s">
        <v>199</v>
      </c>
      <c r="BN117" s="782">
        <v>0</v>
      </c>
      <c r="BO117" s="782">
        <v>0</v>
      </c>
      <c r="BP117" s="782">
        <v>0</v>
      </c>
      <c r="BQ117" s="782">
        <v>0</v>
      </c>
      <c r="BR117" s="782">
        <v>0</v>
      </c>
      <c r="BS117" s="782">
        <v>0</v>
      </c>
      <c r="BT117" s="782">
        <v>0</v>
      </c>
      <c r="BU117" s="782">
        <v>0</v>
      </c>
      <c r="BV117" s="782">
        <v>0</v>
      </c>
      <c r="BW117" s="782">
        <v>0</v>
      </c>
      <c r="BX117" s="782">
        <v>0</v>
      </c>
      <c r="BY117" s="782">
        <v>0</v>
      </c>
      <c r="BZ117" s="782"/>
      <c r="CA117" s="770"/>
      <c r="CB117" s="769" t="s">
        <v>199</v>
      </c>
      <c r="CC117" s="769" t="s">
        <v>199</v>
      </c>
      <c r="CD117" s="769" t="s">
        <v>199</v>
      </c>
      <c r="CE117" s="782">
        <v>0</v>
      </c>
      <c r="CF117" s="782">
        <v>0</v>
      </c>
      <c r="CG117" s="782">
        <v>0</v>
      </c>
      <c r="CH117" s="782">
        <v>0</v>
      </c>
      <c r="CI117" s="782">
        <v>0</v>
      </c>
      <c r="CJ117" s="782">
        <v>0</v>
      </c>
      <c r="CK117" s="782">
        <v>0</v>
      </c>
      <c r="CL117" s="782">
        <v>0</v>
      </c>
      <c r="CM117" s="782">
        <v>0</v>
      </c>
      <c r="CN117" s="782">
        <v>0</v>
      </c>
      <c r="CO117" s="782">
        <v>0</v>
      </c>
      <c r="CP117" s="782">
        <v>0</v>
      </c>
    </row>
    <row r="118" ht="15" customHeight="1" spans="2:94">
      <c r="B118" s="767" t="s">
        <v>1563</v>
      </c>
      <c r="C118" s="784"/>
      <c r="D118" s="784" t="s">
        <v>1534</v>
      </c>
      <c r="E118" s="784"/>
      <c r="F118" s="784"/>
      <c r="G118" s="784"/>
      <c r="H118" s="784" t="s">
        <v>1534</v>
      </c>
      <c r="I118" s="784"/>
      <c r="J118" s="770" t="s">
        <v>1534</v>
      </c>
      <c r="K118" s="770"/>
      <c r="L118" s="769" t="s">
        <v>1464</v>
      </c>
      <c r="M118" s="769" t="s">
        <v>199</v>
      </c>
      <c r="N118" s="769" t="s">
        <v>199</v>
      </c>
      <c r="O118" s="782">
        <v>0</v>
      </c>
      <c r="P118" s="782">
        <v>0</v>
      </c>
      <c r="Q118" s="782">
        <v>0</v>
      </c>
      <c r="R118" s="782">
        <v>0</v>
      </c>
      <c r="S118" s="782">
        <v>0</v>
      </c>
      <c r="T118" s="782">
        <v>0</v>
      </c>
      <c r="U118" s="782">
        <v>0</v>
      </c>
      <c r="V118" s="782">
        <v>0</v>
      </c>
      <c r="W118" s="782">
        <v>0</v>
      </c>
      <c r="X118" s="782">
        <v>0</v>
      </c>
      <c r="Y118" s="782">
        <v>0</v>
      </c>
      <c r="Z118" s="782">
        <v>0</v>
      </c>
      <c r="AA118" s="770"/>
      <c r="AB118" s="770"/>
      <c r="AC118" s="769" t="s">
        <v>199</v>
      </c>
      <c r="AD118" s="769" t="s">
        <v>199</v>
      </c>
      <c r="AE118" s="769" t="s">
        <v>199</v>
      </c>
      <c r="AF118" s="782">
        <v>0</v>
      </c>
      <c r="AG118" s="782">
        <v>0</v>
      </c>
      <c r="AH118" s="782">
        <v>0</v>
      </c>
      <c r="AI118" s="782">
        <v>0</v>
      </c>
      <c r="AJ118" s="782">
        <v>0</v>
      </c>
      <c r="AK118" s="782">
        <v>0</v>
      </c>
      <c r="AL118" s="782">
        <v>0</v>
      </c>
      <c r="AM118" s="782">
        <v>0</v>
      </c>
      <c r="AN118" s="782">
        <v>0</v>
      </c>
      <c r="AO118" s="782">
        <v>0</v>
      </c>
      <c r="AP118" s="782">
        <v>0</v>
      </c>
      <c r="AQ118" s="782">
        <v>0</v>
      </c>
      <c r="AR118" s="782"/>
      <c r="AS118" s="770"/>
      <c r="AT118" s="769" t="s">
        <v>199</v>
      </c>
      <c r="AU118" s="769" t="s">
        <v>199</v>
      </c>
      <c r="AV118" s="769" t="s">
        <v>199</v>
      </c>
      <c r="AW118" s="782">
        <v>0</v>
      </c>
      <c r="AX118" s="782">
        <v>0</v>
      </c>
      <c r="AY118" s="782">
        <v>0</v>
      </c>
      <c r="AZ118" s="782">
        <v>0</v>
      </c>
      <c r="BA118" s="782">
        <v>0</v>
      </c>
      <c r="BB118" s="782">
        <v>0</v>
      </c>
      <c r="BC118" s="782">
        <v>0</v>
      </c>
      <c r="BD118" s="782">
        <v>0</v>
      </c>
      <c r="BE118" s="782">
        <v>0</v>
      </c>
      <c r="BF118" s="782">
        <v>0</v>
      </c>
      <c r="BG118" s="782">
        <v>0</v>
      </c>
      <c r="BH118" s="782">
        <v>0</v>
      </c>
      <c r="BI118" s="782"/>
      <c r="BJ118" s="770"/>
      <c r="BK118" s="769" t="s">
        <v>199</v>
      </c>
      <c r="BL118" s="769" t="s">
        <v>199</v>
      </c>
      <c r="BM118" s="769" t="s">
        <v>199</v>
      </c>
      <c r="BN118" s="782">
        <v>0</v>
      </c>
      <c r="BO118" s="782">
        <v>0</v>
      </c>
      <c r="BP118" s="782">
        <v>0</v>
      </c>
      <c r="BQ118" s="782">
        <v>0</v>
      </c>
      <c r="BR118" s="782">
        <v>0</v>
      </c>
      <c r="BS118" s="782">
        <v>0</v>
      </c>
      <c r="BT118" s="782">
        <v>0</v>
      </c>
      <c r="BU118" s="782">
        <v>0</v>
      </c>
      <c r="BV118" s="782">
        <v>0</v>
      </c>
      <c r="BW118" s="782">
        <v>0</v>
      </c>
      <c r="BX118" s="782">
        <v>0</v>
      </c>
      <c r="BY118" s="782">
        <v>0</v>
      </c>
      <c r="BZ118" s="782"/>
      <c r="CA118" s="770"/>
      <c r="CB118" s="769" t="s">
        <v>199</v>
      </c>
      <c r="CC118" s="769" t="s">
        <v>199</v>
      </c>
      <c r="CD118" s="769" t="s">
        <v>199</v>
      </c>
      <c r="CE118" s="782">
        <v>0</v>
      </c>
      <c r="CF118" s="782">
        <v>0</v>
      </c>
      <c r="CG118" s="782">
        <v>0</v>
      </c>
      <c r="CH118" s="782">
        <v>0</v>
      </c>
      <c r="CI118" s="782">
        <v>0</v>
      </c>
      <c r="CJ118" s="782">
        <v>0</v>
      </c>
      <c r="CK118" s="782">
        <v>0</v>
      </c>
      <c r="CL118" s="782">
        <v>0</v>
      </c>
      <c r="CM118" s="782">
        <v>0</v>
      </c>
      <c r="CN118" s="782">
        <v>0</v>
      </c>
      <c r="CO118" s="782">
        <v>0</v>
      </c>
      <c r="CP118" s="782">
        <v>0</v>
      </c>
    </row>
    <row r="119" ht="15" customHeight="1" spans="2:94">
      <c r="B119" s="767" t="s">
        <v>1564</v>
      </c>
      <c r="C119" s="784"/>
      <c r="D119" s="784" t="s">
        <v>1534</v>
      </c>
      <c r="E119" s="784"/>
      <c r="F119" s="784"/>
      <c r="G119" s="784"/>
      <c r="H119" s="784" t="s">
        <v>1534</v>
      </c>
      <c r="I119" s="784"/>
      <c r="J119" s="770" t="s">
        <v>1534</v>
      </c>
      <c r="K119" s="770"/>
      <c r="L119" s="769" t="s">
        <v>1464</v>
      </c>
      <c r="M119" s="769" t="s">
        <v>199</v>
      </c>
      <c r="N119" s="769" t="s">
        <v>199</v>
      </c>
      <c r="O119" s="782">
        <v>0</v>
      </c>
      <c r="P119" s="782">
        <v>0</v>
      </c>
      <c r="Q119" s="782">
        <v>0</v>
      </c>
      <c r="R119" s="782">
        <v>0</v>
      </c>
      <c r="S119" s="782">
        <v>0</v>
      </c>
      <c r="T119" s="782">
        <v>0</v>
      </c>
      <c r="U119" s="782">
        <v>0</v>
      </c>
      <c r="V119" s="782">
        <v>0</v>
      </c>
      <c r="W119" s="782">
        <v>0</v>
      </c>
      <c r="X119" s="782">
        <v>0</v>
      </c>
      <c r="Y119" s="782">
        <v>0</v>
      </c>
      <c r="Z119" s="782">
        <v>0</v>
      </c>
      <c r="AA119" s="770"/>
      <c r="AB119" s="770"/>
      <c r="AC119" s="769" t="s">
        <v>199</v>
      </c>
      <c r="AD119" s="769" t="s">
        <v>199</v>
      </c>
      <c r="AE119" s="769" t="s">
        <v>199</v>
      </c>
      <c r="AF119" s="782">
        <v>0</v>
      </c>
      <c r="AG119" s="782">
        <v>0</v>
      </c>
      <c r="AH119" s="782">
        <v>0</v>
      </c>
      <c r="AI119" s="782">
        <v>0</v>
      </c>
      <c r="AJ119" s="782">
        <v>0</v>
      </c>
      <c r="AK119" s="782">
        <v>0</v>
      </c>
      <c r="AL119" s="782">
        <v>0</v>
      </c>
      <c r="AM119" s="782">
        <v>0</v>
      </c>
      <c r="AN119" s="782">
        <v>0</v>
      </c>
      <c r="AO119" s="782">
        <v>0</v>
      </c>
      <c r="AP119" s="782">
        <v>0</v>
      </c>
      <c r="AQ119" s="782">
        <v>0</v>
      </c>
      <c r="AR119" s="782"/>
      <c r="AS119" s="770"/>
      <c r="AT119" s="769" t="s">
        <v>199</v>
      </c>
      <c r="AU119" s="769" t="s">
        <v>199</v>
      </c>
      <c r="AV119" s="769" t="s">
        <v>199</v>
      </c>
      <c r="AW119" s="782">
        <v>0</v>
      </c>
      <c r="AX119" s="782">
        <v>0</v>
      </c>
      <c r="AY119" s="782">
        <v>0</v>
      </c>
      <c r="AZ119" s="782">
        <v>0</v>
      </c>
      <c r="BA119" s="782">
        <v>0</v>
      </c>
      <c r="BB119" s="782">
        <v>0</v>
      </c>
      <c r="BC119" s="782">
        <v>0</v>
      </c>
      <c r="BD119" s="782">
        <v>0</v>
      </c>
      <c r="BE119" s="782">
        <v>0</v>
      </c>
      <c r="BF119" s="782">
        <v>0</v>
      </c>
      <c r="BG119" s="782">
        <v>0</v>
      </c>
      <c r="BH119" s="782">
        <v>0</v>
      </c>
      <c r="BI119" s="782"/>
      <c r="BJ119" s="770"/>
      <c r="BK119" s="769" t="s">
        <v>199</v>
      </c>
      <c r="BL119" s="769" t="s">
        <v>199</v>
      </c>
      <c r="BM119" s="769" t="s">
        <v>199</v>
      </c>
      <c r="BN119" s="782">
        <v>0</v>
      </c>
      <c r="BO119" s="782">
        <v>0</v>
      </c>
      <c r="BP119" s="782">
        <v>0</v>
      </c>
      <c r="BQ119" s="782">
        <v>0</v>
      </c>
      <c r="BR119" s="782">
        <v>0</v>
      </c>
      <c r="BS119" s="782">
        <v>0</v>
      </c>
      <c r="BT119" s="782">
        <v>0</v>
      </c>
      <c r="BU119" s="782">
        <v>0</v>
      </c>
      <c r="BV119" s="782">
        <v>0</v>
      </c>
      <c r="BW119" s="782">
        <v>0</v>
      </c>
      <c r="BX119" s="782">
        <v>0</v>
      </c>
      <c r="BY119" s="782">
        <v>0</v>
      </c>
      <c r="BZ119" s="782"/>
      <c r="CA119" s="770"/>
      <c r="CB119" s="769" t="s">
        <v>199</v>
      </c>
      <c r="CC119" s="769" t="s">
        <v>199</v>
      </c>
      <c r="CD119" s="769" t="s">
        <v>199</v>
      </c>
      <c r="CE119" s="782">
        <v>0</v>
      </c>
      <c r="CF119" s="782">
        <v>0</v>
      </c>
      <c r="CG119" s="782">
        <v>0</v>
      </c>
      <c r="CH119" s="782">
        <v>0</v>
      </c>
      <c r="CI119" s="782">
        <v>0</v>
      </c>
      <c r="CJ119" s="782">
        <v>0</v>
      </c>
      <c r="CK119" s="782">
        <v>0</v>
      </c>
      <c r="CL119" s="782">
        <v>0</v>
      </c>
      <c r="CM119" s="782">
        <v>0</v>
      </c>
      <c r="CN119" s="782">
        <v>0</v>
      </c>
      <c r="CO119" s="782">
        <v>0</v>
      </c>
      <c r="CP119" s="782">
        <v>0</v>
      </c>
    </row>
  </sheetData>
  <mergeCells count="22">
    <mergeCell ref="K21:Z21"/>
    <mergeCell ref="AB21:AQ21"/>
    <mergeCell ref="AS21:BH21"/>
    <mergeCell ref="BJ21:BY21"/>
    <mergeCell ref="CA21:CP21"/>
    <mergeCell ref="B21:B22"/>
    <mergeCell ref="C21:C22"/>
    <mergeCell ref="D21:D22"/>
    <mergeCell ref="E21:E22"/>
    <mergeCell ref="F17:F18"/>
    <mergeCell ref="F21:F22"/>
    <mergeCell ref="G17:G18"/>
    <mergeCell ref="G21:G22"/>
    <mergeCell ref="H21:H22"/>
    <mergeCell ref="I21:I22"/>
    <mergeCell ref="J21:J22"/>
    <mergeCell ref="AA21:AA22"/>
    <mergeCell ref="AR21:AR22"/>
    <mergeCell ref="BI21:BI22"/>
    <mergeCell ref="BZ21:BZ22"/>
    <mergeCell ref="B11:E14"/>
    <mergeCell ref="B15:E16"/>
  </mergeCells>
  <hyperlinks>
    <hyperlink ref="A1" location="目录!A1" display="← 返回目录"/>
  </hyperlinks>
  <pageMargins left="0.7" right="0.7" top="0.75" bottom="0.75" header="0.3" footer="0.3"/>
  <pageSetup paperSize="1" orientation="portrait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>
    <tabColor theme="8" tint="0.799981688894314"/>
  </sheetPr>
  <dimension ref="A1:U106"/>
  <sheetViews>
    <sheetView zoomScale="85" zoomScaleNormal="85" workbookViewId="0">
      <pane ySplit="10" topLeftCell="A11" activePane="bottomLeft" state="frozen"/>
      <selection/>
      <selection pane="bottomLeft" activeCell="A1" sqref="A1:D4"/>
    </sheetView>
  </sheetViews>
  <sheetFormatPr defaultColWidth="8.725" defaultRowHeight="13.5"/>
  <cols>
    <col min="2" max="2" width="10.9083333333333" customWidth="1"/>
    <col min="3" max="4" width="11.6333333333333" customWidth="1"/>
    <col min="5" max="8" width="11.5416666666667" customWidth="1"/>
    <col min="9" max="20" width="9.09166666666667" customWidth="1"/>
    <col min="21" max="21" width="18" customWidth="1"/>
  </cols>
  <sheetData>
    <row r="1" spans="1:21">
      <c r="A1" s="162" t="s">
        <v>185</v>
      </c>
      <c r="B1" s="492"/>
      <c r="C1" s="492"/>
      <c r="D1" s="492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pans="1:21">
      <c r="A2" s="492"/>
      <c r="B2" s="492"/>
      <c r="C2" s="492"/>
      <c r="D2" s="492"/>
      <c r="E2" s="12"/>
      <c r="F2" s="13" t="s">
        <v>1406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pans="1:21">
      <c r="A3" s="492"/>
      <c r="B3" s="492"/>
      <c r="C3" s="492"/>
      <c r="D3" s="492"/>
      <c r="E3" s="12"/>
      <c r="F3" s="13" t="s">
        <v>1630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ht="14" customHeight="1" spans="1:21">
      <c r="A4" s="492"/>
      <c r="B4" s="492"/>
      <c r="C4" s="492"/>
      <c r="D4" s="492"/>
      <c r="E4" s="12"/>
      <c r="F4" s="13" t="s">
        <v>1408</v>
      </c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pans="1:21">
      <c r="A5" s="292" t="s">
        <v>1618</v>
      </c>
      <c r="B5" s="292"/>
      <c r="C5" s="292"/>
      <c r="D5" s="292"/>
      <c r="E5" s="26" t="s">
        <v>1410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spans="1:21">
      <c r="A6" s="1"/>
      <c r="B6" s="1"/>
      <c r="C6" s="1"/>
      <c r="D6" s="1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spans="1:21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"/>
      <c r="J7" s="1"/>
      <c r="K7" s="1"/>
      <c r="L7" s="1"/>
      <c r="M7" s="1"/>
      <c r="N7" s="1"/>
      <c r="O7" s="1"/>
    </row>
    <row r="8" spans="1:21">
      <c r="A8" s="1"/>
      <c r="B8" s="1"/>
      <c r="C8" s="1"/>
      <c r="D8" s="1"/>
      <c r="E8" s="1"/>
      <c r="F8" s="1"/>
      <c r="G8" s="1"/>
      <c r="H8" s="1"/>
      <c r="I8" s="1"/>
      <c r="K8" s="1"/>
      <c r="L8" s="1"/>
      <c r="M8" s="1"/>
      <c r="N8" s="1"/>
      <c r="O8" s="1"/>
      <c r="Q8" s="1"/>
      <c r="R8" s="1"/>
      <c r="S8" s="1"/>
    </row>
    <row r="9" s="728" customFormat="1" ht="26" customHeight="1" spans="1:21">
      <c r="A9" s="729" t="s">
        <v>489</v>
      </c>
      <c r="B9" s="729" t="s">
        <v>490</v>
      </c>
      <c r="C9" s="729" t="s">
        <v>1369</v>
      </c>
      <c r="D9" s="730" t="s">
        <v>493</v>
      </c>
      <c r="E9" s="731" t="s">
        <v>1631</v>
      </c>
      <c r="F9" s="731" t="s">
        <v>1632</v>
      </c>
      <c r="G9" s="731" t="s">
        <v>1633</v>
      </c>
      <c r="H9" s="731" t="s">
        <v>1634</v>
      </c>
      <c r="I9" s="732" t="s">
        <v>304</v>
      </c>
      <c r="J9" s="732" t="s">
        <v>305</v>
      </c>
      <c r="K9" s="732" t="s">
        <v>306</v>
      </c>
      <c r="L9" s="732" t="s">
        <v>307</v>
      </c>
      <c r="M9" s="732" t="s">
        <v>308</v>
      </c>
      <c r="N9" s="732" t="s">
        <v>309</v>
      </c>
      <c r="O9" s="732" t="s">
        <v>310</v>
      </c>
      <c r="P9" s="732" t="s">
        <v>311</v>
      </c>
      <c r="Q9" s="732" t="s">
        <v>312</v>
      </c>
      <c r="R9" s="732" t="s">
        <v>313</v>
      </c>
      <c r="S9" s="732" t="s">
        <v>314</v>
      </c>
      <c r="T9" s="732" t="s">
        <v>315</v>
      </c>
      <c r="U9" s="732" t="s">
        <v>1462</v>
      </c>
    </row>
    <row r="10" s="543" customFormat="1" ht="21.5" customHeight="1" spans="1:21">
      <c r="A10" s="733" t="s">
        <v>1421</v>
      </c>
      <c r="B10" s="733" t="s">
        <v>1421</v>
      </c>
      <c r="C10" s="733" t="s">
        <v>1421</v>
      </c>
      <c r="D10" s="744" t="s">
        <v>1463</v>
      </c>
      <c r="E10" s="733" t="s">
        <v>1421</v>
      </c>
      <c r="F10" s="733" t="s">
        <v>1421</v>
      </c>
      <c r="G10" s="733" t="s">
        <v>199</v>
      </c>
      <c r="H10" s="733" t="s">
        <v>199</v>
      </c>
      <c r="I10" s="735" t="s">
        <v>1465</v>
      </c>
      <c r="J10" s="735" t="s">
        <v>1465</v>
      </c>
      <c r="K10" s="735" t="s">
        <v>1465</v>
      </c>
      <c r="L10" s="735" t="s">
        <v>1465</v>
      </c>
      <c r="M10" s="735" t="s">
        <v>1465</v>
      </c>
      <c r="N10" s="735" t="s">
        <v>1465</v>
      </c>
      <c r="O10" s="735" t="s">
        <v>1465</v>
      </c>
      <c r="P10" s="735" t="s">
        <v>1465</v>
      </c>
      <c r="Q10" s="735" t="s">
        <v>1465</v>
      </c>
      <c r="R10" s="735" t="s">
        <v>1465</v>
      </c>
      <c r="S10" s="735" t="s">
        <v>1465</v>
      </c>
      <c r="T10" s="735" t="s">
        <v>1465</v>
      </c>
      <c r="U10" s="746" t="s">
        <v>1465</v>
      </c>
    </row>
    <row r="11" spans="1:21">
      <c r="A11" s="736"/>
      <c r="B11" s="736"/>
      <c r="C11" s="736"/>
      <c r="D11" s="736"/>
      <c r="E11" s="745" t="s">
        <v>1635</v>
      </c>
      <c r="F11" s="745" t="s">
        <v>1636</v>
      </c>
      <c r="G11" s="737" t="s">
        <v>199</v>
      </c>
      <c r="H11" s="737" t="s">
        <v>199</v>
      </c>
      <c r="I11" s="736"/>
      <c r="J11" s="736"/>
      <c r="K11" s="736"/>
      <c r="L11" s="736"/>
      <c r="M11" s="736"/>
      <c r="N11" s="736"/>
      <c r="O11" s="736"/>
      <c r="P11" s="736"/>
      <c r="Q11" s="736"/>
      <c r="R11" s="736"/>
      <c r="S11" s="736"/>
      <c r="T11" s="736"/>
      <c r="U11" s="747"/>
    </row>
    <row r="12" spans="1:21">
      <c r="A12" s="736"/>
      <c r="B12" s="736"/>
      <c r="C12" s="736"/>
      <c r="D12" s="736"/>
      <c r="E12" s="737"/>
      <c r="F12" s="737"/>
      <c r="G12" s="737" t="s">
        <v>199</v>
      </c>
      <c r="H12" s="737" t="s">
        <v>199</v>
      </c>
      <c r="I12" s="736"/>
      <c r="J12" s="736"/>
      <c r="K12" s="736"/>
      <c r="L12" s="736"/>
      <c r="M12" s="736"/>
      <c r="N12" s="736"/>
      <c r="O12" s="736"/>
      <c r="P12" s="736"/>
      <c r="Q12" s="736"/>
      <c r="R12" s="736"/>
      <c r="S12" s="736"/>
      <c r="T12" s="736"/>
      <c r="U12" s="748"/>
    </row>
    <row r="13" spans="1:21">
      <c r="A13" s="736"/>
      <c r="B13" s="736"/>
      <c r="C13" s="736"/>
      <c r="D13" s="736"/>
      <c r="E13" s="737"/>
      <c r="F13" s="737"/>
      <c r="G13" s="737" t="s">
        <v>199</v>
      </c>
      <c r="H13" s="737" t="s">
        <v>199</v>
      </c>
      <c r="I13" s="736"/>
      <c r="J13" s="736"/>
      <c r="K13" s="736"/>
      <c r="L13" s="736"/>
      <c r="M13" s="736"/>
      <c r="N13" s="736"/>
      <c r="O13" s="736"/>
      <c r="P13" s="736"/>
      <c r="Q13" s="736"/>
      <c r="R13" s="736"/>
      <c r="S13" s="736"/>
      <c r="T13" s="736"/>
      <c r="U13" s="748"/>
    </row>
    <row r="14" spans="1:21">
      <c r="A14" s="736"/>
      <c r="B14" s="736"/>
      <c r="C14" s="736"/>
      <c r="D14" s="736"/>
      <c r="E14" s="737"/>
      <c r="F14" s="737"/>
      <c r="G14" s="737" t="s">
        <v>199</v>
      </c>
      <c r="H14" s="737" t="s">
        <v>199</v>
      </c>
      <c r="I14" s="736"/>
      <c r="J14" s="736"/>
      <c r="K14" s="736"/>
      <c r="L14" s="736"/>
      <c r="M14" s="736"/>
      <c r="N14" s="736"/>
      <c r="O14" s="736"/>
      <c r="P14" s="736"/>
      <c r="Q14" s="736"/>
      <c r="R14" s="736"/>
      <c r="S14" s="736"/>
      <c r="T14" s="736"/>
      <c r="U14" s="748"/>
    </row>
    <row r="15" spans="1:21">
      <c r="A15" s="736"/>
      <c r="B15" s="736"/>
      <c r="C15" s="736"/>
      <c r="D15" s="736"/>
      <c r="E15" s="737"/>
      <c r="F15" s="737"/>
      <c r="G15" s="737" t="s">
        <v>199</v>
      </c>
      <c r="H15" s="737" t="s">
        <v>199</v>
      </c>
      <c r="I15" s="736"/>
      <c r="J15" s="736"/>
      <c r="K15" s="736"/>
      <c r="L15" s="736"/>
      <c r="M15" s="736"/>
      <c r="N15" s="736"/>
      <c r="O15" s="736"/>
      <c r="P15" s="736"/>
      <c r="Q15" s="736"/>
      <c r="R15" s="736"/>
      <c r="S15" s="736"/>
      <c r="T15" s="736"/>
      <c r="U15" s="748"/>
    </row>
    <row r="16" spans="1:21">
      <c r="A16" s="736"/>
      <c r="B16" s="736"/>
      <c r="C16" s="736"/>
      <c r="D16" s="736"/>
      <c r="E16" s="737"/>
      <c r="F16" s="737"/>
      <c r="G16" s="737" t="s">
        <v>199</v>
      </c>
      <c r="H16" s="737" t="s">
        <v>199</v>
      </c>
      <c r="I16" s="736"/>
      <c r="J16" s="736"/>
      <c r="K16" s="736"/>
      <c r="L16" s="736"/>
      <c r="M16" s="736"/>
      <c r="N16" s="736"/>
      <c r="O16" s="736"/>
      <c r="P16" s="736"/>
      <c r="Q16" s="736"/>
      <c r="R16" s="736"/>
      <c r="S16" s="736"/>
      <c r="T16" s="736"/>
      <c r="U16" s="749"/>
    </row>
    <row r="17" spans="1:21">
      <c r="A17" s="736"/>
      <c r="B17" s="736"/>
      <c r="C17" s="736"/>
      <c r="D17" s="736"/>
      <c r="E17" s="737"/>
      <c r="F17" s="737"/>
      <c r="G17" s="737" t="s">
        <v>199</v>
      </c>
      <c r="H17" s="737" t="s">
        <v>199</v>
      </c>
      <c r="I17" s="736"/>
      <c r="J17" s="736"/>
      <c r="K17" s="736"/>
      <c r="L17" s="736"/>
      <c r="M17" s="736"/>
      <c r="N17" s="736"/>
      <c r="O17" s="736"/>
      <c r="P17" s="736"/>
      <c r="Q17" s="736"/>
      <c r="R17" s="736"/>
      <c r="S17" s="736"/>
      <c r="T17" s="736"/>
      <c r="U17" s="749"/>
    </row>
    <row r="18" spans="1:21">
      <c r="A18" s="736"/>
      <c r="B18" s="736"/>
      <c r="C18" s="736"/>
      <c r="D18" s="736"/>
      <c r="E18" s="737"/>
      <c r="F18" s="737"/>
      <c r="G18" s="737" t="s">
        <v>199</v>
      </c>
      <c r="H18" s="737" t="s">
        <v>199</v>
      </c>
      <c r="I18" s="736"/>
      <c r="J18" s="736"/>
      <c r="K18" s="736"/>
      <c r="L18" s="736"/>
      <c r="M18" s="736"/>
      <c r="N18" s="736"/>
      <c r="O18" s="736"/>
      <c r="P18" s="736"/>
      <c r="Q18" s="736"/>
      <c r="R18" s="736"/>
      <c r="S18" s="736"/>
      <c r="T18" s="736"/>
      <c r="U18" s="750"/>
    </row>
    <row r="19" spans="1:21">
      <c r="A19" s="736"/>
      <c r="B19" s="736"/>
      <c r="C19" s="736"/>
      <c r="D19" s="736"/>
      <c r="E19" s="737"/>
      <c r="F19" s="737"/>
      <c r="G19" s="737" t="s">
        <v>199</v>
      </c>
      <c r="H19" s="737" t="s">
        <v>199</v>
      </c>
      <c r="I19" s="736"/>
      <c r="J19" s="736"/>
      <c r="K19" s="736"/>
      <c r="L19" s="736"/>
      <c r="M19" s="736"/>
      <c r="N19" s="736"/>
      <c r="O19" s="736"/>
      <c r="P19" s="736"/>
      <c r="Q19" s="736"/>
      <c r="R19" s="736"/>
      <c r="S19" s="736"/>
      <c r="T19" s="736"/>
      <c r="U19" s="750"/>
    </row>
    <row r="20" spans="1:21">
      <c r="A20" s="736"/>
      <c r="B20" s="736"/>
      <c r="C20" s="736"/>
      <c r="D20" s="736"/>
      <c r="E20" s="737"/>
      <c r="F20" s="737"/>
      <c r="G20" s="737" t="s">
        <v>199</v>
      </c>
      <c r="H20" s="737" t="s">
        <v>199</v>
      </c>
      <c r="I20" s="736"/>
      <c r="J20" s="736"/>
      <c r="K20" s="736"/>
      <c r="L20" s="736"/>
      <c r="M20" s="736"/>
      <c r="N20" s="736"/>
      <c r="O20" s="736"/>
      <c r="P20" s="736"/>
      <c r="Q20" s="736"/>
      <c r="R20" s="736"/>
      <c r="S20" s="736"/>
      <c r="T20" s="736"/>
      <c r="U20" s="750"/>
    </row>
    <row r="21" spans="1:21">
      <c r="A21" s="736"/>
      <c r="B21" s="736"/>
      <c r="C21" s="736"/>
      <c r="D21" s="736"/>
      <c r="E21" s="737"/>
      <c r="F21" s="737"/>
      <c r="G21" s="737" t="s">
        <v>199</v>
      </c>
      <c r="H21" s="737" t="s">
        <v>199</v>
      </c>
      <c r="I21" s="736"/>
      <c r="J21" s="736"/>
      <c r="K21" s="736"/>
      <c r="L21" s="736"/>
      <c r="M21" s="736"/>
      <c r="N21" s="736"/>
      <c r="O21" s="736"/>
      <c r="P21" s="736"/>
      <c r="Q21" s="736"/>
      <c r="R21" s="736"/>
      <c r="S21" s="736"/>
      <c r="T21" s="736"/>
      <c r="U21" s="750"/>
    </row>
    <row r="22" spans="1:21">
      <c r="A22" s="736"/>
      <c r="B22" s="736"/>
      <c r="C22" s="736"/>
      <c r="D22" s="736"/>
      <c r="E22" s="737"/>
      <c r="F22" s="737"/>
      <c r="G22" s="737" t="s">
        <v>199</v>
      </c>
      <c r="H22" s="737" t="s">
        <v>199</v>
      </c>
      <c r="I22" s="736"/>
      <c r="J22" s="736"/>
      <c r="K22" s="736"/>
      <c r="L22" s="736"/>
      <c r="M22" s="736"/>
      <c r="N22" s="736"/>
      <c r="O22" s="736"/>
      <c r="P22" s="736"/>
      <c r="Q22" s="736"/>
      <c r="R22" s="736"/>
      <c r="S22" s="736"/>
      <c r="T22" s="736"/>
      <c r="U22" s="750"/>
    </row>
    <row r="23" spans="1:21">
      <c r="A23" s="736"/>
      <c r="B23" s="736"/>
      <c r="C23" s="736"/>
      <c r="D23" s="736"/>
      <c r="E23" s="737"/>
      <c r="F23" s="737"/>
      <c r="G23" s="737" t="s">
        <v>199</v>
      </c>
      <c r="H23" s="737" t="s">
        <v>199</v>
      </c>
      <c r="I23" s="736"/>
      <c r="J23" s="736"/>
      <c r="K23" s="736"/>
      <c r="L23" s="736"/>
      <c r="M23" s="736"/>
      <c r="N23" s="736"/>
      <c r="O23" s="736"/>
      <c r="P23" s="736"/>
      <c r="Q23" s="736"/>
      <c r="R23" s="736"/>
      <c r="S23" s="736"/>
      <c r="T23" s="736"/>
      <c r="U23" s="750"/>
    </row>
    <row r="24" spans="1:21">
      <c r="A24" s="736"/>
      <c r="B24" s="736"/>
      <c r="C24" s="736"/>
      <c r="D24" s="736"/>
      <c r="E24" s="737"/>
      <c r="F24" s="737"/>
      <c r="G24" s="737" t="s">
        <v>199</v>
      </c>
      <c r="H24" s="737" t="s">
        <v>199</v>
      </c>
      <c r="I24" s="736"/>
      <c r="J24" s="736"/>
      <c r="K24" s="736"/>
      <c r="L24" s="736"/>
      <c r="M24" s="736"/>
      <c r="N24" s="736"/>
      <c r="O24" s="736"/>
      <c r="P24" s="736"/>
      <c r="Q24" s="736"/>
      <c r="R24" s="736"/>
      <c r="S24" s="736"/>
      <c r="T24" s="736"/>
      <c r="U24" s="750"/>
    </row>
    <row r="25" spans="1:21">
      <c r="A25" s="736"/>
      <c r="B25" s="736"/>
      <c r="C25" s="736"/>
      <c r="D25" s="736"/>
      <c r="E25" s="737"/>
      <c r="F25" s="737"/>
      <c r="G25" s="737" t="s">
        <v>199</v>
      </c>
      <c r="H25" s="737" t="s">
        <v>199</v>
      </c>
      <c r="I25" s="736"/>
      <c r="J25" s="736"/>
      <c r="K25" s="736"/>
      <c r="L25" s="736"/>
      <c r="M25" s="736"/>
      <c r="N25" s="736"/>
      <c r="O25" s="736"/>
      <c r="P25" s="736"/>
      <c r="Q25" s="736"/>
      <c r="R25" s="736"/>
      <c r="S25" s="736"/>
      <c r="T25" s="736"/>
      <c r="U25" s="750"/>
    </row>
    <row r="26" spans="1:21">
      <c r="A26" s="736"/>
      <c r="B26" s="736"/>
      <c r="C26" s="736"/>
      <c r="D26" s="736"/>
      <c r="E26" s="737"/>
      <c r="F26" s="737"/>
      <c r="G26" s="737" t="s">
        <v>199</v>
      </c>
      <c r="H26" s="737" t="s">
        <v>199</v>
      </c>
      <c r="I26" s="736"/>
      <c r="J26" s="736"/>
      <c r="K26" s="736"/>
      <c r="L26" s="736"/>
      <c r="M26" s="736"/>
      <c r="N26" s="736"/>
      <c r="O26" s="736"/>
      <c r="P26" s="736"/>
      <c r="Q26" s="736"/>
      <c r="R26" s="736"/>
      <c r="S26" s="736"/>
      <c r="T26" s="736"/>
      <c r="U26" s="750"/>
    </row>
    <row r="27" spans="1:21">
      <c r="A27" s="736"/>
      <c r="B27" s="736"/>
      <c r="C27" s="736"/>
      <c r="D27" s="736"/>
      <c r="E27" s="737"/>
      <c r="F27" s="737"/>
      <c r="G27" s="737" t="s">
        <v>199</v>
      </c>
      <c r="H27" s="737" t="s">
        <v>199</v>
      </c>
      <c r="I27" s="736"/>
      <c r="J27" s="736"/>
      <c r="K27" s="736"/>
      <c r="L27" s="736"/>
      <c r="M27" s="736"/>
      <c r="N27" s="736"/>
      <c r="O27" s="736"/>
      <c r="P27" s="736"/>
      <c r="Q27" s="736"/>
      <c r="R27" s="736"/>
      <c r="S27" s="736"/>
      <c r="T27" s="736"/>
      <c r="U27" s="750"/>
    </row>
    <row r="28" spans="1:21">
      <c r="A28" s="736"/>
      <c r="B28" s="736"/>
      <c r="C28" s="736"/>
      <c r="D28" s="736"/>
      <c r="E28" s="737"/>
      <c r="F28" s="737"/>
      <c r="G28" s="737" t="s">
        <v>199</v>
      </c>
      <c r="H28" s="737" t="s">
        <v>199</v>
      </c>
      <c r="I28" s="736"/>
      <c r="J28" s="736"/>
      <c r="K28" s="736"/>
      <c r="L28" s="736"/>
      <c r="M28" s="736"/>
      <c r="N28" s="736"/>
      <c r="O28" s="736"/>
      <c r="P28" s="736"/>
      <c r="Q28" s="736"/>
      <c r="R28" s="736"/>
      <c r="S28" s="736"/>
      <c r="T28" s="736"/>
      <c r="U28" s="750"/>
    </row>
    <row r="29" spans="1:21">
      <c r="A29" s="736"/>
      <c r="B29" s="736"/>
      <c r="C29" s="736"/>
      <c r="D29" s="736"/>
      <c r="E29" s="737"/>
      <c r="F29" s="737"/>
      <c r="G29" s="737" t="s">
        <v>199</v>
      </c>
      <c r="H29" s="737" t="s">
        <v>199</v>
      </c>
      <c r="I29" s="736"/>
      <c r="J29" s="736"/>
      <c r="K29" s="736"/>
      <c r="L29" s="736"/>
      <c r="M29" s="736"/>
      <c r="N29" s="736"/>
      <c r="O29" s="736"/>
      <c r="P29" s="736"/>
      <c r="Q29" s="736"/>
      <c r="R29" s="736"/>
      <c r="S29" s="736"/>
      <c r="T29" s="736"/>
      <c r="U29" s="750"/>
    </row>
    <row r="30" spans="1:21">
      <c r="A30" s="736"/>
      <c r="B30" s="736"/>
      <c r="C30" s="736"/>
      <c r="D30" s="736"/>
      <c r="E30" s="737"/>
      <c r="F30" s="737"/>
      <c r="G30" s="737" t="s">
        <v>199</v>
      </c>
      <c r="H30" s="737" t="s">
        <v>199</v>
      </c>
      <c r="I30" s="736"/>
      <c r="J30" s="736"/>
      <c r="K30" s="736"/>
      <c r="L30" s="736"/>
      <c r="M30" s="736"/>
      <c r="N30" s="736"/>
      <c r="O30" s="736"/>
      <c r="P30" s="736"/>
      <c r="Q30" s="736"/>
      <c r="R30" s="736"/>
      <c r="S30" s="736"/>
      <c r="T30" s="736"/>
      <c r="U30" s="750"/>
    </row>
    <row r="31" spans="1:21">
      <c r="A31" s="736"/>
      <c r="B31" s="736"/>
      <c r="C31" s="736"/>
      <c r="D31" s="736"/>
      <c r="E31" s="737"/>
      <c r="F31" s="737"/>
      <c r="G31" s="737" t="s">
        <v>199</v>
      </c>
      <c r="H31" s="737" t="s">
        <v>199</v>
      </c>
      <c r="I31" s="736"/>
      <c r="J31" s="736"/>
      <c r="K31" s="736"/>
      <c r="L31" s="736"/>
      <c r="M31" s="736"/>
      <c r="N31" s="736"/>
      <c r="O31" s="736"/>
      <c r="P31" s="736"/>
      <c r="Q31" s="736"/>
      <c r="R31" s="736"/>
      <c r="S31" s="736"/>
      <c r="T31" s="736"/>
      <c r="U31" s="750"/>
    </row>
    <row r="32" spans="1:21">
      <c r="A32" s="736"/>
      <c r="B32" s="736"/>
      <c r="C32" s="736"/>
      <c r="D32" s="736"/>
      <c r="E32" s="737"/>
      <c r="F32" s="737"/>
      <c r="G32" s="737" t="s">
        <v>199</v>
      </c>
      <c r="H32" s="737" t="s">
        <v>199</v>
      </c>
      <c r="I32" s="736"/>
      <c r="J32" s="736"/>
      <c r="K32" s="736"/>
      <c r="L32" s="736"/>
      <c r="M32" s="736"/>
      <c r="N32" s="736"/>
      <c r="O32" s="736"/>
      <c r="P32" s="736"/>
      <c r="Q32" s="736"/>
      <c r="R32" s="736"/>
      <c r="S32" s="736"/>
      <c r="T32" s="736"/>
      <c r="U32" s="750"/>
    </row>
    <row r="33" spans="1:21">
      <c r="A33" s="736"/>
      <c r="B33" s="736"/>
      <c r="C33" s="736"/>
      <c r="D33" s="736"/>
      <c r="E33" s="737"/>
      <c r="F33" s="737"/>
      <c r="G33" s="737" t="s">
        <v>199</v>
      </c>
      <c r="H33" s="737" t="s">
        <v>199</v>
      </c>
      <c r="I33" s="736"/>
      <c r="J33" s="736"/>
      <c r="K33" s="736"/>
      <c r="L33" s="736"/>
      <c r="M33" s="736"/>
      <c r="N33" s="736"/>
      <c r="O33" s="736"/>
      <c r="P33" s="736"/>
      <c r="Q33" s="736"/>
      <c r="R33" s="736"/>
      <c r="S33" s="736"/>
      <c r="T33" s="736"/>
      <c r="U33" s="750"/>
    </row>
    <row r="34" spans="1:21">
      <c r="A34" s="736"/>
      <c r="B34" s="736"/>
      <c r="C34" s="736"/>
      <c r="D34" s="736"/>
      <c r="E34" s="737"/>
      <c r="F34" s="737"/>
      <c r="G34" s="737" t="s">
        <v>199</v>
      </c>
      <c r="H34" s="737" t="s">
        <v>199</v>
      </c>
      <c r="I34" s="736"/>
      <c r="J34" s="736"/>
      <c r="K34" s="736"/>
      <c r="L34" s="736"/>
      <c r="M34" s="736"/>
      <c r="N34" s="736"/>
      <c r="O34" s="736"/>
      <c r="P34" s="736"/>
      <c r="Q34" s="736"/>
      <c r="R34" s="736"/>
      <c r="S34" s="736"/>
      <c r="T34" s="736"/>
      <c r="U34" s="750"/>
    </row>
    <row r="35" spans="1:21">
      <c r="A35" s="736"/>
      <c r="B35" s="736"/>
      <c r="C35" s="736"/>
      <c r="D35" s="736"/>
      <c r="E35" s="737"/>
      <c r="F35" s="737"/>
      <c r="G35" s="737" t="s">
        <v>199</v>
      </c>
      <c r="H35" s="737" t="s">
        <v>199</v>
      </c>
      <c r="I35" s="736"/>
      <c r="J35" s="736"/>
      <c r="K35" s="736"/>
      <c r="L35" s="736"/>
      <c r="M35" s="736"/>
      <c r="N35" s="736"/>
      <c r="O35" s="736"/>
      <c r="P35" s="736"/>
      <c r="Q35" s="736"/>
      <c r="R35" s="736"/>
      <c r="S35" s="736"/>
      <c r="T35" s="736"/>
      <c r="U35" s="750"/>
    </row>
    <row r="36" spans="1:21">
      <c r="A36" s="736"/>
      <c r="B36" s="736"/>
      <c r="C36" s="736"/>
      <c r="D36" s="736"/>
      <c r="E36" s="737"/>
      <c r="F36" s="737"/>
      <c r="G36" s="737" t="s">
        <v>199</v>
      </c>
      <c r="H36" s="737" t="s">
        <v>199</v>
      </c>
      <c r="I36" s="736"/>
      <c r="J36" s="736"/>
      <c r="K36" s="736"/>
      <c r="L36" s="736"/>
      <c r="M36" s="736"/>
      <c r="N36" s="736"/>
      <c r="O36" s="736"/>
      <c r="P36" s="736"/>
      <c r="Q36" s="736"/>
      <c r="R36" s="736"/>
      <c r="S36" s="736"/>
      <c r="T36" s="736"/>
      <c r="U36" s="750"/>
    </row>
    <row r="37" spans="1:21">
      <c r="A37" s="736"/>
      <c r="B37" s="736"/>
      <c r="C37" s="736"/>
      <c r="D37" s="736"/>
      <c r="E37" s="737"/>
      <c r="F37" s="737"/>
      <c r="G37" s="737" t="s">
        <v>199</v>
      </c>
      <c r="H37" s="737" t="s">
        <v>199</v>
      </c>
      <c r="I37" s="736"/>
      <c r="J37" s="736"/>
      <c r="K37" s="736"/>
      <c r="L37" s="736"/>
      <c r="M37" s="736"/>
      <c r="N37" s="736"/>
      <c r="O37" s="736"/>
      <c r="P37" s="736"/>
      <c r="Q37" s="736"/>
      <c r="R37" s="736"/>
      <c r="S37" s="736"/>
      <c r="T37" s="736"/>
      <c r="U37" s="750"/>
    </row>
    <row r="38" spans="1:21">
      <c r="A38" s="736"/>
      <c r="B38" s="736"/>
      <c r="C38" s="736"/>
      <c r="D38" s="736"/>
      <c r="E38" s="737"/>
      <c r="F38" s="737"/>
      <c r="G38" s="737" t="s">
        <v>199</v>
      </c>
      <c r="H38" s="737" t="s">
        <v>199</v>
      </c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50"/>
    </row>
    <row r="39" spans="1:21">
      <c r="A39" s="736"/>
      <c r="B39" s="736"/>
      <c r="C39" s="736"/>
      <c r="D39" s="736"/>
      <c r="E39" s="737"/>
      <c r="F39" s="737"/>
      <c r="G39" s="737" t="s">
        <v>199</v>
      </c>
      <c r="H39" s="737" t="s">
        <v>199</v>
      </c>
      <c r="I39" s="736"/>
      <c r="J39" s="736"/>
      <c r="K39" s="736"/>
      <c r="L39" s="736"/>
      <c r="M39" s="736"/>
      <c r="N39" s="736"/>
      <c r="O39" s="736"/>
      <c r="P39" s="736"/>
      <c r="Q39" s="736"/>
      <c r="R39" s="736"/>
      <c r="S39" s="736"/>
      <c r="T39" s="736"/>
      <c r="U39" s="750"/>
    </row>
    <row r="40" spans="1:21">
      <c r="A40" s="736"/>
      <c r="B40" s="736"/>
      <c r="C40" s="736"/>
      <c r="D40" s="736"/>
      <c r="E40" s="737"/>
      <c r="F40" s="737"/>
      <c r="G40" s="737" t="s">
        <v>199</v>
      </c>
      <c r="H40" s="737" t="s">
        <v>199</v>
      </c>
      <c r="I40" s="736"/>
      <c r="J40" s="736"/>
      <c r="K40" s="736"/>
      <c r="L40" s="736"/>
      <c r="M40" s="736"/>
      <c r="N40" s="736"/>
      <c r="O40" s="736"/>
      <c r="P40" s="736"/>
      <c r="Q40" s="736"/>
      <c r="R40" s="736"/>
      <c r="S40" s="736"/>
      <c r="T40" s="736"/>
      <c r="U40" s="750"/>
    </row>
    <row r="41" spans="1:21">
      <c r="A41" s="736"/>
      <c r="B41" s="736"/>
      <c r="C41" s="736"/>
      <c r="D41" s="736"/>
      <c r="E41" s="737"/>
      <c r="F41" s="737"/>
      <c r="G41" s="737" t="s">
        <v>199</v>
      </c>
      <c r="H41" s="737" t="s">
        <v>199</v>
      </c>
      <c r="I41" s="736"/>
      <c r="J41" s="736"/>
      <c r="K41" s="736"/>
      <c r="L41" s="736"/>
      <c r="M41" s="736"/>
      <c r="N41" s="736"/>
      <c r="O41" s="736"/>
      <c r="P41" s="736"/>
      <c r="Q41" s="736"/>
      <c r="R41" s="736"/>
      <c r="S41" s="736"/>
      <c r="T41" s="736"/>
      <c r="U41" s="750"/>
    </row>
    <row r="42" spans="1:21">
      <c r="A42" s="736"/>
      <c r="B42" s="736"/>
      <c r="C42" s="736"/>
      <c r="D42" s="736"/>
      <c r="E42" s="737"/>
      <c r="F42" s="737"/>
      <c r="G42" s="737" t="s">
        <v>199</v>
      </c>
      <c r="H42" s="737" t="s">
        <v>199</v>
      </c>
      <c r="I42" s="736"/>
      <c r="J42" s="736"/>
      <c r="K42" s="736"/>
      <c r="L42" s="736"/>
      <c r="M42" s="736"/>
      <c r="N42" s="736"/>
      <c r="O42" s="736"/>
      <c r="P42" s="736"/>
      <c r="Q42" s="736"/>
      <c r="R42" s="736"/>
      <c r="S42" s="736"/>
      <c r="T42" s="736"/>
      <c r="U42" s="750"/>
    </row>
    <row r="43" spans="1:21">
      <c r="A43" s="736"/>
      <c r="B43" s="736"/>
      <c r="C43" s="736"/>
      <c r="D43" s="736"/>
      <c r="E43" s="737"/>
      <c r="F43" s="737"/>
      <c r="G43" s="737" t="s">
        <v>199</v>
      </c>
      <c r="H43" s="737" t="s">
        <v>199</v>
      </c>
      <c r="I43" s="736"/>
      <c r="J43" s="736"/>
      <c r="K43" s="736"/>
      <c r="L43" s="736"/>
      <c r="M43" s="736"/>
      <c r="N43" s="736"/>
      <c r="O43" s="736"/>
      <c r="P43" s="736"/>
      <c r="Q43" s="736"/>
      <c r="R43" s="736"/>
      <c r="S43" s="736"/>
      <c r="T43" s="736"/>
      <c r="U43" s="750"/>
    </row>
    <row r="44" spans="1:21">
      <c r="A44" s="736"/>
      <c r="B44" s="736"/>
      <c r="C44" s="736"/>
      <c r="D44" s="736"/>
      <c r="E44" s="737"/>
      <c r="F44" s="737"/>
      <c r="G44" s="737" t="s">
        <v>199</v>
      </c>
      <c r="H44" s="737" t="s">
        <v>199</v>
      </c>
      <c r="I44" s="736"/>
      <c r="J44" s="736"/>
      <c r="K44" s="736"/>
      <c r="L44" s="736"/>
      <c r="M44" s="736"/>
      <c r="N44" s="736"/>
      <c r="O44" s="736"/>
      <c r="P44" s="736"/>
      <c r="Q44" s="736"/>
      <c r="R44" s="736"/>
      <c r="S44" s="736"/>
      <c r="T44" s="736"/>
      <c r="U44" s="750"/>
    </row>
    <row r="45" spans="1:21">
      <c r="A45" s="736"/>
      <c r="B45" s="736"/>
      <c r="C45" s="736"/>
      <c r="D45" s="736"/>
      <c r="E45" s="737"/>
      <c r="F45" s="737"/>
      <c r="G45" s="737" t="s">
        <v>199</v>
      </c>
      <c r="H45" s="737" t="s">
        <v>199</v>
      </c>
      <c r="I45" s="738"/>
      <c r="J45" s="738"/>
      <c r="K45" s="738"/>
      <c r="L45" s="738"/>
      <c r="M45" s="738"/>
      <c r="N45" s="738"/>
      <c r="O45" s="738"/>
      <c r="P45" s="738"/>
      <c r="Q45" s="738"/>
      <c r="R45" s="738"/>
      <c r="S45" s="738"/>
      <c r="T45" s="738"/>
      <c r="U45" s="750"/>
    </row>
    <row r="46" spans="1:21">
      <c r="A46" s="736"/>
      <c r="B46" s="736"/>
      <c r="C46" s="736"/>
      <c r="D46" s="736"/>
      <c r="E46" s="737"/>
      <c r="F46" s="737"/>
      <c r="G46" s="737" t="s">
        <v>199</v>
      </c>
      <c r="H46" s="737" t="s">
        <v>199</v>
      </c>
      <c r="I46" s="736"/>
      <c r="J46" s="736"/>
      <c r="K46" s="736"/>
      <c r="L46" s="736"/>
      <c r="M46" s="736"/>
      <c r="N46" s="736"/>
      <c r="O46" s="736"/>
      <c r="P46" s="736"/>
      <c r="Q46" s="736"/>
      <c r="R46" s="736"/>
      <c r="S46" s="736"/>
      <c r="T46" s="736"/>
      <c r="U46" s="750"/>
    </row>
    <row r="47" spans="1:21">
      <c r="A47" s="736"/>
      <c r="B47" s="736"/>
      <c r="C47" s="736"/>
      <c r="D47" s="736"/>
      <c r="E47" s="737"/>
      <c r="F47" s="737"/>
      <c r="G47" s="737" t="s">
        <v>199</v>
      </c>
      <c r="H47" s="737" t="s">
        <v>199</v>
      </c>
      <c r="I47" s="738"/>
      <c r="J47" s="738"/>
      <c r="K47" s="738"/>
      <c r="L47" s="738"/>
      <c r="M47" s="738"/>
      <c r="N47" s="738"/>
      <c r="O47" s="738"/>
      <c r="P47" s="738"/>
      <c r="Q47" s="738"/>
      <c r="R47" s="738"/>
      <c r="S47" s="738"/>
      <c r="T47" s="738"/>
      <c r="U47" s="750"/>
    </row>
    <row r="48" spans="1:21">
      <c r="A48" s="736"/>
      <c r="B48" s="736"/>
      <c r="C48" s="736"/>
      <c r="D48" s="736"/>
      <c r="E48" s="737"/>
      <c r="F48" s="737"/>
      <c r="G48" s="737" t="s">
        <v>199</v>
      </c>
      <c r="H48" s="737" t="s">
        <v>199</v>
      </c>
      <c r="I48" s="736"/>
      <c r="J48" s="736"/>
      <c r="K48" s="736"/>
      <c r="L48" s="736"/>
      <c r="M48" s="736"/>
      <c r="N48" s="736"/>
      <c r="O48" s="736"/>
      <c r="P48" s="736"/>
      <c r="Q48" s="736"/>
      <c r="R48" s="736"/>
      <c r="S48" s="736"/>
      <c r="T48" s="736"/>
      <c r="U48" s="750"/>
    </row>
    <row r="49" spans="1:21">
      <c r="A49" s="736"/>
      <c r="B49" s="736"/>
      <c r="C49" s="736"/>
      <c r="D49" s="736"/>
      <c r="E49" s="737"/>
      <c r="F49" s="737"/>
      <c r="G49" s="737" t="s">
        <v>199</v>
      </c>
      <c r="H49" s="737" t="s">
        <v>199</v>
      </c>
      <c r="I49" s="736"/>
      <c r="J49" s="736"/>
      <c r="K49" s="736"/>
      <c r="L49" s="736"/>
      <c r="M49" s="736"/>
      <c r="N49" s="736"/>
      <c r="O49" s="736"/>
      <c r="P49" s="736"/>
      <c r="Q49" s="736"/>
      <c r="R49" s="736"/>
      <c r="S49" s="736"/>
      <c r="T49" s="736"/>
      <c r="U49" s="750"/>
    </row>
    <row r="50" spans="1:21">
      <c r="A50" s="736"/>
      <c r="B50" s="736"/>
      <c r="C50" s="736"/>
      <c r="D50" s="736"/>
      <c r="E50" s="737"/>
      <c r="F50" s="737"/>
      <c r="G50" s="737" t="s">
        <v>199</v>
      </c>
      <c r="H50" s="737" t="s">
        <v>199</v>
      </c>
      <c r="I50" s="736"/>
      <c r="J50" s="736"/>
      <c r="K50" s="736"/>
      <c r="L50" s="736"/>
      <c r="M50" s="736"/>
      <c r="N50" s="736"/>
      <c r="O50" s="736"/>
      <c r="P50" s="736"/>
      <c r="Q50" s="736"/>
      <c r="R50" s="736"/>
      <c r="S50" s="736"/>
      <c r="T50" s="736"/>
      <c r="U50" s="750"/>
    </row>
    <row r="51" spans="1:21">
      <c r="A51" s="736"/>
      <c r="B51" s="736"/>
      <c r="C51" s="736"/>
      <c r="D51" s="736"/>
      <c r="E51" s="737"/>
      <c r="F51" s="737"/>
      <c r="G51" s="737" t="s">
        <v>199</v>
      </c>
      <c r="H51" s="737" t="s">
        <v>199</v>
      </c>
      <c r="I51" s="736"/>
      <c r="J51" s="736"/>
      <c r="K51" s="736"/>
      <c r="L51" s="736"/>
      <c r="M51" s="736"/>
      <c r="N51" s="736"/>
      <c r="O51" s="736"/>
      <c r="P51" s="736"/>
      <c r="Q51" s="736"/>
      <c r="R51" s="736"/>
      <c r="S51" s="736"/>
      <c r="T51" s="736"/>
      <c r="U51" s="750"/>
    </row>
    <row r="52" spans="1:21">
      <c r="A52" s="736"/>
      <c r="B52" s="736"/>
      <c r="C52" s="736"/>
      <c r="D52" s="736"/>
      <c r="E52" s="737"/>
      <c r="F52" s="737"/>
      <c r="G52" s="737" t="s">
        <v>199</v>
      </c>
      <c r="H52" s="737" t="s">
        <v>199</v>
      </c>
      <c r="I52" s="736"/>
      <c r="J52" s="736"/>
      <c r="K52" s="736"/>
      <c r="L52" s="736"/>
      <c r="M52" s="736"/>
      <c r="N52" s="736"/>
      <c r="O52" s="736"/>
      <c r="P52" s="736"/>
      <c r="Q52" s="736"/>
      <c r="R52" s="736"/>
      <c r="S52" s="736"/>
      <c r="T52" s="736"/>
      <c r="U52" s="750"/>
    </row>
    <row r="53" spans="1:21">
      <c r="A53" s="736"/>
      <c r="B53" s="736"/>
      <c r="C53" s="736"/>
      <c r="D53" s="736"/>
      <c r="E53" s="737"/>
      <c r="F53" s="737"/>
      <c r="G53" s="737" t="s">
        <v>199</v>
      </c>
      <c r="H53" s="737" t="s">
        <v>199</v>
      </c>
      <c r="I53" s="736"/>
      <c r="J53" s="736"/>
      <c r="K53" s="736"/>
      <c r="L53" s="736"/>
      <c r="M53" s="736"/>
      <c r="N53" s="736"/>
      <c r="O53" s="736"/>
      <c r="P53" s="736"/>
      <c r="Q53" s="736"/>
      <c r="R53" s="736"/>
      <c r="S53" s="736"/>
      <c r="T53" s="736"/>
      <c r="U53" s="750"/>
    </row>
    <row r="54" spans="1:21">
      <c r="A54" s="736"/>
      <c r="B54" s="736"/>
      <c r="C54" s="736"/>
      <c r="D54" s="736"/>
      <c r="E54" s="737"/>
      <c r="F54" s="737"/>
      <c r="G54" s="737" t="s">
        <v>199</v>
      </c>
      <c r="H54" s="737" t="s">
        <v>199</v>
      </c>
      <c r="I54" s="738"/>
      <c r="J54" s="738"/>
      <c r="K54" s="738"/>
      <c r="L54" s="738"/>
      <c r="M54" s="738"/>
      <c r="N54" s="738"/>
      <c r="O54" s="738"/>
      <c r="P54" s="738"/>
      <c r="Q54" s="738"/>
      <c r="R54" s="738"/>
      <c r="S54" s="738"/>
      <c r="T54" s="738"/>
      <c r="U54" s="750"/>
    </row>
    <row r="55" spans="1:21">
      <c r="A55" s="736"/>
      <c r="B55" s="736"/>
      <c r="C55" s="736"/>
      <c r="D55" s="736"/>
      <c r="E55" s="737"/>
      <c r="F55" s="737"/>
      <c r="G55" s="737" t="s">
        <v>199</v>
      </c>
      <c r="H55" s="737" t="s">
        <v>199</v>
      </c>
      <c r="I55" s="736"/>
      <c r="J55" s="736"/>
      <c r="K55" s="736"/>
      <c r="L55" s="736"/>
      <c r="M55" s="736"/>
      <c r="N55" s="736"/>
      <c r="O55" s="736"/>
      <c r="P55" s="736"/>
      <c r="Q55" s="736"/>
      <c r="R55" s="736"/>
      <c r="S55" s="736"/>
      <c r="T55" s="736"/>
      <c r="U55" s="750"/>
    </row>
    <row r="56" spans="1:21">
      <c r="A56" s="736"/>
      <c r="B56" s="736"/>
      <c r="C56" s="736"/>
      <c r="D56" s="736"/>
      <c r="E56" s="737"/>
      <c r="F56" s="737"/>
      <c r="G56" s="737" t="s">
        <v>199</v>
      </c>
      <c r="H56" s="737" t="s">
        <v>199</v>
      </c>
      <c r="I56" s="736"/>
      <c r="J56" s="736"/>
      <c r="K56" s="736"/>
      <c r="L56" s="736"/>
      <c r="M56" s="736"/>
      <c r="N56" s="736"/>
      <c r="O56" s="736"/>
      <c r="P56" s="736"/>
      <c r="Q56" s="736"/>
      <c r="R56" s="736"/>
      <c r="S56" s="736"/>
      <c r="T56" s="736"/>
      <c r="U56" s="750"/>
    </row>
    <row r="57" spans="1:21">
      <c r="A57" s="736"/>
      <c r="B57" s="736"/>
      <c r="C57" s="736"/>
      <c r="D57" s="736"/>
      <c r="E57" s="737"/>
      <c r="F57" s="737"/>
      <c r="G57" s="737" t="s">
        <v>199</v>
      </c>
      <c r="H57" s="737" t="s">
        <v>199</v>
      </c>
      <c r="I57" s="736"/>
      <c r="J57" s="736"/>
      <c r="K57" s="736"/>
      <c r="L57" s="736"/>
      <c r="M57" s="736"/>
      <c r="N57" s="736"/>
      <c r="O57" s="736"/>
      <c r="P57" s="736"/>
      <c r="Q57" s="736"/>
      <c r="R57" s="736"/>
      <c r="S57" s="736"/>
      <c r="T57" s="736"/>
      <c r="U57" s="750"/>
    </row>
    <row r="58" spans="1:21">
      <c r="A58" s="736"/>
      <c r="B58" s="736"/>
      <c r="C58" s="736"/>
      <c r="D58" s="736"/>
      <c r="E58" s="737"/>
      <c r="F58" s="737"/>
      <c r="G58" s="737" t="s">
        <v>199</v>
      </c>
      <c r="H58" s="737" t="s">
        <v>199</v>
      </c>
      <c r="I58" s="736"/>
      <c r="J58" s="736"/>
      <c r="K58" s="736"/>
      <c r="L58" s="736"/>
      <c r="M58" s="736"/>
      <c r="N58" s="736"/>
      <c r="O58" s="736"/>
      <c r="P58" s="736"/>
      <c r="Q58" s="736"/>
      <c r="R58" s="736"/>
      <c r="S58" s="736"/>
      <c r="T58" s="736"/>
      <c r="U58" s="751"/>
    </row>
    <row r="59" spans="1:21">
      <c r="A59" s="736"/>
      <c r="B59" s="736"/>
      <c r="C59" s="736"/>
      <c r="D59" s="736"/>
      <c r="E59" s="737"/>
      <c r="F59" s="737"/>
      <c r="G59" s="737" t="s">
        <v>199</v>
      </c>
      <c r="H59" s="737" t="s">
        <v>199</v>
      </c>
      <c r="I59" s="736"/>
      <c r="J59" s="736"/>
      <c r="K59" s="736"/>
      <c r="L59" s="736"/>
      <c r="M59" s="736"/>
      <c r="N59" s="736"/>
      <c r="O59" s="736"/>
      <c r="P59" s="736"/>
      <c r="Q59" s="736"/>
      <c r="R59" s="736"/>
      <c r="S59" s="736"/>
      <c r="T59" s="736"/>
      <c r="U59" s="751"/>
    </row>
    <row r="60" spans="1:21">
      <c r="A60" s="736"/>
      <c r="B60" s="736"/>
      <c r="C60" s="736"/>
      <c r="D60" s="736"/>
      <c r="E60" s="737"/>
      <c r="F60" s="737"/>
      <c r="G60" s="737" t="s">
        <v>199</v>
      </c>
      <c r="H60" s="737" t="s">
        <v>199</v>
      </c>
      <c r="I60" s="736"/>
      <c r="J60" s="736"/>
      <c r="K60" s="736"/>
      <c r="L60" s="736"/>
      <c r="M60" s="736"/>
      <c r="N60" s="736"/>
      <c r="O60" s="736"/>
      <c r="P60" s="736"/>
      <c r="Q60" s="736"/>
      <c r="R60" s="736"/>
      <c r="S60" s="736"/>
      <c r="T60" s="736"/>
      <c r="U60" s="751"/>
    </row>
    <row r="61" spans="1:21">
      <c r="A61" s="736"/>
      <c r="B61" s="736"/>
      <c r="C61" s="736"/>
      <c r="D61" s="736"/>
      <c r="E61" s="737"/>
      <c r="F61" s="737"/>
      <c r="G61" s="737" t="s">
        <v>199</v>
      </c>
      <c r="H61" s="737" t="s">
        <v>199</v>
      </c>
      <c r="I61" s="736"/>
      <c r="J61" s="736"/>
      <c r="K61" s="736"/>
      <c r="L61" s="736"/>
      <c r="M61" s="736"/>
      <c r="N61" s="736"/>
      <c r="O61" s="736"/>
      <c r="P61" s="736"/>
      <c r="Q61" s="736"/>
      <c r="R61" s="736"/>
      <c r="S61" s="736"/>
      <c r="T61" s="736"/>
      <c r="U61" s="751"/>
    </row>
    <row r="62" spans="1:21">
      <c r="A62" s="736"/>
      <c r="B62" s="736"/>
      <c r="C62" s="736"/>
      <c r="D62" s="736"/>
      <c r="E62" s="737"/>
      <c r="F62" s="737"/>
      <c r="G62" s="737" t="s">
        <v>199</v>
      </c>
      <c r="H62" s="737" t="s">
        <v>199</v>
      </c>
      <c r="I62" s="736"/>
      <c r="J62" s="736"/>
      <c r="K62" s="736"/>
      <c r="L62" s="736"/>
      <c r="M62" s="736"/>
      <c r="N62" s="736"/>
      <c r="O62" s="736"/>
      <c r="P62" s="736"/>
      <c r="Q62" s="736"/>
      <c r="R62" s="736"/>
      <c r="S62" s="736"/>
      <c r="T62" s="736"/>
      <c r="U62" s="751"/>
    </row>
    <row r="63" spans="1:21">
      <c r="A63" s="736"/>
      <c r="B63" s="736"/>
      <c r="C63" s="736"/>
      <c r="D63" s="736"/>
      <c r="E63" s="737"/>
      <c r="F63" s="737"/>
      <c r="G63" s="737" t="s">
        <v>199</v>
      </c>
      <c r="H63" s="737" t="s">
        <v>199</v>
      </c>
      <c r="I63" s="736"/>
      <c r="J63" s="736"/>
      <c r="K63" s="736"/>
      <c r="L63" s="736"/>
      <c r="M63" s="736"/>
      <c r="N63" s="736"/>
      <c r="O63" s="736"/>
      <c r="P63" s="736"/>
      <c r="Q63" s="736"/>
      <c r="R63" s="736"/>
      <c r="S63" s="736"/>
      <c r="T63" s="736"/>
      <c r="U63" s="751"/>
    </row>
    <row r="64" spans="1:21">
      <c r="A64" s="736"/>
      <c r="B64" s="736"/>
      <c r="C64" s="736"/>
      <c r="D64" s="736"/>
      <c r="E64" s="737"/>
      <c r="F64" s="737"/>
      <c r="G64" s="737" t="s">
        <v>199</v>
      </c>
      <c r="H64" s="737" t="s">
        <v>199</v>
      </c>
      <c r="I64" s="736"/>
      <c r="J64" s="736"/>
      <c r="K64" s="736"/>
      <c r="L64" s="736"/>
      <c r="M64" s="736"/>
      <c r="N64" s="736"/>
      <c r="O64" s="736"/>
      <c r="P64" s="736"/>
      <c r="Q64" s="736"/>
      <c r="R64" s="736"/>
      <c r="S64" s="736"/>
      <c r="T64" s="736"/>
      <c r="U64" s="751"/>
    </row>
    <row r="65" spans="1:21">
      <c r="A65" s="736"/>
      <c r="B65" s="736"/>
      <c r="C65" s="736"/>
      <c r="D65" s="736"/>
      <c r="E65" s="737"/>
      <c r="F65" s="737"/>
      <c r="G65" s="737" t="s">
        <v>199</v>
      </c>
      <c r="H65" s="737" t="s">
        <v>199</v>
      </c>
      <c r="I65" s="736"/>
      <c r="J65" s="736"/>
      <c r="K65" s="736"/>
      <c r="L65" s="736"/>
      <c r="M65" s="736"/>
      <c r="N65" s="736"/>
      <c r="O65" s="736"/>
      <c r="P65" s="736"/>
      <c r="Q65" s="736"/>
      <c r="R65" s="736"/>
      <c r="S65" s="736"/>
      <c r="T65" s="736"/>
      <c r="U65" s="751"/>
    </row>
    <row r="66" spans="1:21">
      <c r="A66" s="736"/>
      <c r="B66" s="736"/>
      <c r="C66" s="736"/>
      <c r="D66" s="736"/>
      <c r="E66" s="737"/>
      <c r="F66" s="737"/>
      <c r="G66" s="737" t="s">
        <v>199</v>
      </c>
      <c r="H66" s="737" t="s">
        <v>199</v>
      </c>
      <c r="I66" s="736"/>
      <c r="J66" s="736"/>
      <c r="K66" s="736"/>
      <c r="L66" s="736"/>
      <c r="M66" s="736"/>
      <c r="N66" s="736"/>
      <c r="O66" s="736"/>
      <c r="P66" s="736"/>
      <c r="Q66" s="736"/>
      <c r="R66" s="736"/>
      <c r="S66" s="736"/>
      <c r="T66" s="736"/>
      <c r="U66" s="751"/>
    </row>
    <row r="67" spans="1:21">
      <c r="A67" s="736"/>
      <c r="B67" s="736"/>
      <c r="C67" s="736"/>
      <c r="D67" s="736"/>
      <c r="E67" s="737"/>
      <c r="F67" s="737"/>
      <c r="G67" s="737" t="s">
        <v>199</v>
      </c>
      <c r="H67" s="737" t="s">
        <v>199</v>
      </c>
      <c r="I67" s="736"/>
      <c r="J67" s="736"/>
      <c r="K67" s="736"/>
      <c r="L67" s="736"/>
      <c r="M67" s="736"/>
      <c r="N67" s="736"/>
      <c r="O67" s="736"/>
      <c r="P67" s="736"/>
      <c r="Q67" s="736"/>
      <c r="R67" s="736"/>
      <c r="S67" s="736"/>
      <c r="T67" s="736"/>
      <c r="U67" s="751"/>
    </row>
    <row r="68" spans="1:21">
      <c r="A68" s="736"/>
      <c r="B68" s="736"/>
      <c r="C68" s="736"/>
      <c r="D68" s="736"/>
      <c r="E68" s="737"/>
      <c r="F68" s="737"/>
      <c r="G68" s="737" t="s">
        <v>199</v>
      </c>
      <c r="H68" s="737" t="s">
        <v>199</v>
      </c>
      <c r="I68" s="736"/>
      <c r="J68" s="736"/>
      <c r="K68" s="736"/>
      <c r="L68" s="736"/>
      <c r="M68" s="736"/>
      <c r="N68" s="736"/>
      <c r="O68" s="736"/>
      <c r="P68" s="736"/>
      <c r="Q68" s="736"/>
      <c r="R68" s="736"/>
      <c r="S68" s="736"/>
      <c r="T68" s="736"/>
      <c r="U68" s="751"/>
    </row>
    <row r="69" spans="1:21">
      <c r="A69" s="736"/>
      <c r="B69" s="736"/>
      <c r="C69" s="736"/>
      <c r="D69" s="736"/>
      <c r="E69" s="737"/>
      <c r="F69" s="737"/>
      <c r="G69" s="737" t="s">
        <v>199</v>
      </c>
      <c r="H69" s="737" t="s">
        <v>199</v>
      </c>
      <c r="I69" s="736"/>
      <c r="J69" s="736"/>
      <c r="K69" s="736"/>
      <c r="L69" s="736"/>
      <c r="M69" s="736"/>
      <c r="N69" s="736"/>
      <c r="O69" s="736"/>
      <c r="P69" s="736"/>
      <c r="Q69" s="736"/>
      <c r="R69" s="736"/>
      <c r="S69" s="736"/>
      <c r="T69" s="736"/>
      <c r="U69" s="751"/>
    </row>
    <row r="70" spans="1:21">
      <c r="A70" s="736"/>
      <c r="B70" s="736"/>
      <c r="C70" s="736"/>
      <c r="D70" s="736"/>
      <c r="E70" s="737"/>
      <c r="F70" s="737"/>
      <c r="G70" s="737" t="s">
        <v>199</v>
      </c>
      <c r="H70" s="737" t="s">
        <v>199</v>
      </c>
      <c r="I70" s="738"/>
      <c r="J70" s="738"/>
      <c r="K70" s="738"/>
      <c r="L70" s="738"/>
      <c r="M70" s="738"/>
      <c r="N70" s="738"/>
      <c r="O70" s="738"/>
      <c r="P70" s="738"/>
      <c r="Q70" s="738"/>
      <c r="R70" s="738"/>
      <c r="S70" s="738"/>
      <c r="T70" s="738"/>
      <c r="U70" s="751"/>
    </row>
    <row r="71" spans="1:21">
      <c r="A71" s="736"/>
      <c r="B71" s="736"/>
      <c r="C71" s="736"/>
      <c r="D71" s="736"/>
      <c r="E71" s="737"/>
      <c r="F71" s="737"/>
      <c r="G71" s="737" t="s">
        <v>199</v>
      </c>
      <c r="H71" s="737" t="s">
        <v>199</v>
      </c>
      <c r="I71" s="738"/>
      <c r="J71" s="738"/>
      <c r="K71" s="738"/>
      <c r="L71" s="738"/>
      <c r="M71" s="738"/>
      <c r="N71" s="738"/>
      <c r="O71" s="738"/>
      <c r="P71" s="738"/>
      <c r="Q71" s="738"/>
      <c r="R71" s="738"/>
      <c r="S71" s="738"/>
      <c r="T71" s="738"/>
      <c r="U71" s="751"/>
    </row>
    <row r="72" spans="1:21">
      <c r="A72" s="736"/>
      <c r="B72" s="736"/>
      <c r="C72" s="736"/>
      <c r="D72" s="736"/>
      <c r="E72" s="737"/>
      <c r="F72" s="737"/>
      <c r="G72" s="737" t="s">
        <v>199</v>
      </c>
      <c r="H72" s="737" t="s">
        <v>199</v>
      </c>
      <c r="I72" s="738"/>
      <c r="J72" s="738"/>
      <c r="K72" s="738"/>
      <c r="L72" s="738"/>
      <c r="M72" s="738"/>
      <c r="N72" s="738"/>
      <c r="O72" s="738"/>
      <c r="P72" s="738"/>
      <c r="Q72" s="738"/>
      <c r="R72" s="738"/>
      <c r="S72" s="738"/>
      <c r="T72" s="738"/>
      <c r="U72" s="750"/>
    </row>
    <row r="73" spans="1:21">
      <c r="A73" s="736"/>
      <c r="B73" s="736"/>
      <c r="C73" s="736"/>
      <c r="D73" s="736"/>
      <c r="E73" s="737"/>
      <c r="F73" s="737"/>
      <c r="G73" s="737" t="s">
        <v>199</v>
      </c>
      <c r="H73" s="737" t="s">
        <v>199</v>
      </c>
      <c r="I73" s="738"/>
      <c r="J73" s="738"/>
      <c r="K73" s="738"/>
      <c r="L73" s="738"/>
      <c r="M73" s="738"/>
      <c r="N73" s="738"/>
      <c r="O73" s="738"/>
      <c r="P73" s="738"/>
      <c r="Q73" s="738"/>
      <c r="R73" s="738"/>
      <c r="S73" s="738"/>
      <c r="T73" s="738"/>
      <c r="U73" s="750"/>
    </row>
    <row r="74" spans="1:21">
      <c r="A74" s="736"/>
      <c r="B74" s="736"/>
      <c r="C74" s="736"/>
      <c r="D74" s="736"/>
      <c r="E74" s="737"/>
      <c r="F74" s="737"/>
      <c r="G74" s="737" t="s">
        <v>199</v>
      </c>
      <c r="H74" s="737" t="s">
        <v>199</v>
      </c>
      <c r="I74" s="736"/>
      <c r="J74" s="736"/>
      <c r="K74" s="736"/>
      <c r="L74" s="736"/>
      <c r="M74" s="736"/>
      <c r="N74" s="736"/>
      <c r="O74" s="736"/>
      <c r="P74" s="736"/>
      <c r="Q74" s="736"/>
      <c r="R74" s="736"/>
      <c r="S74" s="736"/>
      <c r="T74" s="736"/>
      <c r="U74" s="750"/>
    </row>
    <row r="75" spans="1:21">
      <c r="A75" s="736"/>
      <c r="B75" s="736"/>
      <c r="C75" s="736"/>
      <c r="D75" s="736"/>
      <c r="E75" s="737"/>
      <c r="F75" s="737"/>
      <c r="G75" s="737" t="s">
        <v>199</v>
      </c>
      <c r="H75" s="737" t="s">
        <v>199</v>
      </c>
      <c r="I75" s="736"/>
      <c r="J75" s="736"/>
      <c r="K75" s="736"/>
      <c r="L75" s="736"/>
      <c r="M75" s="736"/>
      <c r="N75" s="736"/>
      <c r="O75" s="736"/>
      <c r="P75" s="736"/>
      <c r="Q75" s="736"/>
      <c r="R75" s="736"/>
      <c r="S75" s="736"/>
      <c r="T75" s="736"/>
      <c r="U75" s="750"/>
    </row>
    <row r="76" spans="1:21">
      <c r="A76" s="736"/>
      <c r="B76" s="736"/>
      <c r="C76" s="736"/>
      <c r="D76" s="736"/>
      <c r="E76" s="737"/>
      <c r="F76" s="737"/>
      <c r="G76" s="737" t="s">
        <v>199</v>
      </c>
      <c r="H76" s="737" t="s">
        <v>199</v>
      </c>
      <c r="I76" s="736"/>
      <c r="J76" s="736"/>
      <c r="K76" s="736"/>
      <c r="L76" s="736"/>
      <c r="M76" s="736"/>
      <c r="N76" s="736"/>
      <c r="O76" s="736"/>
      <c r="P76" s="736"/>
      <c r="Q76" s="736"/>
      <c r="R76" s="736"/>
      <c r="S76" s="736"/>
      <c r="T76" s="736"/>
      <c r="U76" s="750"/>
    </row>
    <row r="77" spans="1:21">
      <c r="A77" s="736"/>
      <c r="B77" s="736"/>
      <c r="C77" s="736"/>
      <c r="D77" s="736"/>
      <c r="E77" s="737"/>
      <c r="F77" s="737"/>
      <c r="G77" s="737" t="s">
        <v>199</v>
      </c>
      <c r="H77" s="737" t="s">
        <v>199</v>
      </c>
      <c r="I77" s="738"/>
      <c r="J77" s="738"/>
      <c r="K77" s="738"/>
      <c r="L77" s="738"/>
      <c r="M77" s="738"/>
      <c r="N77" s="738"/>
      <c r="O77" s="738"/>
      <c r="P77" s="738"/>
      <c r="Q77" s="738"/>
      <c r="R77" s="738"/>
      <c r="S77" s="738"/>
      <c r="T77" s="738"/>
      <c r="U77" s="750"/>
    </row>
    <row r="78" spans="1:21">
      <c r="A78" s="736"/>
      <c r="B78" s="736"/>
      <c r="C78" s="736"/>
      <c r="D78" s="736"/>
      <c r="E78" s="737"/>
      <c r="F78" s="737"/>
      <c r="G78" s="737" t="s">
        <v>199</v>
      </c>
      <c r="H78" s="737" t="s">
        <v>199</v>
      </c>
      <c r="I78" s="736"/>
      <c r="J78" s="736"/>
      <c r="K78" s="736"/>
      <c r="L78" s="736"/>
      <c r="M78" s="736"/>
      <c r="N78" s="736"/>
      <c r="O78" s="736"/>
      <c r="P78" s="736"/>
      <c r="Q78" s="736"/>
      <c r="R78" s="736"/>
      <c r="S78" s="736"/>
      <c r="T78" s="736"/>
      <c r="U78" s="750"/>
    </row>
    <row r="79" spans="1:21">
      <c r="A79" s="736"/>
      <c r="B79" s="736"/>
      <c r="C79" s="736"/>
      <c r="D79" s="736"/>
      <c r="E79" s="737"/>
      <c r="F79" s="737"/>
      <c r="G79" s="737" t="s">
        <v>199</v>
      </c>
      <c r="H79" s="737" t="s">
        <v>199</v>
      </c>
      <c r="I79" s="736"/>
      <c r="J79" s="736"/>
      <c r="K79" s="736"/>
      <c r="L79" s="736"/>
      <c r="M79" s="736"/>
      <c r="N79" s="736"/>
      <c r="O79" s="736"/>
      <c r="P79" s="736"/>
      <c r="Q79" s="736"/>
      <c r="R79" s="736"/>
      <c r="S79" s="736"/>
      <c r="T79" s="736"/>
      <c r="U79" s="750"/>
    </row>
    <row r="80" spans="1:21">
      <c r="A80" s="736"/>
      <c r="B80" s="736"/>
      <c r="C80" s="736"/>
      <c r="D80" s="736"/>
      <c r="E80" s="737"/>
      <c r="F80" s="737"/>
      <c r="G80" s="737" t="s">
        <v>199</v>
      </c>
      <c r="H80" s="737" t="s">
        <v>199</v>
      </c>
      <c r="I80" s="736"/>
      <c r="J80" s="736"/>
      <c r="K80" s="736"/>
      <c r="L80" s="736"/>
      <c r="M80" s="736"/>
      <c r="N80" s="736"/>
      <c r="O80" s="736"/>
      <c r="P80" s="736"/>
      <c r="Q80" s="736"/>
      <c r="R80" s="736"/>
      <c r="S80" s="736"/>
      <c r="T80" s="736"/>
      <c r="U80" s="750"/>
    </row>
    <row r="81" spans="1:21">
      <c r="A81" s="736"/>
      <c r="B81" s="736"/>
      <c r="C81" s="736"/>
      <c r="D81" s="736"/>
      <c r="E81" s="737"/>
      <c r="F81" s="737"/>
      <c r="G81" s="737" t="s">
        <v>199</v>
      </c>
      <c r="H81" s="737" t="s">
        <v>199</v>
      </c>
      <c r="I81" s="738"/>
      <c r="J81" s="738"/>
      <c r="K81" s="738"/>
      <c r="L81" s="738"/>
      <c r="M81" s="738"/>
      <c r="N81" s="738"/>
      <c r="O81" s="738"/>
      <c r="P81" s="738"/>
      <c r="Q81" s="738"/>
      <c r="R81" s="738"/>
      <c r="S81" s="738"/>
      <c r="T81" s="738"/>
      <c r="U81" s="750"/>
    </row>
    <row r="82" spans="1:21">
      <c r="U82" s="752"/>
    </row>
    <row r="83" spans="1:21">
      <c r="U83" s="752"/>
    </row>
    <row r="84" spans="1:21">
      <c r="U84" s="752"/>
    </row>
    <row r="85" spans="1:21">
      <c r="U85" s="752"/>
    </row>
    <row r="86" spans="1:21">
      <c r="U86" s="752"/>
    </row>
    <row r="87" spans="1:21">
      <c r="U87" s="752"/>
    </row>
    <row r="88" spans="1:21">
      <c r="U88" s="752"/>
    </row>
    <row r="89" spans="1:21">
      <c r="U89" s="752"/>
    </row>
    <row r="90" spans="1:21">
      <c r="U90" s="752"/>
    </row>
    <row r="91" spans="1:21">
      <c r="U91" s="752"/>
    </row>
    <row r="92" spans="1:21">
      <c r="U92" s="752"/>
    </row>
    <row r="93" spans="1:21">
      <c r="U93" s="752"/>
    </row>
    <row r="94" spans="1:21">
      <c r="U94" s="752"/>
    </row>
    <row r="95" spans="1:21">
      <c r="U95" s="752"/>
    </row>
    <row r="96" spans="1:21">
      <c r="U96" s="752"/>
    </row>
    <row r="97" spans="21:21">
      <c r="U97" s="752"/>
    </row>
    <row r="98" spans="21:21">
      <c r="U98" s="752"/>
    </row>
    <row r="99" spans="21:21">
      <c r="U99" s="752"/>
    </row>
    <row r="100" spans="21:21">
      <c r="U100" s="752"/>
    </row>
    <row r="101" spans="21:21">
      <c r="U101" s="752"/>
    </row>
    <row r="102" spans="21:21">
      <c r="U102" s="752"/>
    </row>
    <row r="103" spans="21:21">
      <c r="U103" s="752"/>
    </row>
    <row r="104" spans="21:21">
      <c r="U104" s="752"/>
    </row>
    <row r="105" spans="21:21">
      <c r="U105" s="752"/>
    </row>
    <row r="106" spans="21:21">
      <c r="U106" s="752"/>
    </row>
  </sheetData>
  <mergeCells count="2">
    <mergeCell ref="A5:D5"/>
    <mergeCell ref="A1:D4"/>
  </mergeCells>
  <conditionalFormatting sqref="D9:H9">
    <cfRule type="cellIs" dxfId="1" priority="2" operator="lessThan">
      <formula>0</formula>
    </cfRule>
    <cfRule type="cellIs" priority="3" operator="lessThan">
      <formula>0</formula>
    </cfRule>
  </conditionalFormatting>
  <conditionalFormatting sqref="D81">
    <cfRule type="duplicateValues" dxfId="2" priority="1"/>
  </conditionalFormatting>
  <conditionalFormatting sqref="D13:D80">
    <cfRule type="duplicateValues" dxfId="2" priority="4"/>
  </conditionalFormatting>
  <hyperlinks>
    <hyperlink ref="A1" location="目录!A1" display="← 返回目录"/>
  </hyperlink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>
    <tabColor theme="8" tint="0.799981688894314"/>
  </sheetPr>
  <dimension ref="A1:U81"/>
  <sheetViews>
    <sheetView zoomScale="85" zoomScaleNormal="85" workbookViewId="0">
      <pane ySplit="10" topLeftCell="A11" activePane="bottomLeft" state="frozen"/>
      <selection/>
      <selection pane="bottomLeft" activeCell="A1" sqref="A1:D4"/>
    </sheetView>
  </sheetViews>
  <sheetFormatPr defaultColWidth="8.725" defaultRowHeight="13.5"/>
  <cols>
    <col min="2" max="2" width="10.9083333333333" customWidth="1"/>
    <col min="3" max="4" width="11.6333333333333" customWidth="1"/>
    <col min="5" max="5" width="14.2583333333333" customWidth="1"/>
    <col min="6" max="8" width="11.5416666666667" customWidth="1"/>
    <col min="9" max="20" width="9.18333333333333" customWidth="1"/>
    <col min="21" max="21" width="22.5416666666667" customWidth="1"/>
  </cols>
  <sheetData>
    <row r="1" spans="1:21">
      <c r="A1" s="162" t="s">
        <v>185</v>
      </c>
      <c r="B1" s="492"/>
      <c r="C1" s="492"/>
      <c r="D1" s="492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pans="1:21">
      <c r="A2" s="492"/>
      <c r="B2" s="492"/>
      <c r="C2" s="492"/>
      <c r="D2" s="492"/>
      <c r="E2" s="12"/>
      <c r="F2" s="13" t="s">
        <v>1406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pans="1:21">
      <c r="A3" s="492"/>
      <c r="B3" s="492"/>
      <c r="C3" s="492"/>
      <c r="D3" s="492"/>
      <c r="E3" s="12"/>
      <c r="F3" s="13" t="s">
        <v>1637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ht="14" customHeight="1" spans="1:21">
      <c r="A4" s="492"/>
      <c r="B4" s="492"/>
      <c r="C4" s="492"/>
      <c r="D4" s="492"/>
      <c r="E4" s="12"/>
      <c r="F4" s="13" t="s">
        <v>1408</v>
      </c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pans="1:21">
      <c r="A5" s="292" t="s">
        <v>1638</v>
      </c>
      <c r="B5" s="292"/>
      <c r="C5" s="292"/>
      <c r="D5" s="292"/>
      <c r="E5" s="26" t="s">
        <v>1410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spans="1:21">
      <c r="A6" s="1"/>
      <c r="B6" s="1"/>
      <c r="C6" s="1"/>
      <c r="D6" s="1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spans="1:21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"/>
      <c r="J7" s="1"/>
      <c r="K7" s="1"/>
      <c r="L7" s="1"/>
      <c r="M7" s="1"/>
      <c r="N7" s="1"/>
      <c r="O7" s="1"/>
    </row>
    <row r="8" spans="1:21">
      <c r="A8" s="1"/>
      <c r="B8" s="1"/>
      <c r="C8" s="1"/>
      <c r="D8" s="1"/>
      <c r="E8" s="1"/>
      <c r="F8" s="1"/>
      <c r="H8" s="1"/>
      <c r="I8" s="1"/>
      <c r="K8" s="1"/>
      <c r="L8" s="1"/>
      <c r="M8" s="1"/>
      <c r="N8" s="1"/>
      <c r="O8" s="1"/>
      <c r="Q8" s="1"/>
      <c r="R8" s="1"/>
      <c r="S8" s="1"/>
    </row>
    <row r="9" s="728" customFormat="1" ht="26" customHeight="1" spans="1:21">
      <c r="A9" s="729" t="s">
        <v>489</v>
      </c>
      <c r="B9" s="729" t="s">
        <v>490</v>
      </c>
      <c r="C9" s="729" t="s">
        <v>1369</v>
      </c>
      <c r="D9" s="730" t="s">
        <v>493</v>
      </c>
      <c r="E9" s="731" t="s">
        <v>1639</v>
      </c>
      <c r="F9" s="731" t="s">
        <v>1640</v>
      </c>
      <c r="G9" s="731" t="s">
        <v>1641</v>
      </c>
      <c r="H9" s="731" t="s">
        <v>1642</v>
      </c>
      <c r="I9" s="732" t="s">
        <v>304</v>
      </c>
      <c r="J9" s="732" t="s">
        <v>305</v>
      </c>
      <c r="K9" s="732" t="s">
        <v>306</v>
      </c>
      <c r="L9" s="732" t="s">
        <v>307</v>
      </c>
      <c r="M9" s="732" t="s">
        <v>308</v>
      </c>
      <c r="N9" s="732" t="s">
        <v>309</v>
      </c>
      <c r="O9" s="732" t="s">
        <v>310</v>
      </c>
      <c r="P9" s="732" t="s">
        <v>311</v>
      </c>
      <c r="Q9" s="732" t="s">
        <v>312</v>
      </c>
      <c r="R9" s="732" t="s">
        <v>313</v>
      </c>
      <c r="S9" s="732" t="s">
        <v>314</v>
      </c>
      <c r="T9" s="732" t="s">
        <v>315</v>
      </c>
      <c r="U9" s="732" t="s">
        <v>1462</v>
      </c>
    </row>
    <row r="10" s="543" customFormat="1" ht="21.5" customHeight="1" spans="1:21">
      <c r="A10" s="733" t="s">
        <v>1421</v>
      </c>
      <c r="B10" s="733" t="s">
        <v>1421</v>
      </c>
      <c r="C10" s="733" t="s">
        <v>1421</v>
      </c>
      <c r="D10" s="744" t="s">
        <v>1463</v>
      </c>
      <c r="E10" s="733" t="s">
        <v>1421</v>
      </c>
      <c r="F10" s="733" t="s">
        <v>1421</v>
      </c>
      <c r="G10" s="733" t="s">
        <v>199</v>
      </c>
      <c r="H10" s="733" t="s">
        <v>199</v>
      </c>
      <c r="I10" s="735" t="s">
        <v>1465</v>
      </c>
      <c r="J10" s="735" t="s">
        <v>1465</v>
      </c>
      <c r="K10" s="735" t="s">
        <v>1465</v>
      </c>
      <c r="L10" s="735" t="s">
        <v>1465</v>
      </c>
      <c r="M10" s="735" t="s">
        <v>1465</v>
      </c>
      <c r="N10" s="735" t="s">
        <v>1465</v>
      </c>
      <c r="O10" s="735" t="s">
        <v>1465</v>
      </c>
      <c r="P10" s="735" t="s">
        <v>1465</v>
      </c>
      <c r="Q10" s="735" t="s">
        <v>1465</v>
      </c>
      <c r="R10" s="735" t="s">
        <v>1465</v>
      </c>
      <c r="S10" s="735" t="s">
        <v>1465</v>
      </c>
      <c r="T10" s="735" t="s">
        <v>1465</v>
      </c>
      <c r="U10" s="735" t="s">
        <v>1465</v>
      </c>
    </row>
    <row r="11" spans="1:21">
      <c r="A11" s="736"/>
      <c r="B11" s="736"/>
      <c r="C11" s="736"/>
      <c r="D11" s="736"/>
      <c r="E11" s="745" t="s">
        <v>1643</v>
      </c>
      <c r="F11" s="737"/>
      <c r="G11" s="737" t="s">
        <v>199</v>
      </c>
      <c r="H11" s="737" t="s">
        <v>199</v>
      </c>
      <c r="I11" s="736"/>
      <c r="J11" s="736"/>
      <c r="K11" s="736"/>
      <c r="L11" s="736"/>
      <c r="M11" s="736"/>
      <c r="N11" s="736"/>
      <c r="O11" s="736"/>
      <c r="P11" s="736"/>
      <c r="Q11" s="736"/>
      <c r="R11" s="736"/>
      <c r="S11" s="736"/>
      <c r="T11" s="736"/>
      <c r="U11" s="736"/>
    </row>
    <row r="12" spans="1:21">
      <c r="A12" s="736"/>
      <c r="B12" s="736"/>
      <c r="C12" s="736"/>
      <c r="D12" s="736"/>
      <c r="E12" s="737"/>
      <c r="F12" s="737"/>
      <c r="G12" s="737" t="s">
        <v>199</v>
      </c>
      <c r="H12" s="737" t="s">
        <v>199</v>
      </c>
      <c r="I12" s="736"/>
      <c r="J12" s="736"/>
      <c r="K12" s="736"/>
      <c r="L12" s="736"/>
      <c r="M12" s="736"/>
      <c r="N12" s="736"/>
      <c r="O12" s="736"/>
      <c r="P12" s="736"/>
      <c r="Q12" s="736"/>
      <c r="R12" s="736"/>
      <c r="S12" s="736"/>
      <c r="T12" s="736"/>
      <c r="U12" s="736"/>
    </row>
    <row r="13" spans="1:21">
      <c r="A13" s="736"/>
      <c r="B13" s="736"/>
      <c r="C13" s="736"/>
      <c r="D13" s="736"/>
      <c r="E13" s="737"/>
      <c r="F13" s="737"/>
      <c r="G13" s="737" t="s">
        <v>199</v>
      </c>
      <c r="H13" s="737" t="s">
        <v>199</v>
      </c>
      <c r="I13" s="736"/>
      <c r="J13" s="736"/>
      <c r="K13" s="736"/>
      <c r="L13" s="736"/>
      <c r="M13" s="736"/>
      <c r="N13" s="736"/>
      <c r="O13" s="736"/>
      <c r="P13" s="736"/>
      <c r="Q13" s="736"/>
      <c r="R13" s="736"/>
      <c r="S13" s="736"/>
      <c r="T13" s="736"/>
      <c r="U13" s="736"/>
    </row>
    <row r="14" spans="1:21">
      <c r="A14" s="736"/>
      <c r="B14" s="736"/>
      <c r="C14" s="736"/>
      <c r="D14" s="736"/>
      <c r="E14" s="737"/>
      <c r="F14" s="737"/>
      <c r="G14" s="737" t="s">
        <v>199</v>
      </c>
      <c r="H14" s="737" t="s">
        <v>199</v>
      </c>
      <c r="I14" s="736"/>
      <c r="J14" s="736"/>
      <c r="K14" s="736"/>
      <c r="L14" s="736"/>
      <c r="M14" s="736"/>
      <c r="N14" s="736"/>
      <c r="O14" s="736"/>
      <c r="P14" s="736"/>
      <c r="Q14" s="736"/>
      <c r="R14" s="736"/>
      <c r="S14" s="736"/>
      <c r="T14" s="736"/>
      <c r="U14" s="736"/>
    </row>
    <row r="15" spans="1:21">
      <c r="A15" s="736"/>
      <c r="B15" s="736"/>
      <c r="C15" s="736"/>
      <c r="D15" s="736"/>
      <c r="E15" s="737"/>
      <c r="F15" s="737"/>
      <c r="G15" s="737" t="s">
        <v>199</v>
      </c>
      <c r="H15" s="737" t="s">
        <v>199</v>
      </c>
      <c r="I15" s="736"/>
      <c r="J15" s="736"/>
      <c r="K15" s="736"/>
      <c r="L15" s="736"/>
      <c r="M15" s="736"/>
      <c r="N15" s="736"/>
      <c r="O15" s="736"/>
      <c r="P15" s="736"/>
      <c r="Q15" s="736"/>
      <c r="R15" s="736"/>
      <c r="S15" s="736"/>
      <c r="T15" s="736"/>
      <c r="U15" s="736"/>
    </row>
    <row r="16" spans="1:21">
      <c r="A16" s="736"/>
      <c r="B16" s="736"/>
      <c r="C16" s="736"/>
      <c r="D16" s="736"/>
      <c r="E16" s="737"/>
      <c r="F16" s="737"/>
      <c r="G16" s="737" t="s">
        <v>199</v>
      </c>
      <c r="H16" s="737" t="s">
        <v>199</v>
      </c>
      <c r="I16" s="736"/>
      <c r="J16" s="736"/>
      <c r="K16" s="736"/>
      <c r="L16" s="736"/>
      <c r="M16" s="736"/>
      <c r="N16" s="736"/>
      <c r="O16" s="736"/>
      <c r="P16" s="736"/>
      <c r="Q16" s="736"/>
      <c r="R16" s="736"/>
      <c r="S16" s="736"/>
      <c r="T16" s="736"/>
      <c r="U16" s="736"/>
    </row>
    <row r="17" spans="1:21">
      <c r="A17" s="736"/>
      <c r="B17" s="736"/>
      <c r="C17" s="736"/>
      <c r="D17" s="736"/>
      <c r="E17" s="737"/>
      <c r="F17" s="737"/>
      <c r="G17" s="737" t="s">
        <v>199</v>
      </c>
      <c r="H17" s="737" t="s">
        <v>199</v>
      </c>
      <c r="I17" s="736"/>
      <c r="J17" s="736"/>
      <c r="K17" s="736"/>
      <c r="L17" s="736"/>
      <c r="M17" s="736"/>
      <c r="N17" s="736"/>
      <c r="O17" s="736"/>
      <c r="P17" s="736"/>
      <c r="Q17" s="736"/>
      <c r="R17" s="736"/>
      <c r="S17" s="736"/>
      <c r="T17" s="736"/>
      <c r="U17" s="736"/>
    </row>
    <row r="18" spans="1:21">
      <c r="A18" s="736"/>
      <c r="B18" s="736"/>
      <c r="C18" s="736"/>
      <c r="D18" s="736"/>
      <c r="E18" s="737"/>
      <c r="F18" s="737"/>
      <c r="G18" s="737" t="s">
        <v>199</v>
      </c>
      <c r="H18" s="737" t="s">
        <v>199</v>
      </c>
      <c r="I18" s="736"/>
      <c r="J18" s="736"/>
      <c r="K18" s="736"/>
      <c r="L18" s="736"/>
      <c r="M18" s="736"/>
      <c r="N18" s="736"/>
      <c r="O18" s="736"/>
      <c r="P18" s="736"/>
      <c r="Q18" s="736"/>
      <c r="R18" s="736"/>
      <c r="S18" s="736"/>
      <c r="T18" s="736"/>
      <c r="U18" s="736"/>
    </row>
    <row r="19" spans="1:21">
      <c r="A19" s="736"/>
      <c r="B19" s="736"/>
      <c r="C19" s="736"/>
      <c r="D19" s="736"/>
      <c r="E19" s="737"/>
      <c r="F19" s="737"/>
      <c r="G19" s="737" t="s">
        <v>199</v>
      </c>
      <c r="H19" s="737" t="s">
        <v>199</v>
      </c>
      <c r="I19" s="736"/>
      <c r="J19" s="736"/>
      <c r="K19" s="736"/>
      <c r="L19" s="736"/>
      <c r="M19" s="736"/>
      <c r="N19" s="736"/>
      <c r="O19" s="736"/>
      <c r="P19" s="736"/>
      <c r="Q19" s="736"/>
      <c r="R19" s="736"/>
      <c r="S19" s="736"/>
      <c r="T19" s="736"/>
      <c r="U19" s="736"/>
    </row>
    <row r="20" spans="1:21">
      <c r="A20" s="736"/>
      <c r="B20" s="736"/>
      <c r="C20" s="736"/>
      <c r="D20" s="736"/>
      <c r="E20" s="737"/>
      <c r="F20" s="737"/>
      <c r="G20" s="737" t="s">
        <v>199</v>
      </c>
      <c r="H20" s="737" t="s">
        <v>199</v>
      </c>
      <c r="I20" s="736"/>
      <c r="J20" s="736"/>
      <c r="K20" s="736"/>
      <c r="L20" s="736"/>
      <c r="M20" s="736"/>
      <c r="N20" s="736"/>
      <c r="O20" s="736"/>
      <c r="P20" s="736"/>
      <c r="Q20" s="736"/>
      <c r="R20" s="736"/>
      <c r="S20" s="736"/>
      <c r="T20" s="736"/>
      <c r="U20" s="736"/>
    </row>
    <row r="21" spans="1:21">
      <c r="A21" s="736"/>
      <c r="B21" s="736"/>
      <c r="C21" s="736"/>
      <c r="D21" s="736"/>
      <c r="E21" s="737"/>
      <c r="F21" s="737"/>
      <c r="G21" s="737" t="s">
        <v>199</v>
      </c>
      <c r="H21" s="737" t="s">
        <v>199</v>
      </c>
      <c r="I21" s="736"/>
      <c r="J21" s="736"/>
      <c r="K21" s="736"/>
      <c r="L21" s="736"/>
      <c r="M21" s="736"/>
      <c r="N21" s="736"/>
      <c r="O21" s="736"/>
      <c r="P21" s="736"/>
      <c r="Q21" s="736"/>
      <c r="R21" s="736"/>
      <c r="S21" s="736"/>
      <c r="T21" s="736"/>
      <c r="U21" s="736"/>
    </row>
    <row r="22" spans="1:21">
      <c r="A22" s="736"/>
      <c r="B22" s="736"/>
      <c r="C22" s="736"/>
      <c r="D22" s="736"/>
      <c r="E22" s="737"/>
      <c r="F22" s="737"/>
      <c r="G22" s="737" t="s">
        <v>199</v>
      </c>
      <c r="H22" s="737" t="s">
        <v>199</v>
      </c>
      <c r="I22" s="736"/>
      <c r="J22" s="736"/>
      <c r="K22" s="736"/>
      <c r="L22" s="736"/>
      <c r="M22" s="736"/>
      <c r="N22" s="736"/>
      <c r="O22" s="736"/>
      <c r="P22" s="736"/>
      <c r="Q22" s="736"/>
      <c r="R22" s="736"/>
      <c r="S22" s="736"/>
      <c r="T22" s="736"/>
      <c r="U22" s="736"/>
    </row>
    <row r="23" spans="1:21">
      <c r="A23" s="736"/>
      <c r="B23" s="736"/>
      <c r="C23" s="736"/>
      <c r="D23" s="736"/>
      <c r="E23" s="737"/>
      <c r="F23" s="737"/>
      <c r="G23" s="737" t="s">
        <v>199</v>
      </c>
      <c r="H23" s="737" t="s">
        <v>199</v>
      </c>
      <c r="I23" s="736"/>
      <c r="J23" s="736"/>
      <c r="K23" s="736"/>
      <c r="L23" s="736"/>
      <c r="M23" s="736"/>
      <c r="N23" s="736"/>
      <c r="O23" s="736"/>
      <c r="P23" s="736"/>
      <c r="Q23" s="736"/>
      <c r="R23" s="736"/>
      <c r="S23" s="736"/>
      <c r="T23" s="736"/>
      <c r="U23" s="736"/>
    </row>
    <row r="24" spans="1:21">
      <c r="A24" s="736"/>
      <c r="B24" s="736"/>
      <c r="C24" s="736"/>
      <c r="D24" s="736"/>
      <c r="E24" s="737"/>
      <c r="F24" s="737"/>
      <c r="G24" s="737" t="s">
        <v>199</v>
      </c>
      <c r="H24" s="737" t="s">
        <v>199</v>
      </c>
      <c r="I24" s="736"/>
      <c r="J24" s="736"/>
      <c r="K24" s="736"/>
      <c r="L24" s="736"/>
      <c r="M24" s="736"/>
      <c r="N24" s="736"/>
      <c r="O24" s="736"/>
      <c r="P24" s="736"/>
      <c r="Q24" s="736"/>
      <c r="R24" s="736"/>
      <c r="S24" s="736"/>
      <c r="T24" s="736"/>
      <c r="U24" s="736"/>
    </row>
    <row r="25" spans="1:21">
      <c r="A25" s="736"/>
      <c r="B25" s="736"/>
      <c r="C25" s="736"/>
      <c r="D25" s="736"/>
      <c r="E25" s="737"/>
      <c r="F25" s="737"/>
      <c r="G25" s="737" t="s">
        <v>199</v>
      </c>
      <c r="H25" s="737" t="s">
        <v>199</v>
      </c>
      <c r="I25" s="736"/>
      <c r="J25" s="736"/>
      <c r="K25" s="736"/>
      <c r="L25" s="736"/>
      <c r="M25" s="736"/>
      <c r="N25" s="736"/>
      <c r="O25" s="736"/>
      <c r="P25" s="736"/>
      <c r="Q25" s="736"/>
      <c r="R25" s="736"/>
      <c r="S25" s="736"/>
      <c r="T25" s="736"/>
      <c r="U25" s="736"/>
    </row>
    <row r="26" spans="1:21">
      <c r="A26" s="736"/>
      <c r="B26" s="736"/>
      <c r="C26" s="736"/>
      <c r="D26" s="736"/>
      <c r="E26" s="737"/>
      <c r="F26" s="737"/>
      <c r="G26" s="737" t="s">
        <v>199</v>
      </c>
      <c r="H26" s="737" t="s">
        <v>199</v>
      </c>
      <c r="I26" s="736"/>
      <c r="J26" s="736"/>
      <c r="K26" s="736"/>
      <c r="L26" s="736"/>
      <c r="M26" s="736"/>
      <c r="N26" s="736"/>
      <c r="O26" s="736"/>
      <c r="P26" s="736"/>
      <c r="Q26" s="736"/>
      <c r="R26" s="736"/>
      <c r="S26" s="736"/>
      <c r="T26" s="736"/>
      <c r="U26" s="736"/>
    </row>
    <row r="27" spans="1:21">
      <c r="A27" s="736"/>
      <c r="B27" s="736"/>
      <c r="C27" s="736"/>
      <c r="D27" s="736"/>
      <c r="E27" s="737"/>
      <c r="F27" s="737"/>
      <c r="G27" s="737" t="s">
        <v>199</v>
      </c>
      <c r="H27" s="737" t="s">
        <v>199</v>
      </c>
      <c r="I27" s="736"/>
      <c r="J27" s="736"/>
      <c r="K27" s="736"/>
      <c r="L27" s="736"/>
      <c r="M27" s="736"/>
      <c r="N27" s="736"/>
      <c r="O27" s="736"/>
      <c r="P27" s="736"/>
      <c r="Q27" s="736"/>
      <c r="R27" s="736"/>
      <c r="S27" s="736"/>
      <c r="T27" s="736"/>
      <c r="U27" s="736"/>
    </row>
    <row r="28" spans="1:21">
      <c r="A28" s="736"/>
      <c r="B28" s="736"/>
      <c r="C28" s="736"/>
      <c r="D28" s="736"/>
      <c r="E28" s="737"/>
      <c r="F28" s="737"/>
      <c r="G28" s="737" t="s">
        <v>199</v>
      </c>
      <c r="H28" s="737" t="s">
        <v>199</v>
      </c>
      <c r="I28" s="736"/>
      <c r="J28" s="736"/>
      <c r="K28" s="736"/>
      <c r="L28" s="736"/>
      <c r="M28" s="736"/>
      <c r="N28" s="736"/>
      <c r="O28" s="736"/>
      <c r="P28" s="736"/>
      <c r="Q28" s="736"/>
      <c r="R28" s="736"/>
      <c r="S28" s="736"/>
      <c r="T28" s="736"/>
      <c r="U28" s="736"/>
    </row>
    <row r="29" spans="1:21">
      <c r="A29" s="736"/>
      <c r="B29" s="736"/>
      <c r="C29" s="736"/>
      <c r="D29" s="736"/>
      <c r="E29" s="737"/>
      <c r="F29" s="737"/>
      <c r="G29" s="737" t="s">
        <v>199</v>
      </c>
      <c r="H29" s="737" t="s">
        <v>199</v>
      </c>
      <c r="I29" s="736"/>
      <c r="J29" s="736"/>
      <c r="K29" s="736"/>
      <c r="L29" s="736"/>
      <c r="M29" s="736"/>
      <c r="N29" s="736"/>
      <c r="O29" s="736"/>
      <c r="P29" s="736"/>
      <c r="Q29" s="736"/>
      <c r="R29" s="736"/>
      <c r="S29" s="736"/>
      <c r="T29" s="736"/>
      <c r="U29" s="736"/>
    </row>
    <row r="30" spans="1:21">
      <c r="A30" s="736"/>
      <c r="B30" s="736"/>
      <c r="C30" s="736"/>
      <c r="D30" s="736"/>
      <c r="E30" s="737"/>
      <c r="F30" s="737"/>
      <c r="G30" s="737" t="s">
        <v>199</v>
      </c>
      <c r="H30" s="737" t="s">
        <v>199</v>
      </c>
      <c r="I30" s="736"/>
      <c r="J30" s="736"/>
      <c r="K30" s="736"/>
      <c r="L30" s="736"/>
      <c r="M30" s="736"/>
      <c r="N30" s="736"/>
      <c r="O30" s="736"/>
      <c r="P30" s="736"/>
      <c r="Q30" s="736"/>
      <c r="R30" s="736"/>
      <c r="S30" s="736"/>
      <c r="T30" s="736"/>
      <c r="U30" s="736"/>
    </row>
    <row r="31" spans="1:21">
      <c r="A31" s="736"/>
      <c r="B31" s="736"/>
      <c r="C31" s="736"/>
      <c r="D31" s="736"/>
      <c r="E31" s="737"/>
      <c r="F31" s="737"/>
      <c r="G31" s="737" t="s">
        <v>199</v>
      </c>
      <c r="H31" s="737" t="s">
        <v>199</v>
      </c>
      <c r="I31" s="736"/>
      <c r="J31" s="736"/>
      <c r="K31" s="736"/>
      <c r="L31" s="736"/>
      <c r="M31" s="736"/>
      <c r="N31" s="736"/>
      <c r="O31" s="736"/>
      <c r="P31" s="736"/>
      <c r="Q31" s="736"/>
      <c r="R31" s="736"/>
      <c r="S31" s="736"/>
      <c r="T31" s="736"/>
      <c r="U31" s="736"/>
    </row>
    <row r="32" spans="1:21">
      <c r="A32" s="736"/>
      <c r="B32" s="736"/>
      <c r="C32" s="736"/>
      <c r="D32" s="736"/>
      <c r="E32" s="737"/>
      <c r="F32" s="737"/>
      <c r="G32" s="737" t="s">
        <v>199</v>
      </c>
      <c r="H32" s="737" t="s">
        <v>199</v>
      </c>
      <c r="I32" s="736"/>
      <c r="J32" s="736"/>
      <c r="K32" s="736"/>
      <c r="L32" s="736"/>
      <c r="M32" s="736"/>
      <c r="N32" s="736"/>
      <c r="O32" s="736"/>
      <c r="P32" s="736"/>
      <c r="Q32" s="736"/>
      <c r="R32" s="736"/>
      <c r="S32" s="736"/>
      <c r="T32" s="736"/>
      <c r="U32" s="736"/>
    </row>
    <row r="33" spans="1:21">
      <c r="A33" s="736"/>
      <c r="B33" s="736"/>
      <c r="C33" s="736"/>
      <c r="D33" s="736"/>
      <c r="E33" s="737"/>
      <c r="F33" s="737"/>
      <c r="G33" s="737" t="s">
        <v>199</v>
      </c>
      <c r="H33" s="737" t="s">
        <v>199</v>
      </c>
      <c r="I33" s="736"/>
      <c r="J33" s="736"/>
      <c r="K33" s="736"/>
      <c r="L33" s="736"/>
      <c r="M33" s="736"/>
      <c r="N33" s="736"/>
      <c r="O33" s="736"/>
      <c r="P33" s="736"/>
      <c r="Q33" s="736"/>
      <c r="R33" s="736"/>
      <c r="S33" s="736"/>
      <c r="T33" s="736"/>
      <c r="U33" s="736"/>
    </row>
    <row r="34" spans="1:21">
      <c r="A34" s="736"/>
      <c r="B34" s="736"/>
      <c r="C34" s="736"/>
      <c r="D34" s="736"/>
      <c r="E34" s="737"/>
      <c r="F34" s="737"/>
      <c r="G34" s="737" t="s">
        <v>199</v>
      </c>
      <c r="H34" s="737" t="s">
        <v>199</v>
      </c>
      <c r="I34" s="736"/>
      <c r="J34" s="736"/>
      <c r="K34" s="736"/>
      <c r="L34" s="736"/>
      <c r="M34" s="736"/>
      <c r="N34" s="736"/>
      <c r="O34" s="736"/>
      <c r="P34" s="736"/>
      <c r="Q34" s="736"/>
      <c r="R34" s="736"/>
      <c r="S34" s="736"/>
      <c r="T34" s="736"/>
      <c r="U34" s="736"/>
    </row>
    <row r="35" spans="1:21">
      <c r="A35" s="736"/>
      <c r="B35" s="736"/>
      <c r="C35" s="736"/>
      <c r="D35" s="736"/>
      <c r="E35" s="737"/>
      <c r="F35" s="737"/>
      <c r="G35" s="737" t="s">
        <v>199</v>
      </c>
      <c r="H35" s="737" t="s">
        <v>199</v>
      </c>
      <c r="I35" s="736"/>
      <c r="J35" s="736"/>
      <c r="K35" s="736"/>
      <c r="L35" s="736"/>
      <c r="M35" s="736"/>
      <c r="N35" s="736"/>
      <c r="O35" s="736"/>
      <c r="P35" s="736"/>
      <c r="Q35" s="736"/>
      <c r="R35" s="736"/>
      <c r="S35" s="736"/>
      <c r="T35" s="736"/>
      <c r="U35" s="736"/>
    </row>
    <row r="36" spans="1:21">
      <c r="A36" s="736"/>
      <c r="B36" s="736"/>
      <c r="C36" s="736"/>
      <c r="D36" s="736"/>
      <c r="E36" s="737"/>
      <c r="F36" s="737"/>
      <c r="G36" s="737" t="s">
        <v>199</v>
      </c>
      <c r="H36" s="737" t="s">
        <v>199</v>
      </c>
      <c r="I36" s="736"/>
      <c r="J36" s="736"/>
      <c r="K36" s="736"/>
      <c r="L36" s="736"/>
      <c r="M36" s="736"/>
      <c r="N36" s="736"/>
      <c r="O36" s="736"/>
      <c r="P36" s="736"/>
      <c r="Q36" s="736"/>
      <c r="R36" s="736"/>
      <c r="S36" s="736"/>
      <c r="T36" s="736"/>
      <c r="U36" s="736"/>
    </row>
    <row r="37" spans="1:21">
      <c r="A37" s="736"/>
      <c r="B37" s="736"/>
      <c r="C37" s="736"/>
      <c r="D37" s="736"/>
      <c r="E37" s="737"/>
      <c r="F37" s="737"/>
      <c r="G37" s="737" t="s">
        <v>199</v>
      </c>
      <c r="H37" s="737" t="s">
        <v>199</v>
      </c>
      <c r="I37" s="736"/>
      <c r="J37" s="736"/>
      <c r="K37" s="736"/>
      <c r="L37" s="736"/>
      <c r="M37" s="736"/>
      <c r="N37" s="736"/>
      <c r="O37" s="736"/>
      <c r="P37" s="736"/>
      <c r="Q37" s="736"/>
      <c r="R37" s="736"/>
      <c r="S37" s="736"/>
      <c r="T37" s="736"/>
      <c r="U37" s="736"/>
    </row>
    <row r="38" spans="1:21">
      <c r="A38" s="736"/>
      <c r="B38" s="736"/>
      <c r="C38" s="736"/>
      <c r="D38" s="736"/>
      <c r="E38" s="737"/>
      <c r="F38" s="737"/>
      <c r="G38" s="737" t="s">
        <v>199</v>
      </c>
      <c r="H38" s="737" t="s">
        <v>199</v>
      </c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</row>
    <row r="39" spans="1:21">
      <c r="A39" s="736"/>
      <c r="B39" s="736"/>
      <c r="C39" s="736"/>
      <c r="D39" s="736"/>
      <c r="E39" s="737"/>
      <c r="F39" s="737"/>
      <c r="G39" s="737" t="s">
        <v>199</v>
      </c>
      <c r="H39" s="737" t="s">
        <v>199</v>
      </c>
      <c r="I39" s="736"/>
      <c r="J39" s="736"/>
      <c r="K39" s="736"/>
      <c r="L39" s="736"/>
      <c r="M39" s="736"/>
      <c r="N39" s="736"/>
      <c r="O39" s="736"/>
      <c r="P39" s="736"/>
      <c r="Q39" s="736"/>
      <c r="R39" s="736"/>
      <c r="S39" s="736"/>
      <c r="T39" s="736"/>
      <c r="U39" s="736"/>
    </row>
    <row r="40" spans="1:21">
      <c r="A40" s="736"/>
      <c r="B40" s="736"/>
      <c r="C40" s="736"/>
      <c r="D40" s="736"/>
      <c r="E40" s="737"/>
      <c r="F40" s="737"/>
      <c r="G40" s="737" t="s">
        <v>199</v>
      </c>
      <c r="H40" s="737" t="s">
        <v>199</v>
      </c>
      <c r="I40" s="736"/>
      <c r="J40" s="736"/>
      <c r="K40" s="736"/>
      <c r="L40" s="736"/>
      <c r="M40" s="736"/>
      <c r="N40" s="736"/>
      <c r="O40" s="736"/>
      <c r="P40" s="736"/>
      <c r="Q40" s="736"/>
      <c r="R40" s="736"/>
      <c r="S40" s="736"/>
      <c r="T40" s="736"/>
      <c r="U40" s="736"/>
    </row>
    <row r="41" spans="1:21">
      <c r="A41" s="736"/>
      <c r="B41" s="736"/>
      <c r="C41" s="736"/>
      <c r="D41" s="736"/>
      <c r="E41" s="737"/>
      <c r="F41" s="737"/>
      <c r="G41" s="737" t="s">
        <v>199</v>
      </c>
      <c r="H41" s="737" t="s">
        <v>199</v>
      </c>
      <c r="I41" s="736"/>
      <c r="J41" s="736"/>
      <c r="K41" s="736"/>
      <c r="L41" s="736"/>
      <c r="M41" s="736"/>
      <c r="N41" s="736"/>
      <c r="O41" s="736"/>
      <c r="P41" s="736"/>
      <c r="Q41" s="736"/>
      <c r="R41" s="736"/>
      <c r="S41" s="736"/>
      <c r="T41" s="736"/>
      <c r="U41" s="736"/>
    </row>
    <row r="42" spans="1:21">
      <c r="A42" s="736"/>
      <c r="B42" s="736"/>
      <c r="C42" s="736"/>
      <c r="D42" s="736"/>
      <c r="E42" s="737"/>
      <c r="F42" s="737"/>
      <c r="G42" s="737" t="s">
        <v>199</v>
      </c>
      <c r="H42" s="737" t="s">
        <v>199</v>
      </c>
      <c r="I42" s="736"/>
      <c r="J42" s="736"/>
      <c r="K42" s="736"/>
      <c r="L42" s="736"/>
      <c r="M42" s="736"/>
      <c r="N42" s="736"/>
      <c r="O42" s="736"/>
      <c r="P42" s="736"/>
      <c r="Q42" s="736"/>
      <c r="R42" s="736"/>
      <c r="S42" s="736"/>
      <c r="T42" s="736"/>
      <c r="U42" s="736"/>
    </row>
    <row r="43" spans="1:21">
      <c r="A43" s="736"/>
      <c r="B43" s="736"/>
      <c r="C43" s="736"/>
      <c r="D43" s="736"/>
      <c r="E43" s="737"/>
      <c r="F43" s="737"/>
      <c r="G43" s="737" t="s">
        <v>199</v>
      </c>
      <c r="H43" s="737" t="s">
        <v>199</v>
      </c>
      <c r="I43" s="736"/>
      <c r="J43" s="736"/>
      <c r="K43" s="736"/>
      <c r="L43" s="736"/>
      <c r="M43" s="736"/>
      <c r="N43" s="736"/>
      <c r="O43" s="736"/>
      <c r="P43" s="736"/>
      <c r="Q43" s="736"/>
      <c r="R43" s="736"/>
      <c r="S43" s="736"/>
      <c r="T43" s="736"/>
      <c r="U43" s="736"/>
    </row>
    <row r="44" spans="1:21">
      <c r="A44" s="736"/>
      <c r="B44" s="736"/>
      <c r="C44" s="736"/>
      <c r="D44" s="736"/>
      <c r="E44" s="737"/>
      <c r="F44" s="737"/>
      <c r="G44" s="737" t="s">
        <v>199</v>
      </c>
      <c r="H44" s="737" t="s">
        <v>199</v>
      </c>
      <c r="I44" s="736"/>
      <c r="J44" s="736"/>
      <c r="K44" s="736"/>
      <c r="L44" s="736"/>
      <c r="M44" s="736"/>
      <c r="N44" s="736"/>
      <c r="O44" s="736"/>
      <c r="P44" s="736"/>
      <c r="Q44" s="736"/>
      <c r="R44" s="736"/>
      <c r="S44" s="736"/>
      <c r="T44" s="736"/>
      <c r="U44" s="736"/>
    </row>
    <row r="45" spans="1:21">
      <c r="A45" s="736"/>
      <c r="B45" s="736"/>
      <c r="C45" s="736"/>
      <c r="D45" s="736"/>
      <c r="E45" s="737"/>
      <c r="F45" s="737"/>
      <c r="G45" s="737" t="s">
        <v>199</v>
      </c>
      <c r="H45" s="737" t="s">
        <v>199</v>
      </c>
      <c r="I45" s="738"/>
      <c r="J45" s="738"/>
      <c r="K45" s="738"/>
      <c r="L45" s="738"/>
      <c r="M45" s="738"/>
      <c r="N45" s="738"/>
      <c r="O45" s="738"/>
      <c r="P45" s="738"/>
      <c r="Q45" s="738"/>
      <c r="R45" s="738"/>
      <c r="S45" s="738"/>
      <c r="T45" s="738"/>
      <c r="U45" s="738"/>
    </row>
    <row r="46" spans="1:21">
      <c r="A46" s="736"/>
      <c r="B46" s="736"/>
      <c r="C46" s="736"/>
      <c r="D46" s="736"/>
      <c r="E46" s="737"/>
      <c r="F46" s="737"/>
      <c r="G46" s="737" t="s">
        <v>199</v>
      </c>
      <c r="H46" s="737" t="s">
        <v>199</v>
      </c>
      <c r="I46" s="736"/>
      <c r="J46" s="736"/>
      <c r="K46" s="736"/>
      <c r="L46" s="736"/>
      <c r="M46" s="736"/>
      <c r="N46" s="736"/>
      <c r="O46" s="736"/>
      <c r="P46" s="736"/>
      <c r="Q46" s="736"/>
      <c r="R46" s="736"/>
      <c r="S46" s="736"/>
      <c r="T46" s="736"/>
      <c r="U46" s="736"/>
    </row>
    <row r="47" spans="1:21">
      <c r="A47" s="736"/>
      <c r="B47" s="736"/>
      <c r="C47" s="736"/>
      <c r="D47" s="736"/>
      <c r="E47" s="737"/>
      <c r="F47" s="737"/>
      <c r="G47" s="737" t="s">
        <v>199</v>
      </c>
      <c r="H47" s="737" t="s">
        <v>199</v>
      </c>
      <c r="I47" s="738"/>
      <c r="J47" s="738"/>
      <c r="K47" s="738"/>
      <c r="L47" s="738"/>
      <c r="M47" s="738"/>
      <c r="N47" s="738"/>
      <c r="O47" s="738"/>
      <c r="P47" s="738"/>
      <c r="Q47" s="738"/>
      <c r="R47" s="738"/>
      <c r="S47" s="738"/>
      <c r="T47" s="738"/>
      <c r="U47" s="738"/>
    </row>
    <row r="48" spans="1:21">
      <c r="A48" s="736"/>
      <c r="B48" s="736"/>
      <c r="C48" s="736"/>
      <c r="D48" s="736"/>
      <c r="E48" s="737"/>
      <c r="F48" s="737"/>
      <c r="G48" s="737" t="s">
        <v>199</v>
      </c>
      <c r="H48" s="737" t="s">
        <v>199</v>
      </c>
      <c r="I48" s="736"/>
      <c r="J48" s="736"/>
      <c r="K48" s="736"/>
      <c r="L48" s="736"/>
      <c r="M48" s="736"/>
      <c r="N48" s="736"/>
      <c r="O48" s="736"/>
      <c r="P48" s="736"/>
      <c r="Q48" s="736"/>
      <c r="R48" s="736"/>
      <c r="S48" s="736"/>
      <c r="T48" s="736"/>
      <c r="U48" s="736"/>
    </row>
    <row r="49" spans="1:21">
      <c r="A49" s="736"/>
      <c r="B49" s="736"/>
      <c r="C49" s="736"/>
      <c r="D49" s="736"/>
      <c r="E49" s="737"/>
      <c r="F49" s="737"/>
      <c r="G49" s="737" t="s">
        <v>199</v>
      </c>
      <c r="H49" s="737" t="s">
        <v>199</v>
      </c>
      <c r="I49" s="736"/>
      <c r="J49" s="736"/>
      <c r="K49" s="736"/>
      <c r="L49" s="736"/>
      <c r="M49" s="736"/>
      <c r="N49" s="736"/>
      <c r="O49" s="736"/>
      <c r="P49" s="736"/>
      <c r="Q49" s="736"/>
      <c r="R49" s="736"/>
      <c r="S49" s="736"/>
      <c r="T49" s="736"/>
      <c r="U49" s="736"/>
    </row>
    <row r="50" spans="1:21">
      <c r="A50" s="736"/>
      <c r="B50" s="736"/>
      <c r="C50" s="736"/>
      <c r="D50" s="736"/>
      <c r="E50" s="737"/>
      <c r="F50" s="737"/>
      <c r="G50" s="737" t="s">
        <v>199</v>
      </c>
      <c r="H50" s="737" t="s">
        <v>199</v>
      </c>
      <c r="I50" s="736"/>
      <c r="J50" s="736"/>
      <c r="K50" s="736"/>
      <c r="L50" s="736"/>
      <c r="M50" s="736"/>
      <c r="N50" s="736"/>
      <c r="O50" s="736"/>
      <c r="P50" s="736"/>
      <c r="Q50" s="736"/>
      <c r="R50" s="736"/>
      <c r="S50" s="736"/>
      <c r="T50" s="736"/>
      <c r="U50" s="736"/>
    </row>
    <row r="51" spans="1:21">
      <c r="A51" s="736"/>
      <c r="B51" s="736"/>
      <c r="C51" s="736"/>
      <c r="D51" s="736"/>
      <c r="E51" s="737"/>
      <c r="F51" s="737"/>
      <c r="G51" s="737" t="s">
        <v>199</v>
      </c>
      <c r="H51" s="737" t="s">
        <v>199</v>
      </c>
      <c r="I51" s="736"/>
      <c r="J51" s="736"/>
      <c r="K51" s="736"/>
      <c r="L51" s="736"/>
      <c r="M51" s="736"/>
      <c r="N51" s="736"/>
      <c r="O51" s="736"/>
      <c r="P51" s="736"/>
      <c r="Q51" s="736"/>
      <c r="R51" s="736"/>
      <c r="S51" s="736"/>
      <c r="T51" s="736"/>
      <c r="U51" s="736"/>
    </row>
    <row r="52" spans="1:21">
      <c r="A52" s="736"/>
      <c r="B52" s="736"/>
      <c r="C52" s="736"/>
      <c r="D52" s="736"/>
      <c r="E52" s="737"/>
      <c r="F52" s="737"/>
      <c r="G52" s="737" t="s">
        <v>199</v>
      </c>
      <c r="H52" s="737" t="s">
        <v>199</v>
      </c>
      <c r="I52" s="736"/>
      <c r="J52" s="736"/>
      <c r="K52" s="736"/>
      <c r="L52" s="736"/>
      <c r="M52" s="736"/>
      <c r="N52" s="736"/>
      <c r="O52" s="736"/>
      <c r="P52" s="736"/>
      <c r="Q52" s="736"/>
      <c r="R52" s="736"/>
      <c r="S52" s="736"/>
      <c r="T52" s="736"/>
      <c r="U52" s="736"/>
    </row>
    <row r="53" spans="1:21">
      <c r="A53" s="736"/>
      <c r="B53" s="736"/>
      <c r="C53" s="736"/>
      <c r="D53" s="736"/>
      <c r="E53" s="737"/>
      <c r="F53" s="737"/>
      <c r="G53" s="737" t="s">
        <v>199</v>
      </c>
      <c r="H53" s="737" t="s">
        <v>199</v>
      </c>
      <c r="I53" s="736"/>
      <c r="J53" s="736"/>
      <c r="K53" s="736"/>
      <c r="L53" s="736"/>
      <c r="M53" s="736"/>
      <c r="N53" s="736"/>
      <c r="O53" s="736"/>
      <c r="P53" s="736"/>
      <c r="Q53" s="736"/>
      <c r="R53" s="736"/>
      <c r="S53" s="736"/>
      <c r="T53" s="736"/>
      <c r="U53" s="736"/>
    </row>
    <row r="54" spans="1:21">
      <c r="A54" s="736"/>
      <c r="B54" s="736"/>
      <c r="C54" s="736"/>
      <c r="D54" s="736"/>
      <c r="E54" s="737"/>
      <c r="F54" s="737"/>
      <c r="G54" s="737" t="s">
        <v>199</v>
      </c>
      <c r="H54" s="737" t="s">
        <v>199</v>
      </c>
      <c r="I54" s="738"/>
      <c r="J54" s="738"/>
      <c r="K54" s="738"/>
      <c r="L54" s="738"/>
      <c r="M54" s="738"/>
      <c r="N54" s="738"/>
      <c r="O54" s="738"/>
      <c r="P54" s="738"/>
      <c r="Q54" s="738"/>
      <c r="R54" s="738"/>
      <c r="S54" s="738"/>
      <c r="T54" s="738"/>
      <c r="U54" s="738"/>
    </row>
    <row r="55" spans="1:21">
      <c r="A55" s="736"/>
      <c r="B55" s="736"/>
      <c r="C55" s="736"/>
      <c r="D55" s="736"/>
      <c r="E55" s="737"/>
      <c r="F55" s="737"/>
      <c r="G55" s="737" t="s">
        <v>199</v>
      </c>
      <c r="H55" s="737" t="s">
        <v>199</v>
      </c>
      <c r="I55" s="736"/>
      <c r="J55" s="736"/>
      <c r="K55" s="736"/>
      <c r="L55" s="736"/>
      <c r="M55" s="736"/>
      <c r="N55" s="736"/>
      <c r="O55" s="736"/>
      <c r="P55" s="736"/>
      <c r="Q55" s="736"/>
      <c r="R55" s="736"/>
      <c r="S55" s="736"/>
      <c r="T55" s="736"/>
      <c r="U55" s="736"/>
    </row>
    <row r="56" spans="1:21">
      <c r="A56" s="736"/>
      <c r="B56" s="736"/>
      <c r="C56" s="736"/>
      <c r="D56" s="736"/>
      <c r="E56" s="737"/>
      <c r="F56" s="737"/>
      <c r="G56" s="737" t="s">
        <v>199</v>
      </c>
      <c r="H56" s="737" t="s">
        <v>199</v>
      </c>
      <c r="I56" s="736"/>
      <c r="J56" s="736"/>
      <c r="K56" s="736"/>
      <c r="L56" s="736"/>
      <c r="M56" s="736"/>
      <c r="N56" s="736"/>
      <c r="O56" s="736"/>
      <c r="P56" s="736"/>
      <c r="Q56" s="736"/>
      <c r="R56" s="736"/>
      <c r="S56" s="736"/>
      <c r="T56" s="736"/>
      <c r="U56" s="736"/>
    </row>
    <row r="57" spans="1:21">
      <c r="A57" s="736"/>
      <c r="B57" s="736"/>
      <c r="C57" s="736"/>
      <c r="D57" s="736"/>
      <c r="E57" s="737"/>
      <c r="F57" s="737"/>
      <c r="G57" s="737" t="s">
        <v>199</v>
      </c>
      <c r="H57" s="737" t="s">
        <v>199</v>
      </c>
      <c r="I57" s="736"/>
      <c r="J57" s="736"/>
      <c r="K57" s="736"/>
      <c r="L57" s="736"/>
      <c r="M57" s="736"/>
      <c r="N57" s="736"/>
      <c r="O57" s="736"/>
      <c r="P57" s="736"/>
      <c r="Q57" s="736"/>
      <c r="R57" s="736"/>
      <c r="S57" s="736"/>
      <c r="T57" s="736"/>
      <c r="U57" s="736"/>
    </row>
    <row r="58" spans="1:21">
      <c r="A58" s="736"/>
      <c r="B58" s="736"/>
      <c r="C58" s="736"/>
      <c r="D58" s="736"/>
      <c r="E58" s="737"/>
      <c r="F58" s="737"/>
      <c r="G58" s="737" t="s">
        <v>199</v>
      </c>
      <c r="H58" s="737" t="s">
        <v>199</v>
      </c>
      <c r="I58" s="736"/>
      <c r="J58" s="736"/>
      <c r="K58" s="736"/>
      <c r="L58" s="736"/>
      <c r="M58" s="736"/>
      <c r="N58" s="736"/>
      <c r="O58" s="736"/>
      <c r="P58" s="736"/>
      <c r="Q58" s="736"/>
      <c r="R58" s="736"/>
      <c r="S58" s="736"/>
      <c r="T58" s="736"/>
      <c r="U58" s="736"/>
    </row>
    <row r="59" spans="1:21">
      <c r="A59" s="736"/>
      <c r="B59" s="736"/>
      <c r="C59" s="736"/>
      <c r="D59" s="736"/>
      <c r="E59" s="737"/>
      <c r="F59" s="737"/>
      <c r="G59" s="737" t="s">
        <v>199</v>
      </c>
      <c r="H59" s="737" t="s">
        <v>199</v>
      </c>
      <c r="I59" s="736"/>
      <c r="J59" s="736"/>
      <c r="K59" s="736"/>
      <c r="L59" s="736"/>
      <c r="M59" s="736"/>
      <c r="N59" s="736"/>
      <c r="O59" s="736"/>
      <c r="P59" s="736"/>
      <c r="Q59" s="736"/>
      <c r="R59" s="736"/>
      <c r="S59" s="736"/>
      <c r="T59" s="736"/>
      <c r="U59" s="736"/>
    </row>
    <row r="60" spans="1:21">
      <c r="A60" s="736"/>
      <c r="B60" s="736"/>
      <c r="C60" s="736"/>
      <c r="D60" s="736"/>
      <c r="E60" s="737"/>
      <c r="F60" s="737"/>
      <c r="G60" s="737" t="s">
        <v>199</v>
      </c>
      <c r="H60" s="737" t="s">
        <v>199</v>
      </c>
      <c r="I60" s="736"/>
      <c r="J60" s="736"/>
      <c r="K60" s="736"/>
      <c r="L60" s="736"/>
      <c r="M60" s="736"/>
      <c r="N60" s="736"/>
      <c r="O60" s="736"/>
      <c r="P60" s="736"/>
      <c r="Q60" s="736"/>
      <c r="R60" s="736"/>
      <c r="S60" s="736"/>
      <c r="T60" s="736"/>
      <c r="U60" s="736"/>
    </row>
    <row r="61" spans="1:21">
      <c r="A61" s="736"/>
      <c r="B61" s="736"/>
      <c r="C61" s="736"/>
      <c r="D61" s="736"/>
      <c r="E61" s="737"/>
      <c r="F61" s="737"/>
      <c r="G61" s="737" t="s">
        <v>199</v>
      </c>
      <c r="H61" s="737" t="s">
        <v>199</v>
      </c>
      <c r="I61" s="736"/>
      <c r="J61" s="736"/>
      <c r="K61" s="736"/>
      <c r="L61" s="736"/>
      <c r="M61" s="736"/>
      <c r="N61" s="736"/>
      <c r="O61" s="736"/>
      <c r="P61" s="736"/>
      <c r="Q61" s="736"/>
      <c r="R61" s="736"/>
      <c r="S61" s="736"/>
      <c r="T61" s="736"/>
      <c r="U61" s="736"/>
    </row>
    <row r="62" spans="1:21">
      <c r="A62" s="736"/>
      <c r="B62" s="736"/>
      <c r="C62" s="736"/>
      <c r="D62" s="736"/>
      <c r="E62" s="737"/>
      <c r="F62" s="737"/>
      <c r="G62" s="737" t="s">
        <v>199</v>
      </c>
      <c r="H62" s="737" t="s">
        <v>199</v>
      </c>
      <c r="I62" s="736"/>
      <c r="J62" s="736"/>
      <c r="K62" s="736"/>
      <c r="L62" s="736"/>
      <c r="M62" s="736"/>
      <c r="N62" s="736"/>
      <c r="O62" s="736"/>
      <c r="P62" s="736"/>
      <c r="Q62" s="736"/>
      <c r="R62" s="736"/>
      <c r="S62" s="736"/>
      <c r="T62" s="736"/>
      <c r="U62" s="736"/>
    </row>
    <row r="63" spans="1:21">
      <c r="A63" s="736"/>
      <c r="B63" s="736"/>
      <c r="C63" s="736"/>
      <c r="D63" s="736"/>
      <c r="E63" s="737"/>
      <c r="F63" s="737"/>
      <c r="G63" s="737" t="s">
        <v>199</v>
      </c>
      <c r="H63" s="737" t="s">
        <v>199</v>
      </c>
      <c r="I63" s="736"/>
      <c r="J63" s="736"/>
      <c r="K63" s="736"/>
      <c r="L63" s="736"/>
      <c r="M63" s="736"/>
      <c r="N63" s="736"/>
      <c r="O63" s="736"/>
      <c r="P63" s="736"/>
      <c r="Q63" s="736"/>
      <c r="R63" s="736"/>
      <c r="S63" s="736"/>
      <c r="T63" s="736"/>
      <c r="U63" s="736"/>
    </row>
    <row r="64" spans="1:21">
      <c r="A64" s="736"/>
      <c r="B64" s="736"/>
      <c r="C64" s="736"/>
      <c r="D64" s="736"/>
      <c r="E64" s="737"/>
      <c r="F64" s="737"/>
      <c r="G64" s="737" t="s">
        <v>199</v>
      </c>
      <c r="H64" s="737" t="s">
        <v>199</v>
      </c>
      <c r="I64" s="736"/>
      <c r="J64" s="736"/>
      <c r="K64" s="736"/>
      <c r="L64" s="736"/>
      <c r="M64" s="736"/>
      <c r="N64" s="736"/>
      <c r="O64" s="736"/>
      <c r="P64" s="736"/>
      <c r="Q64" s="736"/>
      <c r="R64" s="736"/>
      <c r="S64" s="736"/>
      <c r="T64" s="736"/>
      <c r="U64" s="736"/>
    </row>
    <row r="65" spans="1:21">
      <c r="A65" s="736"/>
      <c r="B65" s="736"/>
      <c r="C65" s="736"/>
      <c r="D65" s="736"/>
      <c r="E65" s="737"/>
      <c r="F65" s="737"/>
      <c r="G65" s="737" t="s">
        <v>199</v>
      </c>
      <c r="H65" s="737" t="s">
        <v>199</v>
      </c>
      <c r="I65" s="736"/>
      <c r="J65" s="736"/>
      <c r="K65" s="736"/>
      <c r="L65" s="736"/>
      <c r="M65" s="736"/>
      <c r="N65" s="736"/>
      <c r="O65" s="736"/>
      <c r="P65" s="736"/>
      <c r="Q65" s="736"/>
      <c r="R65" s="736"/>
      <c r="S65" s="736"/>
      <c r="T65" s="736"/>
      <c r="U65" s="736"/>
    </row>
    <row r="66" spans="1:21">
      <c r="A66" s="736"/>
      <c r="B66" s="736"/>
      <c r="C66" s="736"/>
      <c r="D66" s="736"/>
      <c r="E66" s="737"/>
      <c r="F66" s="737"/>
      <c r="G66" s="737" t="s">
        <v>199</v>
      </c>
      <c r="H66" s="737" t="s">
        <v>199</v>
      </c>
      <c r="I66" s="736"/>
      <c r="J66" s="736"/>
      <c r="K66" s="736"/>
      <c r="L66" s="736"/>
      <c r="M66" s="736"/>
      <c r="N66" s="736"/>
      <c r="O66" s="736"/>
      <c r="P66" s="736"/>
      <c r="Q66" s="736"/>
      <c r="R66" s="736"/>
      <c r="S66" s="736"/>
      <c r="T66" s="736"/>
      <c r="U66" s="736"/>
    </row>
    <row r="67" spans="1:21">
      <c r="A67" s="736"/>
      <c r="B67" s="736"/>
      <c r="C67" s="736"/>
      <c r="D67" s="736"/>
      <c r="E67" s="737"/>
      <c r="F67" s="737"/>
      <c r="G67" s="737" t="s">
        <v>199</v>
      </c>
      <c r="H67" s="737" t="s">
        <v>199</v>
      </c>
      <c r="I67" s="736"/>
      <c r="J67" s="736"/>
      <c r="K67" s="736"/>
      <c r="L67" s="736"/>
      <c r="M67" s="736"/>
      <c r="N67" s="736"/>
      <c r="O67" s="736"/>
      <c r="P67" s="736"/>
      <c r="Q67" s="736"/>
      <c r="R67" s="736"/>
      <c r="S67" s="736"/>
      <c r="T67" s="736"/>
      <c r="U67" s="736"/>
    </row>
    <row r="68" spans="1:21">
      <c r="A68" s="736"/>
      <c r="B68" s="736"/>
      <c r="C68" s="736"/>
      <c r="D68" s="736"/>
      <c r="E68" s="737"/>
      <c r="F68" s="737"/>
      <c r="G68" s="737" t="s">
        <v>199</v>
      </c>
      <c r="H68" s="737" t="s">
        <v>199</v>
      </c>
      <c r="I68" s="736"/>
      <c r="J68" s="736"/>
      <c r="K68" s="736"/>
      <c r="L68" s="736"/>
      <c r="M68" s="736"/>
      <c r="N68" s="736"/>
      <c r="O68" s="736"/>
      <c r="P68" s="736"/>
      <c r="Q68" s="736"/>
      <c r="R68" s="736"/>
      <c r="S68" s="736"/>
      <c r="T68" s="736"/>
      <c r="U68" s="736"/>
    </row>
    <row r="69" spans="1:21">
      <c r="A69" s="736"/>
      <c r="B69" s="736"/>
      <c r="C69" s="736"/>
      <c r="D69" s="736"/>
      <c r="E69" s="737"/>
      <c r="F69" s="737"/>
      <c r="G69" s="737" t="s">
        <v>199</v>
      </c>
      <c r="H69" s="737" t="s">
        <v>199</v>
      </c>
      <c r="I69" s="736"/>
      <c r="J69" s="736"/>
      <c r="K69" s="736"/>
      <c r="L69" s="736"/>
      <c r="M69" s="736"/>
      <c r="N69" s="736"/>
      <c r="O69" s="736"/>
      <c r="P69" s="736"/>
      <c r="Q69" s="736"/>
      <c r="R69" s="736"/>
      <c r="S69" s="736"/>
      <c r="T69" s="736"/>
      <c r="U69" s="736"/>
    </row>
    <row r="70" spans="1:21">
      <c r="A70" s="736"/>
      <c r="B70" s="736"/>
      <c r="C70" s="736"/>
      <c r="D70" s="736"/>
      <c r="E70" s="737"/>
      <c r="F70" s="737"/>
      <c r="G70" s="737" t="s">
        <v>199</v>
      </c>
      <c r="H70" s="737" t="s">
        <v>199</v>
      </c>
      <c r="I70" s="738"/>
      <c r="J70" s="738"/>
      <c r="K70" s="738"/>
      <c r="L70" s="738"/>
      <c r="M70" s="738"/>
      <c r="N70" s="738"/>
      <c r="O70" s="738"/>
      <c r="P70" s="738"/>
      <c r="Q70" s="738"/>
      <c r="R70" s="738"/>
      <c r="S70" s="738"/>
      <c r="T70" s="738"/>
      <c r="U70" s="738"/>
    </row>
    <row r="71" spans="1:21">
      <c r="A71" s="736"/>
      <c r="B71" s="736"/>
      <c r="C71" s="736"/>
      <c r="D71" s="736"/>
      <c r="E71" s="737"/>
      <c r="F71" s="737"/>
      <c r="G71" s="737" t="s">
        <v>199</v>
      </c>
      <c r="H71" s="737" t="s">
        <v>199</v>
      </c>
      <c r="I71" s="738"/>
      <c r="J71" s="738"/>
      <c r="K71" s="738"/>
      <c r="L71" s="738"/>
      <c r="M71" s="738"/>
      <c r="N71" s="738"/>
      <c r="O71" s="738"/>
      <c r="P71" s="738"/>
      <c r="Q71" s="738"/>
      <c r="R71" s="738"/>
      <c r="S71" s="738"/>
      <c r="T71" s="738"/>
      <c r="U71" s="738"/>
    </row>
    <row r="72" spans="1:21">
      <c r="A72" s="736"/>
      <c r="B72" s="736"/>
      <c r="C72" s="736"/>
      <c r="D72" s="736"/>
      <c r="E72" s="737"/>
      <c r="F72" s="737"/>
      <c r="G72" s="737" t="s">
        <v>199</v>
      </c>
      <c r="H72" s="737" t="s">
        <v>199</v>
      </c>
      <c r="I72" s="738"/>
      <c r="J72" s="738"/>
      <c r="K72" s="738"/>
      <c r="L72" s="738"/>
      <c r="M72" s="738"/>
      <c r="N72" s="738"/>
      <c r="O72" s="738"/>
      <c r="P72" s="738"/>
      <c r="Q72" s="738"/>
      <c r="R72" s="738"/>
      <c r="S72" s="738"/>
      <c r="T72" s="738"/>
      <c r="U72" s="738"/>
    </row>
    <row r="73" spans="1:21">
      <c r="A73" s="736"/>
      <c r="B73" s="736"/>
      <c r="C73" s="736"/>
      <c r="D73" s="736"/>
      <c r="E73" s="737"/>
      <c r="F73" s="737"/>
      <c r="G73" s="737" t="s">
        <v>199</v>
      </c>
      <c r="H73" s="737" t="s">
        <v>199</v>
      </c>
      <c r="I73" s="738"/>
      <c r="J73" s="738"/>
      <c r="K73" s="738"/>
      <c r="L73" s="738"/>
      <c r="M73" s="738"/>
      <c r="N73" s="738"/>
      <c r="O73" s="738"/>
      <c r="P73" s="738"/>
      <c r="Q73" s="738"/>
      <c r="R73" s="738"/>
      <c r="S73" s="738"/>
      <c r="T73" s="738"/>
      <c r="U73" s="738"/>
    </row>
    <row r="74" spans="1:21">
      <c r="A74" s="736"/>
      <c r="B74" s="736"/>
      <c r="C74" s="736"/>
      <c r="D74" s="736"/>
      <c r="E74" s="737"/>
      <c r="F74" s="737"/>
      <c r="G74" s="737" t="s">
        <v>199</v>
      </c>
      <c r="H74" s="737" t="s">
        <v>199</v>
      </c>
      <c r="I74" s="736"/>
      <c r="J74" s="736"/>
      <c r="K74" s="736"/>
      <c r="L74" s="736"/>
      <c r="M74" s="736"/>
      <c r="N74" s="736"/>
      <c r="O74" s="736"/>
      <c r="P74" s="736"/>
      <c r="Q74" s="736"/>
      <c r="R74" s="736"/>
      <c r="S74" s="736"/>
      <c r="T74" s="736"/>
      <c r="U74" s="736"/>
    </row>
    <row r="75" spans="1:21">
      <c r="A75" s="736"/>
      <c r="B75" s="736"/>
      <c r="C75" s="736"/>
      <c r="D75" s="736"/>
      <c r="E75" s="737"/>
      <c r="F75" s="737"/>
      <c r="G75" s="737" t="s">
        <v>199</v>
      </c>
      <c r="H75" s="737" t="s">
        <v>199</v>
      </c>
      <c r="I75" s="736"/>
      <c r="J75" s="736"/>
      <c r="K75" s="736"/>
      <c r="L75" s="736"/>
      <c r="M75" s="736"/>
      <c r="N75" s="736"/>
      <c r="O75" s="736"/>
      <c r="P75" s="736"/>
      <c r="Q75" s="736"/>
      <c r="R75" s="736"/>
      <c r="S75" s="736"/>
      <c r="T75" s="736"/>
      <c r="U75" s="736"/>
    </row>
    <row r="76" spans="1:21">
      <c r="A76" s="736"/>
      <c r="B76" s="736"/>
      <c r="C76" s="736"/>
      <c r="D76" s="736"/>
      <c r="E76" s="737"/>
      <c r="F76" s="737"/>
      <c r="G76" s="737" t="s">
        <v>199</v>
      </c>
      <c r="H76" s="737" t="s">
        <v>199</v>
      </c>
      <c r="I76" s="736"/>
      <c r="J76" s="736"/>
      <c r="K76" s="736"/>
      <c r="L76" s="736"/>
      <c r="M76" s="736"/>
      <c r="N76" s="736"/>
      <c r="O76" s="736"/>
      <c r="P76" s="736"/>
      <c r="Q76" s="736"/>
      <c r="R76" s="736"/>
      <c r="S76" s="736"/>
      <c r="T76" s="736"/>
      <c r="U76" s="736"/>
    </row>
    <row r="77" spans="1:21">
      <c r="A77" s="736"/>
      <c r="B77" s="736"/>
      <c r="C77" s="736"/>
      <c r="D77" s="736"/>
      <c r="E77" s="737"/>
      <c r="F77" s="737"/>
      <c r="G77" s="737" t="s">
        <v>199</v>
      </c>
      <c r="H77" s="737" t="s">
        <v>199</v>
      </c>
      <c r="I77" s="738"/>
      <c r="J77" s="738"/>
      <c r="K77" s="738"/>
      <c r="L77" s="738"/>
      <c r="M77" s="738"/>
      <c r="N77" s="738"/>
      <c r="O77" s="738"/>
      <c r="P77" s="738"/>
      <c r="Q77" s="738"/>
      <c r="R77" s="738"/>
      <c r="S77" s="738"/>
      <c r="T77" s="738"/>
      <c r="U77" s="738"/>
    </row>
    <row r="78" spans="1:21">
      <c r="A78" s="736"/>
      <c r="B78" s="736"/>
      <c r="C78" s="736"/>
      <c r="D78" s="736"/>
      <c r="E78" s="737"/>
      <c r="F78" s="737"/>
      <c r="G78" s="737" t="s">
        <v>199</v>
      </c>
      <c r="H78" s="737" t="s">
        <v>199</v>
      </c>
      <c r="I78" s="736"/>
      <c r="J78" s="736"/>
      <c r="K78" s="736"/>
      <c r="L78" s="736"/>
      <c r="M78" s="736"/>
      <c r="N78" s="736"/>
      <c r="O78" s="736"/>
      <c r="P78" s="736"/>
      <c r="Q78" s="736"/>
      <c r="R78" s="736"/>
      <c r="S78" s="736"/>
      <c r="T78" s="736"/>
      <c r="U78" s="736"/>
    </row>
    <row r="79" spans="1:21">
      <c r="A79" s="736"/>
      <c r="B79" s="736"/>
      <c r="C79" s="736"/>
      <c r="D79" s="736"/>
      <c r="E79" s="737"/>
      <c r="F79" s="737"/>
      <c r="G79" s="737" t="s">
        <v>199</v>
      </c>
      <c r="H79" s="737" t="s">
        <v>199</v>
      </c>
      <c r="I79" s="736"/>
      <c r="J79" s="736"/>
      <c r="K79" s="736"/>
      <c r="L79" s="736"/>
      <c r="M79" s="736"/>
      <c r="N79" s="736"/>
      <c r="O79" s="736"/>
      <c r="P79" s="736"/>
      <c r="Q79" s="736"/>
      <c r="R79" s="736"/>
      <c r="S79" s="736"/>
      <c r="T79" s="736"/>
      <c r="U79" s="736"/>
    </row>
    <row r="80" spans="1:21">
      <c r="A80" s="736"/>
      <c r="B80" s="736"/>
      <c r="C80" s="736"/>
      <c r="D80" s="736"/>
      <c r="E80" s="737"/>
      <c r="F80" s="737"/>
      <c r="G80" s="737" t="s">
        <v>199</v>
      </c>
      <c r="H80" s="737" t="s">
        <v>199</v>
      </c>
      <c r="I80" s="736"/>
      <c r="J80" s="736"/>
      <c r="K80" s="736"/>
      <c r="L80" s="736"/>
      <c r="M80" s="736"/>
      <c r="N80" s="736"/>
      <c r="O80" s="736"/>
      <c r="P80" s="736"/>
      <c r="Q80" s="736"/>
      <c r="R80" s="736"/>
      <c r="S80" s="736"/>
      <c r="T80" s="736"/>
      <c r="U80" s="736"/>
    </row>
    <row r="81" spans="1:21">
      <c r="A81" s="736"/>
      <c r="B81" s="736"/>
      <c r="C81" s="736"/>
      <c r="D81" s="736"/>
      <c r="E81" s="737"/>
      <c r="F81" s="737"/>
      <c r="G81" s="737" t="s">
        <v>199</v>
      </c>
      <c r="H81" s="737" t="s">
        <v>199</v>
      </c>
      <c r="I81" s="738"/>
      <c r="J81" s="738"/>
      <c r="K81" s="738"/>
      <c r="L81" s="738"/>
      <c r="M81" s="738"/>
      <c r="N81" s="738"/>
      <c r="O81" s="738"/>
      <c r="P81" s="738"/>
      <c r="Q81" s="738"/>
      <c r="R81" s="738"/>
      <c r="S81" s="738"/>
      <c r="T81" s="738"/>
      <c r="U81" s="738"/>
    </row>
  </sheetData>
  <mergeCells count="2">
    <mergeCell ref="A5:D5"/>
    <mergeCell ref="A1:D4"/>
  </mergeCells>
  <conditionalFormatting sqref="D9:H9">
    <cfRule type="cellIs" dxfId="1" priority="2" operator="lessThan">
      <formula>0</formula>
    </cfRule>
    <cfRule type="cellIs" priority="3" operator="lessThan">
      <formula>0</formula>
    </cfRule>
  </conditionalFormatting>
  <conditionalFormatting sqref="D81">
    <cfRule type="duplicateValues" dxfId="2" priority="1"/>
  </conditionalFormatting>
  <conditionalFormatting sqref="D13:D80">
    <cfRule type="duplicateValues" dxfId="2" priority="4"/>
  </conditionalFormatting>
  <hyperlinks>
    <hyperlink ref="A1" location="目录!A1" display="← 返回目录"/>
  </hyperlink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>
    <tabColor theme="8" tint="0.799981688894314"/>
  </sheetPr>
  <dimension ref="A1:AP83"/>
  <sheetViews>
    <sheetView zoomScale="115" zoomScaleNormal="115" workbookViewId="0">
      <pane ySplit="12" topLeftCell="A13" activePane="bottomLeft" state="frozen"/>
      <selection/>
      <selection pane="bottomLeft" activeCell="A1" sqref="A1:D5"/>
    </sheetView>
  </sheetViews>
  <sheetFormatPr defaultColWidth="9" defaultRowHeight="13.5"/>
  <cols>
    <col min="1" max="1" width="8.725"/>
    <col min="2" max="2" width="10.9083333333333" customWidth="1"/>
    <col min="3" max="4" width="11.6333333333333" customWidth="1"/>
    <col min="5" max="7" width="11.5416666666667" customWidth="1"/>
    <col min="8" max="25" width="8.725"/>
    <col min="26" max="26" width="17.45" customWidth="1"/>
    <col min="27" max="41" width="8.725"/>
    <col min="42" max="42" width="17.45" customWidth="1"/>
    <col min="43" max="16365" width="8.725"/>
  </cols>
  <sheetData>
    <row r="1" spans="1:42">
      <c r="A1" s="162" t="s">
        <v>185</v>
      </c>
      <c r="B1" s="10"/>
      <c r="C1" s="10"/>
      <c r="D1" s="10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70"/>
      <c r="AA1" s="8"/>
      <c r="AB1" s="8"/>
      <c r="AC1" s="8"/>
      <c r="AD1" s="8"/>
      <c r="AE1" s="8"/>
      <c r="AF1" s="8"/>
      <c r="AG1" s="8"/>
      <c r="AH1" s="8"/>
      <c r="AI1" s="8"/>
      <c r="AJ1" s="8"/>
      <c r="AK1" s="70"/>
    </row>
    <row r="2" ht="14" customHeight="1" spans="1:42">
      <c r="A2" s="10"/>
      <c r="B2" s="10"/>
      <c r="C2" s="10"/>
      <c r="D2" s="10"/>
      <c r="E2" s="12"/>
      <c r="F2" s="13" t="s">
        <v>1571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71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71"/>
    </row>
    <row r="3" ht="14" customHeight="1" spans="1:42">
      <c r="A3" s="10"/>
      <c r="B3" s="10"/>
      <c r="C3" s="10"/>
      <c r="D3" s="10"/>
      <c r="E3" s="12"/>
      <c r="F3" s="13" t="s">
        <v>1644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71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71"/>
    </row>
    <row r="4" ht="14" customHeight="1" spans="1:42">
      <c r="A4" s="10"/>
      <c r="B4" s="10"/>
      <c r="C4" s="10"/>
      <c r="D4" s="10"/>
      <c r="E4" s="12"/>
      <c r="F4" s="13" t="s">
        <v>1408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71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71"/>
    </row>
    <row r="5" ht="14" customHeight="1" spans="1:42">
      <c r="A5" s="17"/>
      <c r="B5" s="17"/>
      <c r="C5" s="17"/>
      <c r="D5" s="17"/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71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71"/>
    </row>
    <row r="6" spans="1:42">
      <c r="A6" s="292" t="s">
        <v>1618</v>
      </c>
      <c r="B6" s="292"/>
      <c r="C6" s="292"/>
      <c r="D6" s="292"/>
      <c r="E6" s="26" t="s">
        <v>1410</v>
      </c>
      <c r="F6" s="27"/>
      <c r="G6" s="27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325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325"/>
    </row>
    <row r="7" spans="1:42">
      <c r="A7" s="1"/>
      <c r="B7" s="1"/>
      <c r="C7" s="1"/>
      <c r="D7" s="1"/>
      <c r="G7" s="32"/>
      <c r="H7" s="1"/>
      <c r="I7" s="1"/>
      <c r="J7" s="1"/>
      <c r="K7" s="1"/>
      <c r="M7" s="1"/>
      <c r="AA7" s="1"/>
      <c r="AB7" s="1"/>
      <c r="AC7" s="1"/>
    </row>
    <row r="8" spans="1:42">
      <c r="A8" s="36" t="s">
        <v>1411</v>
      </c>
      <c r="B8" s="37" t="s">
        <v>1412</v>
      </c>
      <c r="C8" s="36" t="s">
        <v>188</v>
      </c>
      <c r="D8" s="37" t="s">
        <v>1413</v>
      </c>
      <c r="E8" s="36" t="s">
        <v>1364</v>
      </c>
      <c r="F8" s="37" t="s">
        <v>1396</v>
      </c>
      <c r="G8" s="36" t="s">
        <v>1414</v>
      </c>
      <c r="H8" s="38" t="s">
        <v>1359</v>
      </c>
      <c r="I8" s="1"/>
      <c r="J8" s="1"/>
      <c r="K8" s="1"/>
      <c r="M8" s="1"/>
      <c r="AA8" s="1"/>
      <c r="AB8" s="1"/>
      <c r="AC8" s="1"/>
    </row>
    <row r="9" spans="1:42">
      <c r="A9" s="1"/>
      <c r="B9" s="1"/>
      <c r="C9" s="1"/>
      <c r="D9" s="1"/>
      <c r="E9" s="1"/>
      <c r="F9" s="1"/>
      <c r="I9" s="1"/>
      <c r="J9" s="1"/>
      <c r="K9" s="1"/>
      <c r="M9" s="1"/>
      <c r="AA9" s="1"/>
      <c r="AB9" s="1"/>
      <c r="AC9" s="1"/>
    </row>
    <row r="10" ht="18.5" customHeight="1" spans="1:42">
      <c r="A10" s="729" t="s">
        <v>1456</v>
      </c>
      <c r="B10" s="729" t="s">
        <v>1366</v>
      </c>
      <c r="C10" s="739" t="s">
        <v>1367</v>
      </c>
      <c r="D10" s="729" t="s">
        <v>1368</v>
      </c>
      <c r="E10" s="729" t="s">
        <v>489</v>
      </c>
      <c r="F10" s="729" t="s">
        <v>489</v>
      </c>
      <c r="G10" s="729" t="s">
        <v>1369</v>
      </c>
      <c r="H10" s="730" t="s">
        <v>493</v>
      </c>
      <c r="I10" s="729" t="s">
        <v>1371</v>
      </c>
      <c r="J10" s="731" t="s">
        <v>1645</v>
      </c>
      <c r="K10" s="731" t="s">
        <v>1646</v>
      </c>
      <c r="L10" s="731" t="s">
        <v>1647</v>
      </c>
      <c r="M10" s="731" t="s">
        <v>1648</v>
      </c>
      <c r="N10" s="740" t="s">
        <v>1649</v>
      </c>
      <c r="O10" s="741"/>
      <c r="P10" s="741"/>
      <c r="Q10" s="741"/>
      <c r="R10" s="741"/>
      <c r="S10" s="741"/>
      <c r="T10" s="741"/>
      <c r="U10" s="741"/>
      <c r="V10" s="741"/>
      <c r="W10" s="741"/>
      <c r="X10" s="741"/>
      <c r="Y10" s="741"/>
      <c r="Z10" s="742"/>
      <c r="AA10" s="731" t="s">
        <v>1650</v>
      </c>
      <c r="AB10" s="731" t="s">
        <v>1651</v>
      </c>
      <c r="AC10" s="731" t="s">
        <v>1652</v>
      </c>
      <c r="AD10" s="740" t="s">
        <v>1347</v>
      </c>
      <c r="AE10" s="741"/>
      <c r="AF10" s="741"/>
      <c r="AG10" s="741"/>
      <c r="AH10" s="741"/>
      <c r="AI10" s="741"/>
      <c r="AJ10" s="741"/>
      <c r="AK10" s="741"/>
      <c r="AL10" s="741"/>
      <c r="AM10" s="741"/>
      <c r="AN10" s="741"/>
      <c r="AO10" s="741"/>
      <c r="AP10" s="742"/>
    </row>
    <row r="11" s="728" customFormat="1" ht="18.5" customHeight="1" spans="1:42">
      <c r="A11" s="729"/>
      <c r="B11" s="729"/>
      <c r="C11" s="739"/>
      <c r="D11" s="729"/>
      <c r="E11" s="729"/>
      <c r="F11" s="729"/>
      <c r="G11" s="729"/>
      <c r="H11" s="730"/>
      <c r="I11" s="729"/>
      <c r="J11" s="743"/>
      <c r="K11" s="743"/>
      <c r="L11" s="743"/>
      <c r="M11" s="743"/>
      <c r="N11" s="732" t="s">
        <v>304</v>
      </c>
      <c r="O11" s="732" t="s">
        <v>305</v>
      </c>
      <c r="P11" s="732" t="s">
        <v>306</v>
      </c>
      <c r="Q11" s="732" t="s">
        <v>307</v>
      </c>
      <c r="R11" s="732" t="s">
        <v>308</v>
      </c>
      <c r="S11" s="732" t="s">
        <v>309</v>
      </c>
      <c r="T11" s="732" t="s">
        <v>310</v>
      </c>
      <c r="U11" s="732" t="s">
        <v>311</v>
      </c>
      <c r="V11" s="732" t="s">
        <v>312</v>
      </c>
      <c r="W11" s="732" t="s">
        <v>313</v>
      </c>
      <c r="X11" s="732" t="s">
        <v>314</v>
      </c>
      <c r="Y11" s="732" t="s">
        <v>315</v>
      </c>
      <c r="Z11" s="732" t="s">
        <v>1462</v>
      </c>
      <c r="AA11" s="743"/>
      <c r="AB11" s="743"/>
      <c r="AC11" s="743"/>
      <c r="AD11" s="732" t="s">
        <v>304</v>
      </c>
      <c r="AE11" s="732" t="s">
        <v>305</v>
      </c>
      <c r="AF11" s="732" t="s">
        <v>306</v>
      </c>
      <c r="AG11" s="732" t="s">
        <v>307</v>
      </c>
      <c r="AH11" s="732" t="s">
        <v>308</v>
      </c>
      <c r="AI11" s="732" t="s">
        <v>309</v>
      </c>
      <c r="AJ11" s="732" t="s">
        <v>310</v>
      </c>
      <c r="AK11" s="732" t="s">
        <v>311</v>
      </c>
      <c r="AL11" s="732" t="s">
        <v>312</v>
      </c>
      <c r="AM11" s="732" t="s">
        <v>313</v>
      </c>
      <c r="AN11" s="732" t="s">
        <v>314</v>
      </c>
      <c r="AO11" s="732" t="s">
        <v>315</v>
      </c>
      <c r="AP11" s="732" t="s">
        <v>1462</v>
      </c>
    </row>
    <row r="12" s="543" customFormat="1" ht="21.5" customHeight="1" spans="1:42">
      <c r="A12" s="733" t="s">
        <v>1421</v>
      </c>
      <c r="B12" s="733" t="s">
        <v>1421</v>
      </c>
      <c r="C12" s="744" t="s">
        <v>1463</v>
      </c>
      <c r="D12" s="733" t="s">
        <v>1421</v>
      </c>
      <c r="E12" s="733" t="s">
        <v>1421</v>
      </c>
      <c r="F12" s="733" t="s">
        <v>1421</v>
      </c>
      <c r="G12" s="733" t="s">
        <v>1421</v>
      </c>
      <c r="H12" s="744" t="s">
        <v>1463</v>
      </c>
      <c r="I12" s="733" t="s">
        <v>1421</v>
      </c>
      <c r="J12" s="733" t="s">
        <v>1421</v>
      </c>
      <c r="K12" s="733" t="s">
        <v>1421</v>
      </c>
      <c r="L12" s="735" t="s">
        <v>1465</v>
      </c>
      <c r="M12" s="735" t="s">
        <v>1465</v>
      </c>
      <c r="N12" s="735" t="s">
        <v>1465</v>
      </c>
      <c r="O12" s="735" t="s">
        <v>1465</v>
      </c>
      <c r="P12" s="735" t="s">
        <v>1465</v>
      </c>
      <c r="Q12" s="735" t="s">
        <v>1465</v>
      </c>
      <c r="R12" s="735" t="s">
        <v>1465</v>
      </c>
      <c r="S12" s="735" t="s">
        <v>1465</v>
      </c>
      <c r="T12" s="735" t="s">
        <v>1465</v>
      </c>
      <c r="U12" s="735" t="s">
        <v>1465</v>
      </c>
      <c r="V12" s="735" t="s">
        <v>1465</v>
      </c>
      <c r="W12" s="735" t="s">
        <v>1465</v>
      </c>
      <c r="X12" s="735" t="s">
        <v>1465</v>
      </c>
      <c r="Y12" s="735" t="s">
        <v>1465</v>
      </c>
      <c r="Z12" s="735" t="s">
        <v>1465</v>
      </c>
      <c r="AA12" s="733" t="s">
        <v>1421</v>
      </c>
      <c r="AB12" s="735" t="s">
        <v>199</v>
      </c>
      <c r="AC12" s="735" t="s">
        <v>199</v>
      </c>
      <c r="AD12" s="735" t="s">
        <v>199</v>
      </c>
      <c r="AE12" s="735" t="s">
        <v>199</v>
      </c>
      <c r="AF12" s="735" t="s">
        <v>199</v>
      </c>
      <c r="AG12" s="735" t="s">
        <v>199</v>
      </c>
      <c r="AH12" s="735" t="s">
        <v>199</v>
      </c>
      <c r="AI12" s="735" t="s">
        <v>199</v>
      </c>
      <c r="AJ12" s="735" t="s">
        <v>199</v>
      </c>
      <c r="AK12" s="735" t="s">
        <v>199</v>
      </c>
      <c r="AL12" s="735" t="s">
        <v>199</v>
      </c>
      <c r="AM12" s="735" t="s">
        <v>199</v>
      </c>
      <c r="AN12" s="735" t="s">
        <v>199</v>
      </c>
      <c r="AO12" s="735" t="s">
        <v>199</v>
      </c>
      <c r="AP12" s="735" t="s">
        <v>1465</v>
      </c>
    </row>
    <row r="13" spans="1:42">
      <c r="A13" s="736"/>
      <c r="B13" s="736"/>
      <c r="C13" s="736"/>
      <c r="D13" s="736"/>
      <c r="E13" s="736"/>
      <c r="F13" s="736"/>
      <c r="G13" s="736"/>
      <c r="H13" s="736"/>
      <c r="I13" s="736"/>
      <c r="J13" s="736"/>
      <c r="K13" s="736"/>
      <c r="L13" s="737" t="s">
        <v>199</v>
      </c>
      <c r="M13" s="736"/>
      <c r="N13" s="736"/>
      <c r="O13" s="736"/>
      <c r="P13" s="736"/>
      <c r="Q13" s="736"/>
      <c r="R13" s="736"/>
      <c r="S13" s="736"/>
      <c r="T13" s="736"/>
      <c r="U13" s="736"/>
      <c r="V13" s="736"/>
      <c r="W13" s="736"/>
      <c r="X13" s="736"/>
      <c r="Y13" s="736"/>
      <c r="Z13" s="736"/>
      <c r="AA13" s="736"/>
      <c r="AB13" s="736"/>
      <c r="AC13" s="736"/>
      <c r="AD13" s="736"/>
      <c r="AE13" s="736"/>
      <c r="AF13" s="736"/>
      <c r="AG13" s="736"/>
      <c r="AH13" s="736"/>
      <c r="AI13" s="736"/>
      <c r="AJ13" s="736"/>
      <c r="AK13" s="736"/>
      <c r="AL13" s="736"/>
      <c r="AM13" s="736"/>
      <c r="AN13" s="736"/>
      <c r="AO13" s="736"/>
      <c r="AP13" s="736"/>
    </row>
    <row r="14" spans="1:42">
      <c r="A14" s="736"/>
      <c r="B14" s="736"/>
      <c r="C14" s="736"/>
      <c r="D14" s="736"/>
      <c r="E14" s="736"/>
      <c r="F14" s="736"/>
      <c r="G14" s="736"/>
      <c r="H14" s="736"/>
      <c r="I14" s="736"/>
      <c r="J14" s="736"/>
      <c r="K14" s="736"/>
      <c r="L14" s="737" t="s">
        <v>199</v>
      </c>
      <c r="M14" s="736"/>
      <c r="N14" s="736"/>
      <c r="O14" s="736"/>
      <c r="P14" s="736"/>
      <c r="Q14" s="736"/>
      <c r="R14" s="736"/>
      <c r="S14" s="736"/>
      <c r="T14" s="736"/>
      <c r="U14" s="736"/>
      <c r="V14" s="736"/>
      <c r="W14" s="736"/>
      <c r="X14" s="736"/>
      <c r="Y14" s="736"/>
      <c r="Z14" s="736"/>
      <c r="AA14" s="736"/>
      <c r="AB14" s="736"/>
      <c r="AC14" s="736"/>
      <c r="AD14" s="736"/>
      <c r="AE14" s="736"/>
      <c r="AF14" s="736"/>
      <c r="AG14" s="736"/>
      <c r="AH14" s="736"/>
      <c r="AI14" s="736"/>
      <c r="AJ14" s="736"/>
      <c r="AK14" s="736"/>
      <c r="AL14" s="736"/>
      <c r="AM14" s="736"/>
      <c r="AN14" s="736"/>
      <c r="AO14" s="736"/>
      <c r="AP14" s="736"/>
    </row>
    <row r="15" spans="1:42">
      <c r="A15" s="736"/>
      <c r="B15" s="736"/>
      <c r="C15" s="736"/>
      <c r="D15" s="736"/>
      <c r="E15" s="736"/>
      <c r="F15" s="736"/>
      <c r="G15" s="736"/>
      <c r="H15" s="736"/>
      <c r="I15" s="736"/>
      <c r="J15" s="736"/>
      <c r="K15" s="736"/>
      <c r="L15" s="737" t="s">
        <v>199</v>
      </c>
      <c r="M15" s="736"/>
      <c r="N15" s="736"/>
      <c r="O15" s="736"/>
      <c r="P15" s="736"/>
      <c r="Q15" s="736"/>
      <c r="R15" s="736"/>
      <c r="S15" s="736"/>
      <c r="T15" s="736"/>
      <c r="U15" s="736"/>
      <c r="V15" s="736"/>
      <c r="W15" s="736"/>
      <c r="X15" s="736"/>
      <c r="Y15" s="736"/>
      <c r="Z15" s="736"/>
      <c r="AA15" s="736"/>
      <c r="AB15" s="736"/>
      <c r="AC15" s="736"/>
      <c r="AD15" s="736"/>
      <c r="AE15" s="736"/>
      <c r="AF15" s="736"/>
      <c r="AG15" s="736"/>
      <c r="AH15" s="736"/>
      <c r="AI15" s="736"/>
      <c r="AJ15" s="736"/>
      <c r="AK15" s="736"/>
      <c r="AL15" s="736"/>
      <c r="AM15" s="736"/>
      <c r="AN15" s="736"/>
      <c r="AO15" s="736"/>
      <c r="AP15" s="736"/>
    </row>
    <row r="16" spans="1:42">
      <c r="A16" s="736"/>
      <c r="B16" s="736"/>
      <c r="C16" s="736"/>
      <c r="D16" s="736"/>
      <c r="E16" s="736"/>
      <c r="F16" s="736"/>
      <c r="G16" s="736"/>
      <c r="H16" s="736"/>
      <c r="I16" s="736"/>
      <c r="J16" s="736"/>
      <c r="K16" s="736"/>
      <c r="L16" s="737" t="s">
        <v>199</v>
      </c>
      <c r="M16" s="736"/>
      <c r="N16" s="736"/>
      <c r="O16" s="736"/>
      <c r="P16" s="736"/>
      <c r="Q16" s="736"/>
      <c r="R16" s="736"/>
      <c r="S16" s="736"/>
      <c r="T16" s="736"/>
      <c r="U16" s="736"/>
      <c r="V16" s="736"/>
      <c r="W16" s="736"/>
      <c r="X16" s="736"/>
      <c r="Y16" s="736"/>
      <c r="Z16" s="736"/>
      <c r="AA16" s="736"/>
      <c r="AB16" s="736"/>
      <c r="AC16" s="736"/>
      <c r="AD16" s="736"/>
      <c r="AE16" s="736"/>
      <c r="AF16" s="736"/>
      <c r="AG16" s="736"/>
      <c r="AH16" s="736"/>
      <c r="AI16" s="736"/>
      <c r="AJ16" s="736"/>
      <c r="AK16" s="736"/>
      <c r="AL16" s="736"/>
      <c r="AM16" s="736"/>
      <c r="AN16" s="736"/>
      <c r="AO16" s="736"/>
      <c r="AP16" s="736"/>
    </row>
    <row r="17" spans="1:42">
      <c r="A17" s="736"/>
      <c r="B17" s="736"/>
      <c r="C17" s="736"/>
      <c r="D17" s="736"/>
      <c r="E17" s="736"/>
      <c r="F17" s="736"/>
      <c r="G17" s="736"/>
      <c r="H17" s="736"/>
      <c r="I17" s="736"/>
      <c r="J17" s="736"/>
      <c r="K17" s="736"/>
      <c r="L17" s="737" t="s">
        <v>199</v>
      </c>
      <c r="M17" s="736"/>
      <c r="N17" s="736"/>
      <c r="O17" s="736"/>
      <c r="P17" s="736"/>
      <c r="Q17" s="736"/>
      <c r="R17" s="736"/>
      <c r="S17" s="736"/>
      <c r="T17" s="736"/>
      <c r="U17" s="736"/>
      <c r="V17" s="736"/>
      <c r="W17" s="736"/>
      <c r="X17" s="736"/>
      <c r="Y17" s="736"/>
      <c r="Z17" s="736"/>
      <c r="AA17" s="736"/>
      <c r="AB17" s="736"/>
      <c r="AC17" s="736"/>
      <c r="AD17" s="736"/>
      <c r="AE17" s="736"/>
      <c r="AF17" s="736"/>
      <c r="AG17" s="736"/>
      <c r="AH17" s="736"/>
      <c r="AI17" s="736"/>
      <c r="AJ17" s="736"/>
      <c r="AK17" s="736"/>
      <c r="AL17" s="736"/>
      <c r="AM17" s="736"/>
      <c r="AN17" s="736"/>
      <c r="AO17" s="736"/>
      <c r="AP17" s="736"/>
    </row>
    <row r="18" spans="1:42">
      <c r="A18" s="736"/>
      <c r="B18" s="736"/>
      <c r="C18" s="736"/>
      <c r="D18" s="736"/>
      <c r="E18" s="736"/>
      <c r="F18" s="736"/>
      <c r="G18" s="736"/>
      <c r="H18" s="736"/>
      <c r="I18" s="736"/>
      <c r="J18" s="736"/>
      <c r="K18" s="736"/>
      <c r="L18" s="737" t="s">
        <v>199</v>
      </c>
      <c r="M18" s="736"/>
      <c r="N18" s="736"/>
      <c r="O18" s="736"/>
      <c r="P18" s="736"/>
      <c r="Q18" s="736"/>
      <c r="R18" s="736"/>
      <c r="S18" s="736"/>
      <c r="T18" s="736"/>
      <c r="U18" s="736"/>
      <c r="V18" s="736"/>
      <c r="W18" s="736"/>
      <c r="X18" s="736"/>
      <c r="Y18" s="736"/>
      <c r="Z18" s="736"/>
      <c r="AA18" s="736"/>
      <c r="AB18" s="736"/>
      <c r="AC18" s="736"/>
      <c r="AD18" s="736"/>
      <c r="AE18" s="736"/>
      <c r="AF18" s="736"/>
      <c r="AG18" s="736"/>
      <c r="AH18" s="736"/>
      <c r="AI18" s="736"/>
      <c r="AJ18" s="736"/>
      <c r="AK18" s="736"/>
      <c r="AL18" s="736"/>
      <c r="AM18" s="736"/>
      <c r="AN18" s="736"/>
      <c r="AO18" s="736"/>
      <c r="AP18" s="736"/>
    </row>
    <row r="19" spans="1:42">
      <c r="A19" s="736"/>
      <c r="B19" s="736"/>
      <c r="C19" s="736"/>
      <c r="D19" s="736"/>
      <c r="E19" s="736"/>
      <c r="F19" s="736"/>
      <c r="G19" s="736"/>
      <c r="H19" s="736"/>
      <c r="I19" s="736"/>
      <c r="J19" s="736"/>
      <c r="K19" s="736"/>
      <c r="L19" s="737" t="s">
        <v>199</v>
      </c>
      <c r="M19" s="736"/>
      <c r="N19" s="736"/>
      <c r="O19" s="736"/>
      <c r="P19" s="736"/>
      <c r="Q19" s="736"/>
      <c r="R19" s="736"/>
      <c r="S19" s="736"/>
      <c r="T19" s="736"/>
      <c r="U19" s="736"/>
      <c r="V19" s="736"/>
      <c r="W19" s="736"/>
      <c r="X19" s="736"/>
      <c r="Y19" s="736"/>
      <c r="Z19" s="736"/>
      <c r="AA19" s="736"/>
      <c r="AB19" s="736"/>
      <c r="AC19" s="736"/>
      <c r="AD19" s="736"/>
      <c r="AE19" s="736"/>
      <c r="AF19" s="736"/>
      <c r="AG19" s="736"/>
      <c r="AH19" s="736"/>
      <c r="AI19" s="736"/>
      <c r="AJ19" s="736"/>
      <c r="AK19" s="736"/>
      <c r="AL19" s="736"/>
      <c r="AM19" s="736"/>
      <c r="AN19" s="736"/>
      <c r="AO19" s="736"/>
      <c r="AP19" s="736"/>
    </row>
    <row r="20" spans="1:42">
      <c r="A20" s="736"/>
      <c r="B20" s="736"/>
      <c r="C20" s="736"/>
      <c r="D20" s="736"/>
      <c r="E20" s="736"/>
      <c r="F20" s="736"/>
      <c r="G20" s="736"/>
      <c r="H20" s="736"/>
      <c r="I20" s="736"/>
      <c r="J20" s="736"/>
      <c r="K20" s="736"/>
      <c r="L20" s="737" t="s">
        <v>199</v>
      </c>
      <c r="M20" s="736"/>
      <c r="N20" s="736"/>
      <c r="O20" s="736"/>
      <c r="P20" s="736"/>
      <c r="Q20" s="736"/>
      <c r="R20" s="736"/>
      <c r="S20" s="736"/>
      <c r="T20" s="736"/>
      <c r="U20" s="736"/>
      <c r="V20" s="736"/>
      <c r="W20" s="736"/>
      <c r="X20" s="736"/>
      <c r="Y20" s="736"/>
      <c r="Z20" s="736"/>
      <c r="AA20" s="736"/>
      <c r="AB20" s="736"/>
      <c r="AC20" s="736"/>
      <c r="AD20" s="736"/>
      <c r="AE20" s="736"/>
      <c r="AF20" s="736"/>
      <c r="AG20" s="736"/>
      <c r="AH20" s="736"/>
      <c r="AI20" s="736"/>
      <c r="AJ20" s="736"/>
      <c r="AK20" s="736"/>
      <c r="AL20" s="736"/>
      <c r="AM20" s="736"/>
      <c r="AN20" s="736"/>
      <c r="AO20" s="736"/>
      <c r="AP20" s="736"/>
    </row>
    <row r="21" spans="1:42">
      <c r="A21" s="736"/>
      <c r="B21" s="736"/>
      <c r="C21" s="736"/>
      <c r="D21" s="736"/>
      <c r="E21" s="736"/>
      <c r="F21" s="736"/>
      <c r="G21" s="736"/>
      <c r="H21" s="736"/>
      <c r="I21" s="736"/>
      <c r="J21" s="736"/>
      <c r="K21" s="736"/>
      <c r="L21" s="737" t="s">
        <v>199</v>
      </c>
      <c r="M21" s="736"/>
      <c r="N21" s="736"/>
      <c r="O21" s="736"/>
      <c r="P21" s="736"/>
      <c r="Q21" s="736"/>
      <c r="R21" s="736"/>
      <c r="S21" s="736"/>
      <c r="T21" s="736"/>
      <c r="U21" s="736"/>
      <c r="V21" s="736"/>
      <c r="W21" s="736"/>
      <c r="X21" s="736"/>
      <c r="Y21" s="736"/>
      <c r="Z21" s="736"/>
      <c r="AA21" s="736"/>
      <c r="AB21" s="736"/>
      <c r="AC21" s="736"/>
      <c r="AD21" s="736"/>
      <c r="AE21" s="736"/>
      <c r="AF21" s="736"/>
      <c r="AG21" s="736"/>
      <c r="AH21" s="736"/>
      <c r="AI21" s="736"/>
      <c r="AJ21" s="736"/>
      <c r="AK21" s="736"/>
      <c r="AL21" s="736"/>
      <c r="AM21" s="736"/>
      <c r="AN21" s="736"/>
      <c r="AO21" s="736"/>
      <c r="AP21" s="736"/>
    </row>
    <row r="22" spans="1:42">
      <c r="A22" s="736"/>
      <c r="B22" s="736"/>
      <c r="C22" s="736"/>
      <c r="D22" s="736"/>
      <c r="E22" s="736"/>
      <c r="F22" s="736"/>
      <c r="G22" s="736"/>
      <c r="H22" s="736"/>
      <c r="I22" s="736"/>
      <c r="J22" s="736"/>
      <c r="K22" s="736"/>
      <c r="L22" s="737" t="s">
        <v>199</v>
      </c>
      <c r="M22" s="736"/>
      <c r="N22" s="736"/>
      <c r="O22" s="736"/>
      <c r="P22" s="736"/>
      <c r="Q22" s="736"/>
      <c r="R22" s="736"/>
      <c r="S22" s="736"/>
      <c r="T22" s="736"/>
      <c r="U22" s="736"/>
      <c r="V22" s="736"/>
      <c r="W22" s="736"/>
      <c r="X22" s="736"/>
      <c r="Y22" s="736"/>
      <c r="Z22" s="736"/>
      <c r="AA22" s="736"/>
      <c r="AB22" s="736"/>
      <c r="AC22" s="736"/>
      <c r="AD22" s="736"/>
      <c r="AE22" s="736"/>
      <c r="AF22" s="736"/>
      <c r="AG22" s="736"/>
      <c r="AH22" s="736"/>
      <c r="AI22" s="736"/>
      <c r="AJ22" s="736"/>
      <c r="AK22" s="736"/>
      <c r="AL22" s="736"/>
      <c r="AM22" s="736"/>
      <c r="AN22" s="736"/>
      <c r="AO22" s="736"/>
      <c r="AP22" s="736"/>
    </row>
    <row r="23" spans="1:42">
      <c r="A23" s="736"/>
      <c r="B23" s="736"/>
      <c r="C23" s="736"/>
      <c r="D23" s="736"/>
      <c r="E23" s="736"/>
      <c r="F23" s="736"/>
      <c r="G23" s="736"/>
      <c r="H23" s="736"/>
      <c r="I23" s="736"/>
      <c r="J23" s="736"/>
      <c r="K23" s="736"/>
      <c r="L23" s="737" t="s">
        <v>199</v>
      </c>
      <c r="M23" s="736"/>
      <c r="N23" s="736"/>
      <c r="O23" s="736"/>
      <c r="P23" s="736"/>
      <c r="Q23" s="736"/>
      <c r="R23" s="736"/>
      <c r="S23" s="736"/>
      <c r="T23" s="736"/>
      <c r="U23" s="736"/>
      <c r="V23" s="736"/>
      <c r="W23" s="736"/>
      <c r="X23" s="736"/>
      <c r="Y23" s="736"/>
      <c r="Z23" s="736"/>
      <c r="AA23" s="736"/>
      <c r="AB23" s="736"/>
      <c r="AC23" s="736"/>
      <c r="AD23" s="736"/>
      <c r="AE23" s="736"/>
      <c r="AF23" s="736"/>
      <c r="AG23" s="736"/>
      <c r="AH23" s="736"/>
      <c r="AI23" s="736"/>
      <c r="AJ23" s="736"/>
      <c r="AK23" s="736"/>
      <c r="AL23" s="736"/>
      <c r="AM23" s="736"/>
      <c r="AN23" s="736"/>
      <c r="AO23" s="736"/>
      <c r="AP23" s="736"/>
    </row>
    <row r="24" spans="1:42">
      <c r="A24" s="736"/>
      <c r="B24" s="736"/>
      <c r="C24" s="736"/>
      <c r="D24" s="736"/>
      <c r="E24" s="736"/>
      <c r="F24" s="736"/>
      <c r="G24" s="736"/>
      <c r="H24" s="736"/>
      <c r="I24" s="736"/>
      <c r="J24" s="736"/>
      <c r="K24" s="736"/>
      <c r="L24" s="737" t="s">
        <v>199</v>
      </c>
      <c r="M24" s="736"/>
      <c r="N24" s="736"/>
      <c r="O24" s="736"/>
      <c r="P24" s="736"/>
      <c r="Q24" s="736"/>
      <c r="R24" s="736"/>
      <c r="S24" s="736"/>
      <c r="T24" s="736"/>
      <c r="U24" s="736"/>
      <c r="V24" s="736"/>
      <c r="W24" s="736"/>
      <c r="X24" s="736"/>
      <c r="Y24" s="736"/>
      <c r="Z24" s="736"/>
      <c r="AA24" s="736"/>
      <c r="AB24" s="736"/>
      <c r="AC24" s="736"/>
      <c r="AD24" s="736"/>
      <c r="AE24" s="736"/>
      <c r="AF24" s="736"/>
      <c r="AG24" s="736"/>
      <c r="AH24" s="736"/>
      <c r="AI24" s="736"/>
      <c r="AJ24" s="736"/>
      <c r="AK24" s="736"/>
      <c r="AL24" s="736"/>
      <c r="AM24" s="736"/>
      <c r="AN24" s="736"/>
      <c r="AO24" s="736"/>
      <c r="AP24" s="736"/>
    </row>
    <row r="25" spans="1:42">
      <c r="A25" s="736"/>
      <c r="B25" s="736"/>
      <c r="C25" s="736"/>
      <c r="D25" s="736"/>
      <c r="E25" s="736"/>
      <c r="F25" s="736"/>
      <c r="G25" s="736"/>
      <c r="H25" s="736"/>
      <c r="I25" s="736"/>
      <c r="J25" s="736"/>
      <c r="K25" s="736"/>
      <c r="L25" s="737" t="s">
        <v>199</v>
      </c>
      <c r="M25" s="736"/>
      <c r="N25" s="736"/>
      <c r="O25" s="736"/>
      <c r="P25" s="736"/>
      <c r="Q25" s="736"/>
      <c r="R25" s="736"/>
      <c r="S25" s="736"/>
      <c r="T25" s="736"/>
      <c r="U25" s="736"/>
      <c r="V25" s="736"/>
      <c r="W25" s="736"/>
      <c r="X25" s="736"/>
      <c r="Y25" s="736"/>
      <c r="Z25" s="736"/>
      <c r="AA25" s="736"/>
      <c r="AB25" s="736"/>
      <c r="AC25" s="736"/>
      <c r="AD25" s="736"/>
      <c r="AE25" s="736"/>
      <c r="AF25" s="736"/>
      <c r="AG25" s="736"/>
      <c r="AH25" s="736"/>
      <c r="AI25" s="736"/>
      <c r="AJ25" s="736"/>
      <c r="AK25" s="736"/>
      <c r="AL25" s="736"/>
      <c r="AM25" s="736"/>
      <c r="AN25" s="736"/>
      <c r="AO25" s="736"/>
      <c r="AP25" s="736"/>
    </row>
    <row r="26" spans="1:42">
      <c r="A26" s="736"/>
      <c r="B26" s="736"/>
      <c r="C26" s="736"/>
      <c r="D26" s="736"/>
      <c r="E26" s="736"/>
      <c r="F26" s="736"/>
      <c r="G26" s="736"/>
      <c r="H26" s="736"/>
      <c r="I26" s="736"/>
      <c r="J26" s="736"/>
      <c r="K26" s="736"/>
      <c r="L26" s="737" t="s">
        <v>199</v>
      </c>
      <c r="M26" s="736"/>
      <c r="N26" s="736"/>
      <c r="O26" s="736"/>
      <c r="P26" s="736"/>
      <c r="Q26" s="736"/>
      <c r="R26" s="736"/>
      <c r="S26" s="736"/>
      <c r="T26" s="736"/>
      <c r="U26" s="736"/>
      <c r="V26" s="736"/>
      <c r="W26" s="736"/>
      <c r="X26" s="736"/>
      <c r="Y26" s="736"/>
      <c r="Z26" s="736"/>
      <c r="AA26" s="736"/>
      <c r="AB26" s="736"/>
      <c r="AC26" s="736"/>
      <c r="AD26" s="736"/>
      <c r="AE26" s="736"/>
      <c r="AF26" s="736"/>
      <c r="AG26" s="736"/>
      <c r="AH26" s="736"/>
      <c r="AI26" s="736"/>
      <c r="AJ26" s="736"/>
      <c r="AK26" s="736"/>
      <c r="AL26" s="736"/>
      <c r="AM26" s="736"/>
      <c r="AN26" s="736"/>
      <c r="AO26" s="736"/>
      <c r="AP26" s="736"/>
    </row>
    <row r="27" spans="1:42">
      <c r="A27" s="736"/>
      <c r="B27" s="736"/>
      <c r="C27" s="736"/>
      <c r="D27" s="736"/>
      <c r="E27" s="736"/>
      <c r="F27" s="736"/>
      <c r="G27" s="736"/>
      <c r="H27" s="736"/>
      <c r="I27" s="736"/>
      <c r="J27" s="736"/>
      <c r="K27" s="736"/>
      <c r="L27" s="737" t="s">
        <v>199</v>
      </c>
      <c r="M27" s="736"/>
      <c r="N27" s="736"/>
      <c r="O27" s="736"/>
      <c r="P27" s="736"/>
      <c r="Q27" s="736"/>
      <c r="R27" s="736"/>
      <c r="S27" s="736"/>
      <c r="T27" s="736"/>
      <c r="U27" s="736"/>
      <c r="V27" s="736"/>
      <c r="W27" s="736"/>
      <c r="X27" s="736"/>
      <c r="Y27" s="736"/>
      <c r="Z27" s="736"/>
      <c r="AA27" s="736"/>
      <c r="AB27" s="736"/>
      <c r="AC27" s="736"/>
      <c r="AD27" s="736"/>
      <c r="AE27" s="736"/>
      <c r="AF27" s="736"/>
      <c r="AG27" s="736"/>
      <c r="AH27" s="736"/>
      <c r="AI27" s="736"/>
      <c r="AJ27" s="736"/>
      <c r="AK27" s="736"/>
      <c r="AL27" s="736"/>
      <c r="AM27" s="736"/>
      <c r="AN27" s="736"/>
      <c r="AO27" s="736"/>
      <c r="AP27" s="736"/>
    </row>
    <row r="28" spans="1:42">
      <c r="A28" s="736"/>
      <c r="B28" s="736"/>
      <c r="C28" s="736"/>
      <c r="D28" s="736"/>
      <c r="E28" s="736"/>
      <c r="F28" s="736"/>
      <c r="G28" s="736"/>
      <c r="H28" s="736"/>
      <c r="I28" s="736"/>
      <c r="J28" s="736"/>
      <c r="K28" s="736"/>
      <c r="L28" s="737" t="s">
        <v>199</v>
      </c>
      <c r="M28" s="736"/>
      <c r="N28" s="736"/>
      <c r="O28" s="736"/>
      <c r="P28" s="736"/>
      <c r="Q28" s="736"/>
      <c r="R28" s="736"/>
      <c r="S28" s="736"/>
      <c r="T28" s="736"/>
      <c r="U28" s="736"/>
      <c r="V28" s="736"/>
      <c r="W28" s="736"/>
      <c r="X28" s="736"/>
      <c r="Y28" s="736"/>
      <c r="Z28" s="736"/>
      <c r="AA28" s="736"/>
      <c r="AB28" s="736"/>
      <c r="AC28" s="736"/>
      <c r="AD28" s="736"/>
      <c r="AE28" s="736"/>
      <c r="AF28" s="736"/>
      <c r="AG28" s="736"/>
      <c r="AH28" s="736"/>
      <c r="AI28" s="736"/>
      <c r="AJ28" s="736"/>
      <c r="AK28" s="736"/>
      <c r="AL28" s="736"/>
      <c r="AM28" s="736"/>
      <c r="AN28" s="736"/>
      <c r="AO28" s="736"/>
      <c r="AP28" s="736"/>
    </row>
    <row r="29" spans="1:42">
      <c r="A29" s="736"/>
      <c r="B29" s="736"/>
      <c r="C29" s="736"/>
      <c r="D29" s="736"/>
      <c r="E29" s="736"/>
      <c r="F29" s="736"/>
      <c r="G29" s="736"/>
      <c r="H29" s="736"/>
      <c r="I29" s="736"/>
      <c r="J29" s="736"/>
      <c r="K29" s="736"/>
      <c r="L29" s="737" t="s">
        <v>199</v>
      </c>
      <c r="M29" s="736"/>
      <c r="N29" s="736"/>
      <c r="O29" s="736"/>
      <c r="P29" s="736"/>
      <c r="Q29" s="736"/>
      <c r="R29" s="736"/>
      <c r="S29" s="736"/>
      <c r="T29" s="736"/>
      <c r="U29" s="736"/>
      <c r="V29" s="736"/>
      <c r="W29" s="736"/>
      <c r="X29" s="736"/>
      <c r="Y29" s="736"/>
      <c r="Z29" s="736"/>
      <c r="AA29" s="736"/>
      <c r="AB29" s="736"/>
      <c r="AC29" s="736"/>
      <c r="AD29" s="736"/>
      <c r="AE29" s="736"/>
      <c r="AF29" s="736"/>
      <c r="AG29" s="736"/>
      <c r="AH29" s="736"/>
      <c r="AI29" s="736"/>
      <c r="AJ29" s="736"/>
      <c r="AK29" s="736"/>
      <c r="AL29" s="736"/>
      <c r="AM29" s="736"/>
      <c r="AN29" s="736"/>
      <c r="AO29" s="736"/>
      <c r="AP29" s="736"/>
    </row>
    <row r="30" spans="1:42">
      <c r="A30" s="736"/>
      <c r="B30" s="736"/>
      <c r="C30" s="736"/>
      <c r="D30" s="736"/>
      <c r="E30" s="736"/>
      <c r="F30" s="736"/>
      <c r="G30" s="736"/>
      <c r="H30" s="736"/>
      <c r="I30" s="736"/>
      <c r="J30" s="736"/>
      <c r="K30" s="736"/>
      <c r="L30" s="737" t="s">
        <v>199</v>
      </c>
      <c r="M30" s="736"/>
      <c r="N30" s="736"/>
      <c r="O30" s="736"/>
      <c r="P30" s="736"/>
      <c r="Q30" s="736"/>
      <c r="R30" s="736"/>
      <c r="S30" s="736"/>
      <c r="T30" s="736"/>
      <c r="U30" s="736"/>
      <c r="V30" s="736"/>
      <c r="W30" s="736"/>
      <c r="X30" s="736"/>
      <c r="Y30" s="736"/>
      <c r="Z30" s="736"/>
      <c r="AA30" s="736"/>
      <c r="AB30" s="736"/>
      <c r="AC30" s="736"/>
      <c r="AD30" s="736"/>
      <c r="AE30" s="736"/>
      <c r="AF30" s="736"/>
      <c r="AG30" s="736"/>
      <c r="AH30" s="736"/>
      <c r="AI30" s="736"/>
      <c r="AJ30" s="736"/>
      <c r="AK30" s="736"/>
      <c r="AL30" s="736"/>
      <c r="AM30" s="736"/>
      <c r="AN30" s="736"/>
      <c r="AO30" s="736"/>
      <c r="AP30" s="736"/>
    </row>
    <row r="31" spans="1:42">
      <c r="A31" s="736"/>
      <c r="B31" s="736"/>
      <c r="C31" s="736"/>
      <c r="D31" s="736"/>
      <c r="E31" s="736"/>
      <c r="F31" s="736"/>
      <c r="G31" s="736"/>
      <c r="H31" s="736"/>
      <c r="I31" s="736"/>
      <c r="J31" s="736"/>
      <c r="K31" s="736"/>
      <c r="L31" s="737" t="s">
        <v>199</v>
      </c>
      <c r="M31" s="736"/>
      <c r="N31" s="736"/>
      <c r="O31" s="736"/>
      <c r="P31" s="736"/>
      <c r="Q31" s="736"/>
      <c r="R31" s="736"/>
      <c r="S31" s="736"/>
      <c r="T31" s="736"/>
      <c r="U31" s="736"/>
      <c r="V31" s="736"/>
      <c r="W31" s="736"/>
      <c r="X31" s="736"/>
      <c r="Y31" s="736"/>
      <c r="Z31" s="736"/>
      <c r="AA31" s="736"/>
      <c r="AB31" s="736"/>
      <c r="AC31" s="736"/>
      <c r="AD31" s="736"/>
      <c r="AE31" s="736"/>
      <c r="AF31" s="736"/>
      <c r="AG31" s="736"/>
      <c r="AH31" s="736"/>
      <c r="AI31" s="736"/>
      <c r="AJ31" s="736"/>
      <c r="AK31" s="736"/>
      <c r="AL31" s="736"/>
      <c r="AM31" s="736"/>
      <c r="AN31" s="736"/>
      <c r="AO31" s="736"/>
      <c r="AP31" s="736"/>
    </row>
    <row r="32" spans="1:42">
      <c r="A32" s="736"/>
      <c r="B32" s="736"/>
      <c r="C32" s="736"/>
      <c r="D32" s="736"/>
      <c r="E32" s="736"/>
      <c r="F32" s="736"/>
      <c r="G32" s="736"/>
      <c r="H32" s="736"/>
      <c r="I32" s="736"/>
      <c r="J32" s="736"/>
      <c r="K32" s="736"/>
      <c r="L32" s="737" t="s">
        <v>199</v>
      </c>
      <c r="M32" s="736"/>
      <c r="N32" s="736"/>
      <c r="O32" s="736"/>
      <c r="P32" s="736"/>
      <c r="Q32" s="736"/>
      <c r="R32" s="736"/>
      <c r="S32" s="736"/>
      <c r="T32" s="736"/>
      <c r="U32" s="736"/>
      <c r="V32" s="736"/>
      <c r="W32" s="736"/>
      <c r="X32" s="736"/>
      <c r="Y32" s="736"/>
      <c r="Z32" s="736"/>
      <c r="AA32" s="736"/>
      <c r="AB32" s="736"/>
      <c r="AC32" s="736"/>
      <c r="AD32" s="736"/>
      <c r="AE32" s="736"/>
      <c r="AF32" s="736"/>
      <c r="AG32" s="736"/>
      <c r="AH32" s="736"/>
      <c r="AI32" s="736"/>
      <c r="AJ32" s="736"/>
      <c r="AK32" s="736"/>
      <c r="AL32" s="736"/>
      <c r="AM32" s="736"/>
      <c r="AN32" s="736"/>
      <c r="AO32" s="736"/>
      <c r="AP32" s="736"/>
    </row>
    <row r="33" spans="1:42">
      <c r="A33" s="736"/>
      <c r="B33" s="736"/>
      <c r="C33" s="736"/>
      <c r="D33" s="736"/>
      <c r="E33" s="736"/>
      <c r="F33" s="736"/>
      <c r="G33" s="736"/>
      <c r="H33" s="736"/>
      <c r="I33" s="736"/>
      <c r="J33" s="736"/>
      <c r="K33" s="736"/>
      <c r="L33" s="737" t="s">
        <v>199</v>
      </c>
      <c r="M33" s="736"/>
      <c r="N33" s="736"/>
      <c r="O33" s="736"/>
      <c r="P33" s="736"/>
      <c r="Q33" s="736"/>
      <c r="R33" s="736"/>
      <c r="S33" s="736"/>
      <c r="T33" s="736"/>
      <c r="U33" s="736"/>
      <c r="V33" s="736"/>
      <c r="W33" s="736"/>
      <c r="X33" s="736"/>
      <c r="Y33" s="736"/>
      <c r="Z33" s="736"/>
      <c r="AA33" s="736"/>
      <c r="AB33" s="736"/>
      <c r="AC33" s="736"/>
      <c r="AD33" s="736"/>
      <c r="AE33" s="736"/>
      <c r="AF33" s="736"/>
      <c r="AG33" s="736"/>
      <c r="AH33" s="736"/>
      <c r="AI33" s="736"/>
      <c r="AJ33" s="736"/>
      <c r="AK33" s="736"/>
      <c r="AL33" s="736"/>
      <c r="AM33" s="736"/>
      <c r="AN33" s="736"/>
      <c r="AO33" s="736"/>
      <c r="AP33" s="736"/>
    </row>
    <row r="34" spans="1:42">
      <c r="A34" s="736"/>
      <c r="B34" s="736"/>
      <c r="C34" s="736"/>
      <c r="D34" s="736"/>
      <c r="E34" s="736"/>
      <c r="F34" s="736"/>
      <c r="G34" s="736"/>
      <c r="H34" s="736"/>
      <c r="I34" s="736"/>
      <c r="J34" s="736"/>
      <c r="K34" s="736"/>
      <c r="L34" s="737" t="s">
        <v>199</v>
      </c>
      <c r="M34" s="736"/>
      <c r="N34" s="736"/>
      <c r="O34" s="736"/>
      <c r="P34" s="736"/>
      <c r="Q34" s="736"/>
      <c r="R34" s="736"/>
      <c r="S34" s="736"/>
      <c r="T34" s="736"/>
      <c r="U34" s="736"/>
      <c r="V34" s="736"/>
      <c r="W34" s="736"/>
      <c r="X34" s="736"/>
      <c r="Y34" s="736"/>
      <c r="Z34" s="736"/>
      <c r="AA34" s="736"/>
      <c r="AB34" s="736"/>
      <c r="AC34" s="736"/>
      <c r="AD34" s="736"/>
      <c r="AE34" s="736"/>
      <c r="AF34" s="736"/>
      <c r="AG34" s="736"/>
      <c r="AH34" s="736"/>
      <c r="AI34" s="736"/>
      <c r="AJ34" s="736"/>
      <c r="AK34" s="736"/>
      <c r="AL34" s="736"/>
      <c r="AM34" s="736"/>
      <c r="AN34" s="736"/>
      <c r="AO34" s="736"/>
      <c r="AP34" s="736"/>
    </row>
    <row r="35" spans="1:42">
      <c r="A35" s="736"/>
      <c r="B35" s="736"/>
      <c r="C35" s="736"/>
      <c r="D35" s="736"/>
      <c r="E35" s="736"/>
      <c r="F35" s="736"/>
      <c r="G35" s="736"/>
      <c r="H35" s="736"/>
      <c r="I35" s="736"/>
      <c r="J35" s="736"/>
      <c r="K35" s="736"/>
      <c r="L35" s="737" t="s">
        <v>199</v>
      </c>
      <c r="M35" s="736"/>
      <c r="N35" s="736"/>
      <c r="O35" s="736"/>
      <c r="P35" s="736"/>
      <c r="Q35" s="736"/>
      <c r="R35" s="736"/>
      <c r="S35" s="736"/>
      <c r="T35" s="736"/>
      <c r="U35" s="736"/>
      <c r="V35" s="736"/>
      <c r="W35" s="736"/>
      <c r="X35" s="736"/>
      <c r="Y35" s="736"/>
      <c r="Z35" s="736"/>
      <c r="AA35" s="736"/>
      <c r="AB35" s="736"/>
      <c r="AC35" s="736"/>
      <c r="AD35" s="736"/>
      <c r="AE35" s="736"/>
      <c r="AF35" s="736"/>
      <c r="AG35" s="736"/>
      <c r="AH35" s="736"/>
      <c r="AI35" s="736"/>
      <c r="AJ35" s="736"/>
      <c r="AK35" s="736"/>
      <c r="AL35" s="736"/>
      <c r="AM35" s="736"/>
      <c r="AN35" s="736"/>
      <c r="AO35" s="736"/>
      <c r="AP35" s="736"/>
    </row>
    <row r="36" spans="1:42">
      <c r="A36" s="736"/>
      <c r="B36" s="736"/>
      <c r="C36" s="736"/>
      <c r="D36" s="736"/>
      <c r="E36" s="736"/>
      <c r="F36" s="736"/>
      <c r="G36" s="736"/>
      <c r="H36" s="736"/>
      <c r="I36" s="736"/>
      <c r="J36" s="736"/>
      <c r="K36" s="736"/>
      <c r="L36" s="737" t="s">
        <v>199</v>
      </c>
      <c r="M36" s="736"/>
      <c r="N36" s="736"/>
      <c r="O36" s="736"/>
      <c r="P36" s="736"/>
      <c r="Q36" s="736"/>
      <c r="R36" s="736"/>
      <c r="S36" s="736"/>
      <c r="T36" s="736"/>
      <c r="U36" s="736"/>
      <c r="V36" s="736"/>
      <c r="W36" s="736"/>
      <c r="X36" s="736"/>
      <c r="Y36" s="736"/>
      <c r="Z36" s="736"/>
      <c r="AA36" s="736"/>
      <c r="AB36" s="736"/>
      <c r="AC36" s="736"/>
      <c r="AD36" s="736"/>
      <c r="AE36" s="736"/>
      <c r="AF36" s="736"/>
      <c r="AG36" s="736"/>
      <c r="AH36" s="736"/>
      <c r="AI36" s="736"/>
      <c r="AJ36" s="736"/>
      <c r="AK36" s="736"/>
      <c r="AL36" s="736"/>
      <c r="AM36" s="736"/>
      <c r="AN36" s="736"/>
      <c r="AO36" s="736"/>
      <c r="AP36" s="736"/>
    </row>
    <row r="37" spans="1:42">
      <c r="A37" s="736"/>
      <c r="B37" s="736"/>
      <c r="C37" s="736"/>
      <c r="D37" s="736"/>
      <c r="E37" s="736"/>
      <c r="F37" s="736"/>
      <c r="G37" s="736"/>
      <c r="H37" s="736"/>
      <c r="I37" s="736"/>
      <c r="J37" s="736"/>
      <c r="K37" s="736"/>
      <c r="L37" s="737" t="s">
        <v>199</v>
      </c>
      <c r="M37" s="736"/>
      <c r="N37" s="736"/>
      <c r="O37" s="736"/>
      <c r="P37" s="736"/>
      <c r="Q37" s="736"/>
      <c r="R37" s="736"/>
      <c r="S37" s="736"/>
      <c r="T37" s="736"/>
      <c r="U37" s="736"/>
      <c r="V37" s="736"/>
      <c r="W37" s="736"/>
      <c r="X37" s="736"/>
      <c r="Y37" s="736"/>
      <c r="Z37" s="736"/>
      <c r="AA37" s="736"/>
      <c r="AB37" s="736"/>
      <c r="AC37" s="736"/>
      <c r="AD37" s="736"/>
      <c r="AE37" s="736"/>
      <c r="AF37" s="736"/>
      <c r="AG37" s="736"/>
      <c r="AH37" s="736"/>
      <c r="AI37" s="736"/>
      <c r="AJ37" s="736"/>
      <c r="AK37" s="736"/>
      <c r="AL37" s="736"/>
      <c r="AM37" s="736"/>
      <c r="AN37" s="736"/>
      <c r="AO37" s="736"/>
      <c r="AP37" s="736"/>
    </row>
    <row r="38" spans="1:42">
      <c r="A38" s="736"/>
      <c r="B38" s="736"/>
      <c r="C38" s="736"/>
      <c r="D38" s="736"/>
      <c r="E38" s="736"/>
      <c r="F38" s="736"/>
      <c r="G38" s="736"/>
      <c r="H38" s="736"/>
      <c r="I38" s="736"/>
      <c r="J38" s="736"/>
      <c r="K38" s="736"/>
      <c r="L38" s="737" t="s">
        <v>199</v>
      </c>
      <c r="M38" s="736"/>
      <c r="N38" s="736"/>
      <c r="O38" s="736"/>
      <c r="P38" s="736"/>
      <c r="Q38" s="736"/>
      <c r="R38" s="736"/>
      <c r="S38" s="736"/>
      <c r="T38" s="736"/>
      <c r="U38" s="736"/>
      <c r="V38" s="736"/>
      <c r="W38" s="736"/>
      <c r="X38" s="736"/>
      <c r="Y38" s="736"/>
      <c r="Z38" s="736"/>
      <c r="AA38" s="736"/>
      <c r="AB38" s="736"/>
      <c r="AC38" s="736"/>
      <c r="AD38" s="736"/>
      <c r="AE38" s="736"/>
      <c r="AF38" s="736"/>
      <c r="AG38" s="736"/>
      <c r="AH38" s="736"/>
      <c r="AI38" s="736"/>
      <c r="AJ38" s="736"/>
      <c r="AK38" s="736"/>
      <c r="AL38" s="736"/>
      <c r="AM38" s="736"/>
      <c r="AN38" s="736"/>
      <c r="AO38" s="736"/>
      <c r="AP38" s="736"/>
    </row>
    <row r="39" spans="1:42">
      <c r="A39" s="736"/>
      <c r="B39" s="736"/>
      <c r="C39" s="736"/>
      <c r="D39" s="736"/>
      <c r="E39" s="736"/>
      <c r="F39" s="736"/>
      <c r="G39" s="736"/>
      <c r="H39" s="736"/>
      <c r="I39" s="736"/>
      <c r="J39" s="736"/>
      <c r="K39" s="736"/>
      <c r="L39" s="737" t="s">
        <v>199</v>
      </c>
      <c r="M39" s="736"/>
      <c r="N39" s="736"/>
      <c r="O39" s="736"/>
      <c r="P39" s="736"/>
      <c r="Q39" s="736"/>
      <c r="R39" s="736"/>
      <c r="S39" s="736"/>
      <c r="T39" s="736"/>
      <c r="U39" s="736"/>
      <c r="V39" s="736"/>
      <c r="W39" s="736"/>
      <c r="X39" s="736"/>
      <c r="Y39" s="736"/>
      <c r="Z39" s="736"/>
      <c r="AA39" s="736"/>
      <c r="AB39" s="736"/>
      <c r="AC39" s="736"/>
      <c r="AD39" s="736"/>
      <c r="AE39" s="736"/>
      <c r="AF39" s="736"/>
      <c r="AG39" s="736"/>
      <c r="AH39" s="736"/>
      <c r="AI39" s="736"/>
      <c r="AJ39" s="736"/>
      <c r="AK39" s="736"/>
      <c r="AL39" s="736"/>
      <c r="AM39" s="736"/>
      <c r="AN39" s="736"/>
      <c r="AO39" s="736"/>
      <c r="AP39" s="736"/>
    </row>
    <row r="40" spans="1:42">
      <c r="A40" s="736"/>
      <c r="B40" s="736"/>
      <c r="C40" s="736"/>
      <c r="D40" s="736"/>
      <c r="E40" s="736"/>
      <c r="F40" s="736"/>
      <c r="G40" s="736"/>
      <c r="H40" s="736"/>
      <c r="I40" s="736"/>
      <c r="J40" s="736"/>
      <c r="K40" s="736"/>
      <c r="L40" s="737" t="s">
        <v>199</v>
      </c>
      <c r="M40" s="736"/>
      <c r="N40" s="738"/>
      <c r="O40" s="738"/>
      <c r="P40" s="738"/>
      <c r="Q40" s="738"/>
      <c r="R40" s="738"/>
      <c r="S40" s="738"/>
      <c r="T40" s="738"/>
      <c r="U40" s="738"/>
      <c r="V40" s="738"/>
      <c r="W40" s="738"/>
      <c r="X40" s="738"/>
      <c r="Y40" s="738"/>
      <c r="Z40" s="738"/>
      <c r="AA40" s="736"/>
      <c r="AB40" s="736"/>
      <c r="AC40" s="736"/>
      <c r="AD40" s="738"/>
      <c r="AE40" s="738"/>
      <c r="AF40" s="738"/>
      <c r="AG40" s="738"/>
      <c r="AH40" s="738"/>
      <c r="AI40" s="738"/>
      <c r="AJ40" s="738"/>
      <c r="AK40" s="738"/>
      <c r="AL40" s="738"/>
      <c r="AM40" s="738"/>
      <c r="AN40" s="738"/>
      <c r="AO40" s="738"/>
      <c r="AP40" s="738"/>
    </row>
    <row r="41" spans="1:42">
      <c r="A41" s="736"/>
      <c r="B41" s="736"/>
      <c r="C41" s="736"/>
      <c r="D41" s="736"/>
      <c r="E41" s="736"/>
      <c r="F41" s="736"/>
      <c r="G41" s="736"/>
      <c r="H41" s="736"/>
      <c r="I41" s="736"/>
      <c r="J41" s="736"/>
      <c r="K41" s="736"/>
      <c r="L41" s="737" t="s">
        <v>199</v>
      </c>
      <c r="M41" s="736"/>
      <c r="N41" s="736"/>
      <c r="O41" s="736"/>
      <c r="P41" s="736"/>
      <c r="Q41" s="736"/>
      <c r="R41" s="736"/>
      <c r="S41" s="736"/>
      <c r="T41" s="736"/>
      <c r="U41" s="736"/>
      <c r="V41" s="736"/>
      <c r="W41" s="736"/>
      <c r="X41" s="736"/>
      <c r="Y41" s="736"/>
      <c r="Z41" s="736"/>
      <c r="AA41" s="736"/>
      <c r="AB41" s="736"/>
      <c r="AC41" s="736"/>
      <c r="AD41" s="736"/>
      <c r="AE41" s="736"/>
      <c r="AF41" s="736"/>
      <c r="AG41" s="736"/>
      <c r="AH41" s="736"/>
      <c r="AI41" s="736"/>
      <c r="AJ41" s="736"/>
      <c r="AK41" s="736"/>
      <c r="AL41" s="736"/>
      <c r="AM41" s="736"/>
      <c r="AN41" s="736"/>
      <c r="AO41" s="736"/>
      <c r="AP41" s="736"/>
    </row>
    <row r="42" spans="1:42">
      <c r="A42" s="736"/>
      <c r="B42" s="736"/>
      <c r="C42" s="736"/>
      <c r="D42" s="736"/>
      <c r="E42" s="736"/>
      <c r="F42" s="736"/>
      <c r="G42" s="736"/>
      <c r="H42" s="736"/>
      <c r="I42" s="736"/>
      <c r="J42" s="736"/>
      <c r="K42" s="736"/>
      <c r="L42" s="737" t="s">
        <v>199</v>
      </c>
      <c r="M42" s="736"/>
      <c r="N42" s="736"/>
      <c r="O42" s="736"/>
      <c r="P42" s="736"/>
      <c r="Q42" s="736"/>
      <c r="R42" s="736"/>
      <c r="S42" s="736"/>
      <c r="T42" s="736"/>
      <c r="U42" s="736"/>
      <c r="V42" s="736"/>
      <c r="W42" s="736"/>
      <c r="X42" s="736"/>
      <c r="Y42" s="736"/>
      <c r="Z42" s="736"/>
      <c r="AA42" s="736"/>
      <c r="AB42" s="736"/>
      <c r="AC42" s="736"/>
      <c r="AD42" s="736"/>
      <c r="AE42" s="736"/>
      <c r="AF42" s="736"/>
      <c r="AG42" s="736"/>
      <c r="AH42" s="736"/>
      <c r="AI42" s="736"/>
      <c r="AJ42" s="736"/>
      <c r="AK42" s="736"/>
      <c r="AL42" s="736"/>
      <c r="AM42" s="736"/>
      <c r="AN42" s="736"/>
      <c r="AO42" s="736"/>
      <c r="AP42" s="736"/>
    </row>
    <row r="43" spans="1:42">
      <c r="A43" s="736"/>
      <c r="B43" s="736"/>
      <c r="C43" s="736"/>
      <c r="D43" s="736"/>
      <c r="E43" s="736"/>
      <c r="F43" s="736"/>
      <c r="G43" s="736"/>
      <c r="H43" s="736"/>
      <c r="I43" s="736"/>
      <c r="J43" s="736"/>
      <c r="K43" s="736"/>
      <c r="L43" s="737" t="s">
        <v>199</v>
      </c>
      <c r="M43" s="736"/>
      <c r="N43" s="736"/>
      <c r="O43" s="736"/>
      <c r="P43" s="736"/>
      <c r="Q43" s="736"/>
      <c r="R43" s="736"/>
      <c r="S43" s="736"/>
      <c r="T43" s="736"/>
      <c r="U43" s="736"/>
      <c r="V43" s="736"/>
      <c r="W43" s="736"/>
      <c r="X43" s="736"/>
      <c r="Y43" s="736"/>
      <c r="Z43" s="736"/>
      <c r="AA43" s="736"/>
      <c r="AB43" s="736"/>
      <c r="AC43" s="736"/>
      <c r="AD43" s="736"/>
      <c r="AE43" s="736"/>
      <c r="AF43" s="736"/>
      <c r="AG43" s="736"/>
      <c r="AH43" s="736"/>
      <c r="AI43" s="736"/>
      <c r="AJ43" s="736"/>
      <c r="AK43" s="736"/>
      <c r="AL43" s="736"/>
      <c r="AM43" s="736"/>
      <c r="AN43" s="736"/>
      <c r="AO43" s="736"/>
      <c r="AP43" s="736"/>
    </row>
    <row r="44" spans="1:42">
      <c r="A44" s="736"/>
      <c r="B44" s="736"/>
      <c r="C44" s="736"/>
      <c r="D44" s="736"/>
      <c r="E44" s="736"/>
      <c r="F44" s="736"/>
      <c r="G44" s="736"/>
      <c r="H44" s="736"/>
      <c r="I44" s="736"/>
      <c r="J44" s="736"/>
      <c r="K44" s="736"/>
      <c r="L44" s="737" t="s">
        <v>199</v>
      </c>
      <c r="M44" s="736"/>
      <c r="N44" s="736"/>
      <c r="O44" s="736"/>
      <c r="P44" s="736"/>
      <c r="Q44" s="736"/>
      <c r="R44" s="736"/>
      <c r="S44" s="736"/>
      <c r="T44" s="736"/>
      <c r="U44" s="736"/>
      <c r="V44" s="736"/>
      <c r="W44" s="736"/>
      <c r="X44" s="736"/>
      <c r="Y44" s="736"/>
      <c r="Z44" s="736"/>
      <c r="AA44" s="736"/>
      <c r="AB44" s="736"/>
      <c r="AC44" s="736"/>
      <c r="AD44" s="736"/>
      <c r="AE44" s="736"/>
      <c r="AF44" s="736"/>
      <c r="AG44" s="736"/>
      <c r="AH44" s="736"/>
      <c r="AI44" s="736"/>
      <c r="AJ44" s="736"/>
      <c r="AK44" s="736"/>
      <c r="AL44" s="736"/>
      <c r="AM44" s="736"/>
      <c r="AN44" s="736"/>
      <c r="AO44" s="736"/>
      <c r="AP44" s="736"/>
    </row>
    <row r="45" spans="1:42">
      <c r="A45" s="736"/>
      <c r="B45" s="736"/>
      <c r="C45" s="736"/>
      <c r="D45" s="736"/>
      <c r="E45" s="736"/>
      <c r="F45" s="736"/>
      <c r="G45" s="736"/>
      <c r="H45" s="736"/>
      <c r="I45" s="736"/>
      <c r="J45" s="736"/>
      <c r="K45" s="736"/>
      <c r="L45" s="737" t="s">
        <v>199</v>
      </c>
      <c r="M45" s="736"/>
      <c r="N45" s="736"/>
      <c r="O45" s="736"/>
      <c r="P45" s="736"/>
      <c r="Q45" s="736"/>
      <c r="R45" s="736"/>
      <c r="S45" s="736"/>
      <c r="T45" s="736"/>
      <c r="U45" s="736"/>
      <c r="V45" s="736"/>
      <c r="W45" s="736"/>
      <c r="X45" s="736"/>
      <c r="Y45" s="736"/>
      <c r="Z45" s="736"/>
      <c r="AA45" s="736"/>
      <c r="AB45" s="736"/>
      <c r="AC45" s="736"/>
      <c r="AD45" s="736"/>
      <c r="AE45" s="736"/>
      <c r="AF45" s="736"/>
      <c r="AG45" s="736"/>
      <c r="AH45" s="736"/>
      <c r="AI45" s="736"/>
      <c r="AJ45" s="736"/>
      <c r="AK45" s="736"/>
      <c r="AL45" s="736"/>
      <c r="AM45" s="736"/>
      <c r="AN45" s="736"/>
      <c r="AO45" s="736"/>
      <c r="AP45" s="736"/>
    </row>
    <row r="46" spans="1:42">
      <c r="A46" s="736"/>
      <c r="B46" s="736"/>
      <c r="C46" s="736"/>
      <c r="D46" s="736"/>
      <c r="E46" s="736"/>
      <c r="F46" s="736"/>
      <c r="G46" s="736"/>
      <c r="H46" s="736"/>
      <c r="I46" s="736"/>
      <c r="J46" s="736"/>
      <c r="K46" s="736"/>
      <c r="L46" s="737" t="s">
        <v>199</v>
      </c>
      <c r="M46" s="736"/>
      <c r="N46" s="736"/>
      <c r="O46" s="736"/>
      <c r="P46" s="736"/>
      <c r="Q46" s="736"/>
      <c r="R46" s="736"/>
      <c r="S46" s="736"/>
      <c r="T46" s="736"/>
      <c r="U46" s="736"/>
      <c r="V46" s="736"/>
      <c r="W46" s="736"/>
      <c r="X46" s="736"/>
      <c r="Y46" s="736"/>
      <c r="Z46" s="736"/>
      <c r="AA46" s="736"/>
      <c r="AB46" s="736"/>
      <c r="AC46" s="736"/>
      <c r="AD46" s="736"/>
      <c r="AE46" s="736"/>
      <c r="AF46" s="736"/>
      <c r="AG46" s="736"/>
      <c r="AH46" s="736"/>
      <c r="AI46" s="736"/>
      <c r="AJ46" s="736"/>
      <c r="AK46" s="736"/>
      <c r="AL46" s="736"/>
      <c r="AM46" s="736"/>
      <c r="AN46" s="736"/>
      <c r="AO46" s="736"/>
      <c r="AP46" s="736"/>
    </row>
    <row r="47" spans="1:42">
      <c r="A47" s="736"/>
      <c r="B47" s="736"/>
      <c r="C47" s="736"/>
      <c r="D47" s="736"/>
      <c r="E47" s="736"/>
      <c r="F47" s="736"/>
      <c r="G47" s="736"/>
      <c r="H47" s="736"/>
      <c r="I47" s="736"/>
      <c r="J47" s="736"/>
      <c r="K47" s="736"/>
      <c r="L47" s="737" t="s">
        <v>199</v>
      </c>
      <c r="M47" s="736"/>
      <c r="N47" s="738"/>
      <c r="O47" s="738"/>
      <c r="P47" s="738"/>
      <c r="Q47" s="738"/>
      <c r="R47" s="738"/>
      <c r="S47" s="738"/>
      <c r="T47" s="738"/>
      <c r="U47" s="738"/>
      <c r="V47" s="738"/>
      <c r="W47" s="738"/>
      <c r="X47" s="738"/>
      <c r="Y47" s="738"/>
      <c r="Z47" s="738"/>
      <c r="AA47" s="736"/>
      <c r="AB47" s="736"/>
      <c r="AC47" s="736"/>
      <c r="AD47" s="738"/>
      <c r="AE47" s="738"/>
      <c r="AF47" s="738"/>
      <c r="AG47" s="738"/>
      <c r="AH47" s="738"/>
      <c r="AI47" s="738"/>
      <c r="AJ47" s="738"/>
      <c r="AK47" s="738"/>
      <c r="AL47" s="738"/>
      <c r="AM47" s="738"/>
      <c r="AN47" s="738"/>
      <c r="AO47" s="738"/>
      <c r="AP47" s="738"/>
    </row>
    <row r="48" spans="1:42">
      <c r="A48" s="736"/>
      <c r="B48" s="736"/>
      <c r="C48" s="736"/>
      <c r="D48" s="736"/>
      <c r="E48" s="736"/>
      <c r="F48" s="736"/>
      <c r="G48" s="736"/>
      <c r="H48" s="736"/>
      <c r="I48" s="736"/>
      <c r="J48" s="736"/>
      <c r="K48" s="736"/>
      <c r="L48" s="737" t="s">
        <v>199</v>
      </c>
      <c r="M48" s="736"/>
      <c r="N48" s="736"/>
      <c r="O48" s="736"/>
      <c r="P48" s="736"/>
      <c r="Q48" s="736"/>
      <c r="R48" s="736"/>
      <c r="S48" s="736"/>
      <c r="T48" s="736"/>
      <c r="U48" s="736"/>
      <c r="V48" s="736"/>
      <c r="W48" s="736"/>
      <c r="X48" s="736"/>
      <c r="Y48" s="736"/>
      <c r="Z48" s="736"/>
      <c r="AA48" s="736"/>
      <c r="AB48" s="736"/>
      <c r="AC48" s="736"/>
      <c r="AD48" s="736"/>
      <c r="AE48" s="736"/>
      <c r="AF48" s="736"/>
      <c r="AG48" s="736"/>
      <c r="AH48" s="736"/>
      <c r="AI48" s="736"/>
      <c r="AJ48" s="736"/>
      <c r="AK48" s="736"/>
      <c r="AL48" s="736"/>
      <c r="AM48" s="736"/>
      <c r="AN48" s="736"/>
      <c r="AO48" s="736"/>
      <c r="AP48" s="736"/>
    </row>
    <row r="49" spans="1:42">
      <c r="A49" s="736"/>
      <c r="B49" s="736"/>
      <c r="C49" s="736"/>
      <c r="D49" s="736"/>
      <c r="E49" s="736"/>
      <c r="F49" s="736"/>
      <c r="G49" s="736"/>
      <c r="H49" s="736"/>
      <c r="I49" s="736"/>
      <c r="J49" s="736"/>
      <c r="K49" s="736"/>
      <c r="L49" s="737" t="s">
        <v>199</v>
      </c>
      <c r="M49" s="736"/>
      <c r="N49" s="738"/>
      <c r="O49" s="738"/>
      <c r="P49" s="738"/>
      <c r="Q49" s="738"/>
      <c r="R49" s="738"/>
      <c r="S49" s="738"/>
      <c r="T49" s="738"/>
      <c r="U49" s="738"/>
      <c r="V49" s="738"/>
      <c r="W49" s="738"/>
      <c r="X49" s="738"/>
      <c r="Y49" s="738"/>
      <c r="Z49" s="738"/>
      <c r="AA49" s="736"/>
      <c r="AB49" s="736"/>
      <c r="AC49" s="736"/>
      <c r="AD49" s="738"/>
      <c r="AE49" s="738"/>
      <c r="AF49" s="738"/>
      <c r="AG49" s="738"/>
      <c r="AH49" s="738"/>
      <c r="AI49" s="738"/>
      <c r="AJ49" s="738"/>
      <c r="AK49" s="738"/>
      <c r="AL49" s="738"/>
      <c r="AM49" s="738"/>
      <c r="AN49" s="738"/>
      <c r="AO49" s="738"/>
      <c r="AP49" s="738"/>
    </row>
    <row r="50" spans="1:42">
      <c r="A50" s="736"/>
      <c r="B50" s="736"/>
      <c r="C50" s="736"/>
      <c r="D50" s="736"/>
      <c r="E50" s="736"/>
      <c r="F50" s="736"/>
      <c r="G50" s="736"/>
      <c r="H50" s="736"/>
      <c r="I50" s="736"/>
      <c r="J50" s="736"/>
      <c r="K50" s="736"/>
      <c r="L50" s="737" t="s">
        <v>199</v>
      </c>
      <c r="M50" s="736"/>
      <c r="N50" s="736"/>
      <c r="O50" s="736"/>
      <c r="P50" s="736"/>
      <c r="Q50" s="736"/>
      <c r="R50" s="736"/>
      <c r="S50" s="736"/>
      <c r="T50" s="736"/>
      <c r="U50" s="736"/>
      <c r="V50" s="736"/>
      <c r="W50" s="736"/>
      <c r="X50" s="736"/>
      <c r="Y50" s="736"/>
      <c r="Z50" s="736"/>
      <c r="AA50" s="736"/>
      <c r="AB50" s="736"/>
      <c r="AC50" s="736"/>
      <c r="AD50" s="736"/>
      <c r="AE50" s="736"/>
      <c r="AF50" s="736"/>
      <c r="AG50" s="736"/>
      <c r="AH50" s="736"/>
      <c r="AI50" s="736"/>
      <c r="AJ50" s="736"/>
      <c r="AK50" s="736"/>
      <c r="AL50" s="736"/>
      <c r="AM50" s="736"/>
      <c r="AN50" s="736"/>
      <c r="AO50" s="736"/>
      <c r="AP50" s="736"/>
    </row>
    <row r="51" spans="1:42">
      <c r="A51" s="736"/>
      <c r="B51" s="736"/>
      <c r="C51" s="736"/>
      <c r="D51" s="736"/>
      <c r="E51" s="736"/>
      <c r="F51" s="736"/>
      <c r="G51" s="736"/>
      <c r="H51" s="736"/>
      <c r="I51" s="736"/>
      <c r="J51" s="736"/>
      <c r="K51" s="736"/>
      <c r="L51" s="737" t="s">
        <v>199</v>
      </c>
      <c r="M51" s="736"/>
      <c r="N51" s="736"/>
      <c r="O51" s="736"/>
      <c r="P51" s="736"/>
      <c r="Q51" s="736"/>
      <c r="R51" s="736"/>
      <c r="S51" s="736"/>
      <c r="T51" s="736"/>
      <c r="U51" s="736"/>
      <c r="V51" s="736"/>
      <c r="W51" s="736"/>
      <c r="X51" s="736"/>
      <c r="Y51" s="736"/>
      <c r="Z51" s="736"/>
      <c r="AA51" s="736"/>
      <c r="AB51" s="736"/>
      <c r="AC51" s="736"/>
      <c r="AD51" s="736"/>
      <c r="AE51" s="736"/>
      <c r="AF51" s="736"/>
      <c r="AG51" s="736"/>
      <c r="AH51" s="736"/>
      <c r="AI51" s="736"/>
      <c r="AJ51" s="736"/>
      <c r="AK51" s="736"/>
      <c r="AL51" s="736"/>
      <c r="AM51" s="736"/>
      <c r="AN51" s="736"/>
      <c r="AO51" s="736"/>
      <c r="AP51" s="736"/>
    </row>
    <row r="52" spans="1:42">
      <c r="A52" s="736"/>
      <c r="B52" s="736"/>
      <c r="C52" s="736"/>
      <c r="D52" s="736"/>
      <c r="E52" s="736"/>
      <c r="F52" s="736"/>
      <c r="G52" s="736"/>
      <c r="H52" s="736"/>
      <c r="I52" s="736"/>
      <c r="J52" s="736"/>
      <c r="K52" s="736"/>
      <c r="L52" s="737" t="s">
        <v>199</v>
      </c>
      <c r="M52" s="736"/>
      <c r="N52" s="736"/>
      <c r="O52" s="736"/>
      <c r="P52" s="736"/>
      <c r="Q52" s="736"/>
      <c r="R52" s="736"/>
      <c r="S52" s="736"/>
      <c r="T52" s="736"/>
      <c r="U52" s="736"/>
      <c r="V52" s="736"/>
      <c r="W52" s="736"/>
      <c r="X52" s="736"/>
      <c r="Y52" s="736"/>
      <c r="Z52" s="736"/>
      <c r="AA52" s="736"/>
      <c r="AB52" s="736"/>
      <c r="AC52" s="736"/>
      <c r="AD52" s="736"/>
      <c r="AE52" s="736"/>
      <c r="AF52" s="736"/>
      <c r="AG52" s="736"/>
      <c r="AH52" s="736"/>
      <c r="AI52" s="736"/>
      <c r="AJ52" s="736"/>
      <c r="AK52" s="736"/>
      <c r="AL52" s="736"/>
      <c r="AM52" s="736"/>
      <c r="AN52" s="736"/>
      <c r="AO52" s="736"/>
      <c r="AP52" s="736"/>
    </row>
    <row r="53" spans="1:42">
      <c r="A53" s="736"/>
      <c r="B53" s="736"/>
      <c r="C53" s="736"/>
      <c r="D53" s="736"/>
      <c r="E53" s="736"/>
      <c r="F53" s="736"/>
      <c r="G53" s="736"/>
      <c r="H53" s="736"/>
      <c r="I53" s="736"/>
      <c r="J53" s="736"/>
      <c r="K53" s="736"/>
      <c r="L53" s="737" t="s">
        <v>199</v>
      </c>
      <c r="M53" s="736"/>
      <c r="N53" s="736"/>
      <c r="O53" s="736"/>
      <c r="P53" s="736"/>
      <c r="Q53" s="736"/>
      <c r="R53" s="736"/>
      <c r="S53" s="736"/>
      <c r="T53" s="736"/>
      <c r="U53" s="736"/>
      <c r="V53" s="736"/>
      <c r="W53" s="736"/>
      <c r="X53" s="736"/>
      <c r="Y53" s="736"/>
      <c r="Z53" s="736"/>
      <c r="AA53" s="736"/>
      <c r="AB53" s="736"/>
      <c r="AC53" s="736"/>
      <c r="AD53" s="736"/>
      <c r="AE53" s="736"/>
      <c r="AF53" s="736"/>
      <c r="AG53" s="736"/>
      <c r="AH53" s="736"/>
      <c r="AI53" s="736"/>
      <c r="AJ53" s="736"/>
      <c r="AK53" s="736"/>
      <c r="AL53" s="736"/>
      <c r="AM53" s="736"/>
      <c r="AN53" s="736"/>
      <c r="AO53" s="736"/>
      <c r="AP53" s="736"/>
    </row>
    <row r="54" spans="1:42">
      <c r="A54" s="736"/>
      <c r="B54" s="736"/>
      <c r="C54" s="736"/>
      <c r="D54" s="736"/>
      <c r="E54" s="736"/>
      <c r="F54" s="736"/>
      <c r="G54" s="736"/>
      <c r="H54" s="736"/>
      <c r="I54" s="736"/>
      <c r="J54" s="736"/>
      <c r="K54" s="736"/>
      <c r="L54" s="737" t="s">
        <v>199</v>
      </c>
      <c r="M54" s="736"/>
      <c r="N54" s="736"/>
      <c r="O54" s="736"/>
      <c r="P54" s="736"/>
      <c r="Q54" s="736"/>
      <c r="R54" s="736"/>
      <c r="S54" s="736"/>
      <c r="T54" s="736"/>
      <c r="U54" s="736"/>
      <c r="V54" s="736"/>
      <c r="W54" s="736"/>
      <c r="X54" s="736"/>
      <c r="Y54" s="736"/>
      <c r="Z54" s="736"/>
      <c r="AA54" s="736"/>
      <c r="AB54" s="736"/>
      <c r="AC54" s="736"/>
      <c r="AD54" s="736"/>
      <c r="AE54" s="736"/>
      <c r="AF54" s="736"/>
      <c r="AG54" s="736"/>
      <c r="AH54" s="736"/>
      <c r="AI54" s="736"/>
      <c r="AJ54" s="736"/>
      <c r="AK54" s="736"/>
      <c r="AL54" s="736"/>
      <c r="AM54" s="736"/>
      <c r="AN54" s="736"/>
      <c r="AO54" s="736"/>
      <c r="AP54" s="736"/>
    </row>
    <row r="55" spans="1:42">
      <c r="A55" s="736"/>
      <c r="B55" s="736"/>
      <c r="C55" s="736"/>
      <c r="D55" s="736"/>
      <c r="E55" s="736"/>
      <c r="F55" s="736"/>
      <c r="G55" s="736"/>
      <c r="H55" s="736"/>
      <c r="I55" s="736"/>
      <c r="J55" s="736"/>
      <c r="K55" s="736"/>
      <c r="L55" s="737" t="s">
        <v>199</v>
      </c>
      <c r="M55" s="736"/>
      <c r="N55" s="736"/>
      <c r="O55" s="736"/>
      <c r="P55" s="736"/>
      <c r="Q55" s="736"/>
      <c r="R55" s="736"/>
      <c r="S55" s="736"/>
      <c r="T55" s="736"/>
      <c r="U55" s="736"/>
      <c r="V55" s="736"/>
      <c r="W55" s="736"/>
      <c r="X55" s="736"/>
      <c r="Y55" s="736"/>
      <c r="Z55" s="736"/>
      <c r="AA55" s="736"/>
      <c r="AB55" s="736"/>
      <c r="AC55" s="736"/>
      <c r="AD55" s="736"/>
      <c r="AE55" s="736"/>
      <c r="AF55" s="736"/>
      <c r="AG55" s="736"/>
      <c r="AH55" s="736"/>
      <c r="AI55" s="736"/>
      <c r="AJ55" s="736"/>
      <c r="AK55" s="736"/>
      <c r="AL55" s="736"/>
      <c r="AM55" s="736"/>
      <c r="AN55" s="736"/>
      <c r="AO55" s="736"/>
      <c r="AP55" s="736"/>
    </row>
    <row r="56" spans="1:42">
      <c r="A56" s="736"/>
      <c r="B56" s="736"/>
      <c r="C56" s="736"/>
      <c r="D56" s="736"/>
      <c r="E56" s="736"/>
      <c r="F56" s="736"/>
      <c r="G56" s="736"/>
      <c r="H56" s="736"/>
      <c r="I56" s="736"/>
      <c r="J56" s="736"/>
      <c r="K56" s="736"/>
      <c r="L56" s="737" t="s">
        <v>199</v>
      </c>
      <c r="M56" s="736"/>
      <c r="N56" s="738"/>
      <c r="O56" s="738"/>
      <c r="P56" s="738"/>
      <c r="Q56" s="738"/>
      <c r="R56" s="738"/>
      <c r="S56" s="738"/>
      <c r="T56" s="738"/>
      <c r="U56" s="738"/>
      <c r="V56" s="738"/>
      <c r="W56" s="738"/>
      <c r="X56" s="738"/>
      <c r="Y56" s="738"/>
      <c r="Z56" s="738"/>
      <c r="AA56" s="736"/>
      <c r="AB56" s="736"/>
      <c r="AC56" s="736"/>
      <c r="AD56" s="738"/>
      <c r="AE56" s="738"/>
      <c r="AF56" s="738"/>
      <c r="AG56" s="738"/>
      <c r="AH56" s="738"/>
      <c r="AI56" s="738"/>
      <c r="AJ56" s="738"/>
      <c r="AK56" s="738"/>
      <c r="AL56" s="738"/>
      <c r="AM56" s="738"/>
      <c r="AN56" s="738"/>
      <c r="AO56" s="738"/>
      <c r="AP56" s="738"/>
    </row>
    <row r="57" spans="1:42">
      <c r="A57" s="736"/>
      <c r="B57" s="736"/>
      <c r="C57" s="736"/>
      <c r="D57" s="736"/>
      <c r="E57" s="736"/>
      <c r="F57" s="736"/>
      <c r="G57" s="736"/>
      <c r="H57" s="736"/>
      <c r="I57" s="736"/>
      <c r="J57" s="736"/>
      <c r="K57" s="736"/>
      <c r="L57" s="737" t="s">
        <v>199</v>
      </c>
      <c r="M57" s="736"/>
      <c r="N57" s="736"/>
      <c r="O57" s="736"/>
      <c r="P57" s="736"/>
      <c r="Q57" s="736"/>
      <c r="R57" s="736"/>
      <c r="S57" s="736"/>
      <c r="T57" s="736"/>
      <c r="U57" s="736"/>
      <c r="V57" s="736"/>
      <c r="W57" s="736"/>
      <c r="X57" s="736"/>
      <c r="Y57" s="736"/>
      <c r="Z57" s="736"/>
      <c r="AA57" s="736"/>
      <c r="AB57" s="736"/>
      <c r="AC57" s="736"/>
      <c r="AD57" s="736"/>
      <c r="AE57" s="736"/>
      <c r="AF57" s="736"/>
      <c r="AG57" s="736"/>
      <c r="AH57" s="736"/>
      <c r="AI57" s="736"/>
      <c r="AJ57" s="736"/>
      <c r="AK57" s="736"/>
      <c r="AL57" s="736"/>
      <c r="AM57" s="736"/>
      <c r="AN57" s="736"/>
      <c r="AO57" s="736"/>
      <c r="AP57" s="736"/>
    </row>
    <row r="58" spans="1:42">
      <c r="A58" s="736"/>
      <c r="B58" s="736"/>
      <c r="C58" s="736"/>
      <c r="D58" s="736"/>
      <c r="E58" s="736"/>
      <c r="F58" s="736"/>
      <c r="G58" s="736"/>
      <c r="H58" s="736"/>
      <c r="I58" s="736"/>
      <c r="J58" s="736"/>
      <c r="K58" s="736"/>
      <c r="L58" s="737" t="s">
        <v>199</v>
      </c>
      <c r="M58" s="736"/>
      <c r="N58" s="736"/>
      <c r="O58" s="736"/>
      <c r="P58" s="736"/>
      <c r="Q58" s="736"/>
      <c r="R58" s="736"/>
      <c r="S58" s="736"/>
      <c r="T58" s="736"/>
      <c r="U58" s="736"/>
      <c r="V58" s="736"/>
      <c r="W58" s="736"/>
      <c r="X58" s="736"/>
      <c r="Y58" s="736"/>
      <c r="Z58" s="736"/>
      <c r="AA58" s="736"/>
      <c r="AB58" s="736"/>
      <c r="AC58" s="736"/>
      <c r="AD58" s="736"/>
      <c r="AE58" s="736"/>
      <c r="AF58" s="736"/>
      <c r="AG58" s="736"/>
      <c r="AH58" s="736"/>
      <c r="AI58" s="736"/>
      <c r="AJ58" s="736"/>
      <c r="AK58" s="736"/>
      <c r="AL58" s="736"/>
      <c r="AM58" s="736"/>
      <c r="AN58" s="736"/>
      <c r="AO58" s="736"/>
      <c r="AP58" s="736"/>
    </row>
    <row r="59" spans="1:42">
      <c r="A59" s="736"/>
      <c r="B59" s="736"/>
      <c r="C59" s="736"/>
      <c r="D59" s="736"/>
      <c r="E59" s="736"/>
      <c r="F59" s="736"/>
      <c r="G59" s="736"/>
      <c r="H59" s="736"/>
      <c r="I59" s="736"/>
      <c r="J59" s="736"/>
      <c r="K59" s="736"/>
      <c r="L59" s="737" t="s">
        <v>199</v>
      </c>
      <c r="M59" s="736"/>
      <c r="N59" s="736"/>
      <c r="O59" s="736"/>
      <c r="P59" s="736"/>
      <c r="Q59" s="736"/>
      <c r="R59" s="736"/>
      <c r="S59" s="736"/>
      <c r="T59" s="736"/>
      <c r="U59" s="736"/>
      <c r="V59" s="736"/>
      <c r="W59" s="736"/>
      <c r="X59" s="736"/>
      <c r="Y59" s="736"/>
      <c r="Z59" s="736"/>
      <c r="AA59" s="736"/>
      <c r="AB59" s="736"/>
      <c r="AC59" s="736"/>
      <c r="AD59" s="736"/>
      <c r="AE59" s="736"/>
      <c r="AF59" s="736"/>
      <c r="AG59" s="736"/>
      <c r="AH59" s="736"/>
      <c r="AI59" s="736"/>
      <c r="AJ59" s="736"/>
      <c r="AK59" s="736"/>
      <c r="AL59" s="736"/>
      <c r="AM59" s="736"/>
      <c r="AN59" s="736"/>
      <c r="AO59" s="736"/>
      <c r="AP59" s="736"/>
    </row>
    <row r="60" spans="1:42">
      <c r="A60" s="736"/>
      <c r="B60" s="736"/>
      <c r="C60" s="736"/>
      <c r="D60" s="736"/>
      <c r="E60" s="736"/>
      <c r="F60" s="736"/>
      <c r="G60" s="736"/>
      <c r="H60" s="736"/>
      <c r="I60" s="736"/>
      <c r="J60" s="736"/>
      <c r="K60" s="736"/>
      <c r="L60" s="737" t="s">
        <v>199</v>
      </c>
      <c r="M60" s="736"/>
      <c r="N60" s="736"/>
      <c r="O60" s="736"/>
      <c r="P60" s="736"/>
      <c r="Q60" s="736"/>
      <c r="R60" s="736"/>
      <c r="S60" s="736"/>
      <c r="T60" s="736"/>
      <c r="U60" s="736"/>
      <c r="V60" s="736"/>
      <c r="W60" s="736"/>
      <c r="X60" s="736"/>
      <c r="Y60" s="736"/>
      <c r="Z60" s="736"/>
      <c r="AA60" s="736"/>
      <c r="AB60" s="736"/>
      <c r="AC60" s="736"/>
      <c r="AD60" s="736"/>
      <c r="AE60" s="736"/>
      <c r="AF60" s="736"/>
      <c r="AG60" s="736"/>
      <c r="AH60" s="736"/>
      <c r="AI60" s="736"/>
      <c r="AJ60" s="736"/>
      <c r="AK60" s="736"/>
      <c r="AL60" s="736"/>
      <c r="AM60" s="736"/>
      <c r="AN60" s="736"/>
      <c r="AO60" s="736"/>
      <c r="AP60" s="736"/>
    </row>
    <row r="61" spans="1:42">
      <c r="A61" s="736"/>
      <c r="B61" s="736"/>
      <c r="C61" s="736"/>
      <c r="D61" s="736"/>
      <c r="E61" s="736"/>
      <c r="F61" s="736"/>
      <c r="G61" s="736"/>
      <c r="H61" s="736"/>
      <c r="I61" s="736"/>
      <c r="J61" s="736"/>
      <c r="K61" s="736"/>
      <c r="L61" s="737" t="s">
        <v>199</v>
      </c>
      <c r="M61" s="736"/>
      <c r="N61" s="736"/>
      <c r="O61" s="736"/>
      <c r="P61" s="736"/>
      <c r="Q61" s="736"/>
      <c r="R61" s="736"/>
      <c r="S61" s="736"/>
      <c r="T61" s="736"/>
      <c r="U61" s="736"/>
      <c r="V61" s="736"/>
      <c r="W61" s="736"/>
      <c r="X61" s="736"/>
      <c r="Y61" s="736"/>
      <c r="Z61" s="736"/>
      <c r="AA61" s="736"/>
      <c r="AB61" s="736"/>
      <c r="AC61" s="736"/>
      <c r="AD61" s="736"/>
      <c r="AE61" s="736"/>
      <c r="AF61" s="736"/>
      <c r="AG61" s="736"/>
      <c r="AH61" s="736"/>
      <c r="AI61" s="736"/>
      <c r="AJ61" s="736"/>
      <c r="AK61" s="736"/>
      <c r="AL61" s="736"/>
      <c r="AM61" s="736"/>
      <c r="AN61" s="736"/>
      <c r="AO61" s="736"/>
      <c r="AP61" s="736"/>
    </row>
    <row r="62" spans="1:42">
      <c r="A62" s="736"/>
      <c r="B62" s="736"/>
      <c r="C62" s="736"/>
      <c r="D62" s="736"/>
      <c r="E62" s="736"/>
      <c r="F62" s="736"/>
      <c r="G62" s="736"/>
      <c r="H62" s="736"/>
      <c r="I62" s="736"/>
      <c r="J62" s="736"/>
      <c r="K62" s="736"/>
      <c r="L62" s="737" t="s">
        <v>199</v>
      </c>
      <c r="M62" s="736"/>
      <c r="N62" s="736"/>
      <c r="O62" s="736"/>
      <c r="P62" s="736"/>
      <c r="Q62" s="736"/>
      <c r="R62" s="736"/>
      <c r="S62" s="736"/>
      <c r="T62" s="736"/>
      <c r="U62" s="736"/>
      <c r="V62" s="736"/>
      <c r="W62" s="736"/>
      <c r="X62" s="736"/>
      <c r="Y62" s="736"/>
      <c r="Z62" s="736"/>
      <c r="AA62" s="736"/>
      <c r="AB62" s="736"/>
      <c r="AC62" s="736"/>
      <c r="AD62" s="736"/>
      <c r="AE62" s="736"/>
      <c r="AF62" s="736"/>
      <c r="AG62" s="736"/>
      <c r="AH62" s="736"/>
      <c r="AI62" s="736"/>
      <c r="AJ62" s="736"/>
      <c r="AK62" s="736"/>
      <c r="AL62" s="736"/>
      <c r="AM62" s="736"/>
      <c r="AN62" s="736"/>
      <c r="AO62" s="736"/>
      <c r="AP62" s="736"/>
    </row>
    <row r="63" spans="1:42">
      <c r="A63" s="736"/>
      <c r="B63" s="736"/>
      <c r="C63" s="736"/>
      <c r="D63" s="736"/>
      <c r="E63" s="736"/>
      <c r="F63" s="736"/>
      <c r="G63" s="736"/>
      <c r="H63" s="736"/>
      <c r="I63" s="736"/>
      <c r="J63" s="736"/>
      <c r="K63" s="736"/>
      <c r="L63" s="737" t="s">
        <v>199</v>
      </c>
      <c r="M63" s="736"/>
      <c r="N63" s="736"/>
      <c r="O63" s="736"/>
      <c r="P63" s="736"/>
      <c r="Q63" s="736"/>
      <c r="R63" s="736"/>
      <c r="S63" s="736"/>
      <c r="T63" s="736"/>
      <c r="U63" s="736"/>
      <c r="V63" s="736"/>
      <c r="W63" s="736"/>
      <c r="X63" s="736"/>
      <c r="Y63" s="736"/>
      <c r="Z63" s="736"/>
      <c r="AA63" s="736"/>
      <c r="AB63" s="736"/>
      <c r="AC63" s="736"/>
      <c r="AD63" s="736"/>
      <c r="AE63" s="736"/>
      <c r="AF63" s="736"/>
      <c r="AG63" s="736"/>
      <c r="AH63" s="736"/>
      <c r="AI63" s="736"/>
      <c r="AJ63" s="736"/>
      <c r="AK63" s="736"/>
      <c r="AL63" s="736"/>
      <c r="AM63" s="736"/>
      <c r="AN63" s="736"/>
      <c r="AO63" s="736"/>
      <c r="AP63" s="736"/>
    </row>
    <row r="64" spans="1:42">
      <c r="A64" s="736"/>
      <c r="B64" s="736"/>
      <c r="C64" s="736"/>
      <c r="D64" s="736"/>
      <c r="E64" s="736"/>
      <c r="F64" s="736"/>
      <c r="G64" s="736"/>
      <c r="H64" s="736"/>
      <c r="I64" s="736"/>
      <c r="J64" s="736"/>
      <c r="K64" s="736"/>
      <c r="L64" s="737" t="s">
        <v>199</v>
      </c>
      <c r="M64" s="736"/>
      <c r="N64" s="736"/>
      <c r="O64" s="736"/>
      <c r="P64" s="736"/>
      <c r="Q64" s="736"/>
      <c r="R64" s="736"/>
      <c r="S64" s="736"/>
      <c r="T64" s="736"/>
      <c r="U64" s="736"/>
      <c r="V64" s="736"/>
      <c r="W64" s="736"/>
      <c r="X64" s="736"/>
      <c r="Y64" s="736"/>
      <c r="Z64" s="736"/>
      <c r="AA64" s="736"/>
      <c r="AB64" s="736"/>
      <c r="AC64" s="736"/>
      <c r="AD64" s="736"/>
      <c r="AE64" s="736"/>
      <c r="AF64" s="736"/>
      <c r="AG64" s="736"/>
      <c r="AH64" s="736"/>
      <c r="AI64" s="736"/>
      <c r="AJ64" s="736"/>
      <c r="AK64" s="736"/>
      <c r="AL64" s="736"/>
      <c r="AM64" s="736"/>
      <c r="AN64" s="736"/>
      <c r="AO64" s="736"/>
      <c r="AP64" s="736"/>
    </row>
    <row r="65" spans="1:42">
      <c r="A65" s="736"/>
      <c r="B65" s="736"/>
      <c r="C65" s="736"/>
      <c r="D65" s="736"/>
      <c r="E65" s="736"/>
      <c r="F65" s="736"/>
      <c r="G65" s="736"/>
      <c r="H65" s="736"/>
      <c r="I65" s="736"/>
      <c r="J65" s="736"/>
      <c r="K65" s="736"/>
      <c r="L65" s="737" t="s">
        <v>199</v>
      </c>
      <c r="M65" s="736"/>
      <c r="N65" s="736"/>
      <c r="O65" s="736"/>
      <c r="P65" s="736"/>
      <c r="Q65" s="736"/>
      <c r="R65" s="736"/>
      <c r="S65" s="736"/>
      <c r="T65" s="736"/>
      <c r="U65" s="736"/>
      <c r="V65" s="736"/>
      <c r="W65" s="736"/>
      <c r="X65" s="736"/>
      <c r="Y65" s="736"/>
      <c r="Z65" s="736"/>
      <c r="AA65" s="736"/>
      <c r="AB65" s="736"/>
      <c r="AC65" s="736"/>
      <c r="AD65" s="736"/>
      <c r="AE65" s="736"/>
      <c r="AF65" s="736"/>
      <c r="AG65" s="736"/>
      <c r="AH65" s="736"/>
      <c r="AI65" s="736"/>
      <c r="AJ65" s="736"/>
      <c r="AK65" s="736"/>
      <c r="AL65" s="736"/>
      <c r="AM65" s="736"/>
      <c r="AN65" s="736"/>
      <c r="AO65" s="736"/>
      <c r="AP65" s="736"/>
    </row>
    <row r="66" spans="1:42">
      <c r="A66" s="736"/>
      <c r="B66" s="736"/>
      <c r="C66" s="736"/>
      <c r="D66" s="736"/>
      <c r="E66" s="736"/>
      <c r="F66" s="736"/>
      <c r="G66" s="736"/>
      <c r="H66" s="736"/>
      <c r="I66" s="736"/>
      <c r="J66" s="736"/>
      <c r="K66" s="736"/>
      <c r="L66" s="737" t="s">
        <v>199</v>
      </c>
      <c r="M66" s="736"/>
      <c r="N66" s="736"/>
      <c r="O66" s="736"/>
      <c r="P66" s="736"/>
      <c r="Q66" s="736"/>
      <c r="R66" s="736"/>
      <c r="S66" s="736"/>
      <c r="T66" s="736"/>
      <c r="U66" s="736"/>
      <c r="V66" s="736"/>
      <c r="W66" s="736"/>
      <c r="X66" s="736"/>
      <c r="Y66" s="736"/>
      <c r="Z66" s="736"/>
      <c r="AA66" s="736"/>
      <c r="AB66" s="736"/>
      <c r="AC66" s="736"/>
      <c r="AD66" s="736"/>
      <c r="AE66" s="736"/>
      <c r="AF66" s="736"/>
      <c r="AG66" s="736"/>
      <c r="AH66" s="736"/>
      <c r="AI66" s="736"/>
      <c r="AJ66" s="736"/>
      <c r="AK66" s="736"/>
      <c r="AL66" s="736"/>
      <c r="AM66" s="736"/>
      <c r="AN66" s="736"/>
      <c r="AO66" s="736"/>
      <c r="AP66" s="736"/>
    </row>
    <row r="67" spans="1:42">
      <c r="A67" s="736"/>
      <c r="B67" s="736"/>
      <c r="C67" s="736"/>
      <c r="D67" s="736"/>
      <c r="E67" s="736"/>
      <c r="F67" s="736"/>
      <c r="G67" s="736"/>
      <c r="H67" s="736"/>
      <c r="I67" s="736"/>
      <c r="J67" s="736"/>
      <c r="K67" s="736"/>
      <c r="L67" s="737" t="s">
        <v>199</v>
      </c>
      <c r="M67" s="736"/>
      <c r="N67" s="736"/>
      <c r="O67" s="736"/>
      <c r="P67" s="736"/>
      <c r="Q67" s="736"/>
      <c r="R67" s="736"/>
      <c r="S67" s="736"/>
      <c r="T67" s="736"/>
      <c r="U67" s="736"/>
      <c r="V67" s="736"/>
      <c r="W67" s="736"/>
      <c r="X67" s="736"/>
      <c r="Y67" s="736"/>
      <c r="Z67" s="736"/>
      <c r="AA67" s="736"/>
      <c r="AB67" s="736"/>
      <c r="AC67" s="736"/>
      <c r="AD67" s="736"/>
      <c r="AE67" s="736"/>
      <c r="AF67" s="736"/>
      <c r="AG67" s="736"/>
      <c r="AH67" s="736"/>
      <c r="AI67" s="736"/>
      <c r="AJ67" s="736"/>
      <c r="AK67" s="736"/>
      <c r="AL67" s="736"/>
      <c r="AM67" s="736"/>
      <c r="AN67" s="736"/>
      <c r="AO67" s="736"/>
      <c r="AP67" s="736"/>
    </row>
    <row r="68" spans="1:42">
      <c r="A68" s="736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7" t="s">
        <v>199</v>
      </c>
      <c r="M68" s="736"/>
      <c r="N68" s="736"/>
      <c r="O68" s="736"/>
      <c r="P68" s="736"/>
      <c r="Q68" s="736"/>
      <c r="R68" s="736"/>
      <c r="S68" s="736"/>
      <c r="T68" s="736"/>
      <c r="U68" s="736"/>
      <c r="V68" s="736"/>
      <c r="W68" s="736"/>
      <c r="X68" s="736"/>
      <c r="Y68" s="736"/>
      <c r="Z68" s="736"/>
      <c r="AA68" s="736"/>
      <c r="AB68" s="736"/>
      <c r="AC68" s="736"/>
      <c r="AD68" s="736"/>
      <c r="AE68" s="736"/>
      <c r="AF68" s="736"/>
      <c r="AG68" s="736"/>
      <c r="AH68" s="736"/>
      <c r="AI68" s="736"/>
      <c r="AJ68" s="736"/>
      <c r="AK68" s="736"/>
      <c r="AL68" s="736"/>
      <c r="AM68" s="736"/>
      <c r="AN68" s="736"/>
      <c r="AO68" s="736"/>
      <c r="AP68" s="736"/>
    </row>
    <row r="69" spans="1:42">
      <c r="A69" s="736"/>
      <c r="B69" s="736"/>
      <c r="C69" s="736"/>
      <c r="D69" s="736"/>
      <c r="E69" s="736"/>
      <c r="F69" s="736"/>
      <c r="G69" s="736"/>
      <c r="H69" s="736"/>
      <c r="I69" s="736"/>
      <c r="J69" s="736"/>
      <c r="K69" s="736"/>
      <c r="L69" s="737" t="s">
        <v>199</v>
      </c>
      <c r="M69" s="736"/>
      <c r="N69" s="736"/>
      <c r="O69" s="736"/>
      <c r="P69" s="736"/>
      <c r="Q69" s="736"/>
      <c r="R69" s="736"/>
      <c r="S69" s="736"/>
      <c r="T69" s="736"/>
      <c r="U69" s="736"/>
      <c r="V69" s="736"/>
      <c r="W69" s="736"/>
      <c r="X69" s="736"/>
      <c r="Y69" s="736"/>
      <c r="Z69" s="736"/>
      <c r="AA69" s="736"/>
      <c r="AB69" s="736"/>
      <c r="AC69" s="736"/>
      <c r="AD69" s="736"/>
      <c r="AE69" s="736"/>
      <c r="AF69" s="736"/>
      <c r="AG69" s="736"/>
      <c r="AH69" s="736"/>
      <c r="AI69" s="736"/>
      <c r="AJ69" s="736"/>
      <c r="AK69" s="736"/>
      <c r="AL69" s="736"/>
      <c r="AM69" s="736"/>
      <c r="AN69" s="736"/>
      <c r="AO69" s="736"/>
      <c r="AP69" s="736"/>
    </row>
    <row r="70" spans="1:42">
      <c r="A70" s="736"/>
      <c r="B70" s="736"/>
      <c r="C70" s="736"/>
      <c r="D70" s="736"/>
      <c r="E70" s="736"/>
      <c r="F70" s="736"/>
      <c r="G70" s="736"/>
      <c r="H70" s="736"/>
      <c r="I70" s="736"/>
      <c r="J70" s="736"/>
      <c r="K70" s="736"/>
      <c r="L70" s="737" t="s">
        <v>199</v>
      </c>
      <c r="M70" s="736"/>
      <c r="N70" s="736"/>
      <c r="O70" s="736"/>
      <c r="P70" s="736"/>
      <c r="Q70" s="736"/>
      <c r="R70" s="736"/>
      <c r="S70" s="736"/>
      <c r="T70" s="736"/>
      <c r="U70" s="736"/>
      <c r="V70" s="736"/>
      <c r="W70" s="736"/>
      <c r="X70" s="736"/>
      <c r="Y70" s="736"/>
      <c r="Z70" s="736"/>
      <c r="AA70" s="736"/>
      <c r="AB70" s="736"/>
      <c r="AC70" s="736"/>
      <c r="AD70" s="736"/>
      <c r="AE70" s="736"/>
      <c r="AF70" s="736"/>
      <c r="AG70" s="736"/>
      <c r="AH70" s="736"/>
      <c r="AI70" s="736"/>
      <c r="AJ70" s="736"/>
      <c r="AK70" s="736"/>
      <c r="AL70" s="736"/>
      <c r="AM70" s="736"/>
      <c r="AN70" s="736"/>
      <c r="AO70" s="736"/>
      <c r="AP70" s="736"/>
    </row>
    <row r="71" spans="1:42">
      <c r="A71" s="736"/>
      <c r="B71" s="736"/>
      <c r="C71" s="736"/>
      <c r="D71" s="736"/>
      <c r="E71" s="736"/>
      <c r="F71" s="736"/>
      <c r="G71" s="736"/>
      <c r="H71" s="736"/>
      <c r="I71" s="736"/>
      <c r="J71" s="736"/>
      <c r="K71" s="736"/>
      <c r="L71" s="737" t="s">
        <v>199</v>
      </c>
      <c r="M71" s="736"/>
      <c r="N71" s="736"/>
      <c r="O71" s="736"/>
      <c r="P71" s="736"/>
      <c r="Q71" s="736"/>
      <c r="R71" s="736"/>
      <c r="S71" s="736"/>
      <c r="T71" s="736"/>
      <c r="U71" s="736"/>
      <c r="V71" s="736"/>
      <c r="W71" s="736"/>
      <c r="X71" s="736"/>
      <c r="Y71" s="736"/>
      <c r="Z71" s="736"/>
      <c r="AA71" s="736"/>
      <c r="AB71" s="736"/>
      <c r="AC71" s="736"/>
      <c r="AD71" s="736"/>
      <c r="AE71" s="736"/>
      <c r="AF71" s="736"/>
      <c r="AG71" s="736"/>
      <c r="AH71" s="736"/>
      <c r="AI71" s="736"/>
      <c r="AJ71" s="736"/>
      <c r="AK71" s="736"/>
      <c r="AL71" s="736"/>
      <c r="AM71" s="736"/>
      <c r="AN71" s="736"/>
      <c r="AO71" s="736"/>
      <c r="AP71" s="736"/>
    </row>
    <row r="72" spans="1:42">
      <c r="A72" s="736"/>
      <c r="B72" s="736"/>
      <c r="C72" s="736"/>
      <c r="D72" s="736"/>
      <c r="E72" s="736"/>
      <c r="F72" s="736"/>
      <c r="G72" s="736"/>
      <c r="H72" s="736"/>
      <c r="I72" s="736"/>
      <c r="J72" s="736"/>
      <c r="K72" s="736"/>
      <c r="L72" s="737" t="s">
        <v>199</v>
      </c>
      <c r="M72" s="736"/>
      <c r="N72" s="738"/>
      <c r="O72" s="738"/>
      <c r="P72" s="738"/>
      <c r="Q72" s="738"/>
      <c r="R72" s="738"/>
      <c r="S72" s="738"/>
      <c r="T72" s="738"/>
      <c r="U72" s="738"/>
      <c r="V72" s="738"/>
      <c r="W72" s="738"/>
      <c r="X72" s="738"/>
      <c r="Y72" s="738"/>
      <c r="Z72" s="738"/>
      <c r="AA72" s="736"/>
      <c r="AB72" s="736"/>
      <c r="AC72" s="736"/>
      <c r="AD72" s="738"/>
      <c r="AE72" s="738"/>
      <c r="AF72" s="738"/>
      <c r="AG72" s="738"/>
      <c r="AH72" s="738"/>
      <c r="AI72" s="738"/>
      <c r="AJ72" s="738"/>
      <c r="AK72" s="738"/>
      <c r="AL72" s="738"/>
      <c r="AM72" s="738"/>
      <c r="AN72" s="738"/>
      <c r="AO72" s="738"/>
      <c r="AP72" s="738"/>
    </row>
    <row r="73" spans="1:42">
      <c r="A73" s="736"/>
      <c r="B73" s="736"/>
      <c r="C73" s="736"/>
      <c r="D73" s="736"/>
      <c r="E73" s="736"/>
      <c r="F73" s="736"/>
      <c r="G73" s="736"/>
      <c r="H73" s="736"/>
      <c r="I73" s="736"/>
      <c r="J73" s="736"/>
      <c r="K73" s="736"/>
      <c r="L73" s="737" t="s">
        <v>199</v>
      </c>
      <c r="M73" s="736"/>
      <c r="N73" s="738"/>
      <c r="O73" s="738"/>
      <c r="P73" s="738"/>
      <c r="Q73" s="738"/>
      <c r="R73" s="738"/>
      <c r="S73" s="738"/>
      <c r="T73" s="738"/>
      <c r="U73" s="738"/>
      <c r="V73" s="738"/>
      <c r="W73" s="738"/>
      <c r="X73" s="738"/>
      <c r="Y73" s="738"/>
      <c r="Z73" s="738"/>
      <c r="AA73" s="736"/>
      <c r="AB73" s="736"/>
      <c r="AC73" s="736"/>
      <c r="AD73" s="738"/>
      <c r="AE73" s="738"/>
      <c r="AF73" s="738"/>
      <c r="AG73" s="738"/>
      <c r="AH73" s="738"/>
      <c r="AI73" s="738"/>
      <c r="AJ73" s="738"/>
      <c r="AK73" s="738"/>
      <c r="AL73" s="738"/>
      <c r="AM73" s="738"/>
      <c r="AN73" s="738"/>
      <c r="AO73" s="738"/>
      <c r="AP73" s="738"/>
    </row>
    <row r="74" spans="1:42">
      <c r="A74" s="736"/>
      <c r="B74" s="736"/>
      <c r="C74" s="736"/>
      <c r="D74" s="736"/>
      <c r="E74" s="736"/>
      <c r="F74" s="736"/>
      <c r="G74" s="736"/>
      <c r="H74" s="736"/>
      <c r="I74" s="736"/>
      <c r="J74" s="736"/>
      <c r="K74" s="736"/>
      <c r="L74" s="737" t="s">
        <v>199</v>
      </c>
      <c r="M74" s="736"/>
      <c r="N74" s="738"/>
      <c r="O74" s="738"/>
      <c r="P74" s="738"/>
      <c r="Q74" s="738"/>
      <c r="R74" s="738"/>
      <c r="S74" s="738"/>
      <c r="T74" s="738"/>
      <c r="U74" s="738"/>
      <c r="V74" s="738"/>
      <c r="W74" s="738"/>
      <c r="X74" s="738"/>
      <c r="Y74" s="738"/>
      <c r="Z74" s="738"/>
      <c r="AA74" s="736"/>
      <c r="AB74" s="736"/>
      <c r="AC74" s="736"/>
      <c r="AD74" s="738"/>
      <c r="AE74" s="738"/>
      <c r="AF74" s="738"/>
      <c r="AG74" s="738"/>
      <c r="AH74" s="738"/>
      <c r="AI74" s="738"/>
      <c r="AJ74" s="738"/>
      <c r="AK74" s="738"/>
      <c r="AL74" s="738"/>
      <c r="AM74" s="738"/>
      <c r="AN74" s="738"/>
      <c r="AO74" s="738"/>
      <c r="AP74" s="738"/>
    </row>
    <row r="75" spans="1:42">
      <c r="A75" s="736"/>
      <c r="B75" s="736"/>
      <c r="C75" s="736"/>
      <c r="D75" s="736"/>
      <c r="E75" s="736"/>
      <c r="F75" s="736"/>
      <c r="G75" s="736"/>
      <c r="H75" s="736"/>
      <c r="I75" s="736"/>
      <c r="J75" s="736"/>
      <c r="K75" s="736"/>
      <c r="L75" s="737" t="s">
        <v>199</v>
      </c>
      <c r="M75" s="736"/>
      <c r="N75" s="738"/>
      <c r="O75" s="738"/>
      <c r="P75" s="738"/>
      <c r="Q75" s="738"/>
      <c r="R75" s="738"/>
      <c r="S75" s="738"/>
      <c r="T75" s="738"/>
      <c r="U75" s="738"/>
      <c r="V75" s="738"/>
      <c r="W75" s="738"/>
      <c r="X75" s="738"/>
      <c r="Y75" s="738"/>
      <c r="Z75" s="738"/>
      <c r="AA75" s="736"/>
      <c r="AB75" s="736"/>
      <c r="AC75" s="736"/>
      <c r="AD75" s="738"/>
      <c r="AE75" s="738"/>
      <c r="AF75" s="738"/>
      <c r="AG75" s="738"/>
      <c r="AH75" s="738"/>
      <c r="AI75" s="738"/>
      <c r="AJ75" s="738"/>
      <c r="AK75" s="738"/>
      <c r="AL75" s="738"/>
      <c r="AM75" s="738"/>
      <c r="AN75" s="738"/>
      <c r="AO75" s="738"/>
      <c r="AP75" s="738"/>
    </row>
    <row r="76" spans="1:42">
      <c r="A76" s="736"/>
      <c r="B76" s="736"/>
      <c r="C76" s="736"/>
      <c r="D76" s="736"/>
      <c r="E76" s="736"/>
      <c r="F76" s="736"/>
      <c r="G76" s="736"/>
      <c r="H76" s="736"/>
      <c r="I76" s="736"/>
      <c r="J76" s="736"/>
      <c r="K76" s="736"/>
      <c r="L76" s="737" t="s">
        <v>199</v>
      </c>
      <c r="M76" s="736"/>
      <c r="N76" s="736"/>
      <c r="O76" s="736"/>
      <c r="P76" s="736"/>
      <c r="Q76" s="736"/>
      <c r="R76" s="736"/>
      <c r="S76" s="736"/>
      <c r="T76" s="736"/>
      <c r="U76" s="736"/>
      <c r="V76" s="736"/>
      <c r="W76" s="736"/>
      <c r="X76" s="736"/>
      <c r="Y76" s="736"/>
      <c r="Z76" s="736"/>
      <c r="AA76" s="736"/>
      <c r="AB76" s="736"/>
      <c r="AC76" s="736"/>
      <c r="AD76" s="736"/>
      <c r="AE76" s="736"/>
      <c r="AF76" s="736"/>
      <c r="AG76" s="736"/>
      <c r="AH76" s="736"/>
      <c r="AI76" s="736"/>
      <c r="AJ76" s="736"/>
      <c r="AK76" s="736"/>
      <c r="AL76" s="736"/>
      <c r="AM76" s="736"/>
      <c r="AN76" s="736"/>
      <c r="AO76" s="736"/>
      <c r="AP76" s="736"/>
    </row>
    <row r="77" spans="1:42">
      <c r="A77" s="736"/>
      <c r="B77" s="736"/>
      <c r="C77" s="736"/>
      <c r="D77" s="736"/>
      <c r="E77" s="736"/>
      <c r="F77" s="736"/>
      <c r="G77" s="736"/>
      <c r="H77" s="736"/>
      <c r="I77" s="736"/>
      <c r="J77" s="736"/>
      <c r="K77" s="736"/>
      <c r="L77" s="737" t="s">
        <v>199</v>
      </c>
      <c r="M77" s="736"/>
      <c r="N77" s="736"/>
      <c r="O77" s="736"/>
      <c r="P77" s="736"/>
      <c r="Q77" s="736"/>
      <c r="R77" s="736"/>
      <c r="S77" s="736"/>
      <c r="T77" s="736"/>
      <c r="U77" s="736"/>
      <c r="V77" s="736"/>
      <c r="W77" s="736"/>
      <c r="X77" s="736"/>
      <c r="Y77" s="736"/>
      <c r="Z77" s="736"/>
      <c r="AA77" s="736"/>
      <c r="AB77" s="736"/>
      <c r="AC77" s="736"/>
      <c r="AD77" s="736"/>
      <c r="AE77" s="736"/>
      <c r="AF77" s="736"/>
      <c r="AG77" s="736"/>
      <c r="AH77" s="736"/>
      <c r="AI77" s="736"/>
      <c r="AJ77" s="736"/>
      <c r="AK77" s="736"/>
      <c r="AL77" s="736"/>
      <c r="AM77" s="736"/>
      <c r="AN77" s="736"/>
      <c r="AO77" s="736"/>
      <c r="AP77" s="736"/>
    </row>
    <row r="78" spans="1:42">
      <c r="A78" s="736"/>
      <c r="B78" s="736"/>
      <c r="C78" s="736"/>
      <c r="D78" s="736"/>
      <c r="E78" s="736"/>
      <c r="F78" s="736"/>
      <c r="G78" s="736"/>
      <c r="H78" s="736"/>
      <c r="I78" s="736"/>
      <c r="J78" s="736"/>
      <c r="K78" s="736"/>
      <c r="L78" s="737" t="s">
        <v>199</v>
      </c>
      <c r="M78" s="736"/>
      <c r="N78" s="736"/>
      <c r="O78" s="736"/>
      <c r="P78" s="736"/>
      <c r="Q78" s="736"/>
      <c r="R78" s="736"/>
      <c r="S78" s="736"/>
      <c r="T78" s="736"/>
      <c r="U78" s="736"/>
      <c r="V78" s="736"/>
      <c r="W78" s="736"/>
      <c r="X78" s="736"/>
      <c r="Y78" s="736"/>
      <c r="Z78" s="736"/>
      <c r="AA78" s="736"/>
      <c r="AB78" s="736"/>
      <c r="AC78" s="736"/>
      <c r="AD78" s="736"/>
      <c r="AE78" s="736"/>
      <c r="AF78" s="736"/>
      <c r="AG78" s="736"/>
      <c r="AH78" s="736"/>
      <c r="AI78" s="736"/>
      <c r="AJ78" s="736"/>
      <c r="AK78" s="736"/>
      <c r="AL78" s="736"/>
      <c r="AM78" s="736"/>
      <c r="AN78" s="736"/>
      <c r="AO78" s="736"/>
      <c r="AP78" s="736"/>
    </row>
    <row r="79" spans="1:42">
      <c r="A79" s="736"/>
      <c r="B79" s="736"/>
      <c r="C79" s="736"/>
      <c r="D79" s="736"/>
      <c r="E79" s="736"/>
      <c r="F79" s="736"/>
      <c r="G79" s="736"/>
      <c r="H79" s="736"/>
      <c r="I79" s="736"/>
      <c r="J79" s="736"/>
      <c r="K79" s="736"/>
      <c r="L79" s="737" t="s">
        <v>199</v>
      </c>
      <c r="M79" s="736"/>
      <c r="N79" s="738"/>
      <c r="O79" s="738"/>
      <c r="P79" s="738"/>
      <c r="Q79" s="738"/>
      <c r="R79" s="738"/>
      <c r="S79" s="738"/>
      <c r="T79" s="738"/>
      <c r="U79" s="738"/>
      <c r="V79" s="738"/>
      <c r="W79" s="738"/>
      <c r="X79" s="738"/>
      <c r="Y79" s="738"/>
      <c r="Z79" s="738"/>
      <c r="AA79" s="736"/>
      <c r="AB79" s="736"/>
      <c r="AC79" s="736"/>
      <c r="AD79" s="738"/>
      <c r="AE79" s="738"/>
      <c r="AF79" s="738"/>
      <c r="AG79" s="738"/>
      <c r="AH79" s="738"/>
      <c r="AI79" s="738"/>
      <c r="AJ79" s="738"/>
      <c r="AK79" s="738"/>
      <c r="AL79" s="738"/>
      <c r="AM79" s="738"/>
      <c r="AN79" s="738"/>
      <c r="AO79" s="738"/>
      <c r="AP79" s="738"/>
    </row>
    <row r="80" spans="1:42">
      <c r="A80" s="736"/>
      <c r="B80" s="736"/>
      <c r="C80" s="736"/>
      <c r="D80" s="736"/>
      <c r="E80" s="736"/>
      <c r="F80" s="736"/>
      <c r="G80" s="736"/>
      <c r="H80" s="736"/>
      <c r="I80" s="736"/>
      <c r="J80" s="736"/>
      <c r="K80" s="736"/>
      <c r="L80" s="737" t="s">
        <v>199</v>
      </c>
      <c r="M80" s="736"/>
      <c r="N80" s="736"/>
      <c r="O80" s="736"/>
      <c r="P80" s="736"/>
      <c r="Q80" s="736"/>
      <c r="R80" s="736"/>
      <c r="S80" s="736"/>
      <c r="T80" s="736"/>
      <c r="U80" s="736"/>
      <c r="V80" s="736"/>
      <c r="W80" s="736"/>
      <c r="X80" s="736"/>
      <c r="Y80" s="736"/>
      <c r="Z80" s="736"/>
      <c r="AA80" s="736"/>
      <c r="AB80" s="736"/>
      <c r="AC80" s="736"/>
      <c r="AD80" s="736"/>
      <c r="AE80" s="736"/>
      <c r="AF80" s="736"/>
      <c r="AG80" s="736"/>
      <c r="AH80" s="736"/>
      <c r="AI80" s="736"/>
      <c r="AJ80" s="736"/>
      <c r="AK80" s="736"/>
      <c r="AL80" s="736"/>
      <c r="AM80" s="736"/>
      <c r="AN80" s="736"/>
      <c r="AO80" s="736"/>
      <c r="AP80" s="736"/>
    </row>
    <row r="81" spans="1:42">
      <c r="A81" s="736"/>
      <c r="B81" s="736"/>
      <c r="C81" s="736"/>
      <c r="D81" s="736"/>
      <c r="E81" s="736"/>
      <c r="F81" s="736"/>
      <c r="G81" s="736"/>
      <c r="H81" s="736"/>
      <c r="I81" s="736"/>
      <c r="J81" s="736"/>
      <c r="K81" s="736"/>
      <c r="L81" s="737" t="s">
        <v>199</v>
      </c>
      <c r="M81" s="736"/>
      <c r="N81" s="736"/>
      <c r="O81" s="736"/>
      <c r="P81" s="736"/>
      <c r="Q81" s="736"/>
      <c r="R81" s="736"/>
      <c r="S81" s="736"/>
      <c r="T81" s="736"/>
      <c r="U81" s="736"/>
      <c r="V81" s="736"/>
      <c r="W81" s="736"/>
      <c r="X81" s="736"/>
      <c r="Y81" s="736"/>
      <c r="Z81" s="736"/>
      <c r="AA81" s="736"/>
      <c r="AB81" s="736"/>
      <c r="AC81" s="736"/>
      <c r="AD81" s="736"/>
      <c r="AE81" s="736"/>
      <c r="AF81" s="736"/>
      <c r="AG81" s="736"/>
      <c r="AH81" s="736"/>
      <c r="AI81" s="736"/>
      <c r="AJ81" s="736"/>
      <c r="AK81" s="736"/>
      <c r="AL81" s="736"/>
      <c r="AM81" s="736"/>
      <c r="AN81" s="736"/>
      <c r="AO81" s="736"/>
      <c r="AP81" s="736"/>
    </row>
    <row r="82" spans="1:42">
      <c r="A82" s="736"/>
      <c r="B82" s="736"/>
      <c r="C82" s="736"/>
      <c r="D82" s="736"/>
      <c r="E82" s="736"/>
      <c r="F82" s="736"/>
      <c r="G82" s="736"/>
      <c r="H82" s="736"/>
      <c r="I82" s="736"/>
      <c r="J82" s="736"/>
      <c r="K82" s="736"/>
      <c r="L82" s="737" t="s">
        <v>199</v>
      </c>
      <c r="M82" s="736"/>
      <c r="N82" s="736"/>
      <c r="O82" s="736"/>
      <c r="P82" s="736"/>
      <c r="Q82" s="736"/>
      <c r="R82" s="736"/>
      <c r="S82" s="736"/>
      <c r="T82" s="736"/>
      <c r="U82" s="736"/>
      <c r="V82" s="736"/>
      <c r="W82" s="736"/>
      <c r="X82" s="736"/>
      <c r="Y82" s="736"/>
      <c r="Z82" s="736"/>
      <c r="AA82" s="736"/>
      <c r="AB82" s="736"/>
      <c r="AC82" s="736"/>
      <c r="AD82" s="736"/>
      <c r="AE82" s="736"/>
      <c r="AF82" s="736"/>
      <c r="AG82" s="736"/>
      <c r="AH82" s="736"/>
      <c r="AI82" s="736"/>
      <c r="AJ82" s="736"/>
      <c r="AK82" s="736"/>
      <c r="AL82" s="736"/>
      <c r="AM82" s="736"/>
      <c r="AN82" s="736"/>
      <c r="AO82" s="736"/>
      <c r="AP82" s="736"/>
    </row>
    <row r="83" spans="1:42">
      <c r="A83" s="736"/>
      <c r="B83" s="736"/>
      <c r="C83" s="736"/>
      <c r="D83" s="736"/>
      <c r="E83" s="736"/>
      <c r="F83" s="736"/>
      <c r="G83" s="736"/>
      <c r="H83" s="736"/>
      <c r="I83" s="736"/>
      <c r="J83" s="736"/>
      <c r="K83" s="736"/>
      <c r="L83" s="737" t="s">
        <v>199</v>
      </c>
      <c r="M83" s="736"/>
      <c r="N83" s="738"/>
      <c r="O83" s="738"/>
      <c r="P83" s="738"/>
      <c r="Q83" s="738"/>
      <c r="R83" s="738"/>
      <c r="S83" s="738"/>
      <c r="T83" s="738"/>
      <c r="U83" s="738"/>
      <c r="V83" s="738"/>
      <c r="W83" s="738"/>
      <c r="X83" s="738"/>
      <c r="Y83" s="738"/>
      <c r="Z83" s="738"/>
      <c r="AA83" s="736"/>
      <c r="AB83" s="736"/>
      <c r="AC83" s="736"/>
      <c r="AD83" s="738"/>
      <c r="AE83" s="738"/>
      <c r="AF83" s="738"/>
      <c r="AG83" s="738"/>
      <c r="AH83" s="738"/>
      <c r="AI83" s="738"/>
      <c r="AJ83" s="738"/>
      <c r="AK83" s="738"/>
      <c r="AL83" s="738"/>
      <c r="AM83" s="738"/>
      <c r="AN83" s="738"/>
      <c r="AO83" s="738"/>
      <c r="AP83" s="738"/>
    </row>
  </sheetData>
  <mergeCells count="20">
    <mergeCell ref="A6:D6"/>
    <mergeCell ref="N10:Z10"/>
    <mergeCell ref="AD10:AP10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AA10:AA11"/>
    <mergeCell ref="AB10:AB11"/>
    <mergeCell ref="AC10:AC11"/>
    <mergeCell ref="A1:D5"/>
  </mergeCells>
  <conditionalFormatting sqref="H10">
    <cfRule type="cellIs" dxfId="1" priority="8" operator="lessThan">
      <formula>0</formula>
    </cfRule>
    <cfRule type="cellIs" priority="9" operator="lessThan">
      <formula>0</formula>
    </cfRule>
  </conditionalFormatting>
  <conditionalFormatting sqref="L10">
    <cfRule type="cellIs" dxfId="1" priority="5" operator="lessThan">
      <formula>0</formula>
    </cfRule>
    <cfRule type="cellIs" priority="6" operator="lessThan">
      <formula>0</formula>
    </cfRule>
  </conditionalFormatting>
  <conditionalFormatting sqref="H83">
    <cfRule type="duplicateValues" dxfId="2" priority="7"/>
  </conditionalFormatting>
  <conditionalFormatting sqref="H15:H82">
    <cfRule type="duplicateValues" dxfId="2" priority="10"/>
  </conditionalFormatting>
  <hyperlinks>
    <hyperlink ref="A1" location="目录!A1" display="← 返回目录"/>
  </hyperlinks>
  <pageMargins left="0.7" right="0.7" top="0.75" bottom="0.75" header="0.3" footer="0.3"/>
  <pageSetup paperSize="9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>
    <tabColor theme="8" tint="0.799981688894314"/>
  </sheetPr>
  <dimension ref="A1:T81"/>
  <sheetViews>
    <sheetView zoomScale="115" zoomScaleNormal="115" workbookViewId="0">
      <pane ySplit="10" topLeftCell="A11" activePane="bottomLeft" state="frozen"/>
      <selection/>
      <selection pane="bottomLeft" activeCell="A1" sqref="A1:D4"/>
    </sheetView>
  </sheetViews>
  <sheetFormatPr defaultColWidth="8.725" defaultRowHeight="13.5"/>
  <cols>
    <col min="2" max="2" width="10.9083333333333" customWidth="1"/>
    <col min="3" max="4" width="11.6333333333333" customWidth="1"/>
    <col min="5" max="7" width="11.5416666666667" customWidth="1"/>
    <col min="8" max="19" width="9.45" customWidth="1"/>
    <col min="20" max="20" width="22.45" customWidth="1"/>
  </cols>
  <sheetData>
    <row r="1" spans="1:20">
      <c r="A1" s="162" t="s">
        <v>185</v>
      </c>
      <c r="B1" s="492"/>
      <c r="C1" s="492"/>
      <c r="D1" s="492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pans="1:20">
      <c r="A2" s="492"/>
      <c r="B2" s="492"/>
      <c r="C2" s="492"/>
      <c r="D2" s="492"/>
      <c r="E2" s="12"/>
      <c r="F2" s="13" t="s">
        <v>1406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pans="1:20">
      <c r="A3" s="492"/>
      <c r="B3" s="492"/>
      <c r="C3" s="492"/>
      <c r="D3" s="492"/>
      <c r="E3" s="12"/>
      <c r="F3" s="13" t="s">
        <v>1653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ht="14" customHeight="1" spans="1:20">
      <c r="A4" s="492"/>
      <c r="B4" s="492"/>
      <c r="C4" s="492"/>
      <c r="D4" s="492"/>
      <c r="E4" s="12"/>
      <c r="F4" s="13" t="s">
        <v>1408</v>
      </c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pans="1:20">
      <c r="A5" s="292" t="s">
        <v>1654</v>
      </c>
      <c r="B5" s="292"/>
      <c r="C5" s="292"/>
      <c r="D5" s="292"/>
      <c r="E5" s="26" t="s">
        <v>1410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spans="1:20">
      <c r="A6" s="1"/>
      <c r="B6" s="1"/>
      <c r="C6" s="1"/>
      <c r="D6" s="1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spans="1:20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 t="s">
        <v>1655</v>
      </c>
      <c r="K7" s="1"/>
      <c r="L7" s="1"/>
      <c r="M7" s="1"/>
      <c r="N7" s="1"/>
      <c r="O7" s="1"/>
    </row>
    <row r="8" spans="1:20">
      <c r="A8" s="1"/>
      <c r="B8" s="1"/>
      <c r="C8" s="1"/>
      <c r="D8" s="1"/>
      <c r="E8" s="1"/>
      <c r="F8" s="1"/>
      <c r="G8" s="1"/>
      <c r="H8" s="1"/>
      <c r="I8" s="1"/>
      <c r="K8" s="1"/>
      <c r="L8" s="1"/>
      <c r="M8" s="1"/>
      <c r="N8" s="1"/>
      <c r="O8" s="1"/>
      <c r="Q8" s="1"/>
      <c r="R8" s="1"/>
      <c r="S8" s="1"/>
    </row>
    <row r="9" s="728" customFormat="1" ht="26" customHeight="1" spans="1:20">
      <c r="A9" s="729" t="s">
        <v>489</v>
      </c>
      <c r="B9" s="729" t="s">
        <v>490</v>
      </c>
      <c r="C9" s="729" t="s">
        <v>1369</v>
      </c>
      <c r="D9" s="730" t="s">
        <v>493</v>
      </c>
      <c r="E9" s="731" t="s">
        <v>1656</v>
      </c>
      <c r="F9" s="731" t="s">
        <v>1657</v>
      </c>
      <c r="G9" s="731" t="s">
        <v>1658</v>
      </c>
      <c r="H9" s="732" t="s">
        <v>304</v>
      </c>
      <c r="I9" s="732" t="s">
        <v>305</v>
      </c>
      <c r="J9" s="732" t="s">
        <v>306</v>
      </c>
      <c r="K9" s="732" t="s">
        <v>307</v>
      </c>
      <c r="L9" s="732" t="s">
        <v>308</v>
      </c>
      <c r="M9" s="732" t="s">
        <v>309</v>
      </c>
      <c r="N9" s="732" t="s">
        <v>310</v>
      </c>
      <c r="O9" s="732" t="s">
        <v>311</v>
      </c>
      <c r="P9" s="732" t="s">
        <v>312</v>
      </c>
      <c r="Q9" s="732" t="s">
        <v>313</v>
      </c>
      <c r="R9" s="732" t="s">
        <v>314</v>
      </c>
      <c r="S9" s="732" t="s">
        <v>315</v>
      </c>
      <c r="T9" s="732" t="s">
        <v>1462</v>
      </c>
    </row>
    <row r="10" s="543" customFormat="1" ht="21.5" customHeight="1" spans="1:20">
      <c r="A10" s="733" t="s">
        <v>1421</v>
      </c>
      <c r="B10" s="733" t="s">
        <v>1421</v>
      </c>
      <c r="C10" s="733" t="s">
        <v>1421</v>
      </c>
      <c r="D10" s="734" t="s">
        <v>1463</v>
      </c>
      <c r="E10" s="733" t="s">
        <v>1421</v>
      </c>
      <c r="F10" s="733" t="s">
        <v>199</v>
      </c>
      <c r="G10" s="733" t="s">
        <v>199</v>
      </c>
      <c r="H10" s="735" t="s">
        <v>1465</v>
      </c>
      <c r="I10" s="735" t="s">
        <v>1465</v>
      </c>
      <c r="J10" s="735" t="s">
        <v>1465</v>
      </c>
      <c r="K10" s="735" t="s">
        <v>1465</v>
      </c>
      <c r="L10" s="735" t="s">
        <v>1465</v>
      </c>
      <c r="M10" s="735" t="s">
        <v>1465</v>
      </c>
      <c r="N10" s="735" t="s">
        <v>1465</v>
      </c>
      <c r="O10" s="735" t="s">
        <v>1465</v>
      </c>
      <c r="P10" s="735" t="s">
        <v>1465</v>
      </c>
      <c r="Q10" s="735" t="s">
        <v>1465</v>
      </c>
      <c r="R10" s="735" t="s">
        <v>1465</v>
      </c>
      <c r="S10" s="735" t="s">
        <v>1465</v>
      </c>
      <c r="T10" s="735" t="s">
        <v>1465</v>
      </c>
    </row>
    <row r="11" spans="1:20">
      <c r="A11" s="736"/>
      <c r="B11" s="736"/>
      <c r="C11" s="736"/>
      <c r="D11" s="736"/>
      <c r="E11" s="737"/>
      <c r="F11" s="737" t="s">
        <v>199</v>
      </c>
      <c r="G11" s="737" t="s">
        <v>199</v>
      </c>
      <c r="H11" s="736"/>
      <c r="I11" s="736"/>
      <c r="J11" s="736"/>
      <c r="K11" s="736"/>
      <c r="L11" s="736"/>
      <c r="M11" s="736"/>
      <c r="N11" s="736"/>
      <c r="O11" s="736"/>
      <c r="P11" s="736"/>
      <c r="Q11" s="736"/>
      <c r="R11" s="736"/>
      <c r="S11" s="736"/>
      <c r="T11" s="736"/>
    </row>
    <row r="12" spans="1:20">
      <c r="A12" s="736"/>
      <c r="B12" s="736"/>
      <c r="C12" s="736"/>
      <c r="D12" s="736"/>
      <c r="E12" s="737"/>
      <c r="F12" s="737" t="s">
        <v>199</v>
      </c>
      <c r="G12" s="737" t="s">
        <v>199</v>
      </c>
      <c r="H12" s="736"/>
      <c r="I12" s="736"/>
      <c r="J12" s="736"/>
      <c r="K12" s="736"/>
      <c r="L12" s="736"/>
      <c r="M12" s="736"/>
      <c r="N12" s="736"/>
      <c r="O12" s="736"/>
      <c r="P12" s="736"/>
      <c r="Q12" s="736"/>
      <c r="R12" s="736"/>
      <c r="S12" s="736"/>
      <c r="T12" s="736"/>
    </row>
    <row r="13" spans="1:20">
      <c r="A13" s="736"/>
      <c r="B13" s="736"/>
      <c r="C13" s="736"/>
      <c r="D13" s="736"/>
      <c r="E13" s="737"/>
      <c r="F13" s="737" t="s">
        <v>199</v>
      </c>
      <c r="G13" s="737" t="s">
        <v>199</v>
      </c>
      <c r="H13" s="736"/>
      <c r="I13" s="736"/>
      <c r="J13" s="736"/>
      <c r="K13" s="736"/>
      <c r="L13" s="736"/>
      <c r="M13" s="736"/>
      <c r="N13" s="736"/>
      <c r="O13" s="736"/>
      <c r="P13" s="736"/>
      <c r="Q13" s="736"/>
      <c r="R13" s="736"/>
      <c r="S13" s="736"/>
      <c r="T13" s="736"/>
    </row>
    <row r="14" spans="1:20">
      <c r="A14" s="736"/>
      <c r="B14" s="736"/>
      <c r="C14" s="736"/>
      <c r="D14" s="736"/>
      <c r="E14" s="737"/>
      <c r="F14" s="737" t="s">
        <v>199</v>
      </c>
      <c r="G14" s="737" t="s">
        <v>199</v>
      </c>
      <c r="H14" s="736"/>
      <c r="I14" s="736"/>
      <c r="J14" s="736"/>
      <c r="K14" s="736"/>
      <c r="L14" s="736"/>
      <c r="M14" s="736"/>
      <c r="N14" s="736"/>
      <c r="O14" s="736"/>
      <c r="P14" s="736"/>
      <c r="Q14" s="736"/>
      <c r="R14" s="736"/>
      <c r="S14" s="736"/>
      <c r="T14" s="736"/>
    </row>
    <row r="15" spans="1:20">
      <c r="A15" s="736"/>
      <c r="B15" s="736"/>
      <c r="C15" s="736"/>
      <c r="D15" s="736"/>
      <c r="E15" s="737"/>
      <c r="F15" s="737" t="s">
        <v>199</v>
      </c>
      <c r="G15" s="737" t="s">
        <v>199</v>
      </c>
      <c r="H15" s="736"/>
      <c r="I15" s="736"/>
      <c r="J15" s="736"/>
      <c r="K15" s="736"/>
      <c r="L15" s="736"/>
      <c r="M15" s="736"/>
      <c r="N15" s="736"/>
      <c r="O15" s="736"/>
      <c r="P15" s="736"/>
      <c r="Q15" s="736"/>
      <c r="R15" s="736"/>
      <c r="S15" s="736"/>
      <c r="T15" s="736"/>
    </row>
    <row r="16" spans="1:20">
      <c r="A16" s="736"/>
      <c r="B16" s="736"/>
      <c r="C16" s="736"/>
      <c r="D16" s="736"/>
      <c r="E16" s="737"/>
      <c r="F16" s="737" t="s">
        <v>199</v>
      </c>
      <c r="G16" s="737" t="s">
        <v>199</v>
      </c>
      <c r="H16" s="736"/>
      <c r="I16" s="736"/>
      <c r="J16" s="736"/>
      <c r="K16" s="736"/>
      <c r="L16" s="736"/>
      <c r="M16" s="736"/>
      <c r="N16" s="736"/>
      <c r="O16" s="736"/>
      <c r="P16" s="736"/>
      <c r="Q16" s="736"/>
      <c r="R16" s="736"/>
      <c r="S16" s="736"/>
      <c r="T16" s="736"/>
    </row>
    <row r="17" spans="1:20">
      <c r="A17" s="736"/>
      <c r="B17" s="736"/>
      <c r="C17" s="736"/>
      <c r="D17" s="736"/>
      <c r="E17" s="737"/>
      <c r="F17" s="737" t="s">
        <v>199</v>
      </c>
      <c r="G17" s="737" t="s">
        <v>199</v>
      </c>
      <c r="H17" s="736"/>
      <c r="I17" s="736"/>
      <c r="J17" s="736"/>
      <c r="K17" s="736"/>
      <c r="L17" s="736"/>
      <c r="M17" s="736"/>
      <c r="N17" s="736"/>
      <c r="O17" s="736"/>
      <c r="P17" s="736"/>
      <c r="Q17" s="736"/>
      <c r="R17" s="736"/>
      <c r="S17" s="736"/>
      <c r="T17" s="736"/>
    </row>
    <row r="18" spans="1:20">
      <c r="A18" s="736"/>
      <c r="B18" s="736"/>
      <c r="C18" s="736"/>
      <c r="D18" s="736"/>
      <c r="E18" s="737"/>
      <c r="F18" s="737" t="s">
        <v>199</v>
      </c>
      <c r="G18" s="737" t="s">
        <v>199</v>
      </c>
      <c r="H18" s="736"/>
      <c r="I18" s="736"/>
      <c r="J18" s="736"/>
      <c r="K18" s="736"/>
      <c r="L18" s="736"/>
      <c r="M18" s="736"/>
      <c r="N18" s="736"/>
      <c r="O18" s="736"/>
      <c r="P18" s="736"/>
      <c r="Q18" s="736"/>
      <c r="R18" s="736"/>
      <c r="S18" s="736"/>
      <c r="T18" s="736"/>
    </row>
    <row r="19" spans="1:20">
      <c r="A19" s="736"/>
      <c r="B19" s="736"/>
      <c r="C19" s="736"/>
      <c r="D19" s="736"/>
      <c r="E19" s="737"/>
      <c r="F19" s="737" t="s">
        <v>199</v>
      </c>
      <c r="G19" s="737" t="s">
        <v>199</v>
      </c>
      <c r="H19" s="736"/>
      <c r="I19" s="736"/>
      <c r="J19" s="736"/>
      <c r="K19" s="736"/>
      <c r="L19" s="736"/>
      <c r="M19" s="736"/>
      <c r="N19" s="736"/>
      <c r="O19" s="736"/>
      <c r="P19" s="736"/>
      <c r="Q19" s="736"/>
      <c r="R19" s="736"/>
      <c r="S19" s="736"/>
      <c r="T19" s="736"/>
    </row>
    <row r="20" spans="1:20">
      <c r="A20" s="736"/>
      <c r="B20" s="736"/>
      <c r="C20" s="736"/>
      <c r="D20" s="736"/>
      <c r="E20" s="737"/>
      <c r="F20" s="737" t="s">
        <v>199</v>
      </c>
      <c r="G20" s="737" t="s">
        <v>199</v>
      </c>
      <c r="H20" s="736"/>
      <c r="I20" s="736"/>
      <c r="J20" s="736"/>
      <c r="K20" s="736"/>
      <c r="L20" s="736"/>
      <c r="M20" s="736"/>
      <c r="N20" s="736"/>
      <c r="O20" s="736"/>
      <c r="P20" s="736"/>
      <c r="Q20" s="736"/>
      <c r="R20" s="736"/>
      <c r="S20" s="736"/>
      <c r="T20" s="736"/>
    </row>
    <row r="21" spans="1:20">
      <c r="A21" s="736"/>
      <c r="B21" s="736"/>
      <c r="C21" s="736"/>
      <c r="D21" s="736"/>
      <c r="E21" s="737"/>
      <c r="F21" s="737" t="s">
        <v>199</v>
      </c>
      <c r="G21" s="737" t="s">
        <v>199</v>
      </c>
      <c r="H21" s="736"/>
      <c r="I21" s="736"/>
      <c r="J21" s="736"/>
      <c r="K21" s="736"/>
      <c r="L21" s="736"/>
      <c r="M21" s="736"/>
      <c r="N21" s="736"/>
      <c r="O21" s="736"/>
      <c r="P21" s="736"/>
      <c r="Q21" s="736"/>
      <c r="R21" s="736"/>
      <c r="S21" s="736"/>
      <c r="T21" s="736"/>
    </row>
    <row r="22" spans="1:20">
      <c r="A22" s="736"/>
      <c r="B22" s="736"/>
      <c r="C22" s="736"/>
      <c r="D22" s="736"/>
      <c r="E22" s="737"/>
      <c r="F22" s="737" t="s">
        <v>199</v>
      </c>
      <c r="G22" s="737" t="s">
        <v>199</v>
      </c>
      <c r="H22" s="736"/>
      <c r="I22" s="736"/>
      <c r="J22" s="736"/>
      <c r="K22" s="736"/>
      <c r="L22" s="736"/>
      <c r="M22" s="736"/>
      <c r="N22" s="736"/>
      <c r="O22" s="736"/>
      <c r="P22" s="736"/>
      <c r="Q22" s="736"/>
      <c r="R22" s="736"/>
      <c r="S22" s="736"/>
      <c r="T22" s="736"/>
    </row>
    <row r="23" spans="1:20">
      <c r="A23" s="736"/>
      <c r="B23" s="736"/>
      <c r="C23" s="736"/>
      <c r="D23" s="736"/>
      <c r="E23" s="737"/>
      <c r="F23" s="737" t="s">
        <v>199</v>
      </c>
      <c r="G23" s="737" t="s">
        <v>199</v>
      </c>
      <c r="H23" s="736"/>
      <c r="I23" s="736"/>
      <c r="J23" s="736"/>
      <c r="K23" s="736"/>
      <c r="L23" s="736"/>
      <c r="M23" s="736"/>
      <c r="N23" s="736"/>
      <c r="O23" s="736"/>
      <c r="P23" s="736"/>
      <c r="Q23" s="736"/>
      <c r="R23" s="736"/>
      <c r="S23" s="736"/>
      <c r="T23" s="736"/>
    </row>
    <row r="24" spans="1:20">
      <c r="A24" s="736"/>
      <c r="B24" s="736"/>
      <c r="C24" s="736"/>
      <c r="D24" s="736"/>
      <c r="E24" s="737"/>
      <c r="F24" s="737" t="s">
        <v>199</v>
      </c>
      <c r="G24" s="737" t="s">
        <v>199</v>
      </c>
      <c r="H24" s="736"/>
      <c r="I24" s="736"/>
      <c r="J24" s="736"/>
      <c r="K24" s="736"/>
      <c r="L24" s="736"/>
      <c r="M24" s="736"/>
      <c r="N24" s="736"/>
      <c r="O24" s="736"/>
      <c r="P24" s="736"/>
      <c r="Q24" s="736"/>
      <c r="R24" s="736"/>
      <c r="S24" s="736"/>
      <c r="T24" s="736"/>
    </row>
    <row r="25" spans="1:20">
      <c r="A25" s="736"/>
      <c r="B25" s="736"/>
      <c r="C25" s="736"/>
      <c r="D25" s="736"/>
      <c r="E25" s="737"/>
      <c r="F25" s="737" t="s">
        <v>199</v>
      </c>
      <c r="G25" s="737" t="s">
        <v>199</v>
      </c>
      <c r="H25" s="736"/>
      <c r="I25" s="736"/>
      <c r="J25" s="736"/>
      <c r="K25" s="736"/>
      <c r="L25" s="736"/>
      <c r="M25" s="736"/>
      <c r="N25" s="736"/>
      <c r="O25" s="736"/>
      <c r="P25" s="736"/>
      <c r="Q25" s="736"/>
      <c r="R25" s="736"/>
      <c r="S25" s="736"/>
      <c r="T25" s="736"/>
    </row>
    <row r="26" spans="1:20">
      <c r="A26" s="736"/>
      <c r="B26" s="736"/>
      <c r="C26" s="736"/>
      <c r="D26" s="736"/>
      <c r="E26" s="737"/>
      <c r="F26" s="737" t="s">
        <v>199</v>
      </c>
      <c r="G26" s="737" t="s">
        <v>199</v>
      </c>
      <c r="H26" s="736"/>
      <c r="I26" s="736"/>
      <c r="J26" s="736"/>
      <c r="K26" s="736"/>
      <c r="L26" s="736"/>
      <c r="M26" s="736"/>
      <c r="N26" s="736"/>
      <c r="O26" s="736"/>
      <c r="P26" s="736"/>
      <c r="Q26" s="736"/>
      <c r="R26" s="736"/>
      <c r="S26" s="736"/>
      <c r="T26" s="736"/>
    </row>
    <row r="27" spans="1:20">
      <c r="A27" s="736"/>
      <c r="B27" s="736"/>
      <c r="C27" s="736"/>
      <c r="D27" s="736"/>
      <c r="E27" s="737"/>
      <c r="F27" s="737" t="s">
        <v>199</v>
      </c>
      <c r="G27" s="737" t="s">
        <v>199</v>
      </c>
      <c r="H27" s="736"/>
      <c r="I27" s="736"/>
      <c r="J27" s="736"/>
      <c r="K27" s="736"/>
      <c r="L27" s="736"/>
      <c r="M27" s="736"/>
      <c r="N27" s="736"/>
      <c r="O27" s="736"/>
      <c r="P27" s="736"/>
      <c r="Q27" s="736"/>
      <c r="R27" s="736"/>
      <c r="S27" s="736"/>
      <c r="T27" s="736"/>
    </row>
    <row r="28" spans="1:20">
      <c r="A28" s="736"/>
      <c r="B28" s="736"/>
      <c r="C28" s="736"/>
      <c r="D28" s="736"/>
      <c r="E28" s="737"/>
      <c r="F28" s="737" t="s">
        <v>199</v>
      </c>
      <c r="G28" s="737" t="s">
        <v>199</v>
      </c>
      <c r="H28" s="736"/>
      <c r="I28" s="736"/>
      <c r="J28" s="736"/>
      <c r="K28" s="736"/>
      <c r="L28" s="736"/>
      <c r="M28" s="736"/>
      <c r="N28" s="736"/>
      <c r="O28" s="736"/>
      <c r="P28" s="736"/>
      <c r="Q28" s="736"/>
      <c r="R28" s="736"/>
      <c r="S28" s="736"/>
      <c r="T28" s="736"/>
    </row>
    <row r="29" spans="1:20">
      <c r="A29" s="736"/>
      <c r="B29" s="736"/>
      <c r="C29" s="736"/>
      <c r="D29" s="736"/>
      <c r="E29" s="737"/>
      <c r="F29" s="737" t="s">
        <v>199</v>
      </c>
      <c r="G29" s="737" t="s">
        <v>199</v>
      </c>
      <c r="H29" s="736"/>
      <c r="I29" s="736"/>
      <c r="J29" s="736"/>
      <c r="K29" s="736"/>
      <c r="L29" s="736"/>
      <c r="M29" s="736"/>
      <c r="N29" s="736"/>
      <c r="O29" s="736"/>
      <c r="P29" s="736"/>
      <c r="Q29" s="736"/>
      <c r="R29" s="736"/>
      <c r="S29" s="736"/>
      <c r="T29" s="736"/>
    </row>
    <row r="30" spans="1:20">
      <c r="A30" s="736"/>
      <c r="B30" s="736"/>
      <c r="C30" s="736"/>
      <c r="D30" s="736"/>
      <c r="E30" s="737"/>
      <c r="F30" s="737" t="s">
        <v>199</v>
      </c>
      <c r="G30" s="737" t="s">
        <v>199</v>
      </c>
      <c r="H30" s="736"/>
      <c r="I30" s="736"/>
      <c r="J30" s="736"/>
      <c r="K30" s="736"/>
      <c r="L30" s="736"/>
      <c r="M30" s="736"/>
      <c r="N30" s="736"/>
      <c r="O30" s="736"/>
      <c r="P30" s="736"/>
      <c r="Q30" s="736"/>
      <c r="R30" s="736"/>
      <c r="S30" s="736"/>
      <c r="T30" s="736"/>
    </row>
    <row r="31" spans="1:20">
      <c r="A31" s="736"/>
      <c r="B31" s="736"/>
      <c r="C31" s="736"/>
      <c r="D31" s="736"/>
      <c r="E31" s="737"/>
      <c r="F31" s="737" t="s">
        <v>199</v>
      </c>
      <c r="G31" s="737" t="s">
        <v>199</v>
      </c>
      <c r="H31" s="736"/>
      <c r="I31" s="736"/>
      <c r="J31" s="736"/>
      <c r="K31" s="736"/>
      <c r="L31" s="736"/>
      <c r="M31" s="736"/>
      <c r="N31" s="736"/>
      <c r="O31" s="736"/>
      <c r="P31" s="736"/>
      <c r="Q31" s="736"/>
      <c r="R31" s="736"/>
      <c r="S31" s="736"/>
      <c r="T31" s="736"/>
    </row>
    <row r="32" spans="1:20">
      <c r="A32" s="736"/>
      <c r="B32" s="736"/>
      <c r="C32" s="736"/>
      <c r="D32" s="736"/>
      <c r="E32" s="737"/>
      <c r="F32" s="737" t="s">
        <v>199</v>
      </c>
      <c r="G32" s="737" t="s">
        <v>199</v>
      </c>
      <c r="H32" s="736"/>
      <c r="I32" s="736"/>
      <c r="J32" s="736"/>
      <c r="K32" s="736"/>
      <c r="L32" s="736"/>
      <c r="M32" s="736"/>
      <c r="N32" s="736"/>
      <c r="O32" s="736"/>
      <c r="P32" s="736"/>
      <c r="Q32" s="736"/>
      <c r="R32" s="736"/>
      <c r="S32" s="736"/>
      <c r="T32" s="736"/>
    </row>
    <row r="33" spans="1:20">
      <c r="A33" s="736"/>
      <c r="B33" s="736"/>
      <c r="C33" s="736"/>
      <c r="D33" s="736"/>
      <c r="E33" s="737"/>
      <c r="F33" s="737" t="s">
        <v>199</v>
      </c>
      <c r="G33" s="737" t="s">
        <v>199</v>
      </c>
      <c r="H33" s="736"/>
      <c r="I33" s="736"/>
      <c r="J33" s="736"/>
      <c r="K33" s="736"/>
      <c r="L33" s="736"/>
      <c r="M33" s="736"/>
      <c r="N33" s="736"/>
      <c r="O33" s="736"/>
      <c r="P33" s="736"/>
      <c r="Q33" s="736"/>
      <c r="R33" s="736"/>
      <c r="S33" s="736"/>
      <c r="T33" s="736"/>
    </row>
    <row r="34" spans="1:20">
      <c r="A34" s="736"/>
      <c r="B34" s="736"/>
      <c r="C34" s="736"/>
      <c r="D34" s="736"/>
      <c r="E34" s="737"/>
      <c r="F34" s="737" t="s">
        <v>199</v>
      </c>
      <c r="G34" s="737" t="s">
        <v>199</v>
      </c>
      <c r="H34" s="736"/>
      <c r="I34" s="736"/>
      <c r="J34" s="736"/>
      <c r="K34" s="736"/>
      <c r="L34" s="736"/>
      <c r="M34" s="736"/>
      <c r="N34" s="736"/>
      <c r="O34" s="736"/>
      <c r="P34" s="736"/>
      <c r="Q34" s="736"/>
      <c r="R34" s="736"/>
      <c r="S34" s="736"/>
      <c r="T34" s="736"/>
    </row>
    <row r="35" spans="1:20">
      <c r="A35" s="736"/>
      <c r="B35" s="736"/>
      <c r="C35" s="736"/>
      <c r="D35" s="736"/>
      <c r="E35" s="737"/>
      <c r="F35" s="737" t="s">
        <v>199</v>
      </c>
      <c r="G35" s="737" t="s">
        <v>199</v>
      </c>
      <c r="H35" s="736"/>
      <c r="I35" s="736"/>
      <c r="J35" s="736"/>
      <c r="K35" s="736"/>
      <c r="L35" s="736"/>
      <c r="M35" s="736"/>
      <c r="N35" s="736"/>
      <c r="O35" s="736"/>
      <c r="P35" s="736"/>
      <c r="Q35" s="736"/>
      <c r="R35" s="736"/>
      <c r="S35" s="736"/>
      <c r="T35" s="736"/>
    </row>
    <row r="36" spans="1:20">
      <c r="A36" s="736"/>
      <c r="B36" s="736"/>
      <c r="C36" s="736"/>
      <c r="D36" s="736"/>
      <c r="E36" s="737"/>
      <c r="F36" s="737" t="s">
        <v>199</v>
      </c>
      <c r="G36" s="737" t="s">
        <v>199</v>
      </c>
      <c r="H36" s="736"/>
      <c r="I36" s="736"/>
      <c r="J36" s="736"/>
      <c r="K36" s="736"/>
      <c r="L36" s="736"/>
      <c r="M36" s="736"/>
      <c r="N36" s="736"/>
      <c r="O36" s="736"/>
      <c r="P36" s="736"/>
      <c r="Q36" s="736"/>
      <c r="R36" s="736"/>
      <c r="S36" s="736"/>
      <c r="T36" s="736"/>
    </row>
    <row r="37" spans="1:20">
      <c r="A37" s="736"/>
      <c r="B37" s="736"/>
      <c r="C37" s="736"/>
      <c r="D37" s="736"/>
      <c r="E37" s="737"/>
      <c r="F37" s="737" t="s">
        <v>199</v>
      </c>
      <c r="G37" s="737" t="s">
        <v>199</v>
      </c>
      <c r="H37" s="736"/>
      <c r="I37" s="736"/>
      <c r="J37" s="736"/>
      <c r="K37" s="736"/>
      <c r="L37" s="736"/>
      <c r="M37" s="736"/>
      <c r="N37" s="736"/>
      <c r="O37" s="736"/>
      <c r="P37" s="736"/>
      <c r="Q37" s="736"/>
      <c r="R37" s="736"/>
      <c r="S37" s="736"/>
      <c r="T37" s="736"/>
    </row>
    <row r="38" spans="1:20">
      <c r="A38" s="736"/>
      <c r="B38" s="736"/>
      <c r="C38" s="736"/>
      <c r="D38" s="736"/>
      <c r="E38" s="737"/>
      <c r="F38" s="737" t="s">
        <v>199</v>
      </c>
      <c r="G38" s="737" t="s">
        <v>199</v>
      </c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</row>
    <row r="39" spans="1:20">
      <c r="A39" s="736"/>
      <c r="B39" s="736"/>
      <c r="C39" s="736"/>
      <c r="D39" s="736"/>
      <c r="E39" s="737"/>
      <c r="F39" s="737" t="s">
        <v>199</v>
      </c>
      <c r="G39" s="737" t="s">
        <v>199</v>
      </c>
      <c r="H39" s="736"/>
      <c r="I39" s="736"/>
      <c r="J39" s="736"/>
      <c r="K39" s="736"/>
      <c r="L39" s="736"/>
      <c r="M39" s="736"/>
      <c r="N39" s="736"/>
      <c r="O39" s="736"/>
      <c r="P39" s="736"/>
      <c r="Q39" s="736"/>
      <c r="R39" s="736"/>
      <c r="S39" s="736"/>
      <c r="T39" s="736"/>
    </row>
    <row r="40" spans="1:20">
      <c r="A40" s="736"/>
      <c r="B40" s="736"/>
      <c r="C40" s="736"/>
      <c r="D40" s="736"/>
      <c r="E40" s="737"/>
      <c r="F40" s="737" t="s">
        <v>199</v>
      </c>
      <c r="G40" s="737" t="s">
        <v>199</v>
      </c>
      <c r="H40" s="736"/>
      <c r="I40" s="736"/>
      <c r="J40" s="736"/>
      <c r="K40" s="736"/>
      <c r="L40" s="736"/>
      <c r="M40" s="736"/>
      <c r="N40" s="736"/>
      <c r="O40" s="736"/>
      <c r="P40" s="736"/>
      <c r="Q40" s="736"/>
      <c r="R40" s="736"/>
      <c r="S40" s="736"/>
      <c r="T40" s="736"/>
    </row>
    <row r="41" spans="1:20">
      <c r="A41" s="736"/>
      <c r="B41" s="736"/>
      <c r="C41" s="736"/>
      <c r="D41" s="736"/>
      <c r="E41" s="737"/>
      <c r="F41" s="737" t="s">
        <v>199</v>
      </c>
      <c r="G41" s="737" t="s">
        <v>199</v>
      </c>
      <c r="H41" s="736"/>
      <c r="I41" s="736"/>
      <c r="J41" s="736"/>
      <c r="K41" s="736"/>
      <c r="L41" s="736"/>
      <c r="M41" s="736"/>
      <c r="N41" s="736"/>
      <c r="O41" s="736"/>
      <c r="P41" s="736"/>
      <c r="Q41" s="736"/>
      <c r="R41" s="736"/>
      <c r="S41" s="736"/>
      <c r="T41" s="736"/>
    </row>
    <row r="42" spans="1:20">
      <c r="A42" s="736"/>
      <c r="B42" s="736"/>
      <c r="C42" s="736"/>
      <c r="D42" s="736"/>
      <c r="E42" s="737"/>
      <c r="F42" s="737" t="s">
        <v>199</v>
      </c>
      <c r="G42" s="737" t="s">
        <v>199</v>
      </c>
      <c r="H42" s="736"/>
      <c r="I42" s="736"/>
      <c r="J42" s="736"/>
      <c r="K42" s="736"/>
      <c r="L42" s="736"/>
      <c r="M42" s="736"/>
      <c r="N42" s="736"/>
      <c r="O42" s="736"/>
      <c r="P42" s="736"/>
      <c r="Q42" s="736"/>
      <c r="R42" s="736"/>
      <c r="S42" s="736"/>
      <c r="T42" s="736"/>
    </row>
    <row r="43" spans="1:20">
      <c r="A43" s="736"/>
      <c r="B43" s="736"/>
      <c r="C43" s="736"/>
      <c r="D43" s="736"/>
      <c r="E43" s="737"/>
      <c r="F43" s="737" t="s">
        <v>199</v>
      </c>
      <c r="G43" s="737" t="s">
        <v>199</v>
      </c>
      <c r="H43" s="736"/>
      <c r="I43" s="736"/>
      <c r="J43" s="736"/>
      <c r="K43" s="736"/>
      <c r="L43" s="736"/>
      <c r="M43" s="736"/>
      <c r="N43" s="736"/>
      <c r="O43" s="736"/>
      <c r="P43" s="736"/>
      <c r="Q43" s="736"/>
      <c r="R43" s="736"/>
      <c r="S43" s="736"/>
      <c r="T43" s="736"/>
    </row>
    <row r="44" spans="1:20">
      <c r="A44" s="736"/>
      <c r="B44" s="736"/>
      <c r="C44" s="736"/>
      <c r="D44" s="736"/>
      <c r="E44" s="737"/>
      <c r="F44" s="737" t="s">
        <v>199</v>
      </c>
      <c r="G44" s="737" t="s">
        <v>199</v>
      </c>
      <c r="H44" s="736"/>
      <c r="I44" s="736"/>
      <c r="J44" s="736"/>
      <c r="K44" s="736"/>
      <c r="L44" s="736"/>
      <c r="M44" s="736"/>
      <c r="N44" s="736"/>
      <c r="O44" s="736"/>
      <c r="P44" s="736"/>
      <c r="Q44" s="736"/>
      <c r="R44" s="736"/>
      <c r="S44" s="736"/>
      <c r="T44" s="736"/>
    </row>
    <row r="45" spans="1:20">
      <c r="A45" s="736"/>
      <c r="B45" s="736"/>
      <c r="C45" s="736"/>
      <c r="D45" s="736"/>
      <c r="E45" s="737"/>
      <c r="F45" s="737" t="s">
        <v>199</v>
      </c>
      <c r="G45" s="737" t="s">
        <v>199</v>
      </c>
      <c r="H45" s="738"/>
      <c r="I45" s="738"/>
      <c r="J45" s="738"/>
      <c r="K45" s="738"/>
      <c r="L45" s="738"/>
      <c r="M45" s="738"/>
      <c r="N45" s="738"/>
      <c r="O45" s="738"/>
      <c r="P45" s="738"/>
      <c r="Q45" s="738"/>
      <c r="R45" s="738"/>
      <c r="S45" s="738"/>
      <c r="T45" s="738"/>
    </row>
    <row r="46" spans="1:20">
      <c r="A46" s="736"/>
      <c r="B46" s="736"/>
      <c r="C46" s="736"/>
      <c r="D46" s="736"/>
      <c r="E46" s="737"/>
      <c r="F46" s="737" t="s">
        <v>199</v>
      </c>
      <c r="G46" s="737" t="s">
        <v>199</v>
      </c>
      <c r="H46" s="736"/>
      <c r="I46" s="736"/>
      <c r="J46" s="736"/>
      <c r="K46" s="736"/>
      <c r="L46" s="736"/>
      <c r="M46" s="736"/>
      <c r="N46" s="736"/>
      <c r="O46" s="736"/>
      <c r="P46" s="736"/>
      <c r="Q46" s="736"/>
      <c r="R46" s="736"/>
      <c r="S46" s="736"/>
      <c r="T46" s="736"/>
    </row>
    <row r="47" spans="1:20">
      <c r="A47" s="736"/>
      <c r="B47" s="736"/>
      <c r="C47" s="736"/>
      <c r="D47" s="736"/>
      <c r="E47" s="737"/>
      <c r="F47" s="737" t="s">
        <v>199</v>
      </c>
      <c r="G47" s="737" t="s">
        <v>199</v>
      </c>
      <c r="H47" s="738"/>
      <c r="I47" s="738"/>
      <c r="J47" s="738"/>
      <c r="K47" s="738"/>
      <c r="L47" s="738"/>
      <c r="M47" s="738"/>
      <c r="N47" s="738"/>
      <c r="O47" s="738"/>
      <c r="P47" s="738"/>
      <c r="Q47" s="738"/>
      <c r="R47" s="738"/>
      <c r="S47" s="738"/>
      <c r="T47" s="738"/>
    </row>
    <row r="48" spans="1:20">
      <c r="A48" s="736"/>
      <c r="B48" s="736"/>
      <c r="C48" s="736"/>
      <c r="D48" s="736"/>
      <c r="E48" s="737"/>
      <c r="F48" s="737" t="s">
        <v>199</v>
      </c>
      <c r="G48" s="737" t="s">
        <v>199</v>
      </c>
      <c r="H48" s="736"/>
      <c r="I48" s="736"/>
      <c r="J48" s="736"/>
      <c r="K48" s="736"/>
      <c r="L48" s="736"/>
      <c r="M48" s="736"/>
      <c r="N48" s="736"/>
      <c r="O48" s="736"/>
      <c r="P48" s="736"/>
      <c r="Q48" s="736"/>
      <c r="R48" s="736"/>
      <c r="S48" s="736"/>
      <c r="T48" s="736"/>
    </row>
    <row r="49" spans="1:20">
      <c r="A49" s="736"/>
      <c r="B49" s="736"/>
      <c r="C49" s="736"/>
      <c r="D49" s="736"/>
      <c r="E49" s="737"/>
      <c r="F49" s="737" t="s">
        <v>199</v>
      </c>
      <c r="G49" s="737" t="s">
        <v>199</v>
      </c>
      <c r="H49" s="736"/>
      <c r="I49" s="736"/>
      <c r="J49" s="736"/>
      <c r="K49" s="736"/>
      <c r="L49" s="736"/>
      <c r="M49" s="736"/>
      <c r="N49" s="736"/>
      <c r="O49" s="736"/>
      <c r="P49" s="736"/>
      <c r="Q49" s="736"/>
      <c r="R49" s="736"/>
      <c r="S49" s="736"/>
      <c r="T49" s="736"/>
    </row>
    <row r="50" spans="1:20">
      <c r="A50" s="736"/>
      <c r="B50" s="736"/>
      <c r="C50" s="736"/>
      <c r="D50" s="736"/>
      <c r="E50" s="737"/>
      <c r="F50" s="737" t="s">
        <v>199</v>
      </c>
      <c r="G50" s="737" t="s">
        <v>199</v>
      </c>
      <c r="H50" s="736"/>
      <c r="I50" s="736"/>
      <c r="J50" s="736"/>
      <c r="K50" s="736"/>
      <c r="L50" s="736"/>
      <c r="M50" s="736"/>
      <c r="N50" s="736"/>
      <c r="O50" s="736"/>
      <c r="P50" s="736"/>
      <c r="Q50" s="736"/>
      <c r="R50" s="736"/>
      <c r="S50" s="736"/>
      <c r="T50" s="736"/>
    </row>
    <row r="51" spans="1:20">
      <c r="A51" s="736"/>
      <c r="B51" s="736"/>
      <c r="C51" s="736"/>
      <c r="D51" s="736"/>
      <c r="E51" s="737"/>
      <c r="F51" s="737" t="s">
        <v>199</v>
      </c>
      <c r="G51" s="737" t="s">
        <v>199</v>
      </c>
      <c r="H51" s="736"/>
      <c r="I51" s="736"/>
      <c r="J51" s="736"/>
      <c r="K51" s="736"/>
      <c r="L51" s="736"/>
      <c r="M51" s="736"/>
      <c r="N51" s="736"/>
      <c r="O51" s="736"/>
      <c r="P51" s="736"/>
      <c r="Q51" s="736"/>
      <c r="R51" s="736"/>
      <c r="S51" s="736"/>
      <c r="T51" s="736"/>
    </row>
    <row r="52" spans="1:20">
      <c r="A52" s="736"/>
      <c r="B52" s="736"/>
      <c r="C52" s="736"/>
      <c r="D52" s="736"/>
      <c r="E52" s="737"/>
      <c r="F52" s="737" t="s">
        <v>199</v>
      </c>
      <c r="G52" s="737" t="s">
        <v>199</v>
      </c>
      <c r="H52" s="736"/>
      <c r="I52" s="736"/>
      <c r="J52" s="736"/>
      <c r="K52" s="736"/>
      <c r="L52" s="736"/>
      <c r="M52" s="736"/>
      <c r="N52" s="736"/>
      <c r="O52" s="736"/>
      <c r="P52" s="736"/>
      <c r="Q52" s="736"/>
      <c r="R52" s="736"/>
      <c r="S52" s="736"/>
      <c r="T52" s="736"/>
    </row>
    <row r="53" spans="1:20">
      <c r="A53" s="736"/>
      <c r="B53" s="736"/>
      <c r="C53" s="736"/>
      <c r="D53" s="736"/>
      <c r="E53" s="737"/>
      <c r="F53" s="737" t="s">
        <v>199</v>
      </c>
      <c r="G53" s="737" t="s">
        <v>199</v>
      </c>
      <c r="H53" s="736"/>
      <c r="I53" s="736"/>
      <c r="J53" s="736"/>
      <c r="K53" s="736"/>
      <c r="L53" s="736"/>
      <c r="M53" s="736"/>
      <c r="N53" s="736"/>
      <c r="O53" s="736"/>
      <c r="P53" s="736"/>
      <c r="Q53" s="736"/>
      <c r="R53" s="736"/>
      <c r="S53" s="736"/>
      <c r="T53" s="736"/>
    </row>
    <row r="54" spans="1:20">
      <c r="A54" s="736"/>
      <c r="B54" s="736"/>
      <c r="C54" s="736"/>
      <c r="D54" s="736"/>
      <c r="E54" s="737"/>
      <c r="F54" s="737" t="s">
        <v>199</v>
      </c>
      <c r="G54" s="737" t="s">
        <v>199</v>
      </c>
      <c r="H54" s="738"/>
      <c r="I54" s="738"/>
      <c r="J54" s="738"/>
      <c r="K54" s="738"/>
      <c r="L54" s="738"/>
      <c r="M54" s="738"/>
      <c r="N54" s="738"/>
      <c r="O54" s="738"/>
      <c r="P54" s="738"/>
      <c r="Q54" s="738"/>
      <c r="R54" s="738"/>
      <c r="S54" s="738"/>
      <c r="T54" s="738"/>
    </row>
    <row r="55" spans="1:20">
      <c r="A55" s="736"/>
      <c r="B55" s="736"/>
      <c r="C55" s="736"/>
      <c r="D55" s="736"/>
      <c r="E55" s="737"/>
      <c r="F55" s="737" t="s">
        <v>199</v>
      </c>
      <c r="G55" s="737" t="s">
        <v>199</v>
      </c>
      <c r="H55" s="736"/>
      <c r="I55" s="736"/>
      <c r="J55" s="736"/>
      <c r="K55" s="736"/>
      <c r="L55" s="736"/>
      <c r="M55" s="736"/>
      <c r="N55" s="736"/>
      <c r="O55" s="736"/>
      <c r="P55" s="736"/>
      <c r="Q55" s="736"/>
      <c r="R55" s="736"/>
      <c r="S55" s="736"/>
      <c r="T55" s="736"/>
    </row>
    <row r="56" spans="1:20">
      <c r="A56" s="736"/>
      <c r="B56" s="736"/>
      <c r="C56" s="736"/>
      <c r="D56" s="736"/>
      <c r="E56" s="737"/>
      <c r="F56" s="737" t="s">
        <v>199</v>
      </c>
      <c r="G56" s="737" t="s">
        <v>199</v>
      </c>
      <c r="H56" s="736"/>
      <c r="I56" s="736"/>
      <c r="J56" s="736"/>
      <c r="K56" s="736"/>
      <c r="L56" s="736"/>
      <c r="M56" s="736"/>
      <c r="N56" s="736"/>
      <c r="O56" s="736"/>
      <c r="P56" s="736"/>
      <c r="Q56" s="736"/>
      <c r="R56" s="736"/>
      <c r="S56" s="736"/>
      <c r="T56" s="736"/>
    </row>
    <row r="57" spans="1:20">
      <c r="A57" s="736"/>
      <c r="B57" s="736"/>
      <c r="C57" s="736"/>
      <c r="D57" s="736"/>
      <c r="E57" s="737"/>
      <c r="F57" s="737" t="s">
        <v>199</v>
      </c>
      <c r="G57" s="737" t="s">
        <v>199</v>
      </c>
      <c r="H57" s="736"/>
      <c r="I57" s="736"/>
      <c r="J57" s="736"/>
      <c r="K57" s="736"/>
      <c r="L57" s="736"/>
      <c r="M57" s="736"/>
      <c r="N57" s="736"/>
      <c r="O57" s="736"/>
      <c r="P57" s="736"/>
      <c r="Q57" s="736"/>
      <c r="R57" s="736"/>
      <c r="S57" s="736"/>
      <c r="T57" s="736"/>
    </row>
    <row r="58" spans="1:20">
      <c r="A58" s="736"/>
      <c r="B58" s="736"/>
      <c r="C58" s="736"/>
      <c r="D58" s="736"/>
      <c r="E58" s="737"/>
      <c r="F58" s="737" t="s">
        <v>199</v>
      </c>
      <c r="G58" s="737" t="s">
        <v>199</v>
      </c>
      <c r="H58" s="736"/>
      <c r="I58" s="736"/>
      <c r="J58" s="736"/>
      <c r="K58" s="736"/>
      <c r="L58" s="736"/>
      <c r="M58" s="736"/>
      <c r="N58" s="736"/>
      <c r="O58" s="736"/>
      <c r="P58" s="736"/>
      <c r="Q58" s="736"/>
      <c r="R58" s="736"/>
      <c r="S58" s="736"/>
      <c r="T58" s="736"/>
    </row>
    <row r="59" spans="1:20">
      <c r="A59" s="736"/>
      <c r="B59" s="736"/>
      <c r="C59" s="736"/>
      <c r="D59" s="736"/>
      <c r="E59" s="737"/>
      <c r="F59" s="737" t="s">
        <v>199</v>
      </c>
      <c r="G59" s="737" t="s">
        <v>199</v>
      </c>
      <c r="H59" s="736"/>
      <c r="I59" s="736"/>
      <c r="J59" s="736"/>
      <c r="K59" s="736"/>
      <c r="L59" s="736"/>
      <c r="M59" s="736"/>
      <c r="N59" s="736"/>
      <c r="O59" s="736"/>
      <c r="P59" s="736"/>
      <c r="Q59" s="736"/>
      <c r="R59" s="736"/>
      <c r="S59" s="736"/>
      <c r="T59" s="736"/>
    </row>
    <row r="60" spans="1:20">
      <c r="A60" s="736"/>
      <c r="B60" s="736"/>
      <c r="C60" s="736"/>
      <c r="D60" s="736"/>
      <c r="E60" s="737"/>
      <c r="F60" s="737" t="s">
        <v>199</v>
      </c>
      <c r="G60" s="737" t="s">
        <v>199</v>
      </c>
      <c r="H60" s="736"/>
      <c r="I60" s="736"/>
      <c r="J60" s="736"/>
      <c r="K60" s="736"/>
      <c r="L60" s="736"/>
      <c r="M60" s="736"/>
      <c r="N60" s="736"/>
      <c r="O60" s="736"/>
      <c r="P60" s="736"/>
      <c r="Q60" s="736"/>
      <c r="R60" s="736"/>
      <c r="S60" s="736"/>
      <c r="T60" s="736"/>
    </row>
    <row r="61" spans="1:20">
      <c r="A61" s="736"/>
      <c r="B61" s="736"/>
      <c r="C61" s="736"/>
      <c r="D61" s="736"/>
      <c r="E61" s="737"/>
      <c r="F61" s="737" t="s">
        <v>199</v>
      </c>
      <c r="G61" s="737" t="s">
        <v>199</v>
      </c>
      <c r="H61" s="736"/>
      <c r="I61" s="736"/>
      <c r="J61" s="736"/>
      <c r="K61" s="736"/>
      <c r="L61" s="736"/>
      <c r="M61" s="736"/>
      <c r="N61" s="736"/>
      <c r="O61" s="736"/>
      <c r="P61" s="736"/>
      <c r="Q61" s="736"/>
      <c r="R61" s="736"/>
      <c r="S61" s="736"/>
      <c r="T61" s="736"/>
    </row>
    <row r="62" spans="1:20">
      <c r="A62" s="736"/>
      <c r="B62" s="736"/>
      <c r="C62" s="736"/>
      <c r="D62" s="736"/>
      <c r="E62" s="737"/>
      <c r="F62" s="737" t="s">
        <v>199</v>
      </c>
      <c r="G62" s="737" t="s">
        <v>199</v>
      </c>
      <c r="H62" s="736"/>
      <c r="I62" s="736"/>
      <c r="J62" s="736"/>
      <c r="K62" s="736"/>
      <c r="L62" s="736"/>
      <c r="M62" s="736"/>
      <c r="N62" s="736"/>
      <c r="O62" s="736"/>
      <c r="P62" s="736"/>
      <c r="Q62" s="736"/>
      <c r="R62" s="736"/>
      <c r="S62" s="736"/>
      <c r="T62" s="736"/>
    </row>
    <row r="63" spans="1:20">
      <c r="A63" s="736"/>
      <c r="B63" s="736"/>
      <c r="C63" s="736"/>
      <c r="D63" s="736"/>
      <c r="E63" s="737"/>
      <c r="F63" s="737" t="s">
        <v>199</v>
      </c>
      <c r="G63" s="737" t="s">
        <v>199</v>
      </c>
      <c r="H63" s="736"/>
      <c r="I63" s="736"/>
      <c r="J63" s="736"/>
      <c r="K63" s="736"/>
      <c r="L63" s="736"/>
      <c r="M63" s="736"/>
      <c r="N63" s="736"/>
      <c r="O63" s="736"/>
      <c r="P63" s="736"/>
      <c r="Q63" s="736"/>
      <c r="R63" s="736"/>
      <c r="S63" s="736"/>
      <c r="T63" s="736"/>
    </row>
    <row r="64" spans="1:20">
      <c r="A64" s="736"/>
      <c r="B64" s="736"/>
      <c r="C64" s="736"/>
      <c r="D64" s="736"/>
      <c r="E64" s="737"/>
      <c r="F64" s="737" t="s">
        <v>199</v>
      </c>
      <c r="G64" s="737" t="s">
        <v>199</v>
      </c>
      <c r="H64" s="736"/>
      <c r="I64" s="736"/>
      <c r="J64" s="736"/>
      <c r="K64" s="736"/>
      <c r="L64" s="736"/>
      <c r="M64" s="736"/>
      <c r="N64" s="736"/>
      <c r="O64" s="736"/>
      <c r="P64" s="736"/>
      <c r="Q64" s="736"/>
      <c r="R64" s="736"/>
      <c r="S64" s="736"/>
      <c r="T64" s="736"/>
    </row>
    <row r="65" spans="1:20">
      <c r="A65" s="736"/>
      <c r="B65" s="736"/>
      <c r="C65" s="736"/>
      <c r="D65" s="736"/>
      <c r="E65" s="737"/>
      <c r="F65" s="737" t="s">
        <v>199</v>
      </c>
      <c r="G65" s="737" t="s">
        <v>199</v>
      </c>
      <c r="H65" s="736"/>
      <c r="I65" s="736"/>
      <c r="J65" s="736"/>
      <c r="K65" s="736"/>
      <c r="L65" s="736"/>
      <c r="M65" s="736"/>
      <c r="N65" s="736"/>
      <c r="O65" s="736"/>
      <c r="P65" s="736"/>
      <c r="Q65" s="736"/>
      <c r="R65" s="736"/>
      <c r="S65" s="736"/>
      <c r="T65" s="736"/>
    </row>
    <row r="66" spans="1:20">
      <c r="A66" s="736"/>
      <c r="B66" s="736"/>
      <c r="C66" s="736"/>
      <c r="D66" s="736"/>
      <c r="E66" s="737"/>
      <c r="F66" s="737" t="s">
        <v>199</v>
      </c>
      <c r="G66" s="737" t="s">
        <v>199</v>
      </c>
      <c r="H66" s="736"/>
      <c r="I66" s="736"/>
      <c r="J66" s="736"/>
      <c r="K66" s="736"/>
      <c r="L66" s="736"/>
      <c r="M66" s="736"/>
      <c r="N66" s="736"/>
      <c r="O66" s="736"/>
      <c r="P66" s="736"/>
      <c r="Q66" s="736"/>
      <c r="R66" s="736"/>
      <c r="S66" s="736"/>
      <c r="T66" s="736"/>
    </row>
    <row r="67" spans="1:20">
      <c r="A67" s="736"/>
      <c r="B67" s="736"/>
      <c r="C67" s="736"/>
      <c r="D67" s="736"/>
      <c r="E67" s="737"/>
      <c r="F67" s="737" t="s">
        <v>199</v>
      </c>
      <c r="G67" s="737" t="s">
        <v>199</v>
      </c>
      <c r="H67" s="736"/>
      <c r="I67" s="736"/>
      <c r="J67" s="736"/>
      <c r="K67" s="736"/>
      <c r="L67" s="736"/>
      <c r="M67" s="736"/>
      <c r="N67" s="736"/>
      <c r="O67" s="736"/>
      <c r="P67" s="736"/>
      <c r="Q67" s="736"/>
      <c r="R67" s="736"/>
      <c r="S67" s="736"/>
      <c r="T67" s="736"/>
    </row>
    <row r="68" spans="1:20">
      <c r="A68" s="736"/>
      <c r="B68" s="736"/>
      <c r="C68" s="736"/>
      <c r="D68" s="736"/>
      <c r="E68" s="737"/>
      <c r="F68" s="737" t="s">
        <v>199</v>
      </c>
      <c r="G68" s="737" t="s">
        <v>199</v>
      </c>
      <c r="H68" s="736"/>
      <c r="I68" s="736"/>
      <c r="J68" s="736"/>
      <c r="K68" s="736"/>
      <c r="L68" s="736"/>
      <c r="M68" s="736"/>
      <c r="N68" s="736"/>
      <c r="O68" s="736"/>
      <c r="P68" s="736"/>
      <c r="Q68" s="736"/>
      <c r="R68" s="736"/>
      <c r="S68" s="736"/>
      <c r="T68" s="736"/>
    </row>
    <row r="69" spans="1:20">
      <c r="A69" s="736"/>
      <c r="B69" s="736"/>
      <c r="C69" s="736"/>
      <c r="D69" s="736"/>
      <c r="E69" s="737"/>
      <c r="F69" s="737" t="s">
        <v>199</v>
      </c>
      <c r="G69" s="737" t="s">
        <v>199</v>
      </c>
      <c r="H69" s="736"/>
      <c r="I69" s="736"/>
      <c r="J69" s="736"/>
      <c r="K69" s="736"/>
      <c r="L69" s="736"/>
      <c r="M69" s="736"/>
      <c r="N69" s="736"/>
      <c r="O69" s="736"/>
      <c r="P69" s="736"/>
      <c r="Q69" s="736"/>
      <c r="R69" s="736"/>
      <c r="S69" s="736"/>
      <c r="T69" s="736"/>
    </row>
    <row r="70" spans="1:20">
      <c r="A70" s="736"/>
      <c r="B70" s="736"/>
      <c r="C70" s="736"/>
      <c r="D70" s="736"/>
      <c r="E70" s="737"/>
      <c r="F70" s="737" t="s">
        <v>199</v>
      </c>
      <c r="G70" s="737" t="s">
        <v>199</v>
      </c>
      <c r="H70" s="738"/>
      <c r="I70" s="738"/>
      <c r="J70" s="738"/>
      <c r="K70" s="738"/>
      <c r="L70" s="738"/>
      <c r="M70" s="738"/>
      <c r="N70" s="738"/>
      <c r="O70" s="738"/>
      <c r="P70" s="738"/>
      <c r="Q70" s="738"/>
      <c r="R70" s="738"/>
      <c r="S70" s="738"/>
      <c r="T70" s="738"/>
    </row>
    <row r="71" spans="1:20">
      <c r="A71" s="736"/>
      <c r="B71" s="736"/>
      <c r="C71" s="736"/>
      <c r="D71" s="736"/>
      <c r="E71" s="737"/>
      <c r="F71" s="737" t="s">
        <v>199</v>
      </c>
      <c r="G71" s="737" t="s">
        <v>199</v>
      </c>
      <c r="H71" s="738"/>
      <c r="I71" s="738"/>
      <c r="J71" s="738"/>
      <c r="K71" s="738"/>
      <c r="L71" s="738"/>
      <c r="M71" s="738"/>
      <c r="N71" s="738"/>
      <c r="O71" s="738"/>
      <c r="P71" s="738"/>
      <c r="Q71" s="738"/>
      <c r="R71" s="738"/>
      <c r="S71" s="738"/>
      <c r="T71" s="738"/>
    </row>
    <row r="72" spans="1:20">
      <c r="A72" s="736"/>
      <c r="B72" s="736"/>
      <c r="C72" s="736"/>
      <c r="D72" s="736"/>
      <c r="E72" s="737"/>
      <c r="F72" s="737" t="s">
        <v>199</v>
      </c>
      <c r="G72" s="737" t="s">
        <v>199</v>
      </c>
      <c r="H72" s="738"/>
      <c r="I72" s="738"/>
      <c r="J72" s="738"/>
      <c r="K72" s="738"/>
      <c r="L72" s="738"/>
      <c r="M72" s="738"/>
      <c r="N72" s="738"/>
      <c r="O72" s="738"/>
      <c r="P72" s="738"/>
      <c r="Q72" s="738"/>
      <c r="R72" s="738"/>
      <c r="S72" s="738"/>
      <c r="T72" s="738"/>
    </row>
    <row r="73" spans="1:20">
      <c r="A73" s="736"/>
      <c r="B73" s="736"/>
      <c r="C73" s="736"/>
      <c r="D73" s="736"/>
      <c r="E73" s="737"/>
      <c r="F73" s="737" t="s">
        <v>199</v>
      </c>
      <c r="G73" s="737" t="s">
        <v>199</v>
      </c>
      <c r="H73" s="738"/>
      <c r="I73" s="738"/>
      <c r="J73" s="738"/>
      <c r="K73" s="738"/>
      <c r="L73" s="738"/>
      <c r="M73" s="738"/>
      <c r="N73" s="738"/>
      <c r="O73" s="738"/>
      <c r="P73" s="738"/>
      <c r="Q73" s="738"/>
      <c r="R73" s="738"/>
      <c r="S73" s="738"/>
      <c r="T73" s="738"/>
    </row>
    <row r="74" spans="1:20">
      <c r="A74" s="736"/>
      <c r="B74" s="736"/>
      <c r="C74" s="736"/>
      <c r="D74" s="736"/>
      <c r="E74" s="737"/>
      <c r="F74" s="737" t="s">
        <v>199</v>
      </c>
      <c r="G74" s="737" t="s">
        <v>199</v>
      </c>
      <c r="H74" s="736"/>
      <c r="I74" s="736"/>
      <c r="J74" s="736"/>
      <c r="K74" s="736"/>
      <c r="L74" s="736"/>
      <c r="M74" s="736"/>
      <c r="N74" s="736"/>
      <c r="O74" s="736"/>
      <c r="P74" s="736"/>
      <c r="Q74" s="736"/>
      <c r="R74" s="736"/>
      <c r="S74" s="736"/>
      <c r="T74" s="736"/>
    </row>
    <row r="75" spans="1:20">
      <c r="A75" s="736"/>
      <c r="B75" s="736"/>
      <c r="C75" s="736"/>
      <c r="D75" s="736"/>
      <c r="E75" s="737"/>
      <c r="F75" s="737" t="s">
        <v>199</v>
      </c>
      <c r="G75" s="737" t="s">
        <v>199</v>
      </c>
      <c r="H75" s="736"/>
      <c r="I75" s="736"/>
      <c r="J75" s="736"/>
      <c r="K75" s="736"/>
      <c r="L75" s="736"/>
      <c r="M75" s="736"/>
      <c r="N75" s="736"/>
      <c r="O75" s="736"/>
      <c r="P75" s="736"/>
      <c r="Q75" s="736"/>
      <c r="R75" s="736"/>
      <c r="S75" s="736"/>
      <c r="T75" s="736"/>
    </row>
    <row r="76" spans="1:20">
      <c r="A76" s="736"/>
      <c r="B76" s="736"/>
      <c r="C76" s="736"/>
      <c r="D76" s="736"/>
      <c r="E76" s="737"/>
      <c r="F76" s="737" t="s">
        <v>199</v>
      </c>
      <c r="G76" s="737" t="s">
        <v>199</v>
      </c>
      <c r="H76" s="736"/>
      <c r="I76" s="736"/>
      <c r="J76" s="736"/>
      <c r="K76" s="736"/>
      <c r="L76" s="736"/>
      <c r="M76" s="736"/>
      <c r="N76" s="736"/>
      <c r="O76" s="736"/>
      <c r="P76" s="736"/>
      <c r="Q76" s="736"/>
      <c r="R76" s="736"/>
      <c r="S76" s="736"/>
      <c r="T76" s="736"/>
    </row>
    <row r="77" spans="1:20">
      <c r="A77" s="736"/>
      <c r="B77" s="736"/>
      <c r="C77" s="736"/>
      <c r="D77" s="736"/>
      <c r="E77" s="737"/>
      <c r="F77" s="737" t="s">
        <v>199</v>
      </c>
      <c r="G77" s="737" t="s">
        <v>199</v>
      </c>
      <c r="H77" s="738"/>
      <c r="I77" s="738"/>
      <c r="J77" s="738"/>
      <c r="K77" s="738"/>
      <c r="L77" s="738"/>
      <c r="M77" s="738"/>
      <c r="N77" s="738"/>
      <c r="O77" s="738"/>
      <c r="P77" s="738"/>
      <c r="Q77" s="738"/>
      <c r="R77" s="738"/>
      <c r="S77" s="738"/>
      <c r="T77" s="738"/>
    </row>
    <row r="78" spans="1:20">
      <c r="A78" s="736"/>
      <c r="B78" s="736"/>
      <c r="C78" s="736"/>
      <c r="D78" s="736"/>
      <c r="E78" s="737"/>
      <c r="F78" s="737" t="s">
        <v>199</v>
      </c>
      <c r="G78" s="737" t="s">
        <v>199</v>
      </c>
      <c r="H78" s="736"/>
      <c r="I78" s="736"/>
      <c r="J78" s="736"/>
      <c r="K78" s="736"/>
      <c r="L78" s="736"/>
      <c r="M78" s="736"/>
      <c r="N78" s="736"/>
      <c r="O78" s="736"/>
      <c r="P78" s="736"/>
      <c r="Q78" s="736"/>
      <c r="R78" s="736"/>
      <c r="S78" s="736"/>
      <c r="T78" s="736"/>
    </row>
    <row r="79" spans="1:20">
      <c r="A79" s="736"/>
      <c r="B79" s="736"/>
      <c r="C79" s="736"/>
      <c r="D79" s="736"/>
      <c r="E79" s="737"/>
      <c r="F79" s="737" t="s">
        <v>199</v>
      </c>
      <c r="G79" s="737" t="s">
        <v>199</v>
      </c>
      <c r="H79" s="736"/>
      <c r="I79" s="736"/>
      <c r="J79" s="736"/>
      <c r="K79" s="736"/>
      <c r="L79" s="736"/>
      <c r="M79" s="736"/>
      <c r="N79" s="736"/>
      <c r="O79" s="736"/>
      <c r="P79" s="736"/>
      <c r="Q79" s="736"/>
      <c r="R79" s="736"/>
      <c r="S79" s="736"/>
      <c r="T79" s="736"/>
    </row>
    <row r="80" spans="1:20">
      <c r="A80" s="736"/>
      <c r="B80" s="736"/>
      <c r="C80" s="736"/>
      <c r="D80" s="736"/>
      <c r="E80" s="737"/>
      <c r="F80" s="737" t="s">
        <v>199</v>
      </c>
      <c r="G80" s="737" t="s">
        <v>199</v>
      </c>
      <c r="H80" s="736"/>
      <c r="I80" s="736"/>
      <c r="J80" s="736"/>
      <c r="K80" s="736"/>
      <c r="L80" s="736"/>
      <c r="M80" s="736"/>
      <c r="N80" s="736"/>
      <c r="O80" s="736"/>
      <c r="P80" s="736"/>
      <c r="Q80" s="736"/>
      <c r="R80" s="736"/>
      <c r="S80" s="736"/>
      <c r="T80" s="736"/>
    </row>
    <row r="81" spans="1:20">
      <c r="A81" s="736"/>
      <c r="B81" s="736"/>
      <c r="C81" s="736"/>
      <c r="D81" s="736"/>
      <c r="E81" s="737"/>
      <c r="F81" s="737" t="s">
        <v>199</v>
      </c>
      <c r="G81" s="737" t="s">
        <v>199</v>
      </c>
      <c r="H81" s="738"/>
      <c r="I81" s="738"/>
      <c r="J81" s="738"/>
      <c r="K81" s="738"/>
      <c r="L81" s="738"/>
      <c r="M81" s="738"/>
      <c r="N81" s="738"/>
      <c r="O81" s="738"/>
      <c r="P81" s="738"/>
      <c r="Q81" s="738"/>
      <c r="R81" s="738"/>
      <c r="S81" s="738"/>
      <c r="T81" s="738"/>
    </row>
  </sheetData>
  <mergeCells count="2">
    <mergeCell ref="A5:D5"/>
    <mergeCell ref="A1:D4"/>
  </mergeCells>
  <conditionalFormatting sqref="D9:G9">
    <cfRule type="cellIs" dxfId="1" priority="2" operator="lessThan">
      <formula>0</formula>
    </cfRule>
    <cfRule type="cellIs" priority="3" operator="lessThan">
      <formula>0</formula>
    </cfRule>
  </conditionalFormatting>
  <conditionalFormatting sqref="D81">
    <cfRule type="duplicateValues" dxfId="2" priority="1"/>
  </conditionalFormatting>
  <conditionalFormatting sqref="D13:D80">
    <cfRule type="duplicateValues" dxfId="2" priority="4"/>
  </conditionalFormatting>
  <hyperlinks>
    <hyperlink ref="A1" location="目录!A1" display="← 返回目录"/>
  </hyperlink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4">
    <tabColor theme="6" tint="0.399975585192419"/>
  </sheetPr>
  <dimension ref="A1:AQ46"/>
  <sheetViews>
    <sheetView workbookViewId="0">
      <selection activeCell="A1" sqref="A1:D4"/>
    </sheetView>
  </sheetViews>
  <sheetFormatPr defaultColWidth="8.90833333333333" defaultRowHeight="13.5"/>
  <cols>
    <col min="2" max="2" width="21.3666666666667" customWidth="1"/>
    <col min="4" max="6" width="14" customWidth="1"/>
    <col min="7" max="9" width="12.45" customWidth="1"/>
    <col min="10" max="15" width="12.5416666666667" customWidth="1"/>
    <col min="18" max="18" width="12.45" customWidth="1"/>
    <col min="19" max="19" width="10.725" customWidth="1"/>
  </cols>
  <sheetData>
    <row r="1" s="159" customFormat="1" ht="11.25" spans="1:43">
      <c r="A1" s="202" t="s">
        <v>185</v>
      </c>
      <c r="B1" s="291"/>
      <c r="C1" s="291"/>
      <c r="D1" s="291"/>
      <c r="E1" s="7" t="s">
        <v>1404</v>
      </c>
      <c r="F1" s="8" t="s">
        <v>1405</v>
      </c>
      <c r="G1" s="8" t="s">
        <v>1405</v>
      </c>
      <c r="H1" s="8" t="s">
        <v>1405</v>
      </c>
      <c r="I1" s="8" t="s">
        <v>1405</v>
      </c>
      <c r="J1" s="8" t="s">
        <v>1405</v>
      </c>
      <c r="K1" s="8" t="s">
        <v>1405</v>
      </c>
      <c r="L1" s="8"/>
      <c r="M1" s="8"/>
      <c r="N1" s="8"/>
      <c r="O1" s="8"/>
      <c r="P1" s="8"/>
      <c r="Q1" s="8"/>
      <c r="R1" s="8"/>
      <c r="S1" s="8"/>
      <c r="T1" s="8"/>
      <c r="U1" s="8"/>
      <c r="V1" s="70"/>
    </row>
    <row r="2" s="159" customFormat="1" ht="11.25" spans="1:43">
      <c r="A2" s="291"/>
      <c r="B2" s="291"/>
      <c r="C2" s="291"/>
      <c r="D2" s="291"/>
      <c r="E2" s="12"/>
      <c r="F2" s="13" t="s">
        <v>1659</v>
      </c>
      <c r="G2" s="13" t="s">
        <v>1659</v>
      </c>
      <c r="H2" s="13" t="s">
        <v>1659</v>
      </c>
      <c r="I2" s="13" t="s">
        <v>1659</v>
      </c>
      <c r="J2" s="13" t="s">
        <v>1659</v>
      </c>
      <c r="K2" s="13" t="s">
        <v>1659</v>
      </c>
      <c r="L2" s="13"/>
      <c r="M2" s="13"/>
      <c r="N2" s="13"/>
      <c r="O2" s="13"/>
      <c r="P2" s="13"/>
      <c r="Q2" s="13"/>
      <c r="R2" s="14"/>
      <c r="S2" s="14"/>
      <c r="T2" s="14"/>
      <c r="U2" s="14"/>
      <c r="V2" s="71"/>
    </row>
    <row r="3" s="159" customFormat="1" ht="11.25" spans="1:43">
      <c r="A3" s="291"/>
      <c r="B3" s="291"/>
      <c r="C3" s="291"/>
      <c r="D3" s="291"/>
      <c r="E3" s="12"/>
      <c r="F3" s="13" t="s">
        <v>1660</v>
      </c>
      <c r="G3" s="13" t="s">
        <v>1660</v>
      </c>
      <c r="H3" s="13" t="s">
        <v>1660</v>
      </c>
      <c r="I3" s="13" t="s">
        <v>1660</v>
      </c>
      <c r="J3" s="13" t="s">
        <v>1660</v>
      </c>
      <c r="K3" s="13" t="s">
        <v>1660</v>
      </c>
      <c r="L3" s="13"/>
      <c r="M3" s="13"/>
      <c r="N3" s="13"/>
      <c r="O3" s="13"/>
      <c r="P3" s="13"/>
      <c r="Q3" s="13"/>
      <c r="R3" s="15"/>
      <c r="S3" s="15"/>
      <c r="T3" s="15"/>
      <c r="U3" s="14"/>
      <c r="V3" s="71"/>
    </row>
    <row r="4" s="159" customFormat="1" ht="11.25" spans="1:43">
      <c r="A4" s="291"/>
      <c r="B4" s="291"/>
      <c r="C4" s="291"/>
      <c r="D4" s="291"/>
      <c r="E4" s="12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5"/>
      <c r="S4" s="15"/>
      <c r="T4" s="15"/>
      <c r="U4" s="14"/>
      <c r="V4" s="71"/>
    </row>
    <row r="5" s="159" customFormat="1" ht="11.25" spans="1:43">
      <c r="A5" s="292" t="s">
        <v>1661</v>
      </c>
      <c r="B5" s="292"/>
      <c r="C5" s="292"/>
      <c r="D5" s="292"/>
      <c r="E5" s="26" t="s">
        <v>1567</v>
      </c>
      <c r="F5" s="27"/>
      <c r="G5" s="27"/>
      <c r="H5" s="27"/>
      <c r="I5" s="27"/>
      <c r="J5" s="27"/>
      <c r="K5" s="27"/>
      <c r="L5" s="27"/>
      <c r="M5" s="28"/>
      <c r="N5" s="28"/>
      <c r="O5" s="28"/>
      <c r="P5" s="28"/>
      <c r="Q5" s="28"/>
      <c r="R5" s="29"/>
      <c r="S5" s="29"/>
      <c r="T5" s="29"/>
      <c r="U5" s="30"/>
      <c r="V5" s="325"/>
    </row>
    <row r="6" s="159" customFormat="1" spans="1:43">
      <c r="A6" s="1"/>
      <c r="B6" s="1"/>
      <c r="C6" s="1"/>
      <c r="D6" s="1"/>
      <c r="E6" s="1"/>
      <c r="F6" s="1"/>
      <c r="G6"/>
      <c r="H6"/>
      <c r="I6"/>
      <c r="J6"/>
      <c r="K6"/>
      <c r="L6"/>
      <c r="M6"/>
      <c r="N6"/>
      <c r="O6"/>
      <c r="P6" s="32"/>
      <c r="Q6" s="1"/>
      <c r="R6" s="1"/>
      <c r="S6" s="1"/>
      <c r="T6" s="1"/>
      <c r="U6" s="1"/>
      <c r="V6" s="1"/>
      <c r="W6" s="1"/>
      <c r="X6" s="1"/>
      <c r="Y6" s="1"/>
      <c r="Z6" s="1"/>
    </row>
    <row r="7" s="159" customFormat="1" spans="1:43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9" s="721" customFormat="1" spans="1:43">
      <c r="A9" s="723" t="s">
        <v>0</v>
      </c>
      <c r="B9" s="724" t="s">
        <v>1662</v>
      </c>
      <c r="C9" s="724" t="s">
        <v>1663</v>
      </c>
      <c r="D9" s="724" t="s">
        <v>304</v>
      </c>
      <c r="E9" s="724" t="s">
        <v>305</v>
      </c>
      <c r="F9" s="724" t="s">
        <v>306</v>
      </c>
      <c r="G9" s="724" t="s">
        <v>307</v>
      </c>
      <c r="H9" s="724" t="s">
        <v>308</v>
      </c>
      <c r="I9" s="724" t="s">
        <v>309</v>
      </c>
      <c r="J9" s="724" t="s">
        <v>310</v>
      </c>
      <c r="K9" s="724" t="s">
        <v>311</v>
      </c>
      <c r="L9" s="724" t="s">
        <v>312</v>
      </c>
      <c r="M9" s="724" t="s">
        <v>313</v>
      </c>
      <c r="N9" s="724" t="s">
        <v>314</v>
      </c>
      <c r="O9" s="724" t="s">
        <v>315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="722" customFormat="1" spans="1:43">
      <c r="A10" s="723"/>
      <c r="B10" s="724"/>
      <c r="C10" s="724"/>
      <c r="D10" s="724"/>
      <c r="E10" s="724"/>
      <c r="F10" s="724"/>
      <c r="G10" s="724"/>
      <c r="H10" s="724"/>
      <c r="I10" s="724"/>
      <c r="J10" s="724"/>
      <c r="K10" s="724"/>
      <c r="L10" s="724"/>
      <c r="M10" s="724"/>
      <c r="N10" s="724"/>
      <c r="O10" s="724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>
      <c r="A11" s="725"/>
      <c r="B11" s="726" t="s">
        <v>1664</v>
      </c>
      <c r="C11" s="724" t="s">
        <v>1663</v>
      </c>
      <c r="D11" s="127" t="s">
        <v>1665</v>
      </c>
      <c r="E11" s="127" t="s">
        <v>1665</v>
      </c>
      <c r="F11" s="127" t="s">
        <v>1665</v>
      </c>
      <c r="G11" s="127" t="s">
        <v>1665</v>
      </c>
      <c r="H11" s="127" t="s">
        <v>1665</v>
      </c>
      <c r="I11" s="127" t="s">
        <v>1665</v>
      </c>
      <c r="J11" s="127" t="s">
        <v>1665</v>
      </c>
      <c r="K11" s="127" t="s">
        <v>1665</v>
      </c>
      <c r="L11" s="127" t="s">
        <v>1665</v>
      </c>
      <c r="M11" s="127" t="s">
        <v>1665</v>
      </c>
      <c r="N11" s="127" t="s">
        <v>1665</v>
      </c>
      <c r="O11" s="127" t="s">
        <v>1665</v>
      </c>
    </row>
    <row r="12" spans="1:43">
      <c r="A12" s="725"/>
      <c r="B12" s="727" t="s">
        <v>1666</v>
      </c>
      <c r="C12" s="724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</row>
    <row r="13" spans="1:43">
      <c r="A13" s="725"/>
      <c r="B13" s="727" t="s">
        <v>1667</v>
      </c>
      <c r="C13" s="724" t="s">
        <v>1663</v>
      </c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</row>
    <row r="14" spans="1:43">
      <c r="A14" s="725"/>
      <c r="B14" s="727" t="s">
        <v>1668</v>
      </c>
      <c r="C14" s="724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</row>
    <row r="15" spans="1:43">
      <c r="A15" s="725"/>
      <c r="B15" s="727" t="s">
        <v>1669</v>
      </c>
      <c r="C15" s="724" t="s">
        <v>1663</v>
      </c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</row>
    <row r="16" spans="1:43">
      <c r="A16" s="725"/>
      <c r="B16" s="727" t="s">
        <v>1670</v>
      </c>
      <c r="C16" s="724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</row>
    <row r="17" spans="1:15">
      <c r="A17" s="725"/>
      <c r="B17" s="727" t="s">
        <v>1671</v>
      </c>
      <c r="C17" s="724" t="s">
        <v>1663</v>
      </c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</row>
    <row r="18" spans="1:15">
      <c r="A18" s="725"/>
      <c r="B18" s="727" t="s">
        <v>1672</v>
      </c>
      <c r="C18" s="724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</row>
    <row r="19" spans="1:15">
      <c r="A19" s="725"/>
      <c r="B19" s="727" t="s">
        <v>1673</v>
      </c>
      <c r="C19" s="724" t="s">
        <v>1663</v>
      </c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</row>
    <row r="20" spans="1:15">
      <c r="A20" s="725"/>
      <c r="B20" s="727" t="s">
        <v>1674</v>
      </c>
      <c r="C20" s="724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</row>
    <row r="21" spans="1:15">
      <c r="A21" s="725"/>
      <c r="B21" s="727" t="s">
        <v>1675</v>
      </c>
      <c r="C21" s="724" t="s">
        <v>1663</v>
      </c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</row>
    <row r="22" spans="1:15">
      <c r="A22" s="725"/>
      <c r="B22" s="727" t="s">
        <v>1676</v>
      </c>
      <c r="C22" s="724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</row>
    <row r="23" spans="1:15">
      <c r="A23" s="725"/>
      <c r="B23" s="727" t="s">
        <v>1677</v>
      </c>
      <c r="C23" s="724" t="s">
        <v>1663</v>
      </c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</row>
    <row r="24" spans="1:15">
      <c r="A24" s="725"/>
      <c r="B24" s="726" t="s">
        <v>1678</v>
      </c>
      <c r="C24" s="724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</row>
    <row r="25" spans="1:15">
      <c r="A25" s="725"/>
      <c r="B25" s="727" t="s">
        <v>1679</v>
      </c>
      <c r="C25" s="724" t="s">
        <v>1663</v>
      </c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</row>
    <row r="26" spans="1:15">
      <c r="A26" s="725"/>
      <c r="B26" s="727" t="s">
        <v>1680</v>
      </c>
      <c r="C26" s="724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</row>
    <row r="27" spans="1:15">
      <c r="A27" s="725"/>
      <c r="B27" s="727" t="s">
        <v>1681</v>
      </c>
      <c r="C27" s="724" t="s">
        <v>1663</v>
      </c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</row>
    <row r="28" spans="1:15">
      <c r="A28" s="725"/>
      <c r="B28" s="727" t="s">
        <v>1682</v>
      </c>
      <c r="C28" s="724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</row>
    <row r="29" spans="1:15">
      <c r="A29" s="725"/>
      <c r="B29" s="727" t="s">
        <v>1683</v>
      </c>
      <c r="C29" s="724" t="s">
        <v>1663</v>
      </c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</row>
    <row r="30" spans="1:15">
      <c r="A30" s="725"/>
      <c r="B30" s="727" t="s">
        <v>1684</v>
      </c>
      <c r="C30" s="724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</row>
    <row r="31" spans="1:15">
      <c r="A31" s="725"/>
      <c r="B31" s="726" t="s">
        <v>1685</v>
      </c>
      <c r="C31" s="724" t="s">
        <v>1663</v>
      </c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</row>
    <row r="32" spans="1:15">
      <c r="A32" s="725"/>
      <c r="B32" s="727" t="s">
        <v>1686</v>
      </c>
      <c r="C32" s="724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</row>
    <row r="33" spans="1:15">
      <c r="A33" s="725"/>
      <c r="B33" s="727" t="s">
        <v>1687</v>
      </c>
      <c r="C33" s="724" t="s">
        <v>1663</v>
      </c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</row>
    <row r="34" spans="1:15">
      <c r="A34" s="725"/>
      <c r="B34" s="727" t="s">
        <v>1688</v>
      </c>
      <c r="C34" s="724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</row>
    <row r="35" spans="1:15">
      <c r="A35" s="725"/>
      <c r="B35" s="727" t="s">
        <v>1689</v>
      </c>
      <c r="C35" s="724" t="s">
        <v>1663</v>
      </c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</row>
    <row r="36" spans="1:15">
      <c r="A36" s="725"/>
      <c r="B36" s="727" t="s">
        <v>1690</v>
      </c>
      <c r="C36" s="724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</row>
    <row r="37" spans="1:15">
      <c r="A37" s="725"/>
      <c r="B37" s="727" t="s">
        <v>1691</v>
      </c>
      <c r="C37" s="724" t="s">
        <v>1663</v>
      </c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</row>
    <row r="38" spans="1:15">
      <c r="A38" s="725"/>
      <c r="B38" s="727" t="s">
        <v>1692</v>
      </c>
      <c r="C38" s="724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</row>
    <row r="39" spans="1:15">
      <c r="A39" s="725"/>
      <c r="B39" s="726" t="s">
        <v>1693</v>
      </c>
      <c r="C39" s="724" t="s">
        <v>1663</v>
      </c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</row>
    <row r="40" ht="27" spans="1:15">
      <c r="A40" s="725"/>
      <c r="B40" s="727" t="s">
        <v>1694</v>
      </c>
      <c r="C40" s="724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</row>
    <row r="41" ht="27" spans="1:15">
      <c r="A41" s="725"/>
      <c r="B41" s="727" t="s">
        <v>1695</v>
      </c>
      <c r="C41" s="724" t="s">
        <v>1663</v>
      </c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</row>
    <row r="42" ht="27" spans="1:15">
      <c r="A42" s="725"/>
      <c r="B42" s="727" t="s">
        <v>1696</v>
      </c>
      <c r="C42" s="724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</row>
    <row r="43" spans="1:15">
      <c r="A43" s="725"/>
      <c r="B43" s="727" t="s">
        <v>1697</v>
      </c>
      <c r="C43" s="724" t="s">
        <v>1663</v>
      </c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</row>
    <row r="44" spans="1:15">
      <c r="A44" s="725"/>
      <c r="B44" s="727" t="s">
        <v>1698</v>
      </c>
      <c r="C44" s="724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</row>
    <row r="45" spans="1:15">
      <c r="A45" s="725"/>
      <c r="B45" s="727" t="s">
        <v>462</v>
      </c>
      <c r="C45" s="724" t="s">
        <v>1663</v>
      </c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</row>
    <row r="46" spans="1:15">
      <c r="A46" s="725"/>
      <c r="B46" s="726" t="s">
        <v>1699</v>
      </c>
      <c r="C46" s="724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</row>
  </sheetData>
  <mergeCells count="35">
    <mergeCell ref="A5:D5"/>
    <mergeCell ref="A9:A10"/>
    <mergeCell ref="B9:B10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A1:D4"/>
  </mergeCells>
  <hyperlinks>
    <hyperlink ref="A1" location="目录!A1" display="← 返回目录"/>
  </hyperlink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5">
    <tabColor theme="6" tint="0.399975585192419"/>
  </sheetPr>
  <dimension ref="A1:AC21"/>
  <sheetViews>
    <sheetView showGridLines="0" zoomScale="80" zoomScaleNormal="80" workbookViewId="0">
      <pane xSplit="6" ySplit="10" topLeftCell="G11" activePane="bottomRight" state="frozen"/>
      <selection/>
      <selection pane="topRight"/>
      <selection pane="bottomLeft"/>
      <selection pane="bottomRight" activeCell="A1" sqref="A1:F4"/>
    </sheetView>
  </sheetViews>
  <sheetFormatPr defaultColWidth="9" defaultRowHeight="16.5"/>
  <cols>
    <col min="1" max="1" width="6.54166666666667" style="695" customWidth="1"/>
    <col min="2" max="3" width="10" style="695" customWidth="1"/>
    <col min="4" max="4" width="10" style="696" customWidth="1"/>
    <col min="5" max="5" width="8.725" style="696" customWidth="1"/>
    <col min="6" max="6" width="20.9083333333333" style="696" customWidth="1"/>
    <col min="7" max="7" width="14.0916666666667" style="702" customWidth="1"/>
    <col min="8" max="8" width="21.0916666666667" style="703" customWidth="1"/>
    <col min="9" max="9" width="8.45" style="703" customWidth="1"/>
    <col min="10" max="10" width="17.5416666666667" style="695" customWidth="1"/>
    <col min="11" max="11" width="9.36666666666667" style="695" customWidth="1"/>
    <col min="12" max="12" width="9.90833333333333" style="704" customWidth="1"/>
    <col min="13" max="13" width="9.36666666666667" style="696" customWidth="1"/>
    <col min="14" max="14" width="10.0916666666667" style="705" customWidth="1"/>
    <col min="15" max="15" width="9.725" style="696" customWidth="1"/>
    <col min="16" max="16" width="12.3666666666667" style="706" customWidth="1"/>
    <col min="17" max="25" width="11.1833333333333" style="696" customWidth="1"/>
    <col min="26" max="28" width="12.45" style="696" customWidth="1"/>
    <col min="29" max="29" width="9" style="695"/>
    <col min="30" max="16384" width="9" style="696"/>
  </cols>
  <sheetData>
    <row r="1" s="157" customFormat="1" ht="19" customHeight="1" spans="1:29">
      <c r="A1" s="202" t="s">
        <v>185</v>
      </c>
      <c r="B1" s="163"/>
      <c r="C1" s="163"/>
      <c r="D1" s="163"/>
      <c r="E1" s="163"/>
      <c r="F1" s="163"/>
      <c r="G1" s="164" t="s">
        <v>1404</v>
      </c>
      <c r="H1" s="165" t="s">
        <v>1405</v>
      </c>
      <c r="I1" s="165"/>
      <c r="J1" s="165"/>
    </row>
    <row r="2" s="157" customFormat="1" ht="19" customHeight="1" spans="1:29">
      <c r="A2" s="163"/>
      <c r="B2" s="163"/>
      <c r="C2" s="163"/>
      <c r="D2" s="163"/>
      <c r="E2" s="163"/>
      <c r="F2" s="163"/>
      <c r="G2" s="166"/>
      <c r="H2" s="167" t="s">
        <v>1700</v>
      </c>
      <c r="I2" s="167"/>
      <c r="J2" s="167"/>
    </row>
    <row r="3" s="157" customFormat="1" ht="19" customHeight="1" spans="1:29">
      <c r="A3" s="163"/>
      <c r="B3" s="163"/>
      <c r="C3" s="163"/>
      <c r="D3" s="163"/>
      <c r="E3" s="163"/>
      <c r="F3" s="163"/>
      <c r="G3" s="166"/>
      <c r="H3" s="167" t="s">
        <v>1660</v>
      </c>
      <c r="I3" s="167"/>
      <c r="J3" s="167"/>
    </row>
    <row r="4" s="157" customFormat="1" ht="19" customHeight="1" spans="1:29">
      <c r="A4" s="163"/>
      <c r="B4" s="163"/>
      <c r="C4" s="163"/>
      <c r="D4" s="163"/>
      <c r="E4" s="163"/>
      <c r="F4" s="163"/>
      <c r="G4" s="166"/>
      <c r="H4" s="167"/>
      <c r="I4" s="167"/>
      <c r="J4" s="167"/>
    </row>
    <row r="5" s="157" customFormat="1" ht="19" customHeight="1" spans="1:29">
      <c r="A5" s="168" t="s">
        <v>1701</v>
      </c>
      <c r="B5" s="168"/>
      <c r="C5" s="168"/>
      <c r="D5" s="168"/>
      <c r="E5" s="168"/>
      <c r="F5" s="168"/>
      <c r="G5" s="169" t="s">
        <v>1567</v>
      </c>
      <c r="H5" s="170"/>
      <c r="I5" s="170"/>
      <c r="J5" s="171"/>
    </row>
    <row r="6" s="157" customFormat="1" ht="5" customHeight="1" spans="1:29">
      <c r="A6" s="220"/>
      <c r="B6" s="220"/>
      <c r="C6" s="167"/>
      <c r="D6" s="167"/>
      <c r="E6" s="167"/>
      <c r="F6" s="167"/>
      <c r="G6" s="221"/>
      <c r="H6" s="221"/>
      <c r="I6" s="222"/>
      <c r="J6" s="167"/>
    </row>
    <row r="7" s="159" customFormat="1" ht="14" customHeight="1" spans="1:29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8" s="324" customFormat="1" spans="1:29">
      <c r="A8" s="663"/>
      <c r="B8" s="663"/>
      <c r="C8" s="664"/>
      <c r="D8" s="664"/>
      <c r="E8" s="664"/>
      <c r="F8" s="664"/>
      <c r="G8" s="664"/>
    </row>
    <row r="10" s="701" customFormat="1" ht="49.5" spans="1:29">
      <c r="A10" s="707" t="s">
        <v>187</v>
      </c>
      <c r="B10" s="707" t="s">
        <v>1702</v>
      </c>
      <c r="C10" s="707" t="s">
        <v>285</v>
      </c>
      <c r="D10" s="707" t="s">
        <v>1703</v>
      </c>
      <c r="E10" s="707" t="s">
        <v>490</v>
      </c>
      <c r="F10" s="707" t="s">
        <v>1704</v>
      </c>
      <c r="G10" s="708" t="s">
        <v>487</v>
      </c>
      <c r="H10" s="709" t="s">
        <v>1705</v>
      </c>
      <c r="I10" s="708" t="s">
        <v>1371</v>
      </c>
      <c r="J10" s="707" t="s">
        <v>1706</v>
      </c>
      <c r="K10" s="710" t="s">
        <v>1707</v>
      </c>
      <c r="L10" s="710" t="s">
        <v>1708</v>
      </c>
      <c r="M10" s="707" t="s">
        <v>1709</v>
      </c>
      <c r="N10" s="711" t="s">
        <v>1710</v>
      </c>
      <c r="O10" s="707" t="s">
        <v>1321</v>
      </c>
      <c r="P10" s="712" t="s">
        <v>1322</v>
      </c>
      <c r="Q10" s="713">
        <v>46023</v>
      </c>
      <c r="R10" s="713">
        <v>46054</v>
      </c>
      <c r="S10" s="713">
        <v>46082</v>
      </c>
      <c r="T10" s="713">
        <v>46113</v>
      </c>
      <c r="U10" s="713">
        <v>46143</v>
      </c>
      <c r="V10" s="713">
        <v>46174</v>
      </c>
      <c r="W10" s="713">
        <v>46204</v>
      </c>
      <c r="X10" s="713">
        <v>46235</v>
      </c>
      <c r="Y10" s="713">
        <v>46266</v>
      </c>
      <c r="Z10" s="713">
        <v>46296</v>
      </c>
      <c r="AA10" s="713">
        <v>46327</v>
      </c>
      <c r="AB10" s="713">
        <v>46357</v>
      </c>
      <c r="AC10" s="714" t="s">
        <v>1711</v>
      </c>
    </row>
    <row r="11" s="694" customFormat="1" spans="1:29">
      <c r="A11" s="715" t="s">
        <v>1712</v>
      </c>
      <c r="B11" s="715" t="s">
        <v>343</v>
      </c>
      <c r="C11" s="715" t="s">
        <v>1713</v>
      </c>
      <c r="D11" s="715" t="s">
        <v>229</v>
      </c>
      <c r="E11" s="715" t="s">
        <v>749</v>
      </c>
      <c r="F11" s="716" t="s">
        <v>785</v>
      </c>
      <c r="G11" s="717">
        <v>2202040128</v>
      </c>
      <c r="H11" s="717" t="s">
        <v>786</v>
      </c>
      <c r="I11" s="718" t="s">
        <v>754</v>
      </c>
      <c r="J11" s="715" t="s">
        <v>1714</v>
      </c>
      <c r="K11" s="715" t="s">
        <v>1715</v>
      </c>
      <c r="L11" s="715" t="s">
        <v>343</v>
      </c>
      <c r="M11" s="715">
        <v>49.66</v>
      </c>
      <c r="N11" s="715">
        <v>127</v>
      </c>
      <c r="O11" s="715">
        <v>77.34</v>
      </c>
      <c r="P11" s="719">
        <f t="shared" ref="P11:P21" si="0">O11/M11</f>
        <v>1.55739025372533</v>
      </c>
      <c r="Q11" s="715">
        <v>0</v>
      </c>
      <c r="R11" s="715">
        <v>0</v>
      </c>
      <c r="S11" s="715">
        <v>7</v>
      </c>
      <c r="T11" s="715">
        <v>19</v>
      </c>
      <c r="U11" s="715">
        <v>22</v>
      </c>
      <c r="V11" s="715">
        <v>16</v>
      </c>
      <c r="W11" s="715">
        <v>20</v>
      </c>
      <c r="X11" s="715">
        <v>19</v>
      </c>
      <c r="Y11" s="715">
        <v>14</v>
      </c>
      <c r="Z11" s="715">
        <v>7</v>
      </c>
      <c r="AA11" s="715">
        <v>3</v>
      </c>
      <c r="AB11" s="715">
        <v>0</v>
      </c>
      <c r="AC11" s="720">
        <f t="shared" ref="AC11:AC21" si="1">N11-SUM(Q11:AB11)</f>
        <v>0</v>
      </c>
    </row>
    <row r="12" s="694" customFormat="1" spans="1:29">
      <c r="A12" s="715" t="s">
        <v>1712</v>
      </c>
      <c r="B12" s="715" t="s">
        <v>343</v>
      </c>
      <c r="C12" s="715" t="s">
        <v>1713</v>
      </c>
      <c r="D12" s="715" t="s">
        <v>229</v>
      </c>
      <c r="E12" s="715" t="s">
        <v>749</v>
      </c>
      <c r="F12" s="716" t="s">
        <v>789</v>
      </c>
      <c r="G12" s="717">
        <v>2202040129</v>
      </c>
      <c r="H12" s="717" t="s">
        <v>790</v>
      </c>
      <c r="I12" s="718" t="s">
        <v>754</v>
      </c>
      <c r="J12" s="715" t="s">
        <v>1714</v>
      </c>
      <c r="K12" s="715" t="s">
        <v>1715</v>
      </c>
      <c r="L12" s="715" t="s">
        <v>343</v>
      </c>
      <c r="M12" s="715">
        <v>125.2</v>
      </c>
      <c r="N12" s="715">
        <v>184</v>
      </c>
      <c r="O12" s="715">
        <v>58.8</v>
      </c>
      <c r="P12" s="719">
        <f t="shared" si="0"/>
        <v>0.469648562300319</v>
      </c>
      <c r="Q12" s="715">
        <v>0</v>
      </c>
      <c r="R12" s="715">
        <v>0</v>
      </c>
      <c r="S12" s="715">
        <v>9</v>
      </c>
      <c r="T12" s="715">
        <v>10</v>
      </c>
      <c r="U12" s="715">
        <v>13</v>
      </c>
      <c r="V12" s="715">
        <v>28</v>
      </c>
      <c r="W12" s="715">
        <v>37</v>
      </c>
      <c r="X12" s="715">
        <v>32</v>
      </c>
      <c r="Y12" s="715">
        <v>31</v>
      </c>
      <c r="Z12" s="715">
        <v>18</v>
      </c>
      <c r="AA12" s="715">
        <v>6</v>
      </c>
      <c r="AB12" s="715">
        <v>0</v>
      </c>
      <c r="AC12" s="720">
        <f t="shared" si="1"/>
        <v>0</v>
      </c>
    </row>
    <row r="13" s="694" customFormat="1" spans="1:29">
      <c r="A13" s="715" t="s">
        <v>1712</v>
      </c>
      <c r="B13" s="715" t="s">
        <v>343</v>
      </c>
      <c r="C13" s="715" t="s">
        <v>1713</v>
      </c>
      <c r="D13" s="715" t="s">
        <v>229</v>
      </c>
      <c r="E13" s="715" t="s">
        <v>734</v>
      </c>
      <c r="F13" s="716" t="s">
        <v>733</v>
      </c>
      <c r="G13" s="717">
        <v>2202030176</v>
      </c>
      <c r="H13" s="717" t="s">
        <v>736</v>
      </c>
      <c r="I13" s="718" t="s">
        <v>735</v>
      </c>
      <c r="J13" s="715" t="s">
        <v>1714</v>
      </c>
      <c r="K13" s="715" t="s">
        <v>1715</v>
      </c>
      <c r="L13" s="715" t="s">
        <v>343</v>
      </c>
      <c r="M13" s="715">
        <v>13.9</v>
      </c>
      <c r="N13" s="715">
        <v>2</v>
      </c>
      <c r="O13" s="715">
        <v>-11.9</v>
      </c>
      <c r="P13" s="719">
        <f t="shared" si="0"/>
        <v>-0.856115107913669</v>
      </c>
      <c r="Q13" s="715">
        <v>0</v>
      </c>
      <c r="R13" s="715">
        <v>0</v>
      </c>
      <c r="S13" s="715">
        <v>1</v>
      </c>
      <c r="T13" s="715">
        <v>1</v>
      </c>
      <c r="U13" s="715">
        <v>0</v>
      </c>
      <c r="V13" s="715">
        <v>0</v>
      </c>
      <c r="W13" s="715">
        <v>0</v>
      </c>
      <c r="X13" s="715">
        <v>0</v>
      </c>
      <c r="Y13" s="715">
        <v>0</v>
      </c>
      <c r="Z13" s="715">
        <v>0</v>
      </c>
      <c r="AA13" s="715">
        <v>0</v>
      </c>
      <c r="AB13" s="715">
        <v>0</v>
      </c>
      <c r="AC13" s="720">
        <f t="shared" si="1"/>
        <v>0</v>
      </c>
    </row>
    <row r="14" s="694" customFormat="1" spans="1:29">
      <c r="A14" s="715" t="s">
        <v>1712</v>
      </c>
      <c r="B14" s="715" t="s">
        <v>343</v>
      </c>
      <c r="C14" s="715" t="s">
        <v>1713</v>
      </c>
      <c r="D14" s="715" t="s">
        <v>229</v>
      </c>
      <c r="E14" s="715" t="s">
        <v>734</v>
      </c>
      <c r="F14" s="716" t="s">
        <v>744</v>
      </c>
      <c r="G14" s="717">
        <v>2202030181</v>
      </c>
      <c r="H14" s="717" t="s">
        <v>745</v>
      </c>
      <c r="I14" s="718" t="s">
        <v>735</v>
      </c>
      <c r="J14" s="715" t="s">
        <v>1714</v>
      </c>
      <c r="K14" s="715" t="s">
        <v>1715</v>
      </c>
      <c r="L14" s="715" t="s">
        <v>343</v>
      </c>
      <c r="M14" s="715">
        <v>18.52</v>
      </c>
      <c r="N14" s="715">
        <v>2</v>
      </c>
      <c r="O14" s="715">
        <v>-16.52</v>
      </c>
      <c r="P14" s="719">
        <f t="shared" si="0"/>
        <v>-0.892008639308855</v>
      </c>
      <c r="Q14" s="715">
        <v>0</v>
      </c>
      <c r="R14" s="715">
        <v>0</v>
      </c>
      <c r="S14" s="715">
        <v>1</v>
      </c>
      <c r="T14" s="715">
        <v>1</v>
      </c>
      <c r="U14" s="715">
        <v>0</v>
      </c>
      <c r="V14" s="715">
        <v>0</v>
      </c>
      <c r="W14" s="715">
        <v>0</v>
      </c>
      <c r="X14" s="715">
        <v>0</v>
      </c>
      <c r="Y14" s="715">
        <v>0</v>
      </c>
      <c r="Z14" s="715">
        <v>0</v>
      </c>
      <c r="AA14" s="715">
        <v>0</v>
      </c>
      <c r="AB14" s="715">
        <v>0</v>
      </c>
      <c r="AC14" s="720">
        <f t="shared" si="1"/>
        <v>0</v>
      </c>
    </row>
    <row r="15" s="694" customFormat="1" spans="1:29">
      <c r="A15" s="715" t="s">
        <v>1712</v>
      </c>
      <c r="B15" s="715" t="s">
        <v>343</v>
      </c>
      <c r="C15" s="715" t="s">
        <v>1713</v>
      </c>
      <c r="D15" s="715" t="s">
        <v>229</v>
      </c>
      <c r="E15" s="715" t="s">
        <v>734</v>
      </c>
      <c r="F15" s="716" t="s">
        <v>822</v>
      </c>
      <c r="G15" s="717">
        <v>2202030131</v>
      </c>
      <c r="H15" s="717" t="s">
        <v>823</v>
      </c>
      <c r="I15" s="718" t="s">
        <v>735</v>
      </c>
      <c r="J15" s="715" t="s">
        <v>1714</v>
      </c>
      <c r="K15" s="715" t="s">
        <v>1715</v>
      </c>
      <c r="L15" s="715" t="s">
        <v>343</v>
      </c>
      <c r="M15" s="715">
        <v>29.64</v>
      </c>
      <c r="N15" s="715">
        <v>26</v>
      </c>
      <c r="O15" s="715">
        <v>-3.64</v>
      </c>
      <c r="P15" s="719">
        <f t="shared" si="0"/>
        <v>-0.12280701754386</v>
      </c>
      <c r="Q15" s="715">
        <v>0</v>
      </c>
      <c r="R15" s="715">
        <v>5</v>
      </c>
      <c r="S15" s="715">
        <v>6</v>
      </c>
      <c r="T15" s="715">
        <v>3</v>
      </c>
      <c r="U15" s="715">
        <v>6</v>
      </c>
      <c r="V15" s="715">
        <v>4</v>
      </c>
      <c r="W15" s="715">
        <v>2</v>
      </c>
      <c r="X15" s="715">
        <v>0</v>
      </c>
      <c r="Y15" s="715">
        <v>0</v>
      </c>
      <c r="Z15" s="715">
        <v>0</v>
      </c>
      <c r="AA15" s="715">
        <v>0</v>
      </c>
      <c r="AB15" s="715">
        <v>0</v>
      </c>
      <c r="AC15" s="720">
        <f t="shared" si="1"/>
        <v>0</v>
      </c>
    </row>
    <row r="16" s="694" customFormat="1" spans="1:29">
      <c r="A16" s="715" t="s">
        <v>1712</v>
      </c>
      <c r="B16" s="715" t="s">
        <v>343</v>
      </c>
      <c r="C16" s="715" t="s">
        <v>1713</v>
      </c>
      <c r="D16" s="715" t="s">
        <v>229</v>
      </c>
      <c r="E16" s="715" t="s">
        <v>734</v>
      </c>
      <c r="F16" s="716" t="s">
        <v>826</v>
      </c>
      <c r="G16" s="717">
        <v>2202030132</v>
      </c>
      <c r="H16" s="717" t="s">
        <v>827</v>
      </c>
      <c r="I16" s="718" t="s">
        <v>735</v>
      </c>
      <c r="J16" s="715" t="s">
        <v>1714</v>
      </c>
      <c r="K16" s="715" t="s">
        <v>1715</v>
      </c>
      <c r="L16" s="715" t="s">
        <v>343</v>
      </c>
      <c r="M16" s="715">
        <v>69.94</v>
      </c>
      <c r="N16" s="715">
        <v>67</v>
      </c>
      <c r="O16" s="715">
        <v>-2.94</v>
      </c>
      <c r="P16" s="719">
        <f t="shared" si="0"/>
        <v>-0.0420360308836145</v>
      </c>
      <c r="Q16" s="715">
        <v>0</v>
      </c>
      <c r="R16" s="715">
        <v>0</v>
      </c>
      <c r="S16" s="715">
        <v>5</v>
      </c>
      <c r="T16" s="715">
        <v>13</v>
      </c>
      <c r="U16" s="715">
        <v>18</v>
      </c>
      <c r="V16" s="715">
        <v>15</v>
      </c>
      <c r="W16" s="715">
        <v>7</v>
      </c>
      <c r="X16" s="715">
        <v>7</v>
      </c>
      <c r="Y16" s="715">
        <v>2</v>
      </c>
      <c r="Z16" s="715">
        <v>0</v>
      </c>
      <c r="AA16" s="715">
        <v>0</v>
      </c>
      <c r="AB16" s="715">
        <v>0</v>
      </c>
      <c r="AC16" s="720">
        <f t="shared" si="1"/>
        <v>0</v>
      </c>
    </row>
    <row r="17" s="694" customFormat="1" spans="1:29">
      <c r="A17" s="715" t="s">
        <v>1712</v>
      </c>
      <c r="B17" s="715" t="s">
        <v>343</v>
      </c>
      <c r="C17" s="715" t="s">
        <v>1713</v>
      </c>
      <c r="D17" s="715" t="s">
        <v>229</v>
      </c>
      <c r="E17" s="715" t="s">
        <v>734</v>
      </c>
      <c r="F17" s="716" t="s">
        <v>830</v>
      </c>
      <c r="G17" s="717">
        <v>2202030133</v>
      </c>
      <c r="H17" s="717" t="s">
        <v>831</v>
      </c>
      <c r="I17" s="718" t="s">
        <v>735</v>
      </c>
      <c r="J17" s="715" t="s">
        <v>1714</v>
      </c>
      <c r="K17" s="715" t="s">
        <v>1715</v>
      </c>
      <c r="L17" s="715" t="s">
        <v>343</v>
      </c>
      <c r="M17" s="715">
        <v>108.3</v>
      </c>
      <c r="N17" s="715">
        <v>174</v>
      </c>
      <c r="O17" s="715">
        <v>65.7</v>
      </c>
      <c r="P17" s="719">
        <f t="shared" si="0"/>
        <v>0.606648199445983</v>
      </c>
      <c r="Q17" s="715">
        <v>0</v>
      </c>
      <c r="R17" s="715">
        <v>20</v>
      </c>
      <c r="S17" s="715">
        <v>13</v>
      </c>
      <c r="T17" s="715">
        <v>15</v>
      </c>
      <c r="U17" s="715">
        <v>12</v>
      </c>
      <c r="V17" s="715">
        <v>25</v>
      </c>
      <c r="W17" s="715">
        <v>18</v>
      </c>
      <c r="X17" s="715">
        <v>17</v>
      </c>
      <c r="Y17" s="715">
        <v>16</v>
      </c>
      <c r="Z17" s="715">
        <v>17</v>
      </c>
      <c r="AA17" s="715">
        <v>16</v>
      </c>
      <c r="AB17" s="715">
        <v>5</v>
      </c>
      <c r="AC17" s="720">
        <f t="shared" si="1"/>
        <v>0</v>
      </c>
    </row>
    <row r="18" s="694" customFormat="1" spans="1:29">
      <c r="A18" s="715" t="s">
        <v>1712</v>
      </c>
      <c r="B18" s="715" t="s">
        <v>343</v>
      </c>
      <c r="C18" s="715" t="s">
        <v>1713</v>
      </c>
      <c r="D18" s="715" t="s">
        <v>229</v>
      </c>
      <c r="E18" s="715" t="s">
        <v>734</v>
      </c>
      <c r="F18" s="716" t="s">
        <v>834</v>
      </c>
      <c r="G18" s="717">
        <v>2202030134</v>
      </c>
      <c r="H18" s="717" t="s">
        <v>835</v>
      </c>
      <c r="I18" s="718" t="s">
        <v>735</v>
      </c>
      <c r="J18" s="715" t="s">
        <v>1714</v>
      </c>
      <c r="K18" s="715" t="s">
        <v>1715</v>
      </c>
      <c r="L18" s="715" t="s">
        <v>343</v>
      </c>
      <c r="M18" s="715">
        <v>192.48</v>
      </c>
      <c r="N18" s="715">
        <v>450</v>
      </c>
      <c r="O18" s="715">
        <v>257.52</v>
      </c>
      <c r="P18" s="719">
        <f t="shared" si="0"/>
        <v>1.33790523690773</v>
      </c>
      <c r="Q18" s="715">
        <v>0</v>
      </c>
      <c r="R18" s="715">
        <v>0</v>
      </c>
      <c r="S18" s="715">
        <v>13</v>
      </c>
      <c r="T18" s="715">
        <v>27</v>
      </c>
      <c r="U18" s="715">
        <v>70</v>
      </c>
      <c r="V18" s="715">
        <v>75</v>
      </c>
      <c r="W18" s="715">
        <v>68</v>
      </c>
      <c r="X18" s="715">
        <v>78</v>
      </c>
      <c r="Y18" s="715">
        <v>45</v>
      </c>
      <c r="Z18" s="715">
        <v>38</v>
      </c>
      <c r="AA18" s="715">
        <v>26</v>
      </c>
      <c r="AB18" s="715">
        <v>10</v>
      </c>
      <c r="AC18" s="720">
        <f t="shared" si="1"/>
        <v>0</v>
      </c>
    </row>
    <row r="19" s="694" customFormat="1" spans="1:29">
      <c r="A19" s="715" t="s">
        <v>1712</v>
      </c>
      <c r="B19" s="715" t="s">
        <v>343</v>
      </c>
      <c r="C19" s="715" t="s">
        <v>1713</v>
      </c>
      <c r="D19" s="715" t="s">
        <v>229</v>
      </c>
      <c r="E19" s="715" t="s">
        <v>734</v>
      </c>
      <c r="F19" s="716" t="s">
        <v>838</v>
      </c>
      <c r="G19" s="717">
        <v>2202030135</v>
      </c>
      <c r="H19" s="717" t="s">
        <v>839</v>
      </c>
      <c r="I19" s="718" t="s">
        <v>735</v>
      </c>
      <c r="J19" s="715" t="s">
        <v>1714</v>
      </c>
      <c r="K19" s="715" t="s">
        <v>1715</v>
      </c>
      <c r="L19" s="715" t="s">
        <v>343</v>
      </c>
      <c r="M19" s="715">
        <v>406.36</v>
      </c>
      <c r="N19" s="715">
        <v>556</v>
      </c>
      <c r="O19" s="715">
        <v>149.64</v>
      </c>
      <c r="P19" s="719">
        <f t="shared" si="0"/>
        <v>0.368244905994684</v>
      </c>
      <c r="Q19" s="715">
        <v>0</v>
      </c>
      <c r="R19" s="715">
        <v>0</v>
      </c>
      <c r="S19" s="715">
        <v>30</v>
      </c>
      <c r="T19" s="715">
        <v>68</v>
      </c>
      <c r="U19" s="715">
        <v>69</v>
      </c>
      <c r="V19" s="715">
        <v>63</v>
      </c>
      <c r="W19" s="715">
        <v>99</v>
      </c>
      <c r="X19" s="715">
        <v>91</v>
      </c>
      <c r="Y19" s="715">
        <v>60</v>
      </c>
      <c r="Z19" s="715">
        <v>43</v>
      </c>
      <c r="AA19" s="715">
        <v>19</v>
      </c>
      <c r="AB19" s="715">
        <v>14</v>
      </c>
      <c r="AC19" s="720">
        <f t="shared" si="1"/>
        <v>0</v>
      </c>
    </row>
    <row r="20" s="694" customFormat="1" spans="1:29">
      <c r="A20" s="715" t="s">
        <v>1712</v>
      </c>
      <c r="B20" s="715" t="s">
        <v>343</v>
      </c>
      <c r="C20" s="715" t="s">
        <v>1713</v>
      </c>
      <c r="D20" s="715" t="s">
        <v>229</v>
      </c>
      <c r="E20" s="715" t="s">
        <v>734</v>
      </c>
      <c r="F20" s="716" t="s">
        <v>842</v>
      </c>
      <c r="G20" s="717">
        <v>2202030136</v>
      </c>
      <c r="H20" s="717" t="s">
        <v>843</v>
      </c>
      <c r="I20" s="718" t="s">
        <v>735</v>
      </c>
      <c r="J20" s="715" t="s">
        <v>1714</v>
      </c>
      <c r="K20" s="715" t="s">
        <v>1715</v>
      </c>
      <c r="L20" s="715" t="s">
        <v>343</v>
      </c>
      <c r="M20" s="715">
        <v>117.4</v>
      </c>
      <c r="N20" s="715">
        <v>243</v>
      </c>
      <c r="O20" s="715">
        <v>125.6</v>
      </c>
      <c r="P20" s="719">
        <f t="shared" si="0"/>
        <v>1.06984667802385</v>
      </c>
      <c r="Q20" s="715">
        <v>0</v>
      </c>
      <c r="R20" s="715">
        <v>0</v>
      </c>
      <c r="S20" s="715">
        <v>0</v>
      </c>
      <c r="T20" s="715">
        <v>7</v>
      </c>
      <c r="U20" s="715">
        <v>25</v>
      </c>
      <c r="V20" s="715">
        <v>41</v>
      </c>
      <c r="W20" s="715">
        <v>42</v>
      </c>
      <c r="X20" s="715">
        <v>33</v>
      </c>
      <c r="Y20" s="715">
        <v>36</v>
      </c>
      <c r="Z20" s="715">
        <v>36</v>
      </c>
      <c r="AA20" s="715">
        <v>13</v>
      </c>
      <c r="AB20" s="715">
        <v>10</v>
      </c>
      <c r="AC20" s="720">
        <f t="shared" si="1"/>
        <v>0</v>
      </c>
    </row>
    <row r="21" s="694" customFormat="1" spans="1:29">
      <c r="A21" s="715" t="s">
        <v>1712</v>
      </c>
      <c r="B21" s="715" t="s">
        <v>343</v>
      </c>
      <c r="C21" s="715" t="s">
        <v>1713</v>
      </c>
      <c r="D21" s="715" t="s">
        <v>229</v>
      </c>
      <c r="E21" s="715" t="s">
        <v>564</v>
      </c>
      <c r="F21" s="716" t="s">
        <v>575</v>
      </c>
      <c r="G21" s="717">
        <v>2201050012</v>
      </c>
      <c r="H21" s="717" t="s">
        <v>576</v>
      </c>
      <c r="I21" s="718">
        <v>0</v>
      </c>
      <c r="J21" s="715" t="s">
        <v>1714</v>
      </c>
      <c r="K21" s="715" t="s">
        <v>1715</v>
      </c>
      <c r="L21" s="715" t="s">
        <v>343</v>
      </c>
      <c r="M21" s="715">
        <v>13.42</v>
      </c>
      <c r="N21" s="715">
        <v>12</v>
      </c>
      <c r="O21" s="715">
        <v>-1.42</v>
      </c>
      <c r="P21" s="719">
        <f t="shared" si="0"/>
        <v>-0.105812220566319</v>
      </c>
      <c r="Q21" s="715">
        <v>0</v>
      </c>
      <c r="R21" s="715">
        <v>0</v>
      </c>
      <c r="S21" s="715">
        <v>0</v>
      </c>
      <c r="T21" s="715">
        <v>0</v>
      </c>
      <c r="U21" s="715">
        <v>10</v>
      </c>
      <c r="V21" s="715">
        <v>2</v>
      </c>
      <c r="W21" s="715">
        <v>0</v>
      </c>
      <c r="X21" s="715">
        <v>0</v>
      </c>
      <c r="Y21" s="715">
        <v>0</v>
      </c>
      <c r="Z21" s="715">
        <v>0</v>
      </c>
      <c r="AA21" s="715">
        <v>0</v>
      </c>
      <c r="AB21" s="715">
        <v>0</v>
      </c>
      <c r="AC21" s="720">
        <f t="shared" si="1"/>
        <v>0</v>
      </c>
    </row>
  </sheetData>
  <autoFilter xmlns:etc="http://www.wps.cn/officeDocument/2017/etCustomData" ref="A10:AC21" etc:filterBottomFollowUsedRange="0">
    <extLst/>
  </autoFilter>
  <mergeCells count="3">
    <mergeCell ref="A5:F5"/>
    <mergeCell ref="A8:B8"/>
    <mergeCell ref="A1:F4"/>
  </mergeCells>
  <conditionalFormatting sqref="A8:IV8">
    <cfRule type="cellIs" dxfId="1" priority="1" operator="lessThan">
      <formula>0</formula>
    </cfRule>
  </conditionalFormatting>
  <hyperlinks>
    <hyperlink ref="A1" location="目录!A1" display="← 返回目录"/>
  </hyperlinks>
  <pageMargins left="0.7" right="0.7" top="0.75" bottom="0.75" header="0.3" footer="0.3"/>
  <pageSetup paperSize="9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6">
    <tabColor theme="6" tint="0.399975585192419"/>
  </sheetPr>
  <dimension ref="A1:Q14"/>
  <sheetViews>
    <sheetView showGridLines="0" zoomScale="80" zoomScaleNormal="80" workbookViewId="0">
      <selection activeCell="A1" sqref="A1:F4"/>
    </sheetView>
  </sheetViews>
  <sheetFormatPr defaultColWidth="9" defaultRowHeight="12"/>
  <cols>
    <col min="1" max="1" width="5.63333333333333" style="695" customWidth="1"/>
    <col min="2" max="3" width="9.18333333333333" style="695" customWidth="1"/>
    <col min="4" max="12" width="11.0916666666667" style="695" customWidth="1"/>
    <col min="13" max="15" width="12.45" style="695" customWidth="1"/>
    <col min="16" max="254" width="7.63333333333333" style="696" customWidth="1"/>
    <col min="255" max="255" width="7.63333333333333" style="696"/>
    <col min="256" max="16384" width="9" style="696"/>
  </cols>
  <sheetData>
    <row r="1" s="157" customFormat="1" ht="19" customHeight="1" spans="1:17">
      <c r="A1" s="162" t="s">
        <v>185</v>
      </c>
      <c r="B1" s="163"/>
      <c r="C1" s="163"/>
      <c r="D1" s="163"/>
      <c r="E1" s="163"/>
      <c r="F1" s="163"/>
      <c r="G1" s="164" t="s">
        <v>1404</v>
      </c>
      <c r="H1" s="165" t="s">
        <v>1405</v>
      </c>
      <c r="I1" s="165"/>
      <c r="J1" s="165"/>
    </row>
    <row r="2" s="157" customFormat="1" ht="19" customHeight="1" spans="1:17">
      <c r="A2" s="163"/>
      <c r="B2" s="163"/>
      <c r="C2" s="163"/>
      <c r="D2" s="163"/>
      <c r="E2" s="163"/>
      <c r="F2" s="163"/>
      <c r="G2" s="166"/>
      <c r="H2" s="167" t="s">
        <v>1700</v>
      </c>
      <c r="I2" s="167"/>
      <c r="J2" s="167"/>
    </row>
    <row r="3" s="157" customFormat="1" ht="19" customHeight="1" spans="1:17">
      <c r="A3" s="163"/>
      <c r="B3" s="163"/>
      <c r="C3" s="163"/>
      <c r="D3" s="163"/>
      <c r="E3" s="163"/>
      <c r="F3" s="163"/>
      <c r="G3" s="166"/>
      <c r="H3" s="167" t="s">
        <v>1660</v>
      </c>
      <c r="I3" s="167"/>
      <c r="J3" s="167"/>
    </row>
    <row r="4" s="157" customFormat="1" ht="19" customHeight="1" spans="1:17">
      <c r="A4" s="163"/>
      <c r="B4" s="163"/>
      <c r="C4" s="163"/>
      <c r="D4" s="163"/>
      <c r="E4" s="163"/>
      <c r="F4" s="163"/>
      <c r="G4" s="166"/>
      <c r="H4" s="167"/>
      <c r="I4" s="167"/>
      <c r="J4" s="167"/>
    </row>
    <row r="5" s="157" customFormat="1" ht="19" customHeight="1" spans="1:17">
      <c r="A5" s="168" t="s">
        <v>1701</v>
      </c>
      <c r="B5" s="168"/>
      <c r="C5" s="168"/>
      <c r="D5" s="168"/>
      <c r="E5" s="168"/>
      <c r="F5" s="168"/>
      <c r="G5" s="169" t="s">
        <v>1567</v>
      </c>
      <c r="H5" s="170"/>
      <c r="I5" s="170"/>
      <c r="J5" s="171"/>
    </row>
    <row r="6" s="157" customFormat="1" ht="5" customHeight="1" spans="1:17">
      <c r="A6" s="220"/>
      <c r="B6" s="220"/>
      <c r="C6" s="167"/>
      <c r="D6" s="167"/>
      <c r="E6" s="167"/>
      <c r="F6" s="167"/>
      <c r="G6" s="221"/>
      <c r="H6" s="221"/>
      <c r="I6" s="222"/>
      <c r="J6" s="167"/>
    </row>
    <row r="7" s="159" customFormat="1" ht="14" customHeight="1" spans="1:17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8" s="324" customFormat="1" ht="16.5" spans="1:17">
      <c r="A8" s="663"/>
      <c r="B8" s="663"/>
      <c r="C8" s="664"/>
      <c r="D8" s="664"/>
      <c r="E8" s="664"/>
      <c r="F8" s="664"/>
      <c r="G8" s="664"/>
    </row>
    <row r="9" s="693" customFormat="1" ht="27" customHeight="1" spans="1:17">
      <c r="A9" s="697" t="s">
        <v>187</v>
      </c>
      <c r="B9" s="697" t="s">
        <v>1702</v>
      </c>
      <c r="C9" s="697" t="s">
        <v>1716</v>
      </c>
      <c r="D9" s="698">
        <v>46023</v>
      </c>
      <c r="E9" s="698">
        <v>46054</v>
      </c>
      <c r="F9" s="698">
        <v>46082</v>
      </c>
      <c r="G9" s="698">
        <v>46113</v>
      </c>
      <c r="H9" s="698">
        <v>46143</v>
      </c>
      <c r="I9" s="698">
        <v>46174</v>
      </c>
      <c r="J9" s="698">
        <v>46204</v>
      </c>
      <c r="K9" s="698">
        <v>46235</v>
      </c>
      <c r="L9" s="698">
        <v>46266</v>
      </c>
      <c r="M9" s="698">
        <v>46296</v>
      </c>
      <c r="N9" s="698">
        <v>46327</v>
      </c>
      <c r="O9" s="698">
        <v>46357</v>
      </c>
    </row>
    <row r="10" s="694" customFormat="1" ht="27" customHeight="1" spans="1:17">
      <c r="A10" s="699" t="s">
        <v>1712</v>
      </c>
      <c r="B10" s="699" t="s">
        <v>343</v>
      </c>
      <c r="C10" s="700" t="s">
        <v>230</v>
      </c>
      <c r="D10" s="699">
        <v>0</v>
      </c>
      <c r="E10" s="699">
        <v>0</v>
      </c>
      <c r="F10" s="699">
        <v>7</v>
      </c>
      <c r="G10" s="699">
        <v>19</v>
      </c>
      <c r="H10" s="699">
        <v>22</v>
      </c>
      <c r="I10" s="699">
        <v>16</v>
      </c>
      <c r="J10" s="699">
        <v>20</v>
      </c>
      <c r="K10" s="699">
        <v>19</v>
      </c>
      <c r="L10" s="699">
        <v>14</v>
      </c>
      <c r="M10" s="699">
        <v>7</v>
      </c>
      <c r="N10" s="699">
        <v>3</v>
      </c>
      <c r="O10" s="699">
        <v>0</v>
      </c>
    </row>
    <row r="11" s="694" customFormat="1" ht="27" customHeight="1" spans="1:17">
      <c r="A11" s="699" t="s">
        <v>1712</v>
      </c>
      <c r="B11" s="699" t="s">
        <v>343</v>
      </c>
      <c r="C11" s="700" t="s">
        <v>1717</v>
      </c>
      <c r="D11" s="699">
        <v>0</v>
      </c>
      <c r="E11" s="699">
        <v>0</v>
      </c>
      <c r="F11" s="699">
        <v>9</v>
      </c>
      <c r="G11" s="699">
        <v>10</v>
      </c>
      <c r="H11" s="699">
        <v>13</v>
      </c>
      <c r="I11" s="699">
        <v>28</v>
      </c>
      <c r="J11" s="699">
        <v>37</v>
      </c>
      <c r="K11" s="699">
        <v>32</v>
      </c>
      <c r="L11" s="699">
        <v>31</v>
      </c>
      <c r="M11" s="699">
        <v>18</v>
      </c>
      <c r="N11" s="699">
        <v>6</v>
      </c>
      <c r="O11" s="699">
        <v>0</v>
      </c>
    </row>
    <row r="12" s="694" customFormat="1" ht="27" customHeight="1" spans="1:17">
      <c r="A12" s="699" t="s">
        <v>1712</v>
      </c>
      <c r="B12" s="699" t="s">
        <v>343</v>
      </c>
      <c r="C12" s="700" t="s">
        <v>231</v>
      </c>
      <c r="D12" s="699">
        <v>0</v>
      </c>
      <c r="E12" s="699">
        <v>0</v>
      </c>
      <c r="F12" s="699">
        <v>1</v>
      </c>
      <c r="G12" s="699">
        <v>1</v>
      </c>
      <c r="H12" s="699">
        <v>0</v>
      </c>
      <c r="I12" s="699">
        <v>0</v>
      </c>
      <c r="J12" s="699">
        <v>0</v>
      </c>
      <c r="K12" s="699">
        <v>0</v>
      </c>
      <c r="L12" s="699">
        <v>0</v>
      </c>
      <c r="M12" s="699">
        <v>0</v>
      </c>
      <c r="N12" s="699">
        <v>0</v>
      </c>
      <c r="O12" s="699">
        <v>0</v>
      </c>
    </row>
    <row r="13" s="694" customFormat="1" ht="27" customHeight="1" spans="1:17">
      <c r="A13" s="699" t="s">
        <v>1712</v>
      </c>
      <c r="B13" s="699" t="s">
        <v>343</v>
      </c>
      <c r="C13" s="700" t="s">
        <v>1718</v>
      </c>
      <c r="D13" s="699">
        <v>0</v>
      </c>
      <c r="E13" s="699">
        <v>0</v>
      </c>
      <c r="F13" s="699">
        <v>1</v>
      </c>
      <c r="G13" s="699">
        <v>1</v>
      </c>
      <c r="H13" s="699">
        <v>0</v>
      </c>
      <c r="I13" s="699">
        <v>0</v>
      </c>
      <c r="J13" s="699">
        <v>0</v>
      </c>
      <c r="K13" s="699">
        <v>0</v>
      </c>
      <c r="L13" s="699">
        <v>0</v>
      </c>
      <c r="M13" s="699">
        <v>0</v>
      </c>
      <c r="N13" s="699">
        <v>0</v>
      </c>
      <c r="O13" s="699">
        <v>0</v>
      </c>
    </row>
    <row r="14" ht="27" customHeight="1"/>
  </sheetData>
  <mergeCells count="3">
    <mergeCell ref="A5:F5"/>
    <mergeCell ref="A8:B8"/>
    <mergeCell ref="A1:F4"/>
  </mergeCells>
  <conditionalFormatting sqref="A8:IV8">
    <cfRule type="cellIs" dxfId="1" priority="1" operator="lessThan">
      <formula>0</formula>
    </cfRule>
  </conditionalFormatting>
  <conditionalFormatting sqref="C10:C13">
    <cfRule type="cellIs" dxfId="1" priority="2" operator="lessThan">
      <formula>0</formula>
    </cfRule>
  </conditionalFormatting>
  <hyperlinks>
    <hyperlink ref="A1" location="目录!A1" display="← 返回目录"/>
  </hyperlinks>
  <pageMargins left="0.7" right="0.7" top="0.75" bottom="0.75" header="0.3" footer="0.3"/>
  <pageSetup paperSize="9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7">
    <tabColor theme="6" tint="0.399975585192419"/>
  </sheetPr>
  <dimension ref="A1:AG53"/>
  <sheetViews>
    <sheetView showGridLines="0" workbookViewId="0">
      <selection activeCell="A1" sqref="A1:F4"/>
    </sheetView>
  </sheetViews>
  <sheetFormatPr defaultColWidth="9" defaultRowHeight="16.5"/>
  <cols>
    <col min="1" max="1" width="11.3666666666667" style="324" customWidth="1"/>
    <col min="2" max="2" width="20" style="324" customWidth="1"/>
    <col min="3" max="3" width="17.6333333333333" style="324" customWidth="1"/>
    <col min="4" max="7" width="9.36666666666667" style="324" customWidth="1"/>
    <col min="8" max="8" width="10.1833333333333" style="638" customWidth="1"/>
    <col min="9" max="9" width="11" style="638" customWidth="1"/>
    <col min="10" max="19" width="11" style="324" customWidth="1"/>
    <col min="20" max="20" width="12.0916666666667" style="324" customWidth="1"/>
    <col min="21" max="21" width="10.5416666666667" style="324" customWidth="1"/>
    <col min="22" max="22" width="15.45" style="324" customWidth="1"/>
    <col min="23" max="32" width="11" style="324" customWidth="1"/>
    <col min="33" max="33" width="12.0916666666667" style="324" customWidth="1"/>
    <col min="34" max="34" width="11" style="324" customWidth="1"/>
    <col min="35" max="35" width="12.0916666666667" style="324" customWidth="1"/>
    <col min="36" max="36" width="15.45" style="324" customWidth="1"/>
    <col min="37" max="37" width="15.6333333333333" style="324"/>
    <col min="38" max="16384" width="9" style="324"/>
  </cols>
  <sheetData>
    <row r="1" s="157" customFormat="1" ht="19" customHeight="1" spans="1:33">
      <c r="A1" s="202" t="s">
        <v>185</v>
      </c>
      <c r="B1" s="163"/>
      <c r="C1" s="163"/>
      <c r="D1" s="163"/>
      <c r="E1" s="163"/>
      <c r="F1" s="163"/>
      <c r="G1" s="164" t="s">
        <v>1404</v>
      </c>
      <c r="H1" s="165" t="s">
        <v>1405</v>
      </c>
      <c r="I1" s="165"/>
      <c r="J1" s="165"/>
    </row>
    <row r="2" s="157" customFormat="1" ht="19" customHeight="1" spans="1:33">
      <c r="A2" s="163"/>
      <c r="B2" s="163"/>
      <c r="C2" s="163"/>
      <c r="D2" s="163"/>
      <c r="E2" s="163"/>
      <c r="F2" s="163"/>
      <c r="G2" s="166"/>
      <c r="H2" s="167" t="s">
        <v>1700</v>
      </c>
      <c r="I2" s="167"/>
      <c r="J2" s="167"/>
    </row>
    <row r="3" s="157" customFormat="1" ht="19" customHeight="1" spans="1:33">
      <c r="A3" s="163"/>
      <c r="B3" s="163"/>
      <c r="C3" s="163"/>
      <c r="D3" s="163"/>
      <c r="E3" s="163"/>
      <c r="F3" s="163"/>
      <c r="G3" s="166"/>
      <c r="H3" s="167" t="s">
        <v>1660</v>
      </c>
      <c r="I3" s="167"/>
      <c r="J3" s="167"/>
    </row>
    <row r="4" s="157" customFormat="1" ht="19" customHeight="1" spans="1:33">
      <c r="A4" s="163"/>
      <c r="B4" s="163"/>
      <c r="C4" s="163"/>
      <c r="D4" s="163"/>
      <c r="E4" s="163"/>
      <c r="F4" s="163"/>
      <c r="G4" s="166"/>
      <c r="H4" s="167"/>
      <c r="I4" s="167"/>
      <c r="J4" s="167"/>
    </row>
    <row r="5" s="157" customFormat="1" ht="19" customHeight="1" spans="1:33">
      <c r="A5" s="168" t="s">
        <v>1701</v>
      </c>
      <c r="B5" s="168"/>
      <c r="C5" s="168"/>
      <c r="D5" s="168"/>
      <c r="E5" s="168"/>
      <c r="F5" s="168"/>
      <c r="G5" s="169" t="s">
        <v>1567</v>
      </c>
      <c r="H5" s="170"/>
      <c r="I5" s="170"/>
      <c r="J5" s="171"/>
    </row>
    <row r="6" s="157" customFormat="1" ht="5" customHeight="1" spans="1:33">
      <c r="A6" s="220"/>
      <c r="B6" s="220"/>
      <c r="C6" s="167"/>
      <c r="D6" s="167"/>
      <c r="E6" s="167"/>
      <c r="F6" s="167"/>
      <c r="G6" s="221"/>
      <c r="H6" s="221"/>
      <c r="I6" s="222"/>
      <c r="J6" s="167"/>
    </row>
    <row r="7" s="159" customFormat="1" ht="14" customHeight="1" spans="1:33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8" spans="1:33">
      <c r="A8" s="663"/>
      <c r="B8" s="663"/>
      <c r="C8" s="664"/>
      <c r="D8" s="664"/>
      <c r="E8" s="664"/>
      <c r="F8" s="664"/>
      <c r="G8" s="664"/>
      <c r="H8" s="324"/>
      <c r="I8" s="324"/>
    </row>
    <row r="9" spans="1:33">
      <c r="A9" s="665" t="s">
        <v>1719</v>
      </c>
      <c r="B9" s="666" t="s">
        <v>221</v>
      </c>
      <c r="C9" s="667" t="s">
        <v>1720</v>
      </c>
      <c r="D9" s="668" t="s">
        <v>1412</v>
      </c>
      <c r="E9" s="668" t="s">
        <v>1721</v>
      </c>
      <c r="F9" s="668" t="s">
        <v>1722</v>
      </c>
      <c r="G9" s="669" t="s">
        <v>1723</v>
      </c>
      <c r="H9" s="670" t="s">
        <v>190</v>
      </c>
      <c r="I9" s="670"/>
      <c r="J9" s="670"/>
      <c r="K9" s="670"/>
      <c r="L9" s="670"/>
      <c r="M9" s="670"/>
      <c r="N9" s="670"/>
      <c r="O9" s="670"/>
      <c r="P9" s="670"/>
      <c r="Q9" s="670"/>
      <c r="R9" s="670"/>
      <c r="S9" s="670"/>
      <c r="T9" s="670"/>
      <c r="U9" s="670" t="s">
        <v>1724</v>
      </c>
      <c r="V9" s="670"/>
      <c r="W9" s="670"/>
      <c r="X9" s="670"/>
      <c r="Y9" s="670"/>
      <c r="Z9" s="670"/>
      <c r="AA9" s="670"/>
      <c r="AB9" s="670"/>
      <c r="AC9" s="670"/>
      <c r="AD9" s="670"/>
      <c r="AE9" s="670"/>
      <c r="AF9" s="670"/>
      <c r="AG9" s="670"/>
    </row>
    <row r="10" spans="1:33">
      <c r="A10" s="671"/>
      <c r="B10" s="666"/>
      <c r="C10" s="672"/>
      <c r="D10" s="668"/>
      <c r="E10" s="668"/>
      <c r="F10" s="668"/>
      <c r="G10" s="669"/>
      <c r="H10" s="673" t="s">
        <v>304</v>
      </c>
      <c r="I10" s="673" t="s">
        <v>305</v>
      </c>
      <c r="J10" s="673" t="s">
        <v>306</v>
      </c>
      <c r="K10" s="673" t="s">
        <v>307</v>
      </c>
      <c r="L10" s="673" t="s">
        <v>308</v>
      </c>
      <c r="M10" s="673" t="s">
        <v>309</v>
      </c>
      <c r="N10" s="673" t="s">
        <v>310</v>
      </c>
      <c r="O10" s="673" t="s">
        <v>311</v>
      </c>
      <c r="P10" s="673" t="s">
        <v>312</v>
      </c>
      <c r="Q10" s="673" t="s">
        <v>313</v>
      </c>
      <c r="R10" s="673" t="s">
        <v>314</v>
      </c>
      <c r="S10" s="673" t="s">
        <v>315</v>
      </c>
      <c r="T10" s="674" t="s">
        <v>281</v>
      </c>
      <c r="U10" s="673">
        <v>1</v>
      </c>
      <c r="V10" s="673">
        <v>2</v>
      </c>
      <c r="W10" s="673">
        <v>3</v>
      </c>
      <c r="X10" s="673">
        <v>4</v>
      </c>
      <c r="Y10" s="673">
        <v>5</v>
      </c>
      <c r="Z10" s="673">
        <v>6</v>
      </c>
      <c r="AA10" s="673">
        <v>7</v>
      </c>
      <c r="AB10" s="673">
        <v>8</v>
      </c>
      <c r="AC10" s="673">
        <v>9</v>
      </c>
      <c r="AD10" s="673">
        <v>10</v>
      </c>
      <c r="AE10" s="673">
        <v>11</v>
      </c>
      <c r="AF10" s="673">
        <v>12</v>
      </c>
      <c r="AG10" s="674" t="s">
        <v>1725</v>
      </c>
    </row>
    <row r="11" spans="1:33">
      <c r="A11" s="656"/>
      <c r="B11" s="675" t="s">
        <v>212</v>
      </c>
      <c r="C11" s="675" t="s">
        <v>1466</v>
      </c>
      <c r="D11" s="676"/>
      <c r="E11" s="677"/>
      <c r="F11" s="676"/>
      <c r="G11" s="677"/>
      <c r="H11" s="678"/>
      <c r="I11" s="678"/>
      <c r="J11" s="678"/>
      <c r="K11" s="678"/>
      <c r="L11" s="678"/>
      <c r="M11" s="678"/>
      <c r="N11" s="678"/>
      <c r="O11" s="678"/>
      <c r="P11" s="678"/>
      <c r="Q11" s="678"/>
      <c r="R11" s="678"/>
      <c r="S11" s="678"/>
      <c r="T11" s="678"/>
      <c r="U11" s="678"/>
      <c r="V11" s="678"/>
      <c r="W11" s="678"/>
      <c r="X11" s="678"/>
      <c r="Y11" s="678"/>
      <c r="Z11" s="678"/>
      <c r="AA11" s="678"/>
      <c r="AB11" s="678"/>
      <c r="AC11" s="678"/>
      <c r="AD11" s="678"/>
      <c r="AE11" s="678"/>
      <c r="AF11" s="678"/>
      <c r="AG11" s="678"/>
    </row>
    <row r="12" spans="1:33">
      <c r="A12" s="656"/>
      <c r="B12" s="675" t="s">
        <v>1726</v>
      </c>
      <c r="C12" s="675" t="s">
        <v>1466</v>
      </c>
      <c r="D12" s="676"/>
      <c r="E12" s="677"/>
      <c r="F12" s="676"/>
      <c r="G12" s="677"/>
      <c r="H12" s="678"/>
      <c r="I12" s="678"/>
      <c r="J12" s="678"/>
      <c r="K12" s="678"/>
      <c r="L12" s="678"/>
      <c r="M12" s="678"/>
      <c r="N12" s="678"/>
      <c r="O12" s="678"/>
      <c r="P12" s="678"/>
      <c r="Q12" s="678"/>
      <c r="R12" s="678"/>
      <c r="S12" s="678"/>
      <c r="T12" s="678"/>
      <c r="U12" s="678"/>
      <c r="V12" s="678"/>
      <c r="W12" s="678"/>
      <c r="X12" s="678"/>
      <c r="Y12" s="678"/>
      <c r="Z12" s="678"/>
      <c r="AA12" s="678"/>
      <c r="AB12" s="678"/>
      <c r="AC12" s="678"/>
      <c r="AD12" s="678"/>
      <c r="AE12" s="678"/>
      <c r="AF12" s="678"/>
      <c r="AG12" s="678"/>
    </row>
    <row r="13" ht="28.5" spans="1:33">
      <c r="A13" s="679" t="str">
        <f>VLOOKUP(B13,'[4]B1-基础资料'!$A$108:$B$135,2,0)</f>
        <v>固定</v>
      </c>
      <c r="B13" s="680" t="s">
        <v>1727</v>
      </c>
      <c r="C13" s="675" t="str">
        <f>VLOOKUP(B13,'[4]B1-基础资料'!$A$108:$C$135,3,0)</f>
        <v>车间人工薪酬（工资、五险一金）</v>
      </c>
      <c r="D13" s="676"/>
      <c r="E13" s="677"/>
      <c r="F13" s="676"/>
      <c r="G13" s="677"/>
      <c r="H13" s="681"/>
      <c r="I13" s="681"/>
      <c r="J13" s="681"/>
      <c r="K13" s="681"/>
      <c r="L13" s="681"/>
      <c r="M13" s="681"/>
      <c r="N13" s="681"/>
      <c r="O13" s="681"/>
      <c r="P13" s="681"/>
      <c r="Q13" s="681"/>
      <c r="R13" s="681"/>
      <c r="S13" s="681"/>
      <c r="T13" s="681"/>
      <c r="U13" s="681"/>
      <c r="V13" s="681"/>
      <c r="W13" s="681"/>
      <c r="X13" s="681"/>
      <c r="Y13" s="681"/>
      <c r="Z13" s="681"/>
      <c r="AA13" s="681"/>
      <c r="AB13" s="681"/>
      <c r="AC13" s="681"/>
      <c r="AD13" s="681"/>
      <c r="AE13" s="681"/>
      <c r="AF13" s="681"/>
      <c r="AG13" s="681"/>
    </row>
    <row r="14" ht="28.5" spans="1:33">
      <c r="A14" s="679" t="str">
        <f>VLOOKUP(B14,'[4]B1-基础资料'!$A$108:$B$135,2,0)</f>
        <v>固定</v>
      </c>
      <c r="B14" s="682" t="s">
        <v>1728</v>
      </c>
      <c r="C14" s="675" t="str">
        <f>VLOOKUP(B14,'[4]B1-基础资料'!$A$108:$C$135,3,0)</f>
        <v>车间人工薪酬（工资、五险一金）</v>
      </c>
      <c r="D14" s="676"/>
      <c r="E14" s="677"/>
      <c r="F14" s="676"/>
      <c r="G14" s="677"/>
      <c r="H14" s="678"/>
      <c r="I14" s="678"/>
      <c r="J14" s="678"/>
      <c r="K14" s="678"/>
      <c r="L14" s="678"/>
      <c r="M14" s="678"/>
      <c r="N14" s="678"/>
      <c r="O14" s="678"/>
      <c r="P14" s="678"/>
      <c r="Q14" s="678"/>
      <c r="R14" s="678"/>
      <c r="S14" s="678"/>
      <c r="T14" s="678"/>
      <c r="U14" s="678"/>
      <c r="V14" s="678"/>
      <c r="W14" s="678"/>
      <c r="X14" s="678"/>
      <c r="Y14" s="678"/>
      <c r="Z14" s="678"/>
      <c r="AA14" s="678"/>
      <c r="AB14" s="678"/>
      <c r="AC14" s="678"/>
      <c r="AD14" s="678"/>
      <c r="AE14" s="678"/>
      <c r="AF14" s="678"/>
      <c r="AG14" s="678"/>
    </row>
    <row r="15" ht="28.5" spans="1:33">
      <c r="A15" s="679" t="str">
        <f>VLOOKUP(B15,'[4]B1-基础资料'!$A$108:$B$135,2,0)</f>
        <v>固定</v>
      </c>
      <c r="B15" s="682" t="s">
        <v>1729</v>
      </c>
      <c r="C15" s="675" t="str">
        <f>VLOOKUP(B15,'[4]B1-基础资料'!$A$108:$C$135,3,0)</f>
        <v>车间人工薪酬（工资、五险一金）</v>
      </c>
      <c r="D15" s="676"/>
      <c r="E15" s="677"/>
      <c r="F15" s="676"/>
      <c r="G15" s="677"/>
      <c r="H15" s="678"/>
      <c r="I15" s="678"/>
      <c r="J15" s="678"/>
      <c r="K15" s="678"/>
      <c r="L15" s="678"/>
      <c r="M15" s="678"/>
      <c r="N15" s="678"/>
      <c r="O15" s="678"/>
      <c r="P15" s="678"/>
      <c r="Q15" s="678"/>
      <c r="R15" s="678"/>
      <c r="S15" s="678"/>
      <c r="T15" s="678"/>
      <c r="U15" s="678"/>
      <c r="V15" s="678"/>
      <c r="W15" s="678"/>
      <c r="X15" s="678"/>
      <c r="Y15" s="678"/>
      <c r="Z15" s="678"/>
      <c r="AA15" s="678"/>
      <c r="AB15" s="678"/>
      <c r="AC15" s="678"/>
      <c r="AD15" s="678"/>
      <c r="AE15" s="678"/>
      <c r="AF15" s="678"/>
      <c r="AG15" s="678"/>
    </row>
    <row r="16" ht="28.5" spans="1:33">
      <c r="A16" s="679" t="str">
        <f>VLOOKUP(B16,'[4]B1-基础资料'!$A$108:$B$135,2,0)</f>
        <v>固定</v>
      </c>
      <c r="B16" s="682" t="s">
        <v>1730</v>
      </c>
      <c r="C16" s="675" t="str">
        <f>VLOOKUP(B16,'[4]B1-基础资料'!$A$108:$C$135,3,0)</f>
        <v>车间人工薪酬（工资、五险一金）</v>
      </c>
      <c r="D16" s="676"/>
      <c r="E16" s="677"/>
      <c r="F16" s="676"/>
      <c r="G16" s="677"/>
      <c r="H16" s="678"/>
      <c r="I16" s="678"/>
      <c r="J16" s="678"/>
      <c r="K16" s="678"/>
      <c r="L16" s="678"/>
      <c r="M16" s="678"/>
      <c r="N16" s="678"/>
      <c r="O16" s="678"/>
      <c r="P16" s="678"/>
      <c r="Q16" s="678"/>
      <c r="R16" s="678"/>
      <c r="S16" s="678"/>
      <c r="T16" s="678"/>
      <c r="U16" s="678"/>
      <c r="V16" s="678"/>
      <c r="W16" s="678"/>
      <c r="X16" s="678"/>
      <c r="Y16" s="678"/>
      <c r="Z16" s="678"/>
      <c r="AA16" s="678"/>
      <c r="AB16" s="678"/>
      <c r="AC16" s="678"/>
      <c r="AD16" s="678"/>
      <c r="AE16" s="678"/>
      <c r="AF16" s="678"/>
      <c r="AG16" s="678"/>
    </row>
    <row r="17" spans="1:33">
      <c r="A17" s="679" t="str">
        <f>VLOOKUP(B17,'[4]B1-基础资料'!$A$108:$B$135,2,0)</f>
        <v>变动</v>
      </c>
      <c r="B17" s="682" t="s">
        <v>1731</v>
      </c>
      <c r="C17" s="675" t="str">
        <f>VLOOKUP(B17,'[4]B1-基础资料'!$A$108:$C$135,3,0)</f>
        <v>车间人工提成奖金、绩效</v>
      </c>
      <c r="D17" s="676"/>
      <c r="E17" s="677"/>
      <c r="F17" s="676"/>
      <c r="G17" s="677"/>
      <c r="H17" s="678"/>
      <c r="I17" s="678"/>
      <c r="J17" s="678"/>
      <c r="K17" s="678"/>
      <c r="L17" s="678"/>
      <c r="M17" s="678"/>
      <c r="N17" s="678"/>
      <c r="O17" s="678"/>
      <c r="P17" s="678"/>
      <c r="Q17" s="678"/>
      <c r="R17" s="678"/>
      <c r="S17" s="678"/>
      <c r="T17" s="678"/>
      <c r="U17" s="678"/>
      <c r="V17" s="678"/>
      <c r="W17" s="678"/>
      <c r="X17" s="678"/>
      <c r="Y17" s="678"/>
      <c r="Z17" s="678"/>
      <c r="AA17" s="678"/>
      <c r="AB17" s="678"/>
      <c r="AC17" s="678"/>
      <c r="AD17" s="678"/>
      <c r="AE17" s="678"/>
      <c r="AF17" s="678"/>
      <c r="AG17" s="678"/>
    </row>
    <row r="18" spans="1:33">
      <c r="A18" s="679" t="str">
        <f>VLOOKUP(B18,'[4]B1-基础资料'!$A$108:$B$135,2,0)</f>
        <v>变动</v>
      </c>
      <c r="B18" s="682" t="s">
        <v>1732</v>
      </c>
      <c r="C18" s="675" t="str">
        <f>VLOOKUP(B18,'[4]B1-基础资料'!$A$108:$C$135,3,0)</f>
        <v>车间人工提成奖金、绩效</v>
      </c>
      <c r="D18" s="676"/>
      <c r="E18" s="677"/>
      <c r="F18" s="676"/>
      <c r="G18" s="677"/>
      <c r="H18" s="678"/>
      <c r="I18" s="678"/>
      <c r="J18" s="678"/>
      <c r="K18" s="678"/>
      <c r="L18" s="678"/>
      <c r="M18" s="678"/>
      <c r="N18" s="678"/>
      <c r="O18" s="678"/>
      <c r="P18" s="678"/>
      <c r="Q18" s="678"/>
      <c r="R18" s="678"/>
      <c r="S18" s="678"/>
      <c r="T18" s="678"/>
      <c r="U18" s="678"/>
      <c r="V18" s="678"/>
      <c r="W18" s="678"/>
      <c r="X18" s="678"/>
      <c r="Y18" s="678"/>
      <c r="Z18" s="678"/>
      <c r="AA18" s="678"/>
      <c r="AB18" s="678"/>
      <c r="AC18" s="678"/>
      <c r="AD18" s="678"/>
      <c r="AE18" s="678"/>
      <c r="AF18" s="678"/>
      <c r="AG18" s="678"/>
    </row>
    <row r="19" spans="1:33">
      <c r="A19" s="679" t="str">
        <f>VLOOKUP(B19,'[4]B1-基础资料'!$A$108:$B$135,2,0)</f>
        <v>变动</v>
      </c>
      <c r="B19" s="682" t="s">
        <v>1733</v>
      </c>
      <c r="C19" s="675" t="str">
        <f>VLOOKUP(B19,'[4]B1-基础资料'!$A$108:$C$135,3,0)</f>
        <v>车间人工提成奖金、绩效</v>
      </c>
      <c r="D19" s="676"/>
      <c r="E19" s="677"/>
      <c r="F19" s="676"/>
      <c r="G19" s="677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678"/>
      <c r="AB19" s="678"/>
      <c r="AC19" s="678"/>
      <c r="AD19" s="678"/>
      <c r="AE19" s="678"/>
      <c r="AF19" s="678"/>
      <c r="AG19" s="678"/>
    </row>
    <row r="20" spans="1:33">
      <c r="A20" s="679" t="str">
        <f>VLOOKUP(B20,'[4]B1-基础资料'!$A$108:$B$135,2,0)</f>
        <v>变动</v>
      </c>
      <c r="B20" s="682" t="s">
        <v>1734</v>
      </c>
      <c r="C20" s="675" t="str">
        <f>VLOOKUP(B20,'[4]B1-基础资料'!$A$108:$C$135,3,0)</f>
        <v>车间人工提成奖金、绩效</v>
      </c>
      <c r="D20" s="676"/>
      <c r="E20" s="677"/>
      <c r="F20" s="676"/>
      <c r="G20" s="677"/>
      <c r="H20" s="678"/>
      <c r="I20" s="678"/>
      <c r="J20" s="678"/>
      <c r="K20" s="678"/>
      <c r="L20" s="678"/>
      <c r="M20" s="678"/>
      <c r="N20" s="678"/>
      <c r="O20" s="678"/>
      <c r="P20" s="678"/>
      <c r="Q20" s="678"/>
      <c r="R20" s="678"/>
      <c r="S20" s="678"/>
      <c r="T20" s="678"/>
      <c r="U20" s="678"/>
      <c r="V20" s="678"/>
      <c r="W20" s="678"/>
      <c r="X20" s="678"/>
      <c r="Y20" s="678"/>
      <c r="Z20" s="678"/>
      <c r="AA20" s="678"/>
      <c r="AB20" s="678"/>
      <c r="AC20" s="678"/>
      <c r="AD20" s="678"/>
      <c r="AE20" s="678"/>
      <c r="AF20" s="678"/>
      <c r="AG20" s="678"/>
    </row>
    <row r="21" ht="28.5" spans="1:33">
      <c r="A21" s="679" t="str">
        <f>VLOOKUP(B21,'[4]B1-基础资料'!$A$108:$B$135,2,0)</f>
        <v>固定</v>
      </c>
      <c r="B21" s="682" t="s">
        <v>416</v>
      </c>
      <c r="C21" s="675" t="str">
        <f>VLOOKUP(B21,'[4]B1-基础资料'!$A$108:$C$135,3,0)</f>
        <v>车间人工薪酬（工资、五险一金）</v>
      </c>
      <c r="D21" s="676"/>
      <c r="E21" s="677"/>
      <c r="F21" s="676"/>
      <c r="G21" s="677"/>
      <c r="H21" s="678"/>
      <c r="I21" s="678"/>
      <c r="J21" s="678"/>
      <c r="K21" s="678"/>
      <c r="L21" s="678"/>
      <c r="M21" s="678"/>
      <c r="N21" s="678"/>
      <c r="O21" s="678"/>
      <c r="P21" s="678"/>
      <c r="Q21" s="678"/>
      <c r="R21" s="678"/>
      <c r="S21" s="678"/>
      <c r="T21" s="678"/>
      <c r="U21" s="678"/>
      <c r="V21" s="678"/>
      <c r="W21" s="678"/>
      <c r="X21" s="678"/>
      <c r="Y21" s="678"/>
      <c r="Z21" s="678"/>
      <c r="AA21" s="678"/>
      <c r="AB21" s="678"/>
      <c r="AC21" s="678"/>
      <c r="AD21" s="678"/>
      <c r="AE21" s="678"/>
      <c r="AF21" s="678"/>
      <c r="AG21" s="678"/>
    </row>
    <row r="22" ht="28.5" spans="1:33">
      <c r="A22" s="679" t="str">
        <f>VLOOKUP(B22,'[4]B1-基础资料'!$A$108:$B$135,2,0)</f>
        <v>固定</v>
      </c>
      <c r="B22" s="682" t="s">
        <v>423</v>
      </c>
      <c r="C22" s="675" t="str">
        <f>VLOOKUP(B22,'[4]B1-基础资料'!$A$108:$C$135,3,0)</f>
        <v>车间人工薪酬（工资、五险一金）</v>
      </c>
      <c r="D22" s="676"/>
      <c r="E22" s="677"/>
      <c r="F22" s="676"/>
      <c r="G22" s="677"/>
      <c r="H22" s="678"/>
      <c r="I22" s="678"/>
      <c r="J22" s="678"/>
      <c r="K22" s="678"/>
      <c r="L22" s="678"/>
      <c r="M22" s="678"/>
      <c r="N22" s="678"/>
      <c r="O22" s="678"/>
      <c r="P22" s="678"/>
      <c r="Q22" s="678"/>
      <c r="R22" s="678"/>
      <c r="S22" s="678"/>
      <c r="T22" s="678"/>
      <c r="U22" s="678"/>
      <c r="V22" s="678"/>
      <c r="W22" s="678"/>
      <c r="X22" s="678"/>
      <c r="Y22" s="678"/>
      <c r="Z22" s="678"/>
      <c r="AA22" s="678"/>
      <c r="AB22" s="678"/>
      <c r="AC22" s="678"/>
      <c r="AD22" s="678"/>
      <c r="AE22" s="678"/>
      <c r="AF22" s="678"/>
      <c r="AG22" s="678"/>
    </row>
    <row r="23" ht="28.5" spans="1:33">
      <c r="A23" s="679" t="str">
        <f>VLOOKUP(B23,'[4]B1-基础资料'!$A$108:$B$135,2,0)</f>
        <v>固定</v>
      </c>
      <c r="B23" s="682" t="s">
        <v>428</v>
      </c>
      <c r="C23" s="675" t="str">
        <f>VLOOKUP(B23,'[4]B1-基础资料'!$A$108:$C$135,3,0)</f>
        <v>车间人工薪酬（工资、五险一金）</v>
      </c>
      <c r="D23" s="676"/>
      <c r="E23" s="677"/>
      <c r="F23" s="676"/>
      <c r="G23" s="677"/>
      <c r="H23" s="678"/>
      <c r="I23" s="678"/>
      <c r="J23" s="678"/>
      <c r="K23" s="678"/>
      <c r="L23" s="678"/>
      <c r="M23" s="678"/>
      <c r="N23" s="678"/>
      <c r="O23" s="678"/>
      <c r="P23" s="678"/>
      <c r="Q23" s="678"/>
      <c r="R23" s="678"/>
      <c r="S23" s="678"/>
      <c r="T23" s="678"/>
      <c r="U23" s="678"/>
      <c r="V23" s="678"/>
      <c r="W23" s="678"/>
      <c r="X23" s="678"/>
      <c r="Y23" s="678"/>
      <c r="Z23" s="678"/>
      <c r="AA23" s="678"/>
      <c r="AB23" s="678"/>
      <c r="AC23" s="678"/>
      <c r="AD23" s="678"/>
      <c r="AE23" s="678"/>
      <c r="AF23" s="678"/>
      <c r="AG23" s="678"/>
    </row>
    <row r="24" spans="1:33">
      <c r="A24" s="679" t="str">
        <f>VLOOKUP(B24,'[4]B1-基础资料'!$A$108:$B$135,2,0)</f>
        <v>变动</v>
      </c>
      <c r="B24" s="675" t="s">
        <v>1735</v>
      </c>
      <c r="C24" s="675" t="str">
        <f>VLOOKUP(B24,'[4]B1-基础资料'!$A$108:$C$135,3,0)</f>
        <v>能耗—水电费</v>
      </c>
      <c r="D24" s="676"/>
      <c r="E24" s="677"/>
      <c r="F24" s="676"/>
      <c r="G24" s="677"/>
      <c r="H24" s="683"/>
      <c r="I24" s="683"/>
      <c r="J24" s="683"/>
      <c r="K24" s="683"/>
      <c r="L24" s="683"/>
      <c r="M24" s="683"/>
      <c r="N24" s="683"/>
      <c r="O24" s="683"/>
      <c r="P24" s="683"/>
      <c r="Q24" s="683"/>
      <c r="R24" s="683"/>
      <c r="S24" s="683"/>
      <c r="T24" s="678"/>
      <c r="U24" s="678"/>
      <c r="V24" s="678"/>
      <c r="W24" s="678"/>
      <c r="X24" s="678"/>
      <c r="Y24" s="678"/>
      <c r="Z24" s="678"/>
      <c r="AA24" s="678"/>
      <c r="AB24" s="678"/>
      <c r="AC24" s="678"/>
      <c r="AD24" s="678"/>
      <c r="AE24" s="678"/>
      <c r="AF24" s="678"/>
      <c r="AG24" s="678"/>
    </row>
    <row r="25" spans="1:33">
      <c r="A25" s="679" t="str">
        <f>VLOOKUP(B25,'[4]B1-基础资料'!$A$108:$B$135,2,0)</f>
        <v>变动</v>
      </c>
      <c r="B25" s="675" t="s">
        <v>1736</v>
      </c>
      <c r="C25" s="675" t="str">
        <f>VLOOKUP(B25,'[4]B1-基础资料'!$A$108:$C$135,3,0)</f>
        <v>能耗—水电费</v>
      </c>
      <c r="D25" s="676"/>
      <c r="E25" s="677"/>
      <c r="F25" s="676"/>
      <c r="G25" s="677"/>
      <c r="H25" s="683"/>
      <c r="I25" s="683"/>
      <c r="J25" s="683"/>
      <c r="K25" s="683"/>
      <c r="L25" s="683"/>
      <c r="M25" s="683"/>
      <c r="N25" s="683"/>
      <c r="O25" s="683"/>
      <c r="P25" s="683"/>
      <c r="Q25" s="683"/>
      <c r="R25" s="683"/>
      <c r="S25" s="683"/>
      <c r="T25" s="678"/>
      <c r="U25" s="678"/>
      <c r="V25" s="678"/>
      <c r="W25" s="678"/>
      <c r="X25" s="678"/>
      <c r="Y25" s="678"/>
      <c r="Z25" s="678"/>
      <c r="AA25" s="678"/>
      <c r="AB25" s="678"/>
      <c r="AC25" s="678"/>
      <c r="AD25" s="678"/>
      <c r="AE25" s="678"/>
      <c r="AF25" s="678"/>
      <c r="AG25" s="678"/>
    </row>
    <row r="26" spans="1:33">
      <c r="A26" s="679" t="str">
        <f>VLOOKUP(B26,'[4]B1-基础资料'!$A$108:$B$135,2,0)</f>
        <v>变动</v>
      </c>
      <c r="B26" s="675" t="s">
        <v>1737</v>
      </c>
      <c r="C26" s="675" t="str">
        <f>VLOOKUP(B26,'[4]B1-基础资料'!$A$108:$C$135,3,0)</f>
        <v>经营物料</v>
      </c>
      <c r="D26" s="676"/>
      <c r="E26" s="677"/>
      <c r="F26" s="676"/>
      <c r="G26" s="677"/>
      <c r="H26" s="683"/>
      <c r="I26" s="683"/>
      <c r="J26" s="683"/>
      <c r="K26" s="683"/>
      <c r="L26" s="683"/>
      <c r="M26" s="683"/>
      <c r="N26" s="683"/>
      <c r="O26" s="683"/>
      <c r="P26" s="683"/>
      <c r="Q26" s="683"/>
      <c r="R26" s="683"/>
      <c r="S26" s="683"/>
      <c r="T26" s="678"/>
      <c r="U26" s="678"/>
      <c r="V26" s="678"/>
      <c r="W26" s="678"/>
      <c r="X26" s="678"/>
      <c r="Y26" s="678"/>
      <c r="Z26" s="678"/>
      <c r="AA26" s="678"/>
      <c r="AB26" s="678"/>
      <c r="AC26" s="678"/>
      <c r="AD26" s="678"/>
      <c r="AE26" s="678"/>
      <c r="AF26" s="678"/>
      <c r="AG26" s="678"/>
    </row>
    <row r="27" spans="1:33">
      <c r="A27" s="679" t="str">
        <f>VLOOKUP(B27,'[4]B1-基础资料'!$A$108:$B$135,2,0)</f>
        <v>变动</v>
      </c>
      <c r="B27" s="675" t="s">
        <v>460</v>
      </c>
      <c r="C27" s="675" t="str">
        <f>VLOOKUP(B27,'[4]B1-基础资料'!$A$108:$C$135,3,0)</f>
        <v>维修费</v>
      </c>
      <c r="D27" s="676"/>
      <c r="E27" s="677"/>
      <c r="F27" s="676"/>
      <c r="G27" s="677"/>
      <c r="H27" s="683"/>
      <c r="I27" s="683"/>
      <c r="J27" s="683"/>
      <c r="K27" s="683"/>
      <c r="L27" s="683"/>
      <c r="M27" s="683"/>
      <c r="N27" s="683"/>
      <c r="O27" s="683"/>
      <c r="P27" s="683"/>
      <c r="Q27" s="683"/>
      <c r="R27" s="683"/>
      <c r="S27" s="683"/>
      <c r="T27" s="678"/>
      <c r="U27" s="678"/>
      <c r="V27" s="678"/>
      <c r="W27" s="678"/>
      <c r="X27" s="678"/>
      <c r="Y27" s="678"/>
      <c r="Z27" s="678"/>
      <c r="AA27" s="678"/>
      <c r="AB27" s="678"/>
      <c r="AC27" s="678"/>
      <c r="AD27" s="678"/>
      <c r="AE27" s="678"/>
      <c r="AF27" s="678"/>
      <c r="AG27" s="678"/>
    </row>
    <row r="28" spans="1:33">
      <c r="A28" s="679" t="str">
        <f>VLOOKUP(B28,'[4]B1-基础资料'!$A$108:$B$135,2,0)</f>
        <v>固定</v>
      </c>
      <c r="B28" s="675" t="s">
        <v>166</v>
      </c>
      <c r="C28" s="675" t="str">
        <f>VLOOKUP(B28,'[4]B1-基础资料'!$A$108:$C$135,3,0)</f>
        <v>折旧费</v>
      </c>
      <c r="D28" s="676"/>
      <c r="E28" s="677"/>
      <c r="F28" s="676"/>
      <c r="G28" s="677"/>
      <c r="H28" s="684"/>
      <c r="I28" s="684"/>
      <c r="J28" s="684"/>
      <c r="K28" s="684"/>
      <c r="L28" s="684"/>
      <c r="M28" s="684"/>
      <c r="N28" s="684"/>
      <c r="O28" s="684"/>
      <c r="P28" s="684"/>
      <c r="Q28" s="684"/>
      <c r="R28" s="684"/>
      <c r="S28" s="684"/>
      <c r="T28" s="685"/>
      <c r="U28" s="678"/>
      <c r="V28" s="678"/>
      <c r="W28" s="678"/>
      <c r="X28" s="678"/>
      <c r="Y28" s="678"/>
      <c r="Z28" s="678"/>
      <c r="AA28" s="678"/>
      <c r="AB28" s="678"/>
      <c r="AC28" s="678"/>
      <c r="AD28" s="678"/>
      <c r="AE28" s="678"/>
      <c r="AF28" s="678"/>
      <c r="AG28" s="678"/>
    </row>
    <row r="29" spans="1:33">
      <c r="A29" s="679" t="str">
        <f>VLOOKUP(B29,'[4]B1-基础资料'!$A$108:$B$135,2,0)</f>
        <v>变动</v>
      </c>
      <c r="B29" s="675" t="s">
        <v>1738</v>
      </c>
      <c r="C29" s="675" t="str">
        <f>VLOOKUP(B29,'[4]B1-基础资料'!$A$108:$C$135,3,0)</f>
        <v>维修费</v>
      </c>
      <c r="D29" s="676"/>
      <c r="E29" s="677"/>
      <c r="F29" s="676"/>
      <c r="G29" s="677"/>
      <c r="H29" s="686"/>
      <c r="I29" s="686"/>
      <c r="J29" s="686"/>
      <c r="K29" s="686"/>
      <c r="L29" s="686"/>
      <c r="M29" s="686"/>
      <c r="N29" s="686"/>
      <c r="O29" s="686"/>
      <c r="P29" s="686"/>
      <c r="Q29" s="686"/>
      <c r="R29" s="686"/>
      <c r="S29" s="686"/>
      <c r="T29" s="678"/>
      <c r="U29" s="678"/>
      <c r="V29" s="678"/>
      <c r="W29" s="678"/>
      <c r="X29" s="678"/>
      <c r="Y29" s="678"/>
      <c r="Z29" s="678"/>
      <c r="AA29" s="678"/>
      <c r="AB29" s="678"/>
      <c r="AC29" s="678"/>
      <c r="AD29" s="678"/>
      <c r="AE29" s="678"/>
      <c r="AF29" s="678"/>
      <c r="AG29" s="678"/>
    </row>
    <row r="30" spans="1:33">
      <c r="A30" s="679" t="str">
        <f>VLOOKUP(B30,'[4]B1-基础资料'!$A$108:$B$135,2,0)</f>
        <v>变动</v>
      </c>
      <c r="B30" s="675" t="s">
        <v>1739</v>
      </c>
      <c r="C30" s="675" t="str">
        <f>VLOOKUP(B30,'[4]B1-基础资料'!$A$108:$C$135,3,0)</f>
        <v>经营物料</v>
      </c>
      <c r="D30" s="676"/>
      <c r="E30" s="677"/>
      <c r="F30" s="676"/>
      <c r="G30" s="677"/>
      <c r="H30" s="678"/>
      <c r="I30" s="678"/>
      <c r="J30" s="678"/>
      <c r="K30" s="678"/>
      <c r="L30" s="678"/>
      <c r="M30" s="678"/>
      <c r="N30" s="678"/>
      <c r="O30" s="678"/>
      <c r="P30" s="678"/>
      <c r="Q30" s="678"/>
      <c r="R30" s="678"/>
      <c r="S30" s="678"/>
      <c r="T30" s="678"/>
      <c r="U30" s="678"/>
      <c r="V30" s="678"/>
      <c r="W30" s="678"/>
      <c r="X30" s="678"/>
      <c r="Y30" s="678"/>
      <c r="Z30" s="678"/>
      <c r="AA30" s="678"/>
      <c r="AB30" s="678"/>
      <c r="AC30" s="678"/>
      <c r="AD30" s="678"/>
      <c r="AE30" s="678"/>
      <c r="AF30" s="678"/>
      <c r="AG30" s="678"/>
    </row>
    <row r="31" spans="1:33">
      <c r="A31" s="679" t="str">
        <f>VLOOKUP(B31,'[4]B1-基础资料'!$A$108:$B$135,2,0)</f>
        <v>变动</v>
      </c>
      <c r="B31" s="675" t="s">
        <v>1740</v>
      </c>
      <c r="C31" s="675" t="str">
        <f>VLOOKUP(B31,'[4]B1-基础资料'!$A$108:$C$135,3,0)</f>
        <v>能耗—汽耗</v>
      </c>
      <c r="D31" s="676"/>
      <c r="E31" s="677"/>
      <c r="F31" s="676"/>
      <c r="G31" s="677"/>
      <c r="H31" s="678"/>
      <c r="I31" s="678"/>
      <c r="J31" s="678"/>
      <c r="K31" s="678"/>
      <c r="L31" s="678"/>
      <c r="M31" s="678"/>
      <c r="N31" s="678"/>
      <c r="O31" s="678"/>
      <c r="P31" s="678"/>
      <c r="Q31" s="678"/>
      <c r="R31" s="678"/>
      <c r="S31" s="678"/>
      <c r="T31" s="678"/>
      <c r="U31" s="678"/>
      <c r="V31" s="678"/>
      <c r="W31" s="678"/>
      <c r="X31" s="678"/>
      <c r="Y31" s="678"/>
      <c r="Z31" s="678"/>
      <c r="AA31" s="678"/>
      <c r="AB31" s="678"/>
      <c r="AC31" s="678"/>
      <c r="AD31" s="678"/>
      <c r="AE31" s="678"/>
      <c r="AF31" s="678"/>
      <c r="AG31" s="678"/>
    </row>
    <row r="32" spans="1:33">
      <c r="A32" s="679" t="str">
        <f>VLOOKUP(B32,'[4]B1-基础资料'!$A$108:$B$135,2,0)</f>
        <v>变动</v>
      </c>
      <c r="B32" s="675" t="s">
        <v>462</v>
      </c>
      <c r="C32" s="675" t="str">
        <f>VLOOKUP(B32,'[4]B1-基础资料'!$A$108:$C$135,3,0)</f>
        <v>经营物料</v>
      </c>
      <c r="D32" s="676"/>
      <c r="E32" s="677"/>
      <c r="F32" s="676"/>
      <c r="G32" s="677"/>
      <c r="H32" s="678"/>
      <c r="I32" s="678"/>
      <c r="J32" s="678"/>
      <c r="K32" s="678"/>
      <c r="L32" s="678"/>
      <c r="M32" s="678"/>
      <c r="N32" s="678"/>
      <c r="O32" s="678"/>
      <c r="P32" s="678"/>
      <c r="Q32" s="678"/>
      <c r="R32" s="678"/>
      <c r="S32" s="678"/>
      <c r="T32" s="678"/>
      <c r="U32" s="678"/>
      <c r="V32" s="678"/>
      <c r="W32" s="678"/>
      <c r="X32" s="678"/>
      <c r="Y32" s="678"/>
      <c r="Z32" s="678"/>
      <c r="AA32" s="678"/>
      <c r="AB32" s="678"/>
      <c r="AC32" s="678"/>
      <c r="AD32" s="678"/>
      <c r="AE32" s="678"/>
      <c r="AF32" s="678"/>
      <c r="AG32" s="678"/>
    </row>
    <row r="33" spans="1:33">
      <c r="A33" s="679" t="str">
        <f>VLOOKUP(B33,'[4]B1-基础资料'!$A$108:$B$135,2,0)</f>
        <v>变动</v>
      </c>
      <c r="B33" s="682" t="s">
        <v>410</v>
      </c>
      <c r="C33" s="675" t="str">
        <f>VLOOKUP(B33,'[4]B1-基础资料'!$A$108:$C$135,3,0)</f>
        <v>车间人工提成奖金、绩效</v>
      </c>
      <c r="D33" s="676"/>
      <c r="E33" s="677"/>
      <c r="F33" s="676"/>
      <c r="G33" s="677"/>
      <c r="H33" s="678"/>
      <c r="I33" s="678"/>
      <c r="J33" s="678"/>
      <c r="K33" s="678"/>
      <c r="L33" s="678"/>
      <c r="M33" s="678"/>
      <c r="N33" s="678"/>
      <c r="O33" s="678"/>
      <c r="P33" s="678"/>
      <c r="Q33" s="678"/>
      <c r="R33" s="678"/>
      <c r="S33" s="678"/>
      <c r="T33" s="678"/>
      <c r="U33" s="678"/>
      <c r="V33" s="678"/>
      <c r="W33" s="678"/>
      <c r="X33" s="678"/>
      <c r="Y33" s="678"/>
      <c r="Z33" s="678"/>
      <c r="AA33" s="678"/>
      <c r="AB33" s="678"/>
      <c r="AC33" s="678"/>
      <c r="AD33" s="678"/>
      <c r="AE33" s="678"/>
      <c r="AF33" s="678"/>
      <c r="AG33" s="678"/>
    </row>
    <row r="34" spans="1:33">
      <c r="A34" s="679" t="str">
        <f>VLOOKUP(B34,'[4]B1-基础资料'!$A$108:$B$135,2,0)</f>
        <v>变动</v>
      </c>
      <c r="B34" s="687" t="s">
        <v>1741</v>
      </c>
      <c r="C34" s="675" t="str">
        <f>VLOOKUP(B34,'[4]B1-基础资料'!$A$108:$C$135,3,0)</f>
        <v>其他</v>
      </c>
      <c r="D34" s="676"/>
      <c r="E34" s="677"/>
      <c r="F34" s="676"/>
      <c r="G34" s="677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678"/>
      <c r="AB34" s="678"/>
      <c r="AC34" s="678"/>
      <c r="AD34" s="678"/>
      <c r="AE34" s="678"/>
      <c r="AF34" s="678"/>
      <c r="AG34" s="678"/>
    </row>
    <row r="35" ht="28.5" spans="1:33">
      <c r="A35" s="679" t="str">
        <f>VLOOKUP(B35,'[4]B1-基础资料'!$A$108:$B$135,2,0)</f>
        <v>固定</v>
      </c>
      <c r="B35" s="675" t="s">
        <v>417</v>
      </c>
      <c r="C35" s="675" t="str">
        <f>VLOOKUP(B35,'[4]B1-基础资料'!$A$108:$C$135,3,0)</f>
        <v>车间人工薪酬（工资、五险一金）</v>
      </c>
      <c r="D35" s="676"/>
      <c r="E35" s="677"/>
      <c r="F35" s="676"/>
      <c r="G35" s="677"/>
      <c r="H35" s="685"/>
      <c r="I35" s="685"/>
      <c r="J35" s="685"/>
      <c r="K35" s="685"/>
      <c r="L35" s="685"/>
      <c r="M35" s="685"/>
      <c r="N35" s="685"/>
      <c r="O35" s="685"/>
      <c r="P35" s="685"/>
      <c r="Q35" s="685"/>
      <c r="R35" s="685"/>
      <c r="S35" s="685"/>
      <c r="T35" s="678"/>
      <c r="U35" s="685"/>
      <c r="V35" s="685"/>
      <c r="W35" s="685"/>
      <c r="X35" s="685"/>
      <c r="Y35" s="685"/>
      <c r="Z35" s="685"/>
      <c r="AA35" s="685"/>
      <c r="AB35" s="685"/>
      <c r="AC35" s="685"/>
      <c r="AD35" s="685"/>
      <c r="AE35" s="685"/>
      <c r="AF35" s="678"/>
      <c r="AG35" s="678"/>
    </row>
    <row r="36" spans="1:33">
      <c r="A36" s="679" t="str">
        <f>VLOOKUP(B36,'[4]B1-基础资料'!$A$108:$B$135,2,0)</f>
        <v>变动</v>
      </c>
      <c r="B36" s="675" t="s">
        <v>469</v>
      </c>
      <c r="C36" s="675" t="str">
        <f>VLOOKUP(B36,'[4]B1-基础资料'!$A$108:$C$135,3,0)</f>
        <v>经营物料</v>
      </c>
      <c r="D36" s="676"/>
      <c r="E36" s="677"/>
      <c r="F36" s="676"/>
      <c r="G36" s="677"/>
      <c r="H36" s="685"/>
      <c r="I36" s="685"/>
      <c r="J36" s="685"/>
      <c r="K36" s="685"/>
      <c r="L36" s="685"/>
      <c r="M36" s="685"/>
      <c r="N36" s="685"/>
      <c r="O36" s="685"/>
      <c r="P36" s="685"/>
      <c r="Q36" s="685"/>
      <c r="R36" s="685"/>
      <c r="S36" s="685"/>
      <c r="T36" s="678"/>
      <c r="U36" s="685"/>
      <c r="V36" s="685"/>
      <c r="W36" s="685"/>
      <c r="X36" s="685"/>
      <c r="Y36" s="685"/>
      <c r="Z36" s="685"/>
      <c r="AA36" s="685"/>
      <c r="AB36" s="685"/>
      <c r="AC36" s="685"/>
      <c r="AD36" s="685"/>
      <c r="AE36" s="685"/>
      <c r="AF36" s="678"/>
      <c r="AG36" s="678"/>
    </row>
    <row r="37" spans="1:33">
      <c r="A37" s="679" t="str">
        <f>VLOOKUP(B37,'[4]B1-基础资料'!$A$108:$B$135,2,0)</f>
        <v>固定</v>
      </c>
      <c r="B37" s="675" t="s">
        <v>1742</v>
      </c>
      <c r="C37" s="675" t="str">
        <f>VLOOKUP(B37,'[4]B1-基础资料'!$A$108:$C$135,3,0)</f>
        <v>资产折旧摊销费</v>
      </c>
      <c r="D37" s="676"/>
      <c r="E37" s="677"/>
      <c r="F37" s="676"/>
      <c r="G37" s="677"/>
      <c r="H37" s="685"/>
      <c r="I37" s="685"/>
      <c r="J37" s="685"/>
      <c r="K37" s="685"/>
      <c r="L37" s="685"/>
      <c r="M37" s="685"/>
      <c r="N37" s="685"/>
      <c r="O37" s="685"/>
      <c r="P37" s="685"/>
      <c r="Q37" s="685"/>
      <c r="R37" s="685"/>
      <c r="S37" s="685"/>
      <c r="T37" s="678"/>
      <c r="U37" s="685"/>
      <c r="V37" s="685"/>
      <c r="W37" s="685"/>
      <c r="X37" s="685"/>
      <c r="Y37" s="685"/>
      <c r="Z37" s="685"/>
      <c r="AA37" s="685"/>
      <c r="AB37" s="685"/>
      <c r="AC37" s="685"/>
      <c r="AD37" s="685"/>
      <c r="AE37" s="685"/>
      <c r="AF37" s="681"/>
      <c r="AG37" s="678"/>
    </row>
    <row r="38" spans="1:33">
      <c r="A38" s="679" t="str">
        <f>VLOOKUP(B38,'[4]B1-基础资料'!$A$108:$B$135,2,0)</f>
        <v>固定</v>
      </c>
      <c r="B38" s="675" t="s">
        <v>1743</v>
      </c>
      <c r="C38" s="675" t="str">
        <f>VLOOKUP(B38,'[4]B1-基础资料'!$A$108:$C$135,3,0)</f>
        <v>资产折旧摊销费</v>
      </c>
      <c r="D38" s="676"/>
      <c r="E38" s="677"/>
      <c r="F38" s="676"/>
      <c r="G38" s="677"/>
      <c r="H38" s="685"/>
      <c r="I38" s="685"/>
      <c r="J38" s="685"/>
      <c r="K38" s="685"/>
      <c r="L38" s="685"/>
      <c r="M38" s="685"/>
      <c r="N38" s="685"/>
      <c r="O38" s="685"/>
      <c r="P38" s="685"/>
      <c r="Q38" s="685"/>
      <c r="R38" s="685"/>
      <c r="S38" s="685"/>
      <c r="T38" s="678"/>
      <c r="U38" s="685"/>
      <c r="V38" s="685"/>
      <c r="W38" s="685"/>
      <c r="X38" s="685"/>
      <c r="Y38" s="685"/>
      <c r="Z38" s="685"/>
      <c r="AA38" s="685"/>
      <c r="AB38" s="685"/>
      <c r="AC38" s="685"/>
      <c r="AD38" s="685"/>
      <c r="AE38" s="685"/>
      <c r="AF38" s="681"/>
      <c r="AG38" s="678"/>
    </row>
    <row r="39" spans="1:33">
      <c r="A39" s="679" t="str">
        <f>VLOOKUP(B39,'[4]B1-基础资料'!$A$108:$B$135,2,0)</f>
        <v>固定</v>
      </c>
      <c r="B39" s="675" t="s">
        <v>1744</v>
      </c>
      <c r="C39" s="675" t="str">
        <f>VLOOKUP(B39,'[4]B1-基础资料'!$A$108:$C$135,3,0)</f>
        <v>资产折旧摊销费</v>
      </c>
      <c r="D39" s="676"/>
      <c r="E39" s="677"/>
      <c r="F39" s="676"/>
      <c r="G39" s="677"/>
      <c r="H39" s="685"/>
      <c r="I39" s="685"/>
      <c r="J39" s="685"/>
      <c r="K39" s="685"/>
      <c r="L39" s="685"/>
      <c r="M39" s="685"/>
      <c r="N39" s="685"/>
      <c r="O39" s="685"/>
      <c r="P39" s="685"/>
      <c r="Q39" s="685"/>
      <c r="R39" s="685"/>
      <c r="S39" s="685"/>
      <c r="T39" s="678"/>
      <c r="U39" s="685"/>
      <c r="V39" s="685"/>
      <c r="W39" s="685"/>
      <c r="X39" s="685"/>
      <c r="Y39" s="685"/>
      <c r="Z39" s="685"/>
      <c r="AA39" s="685"/>
      <c r="AB39" s="685"/>
      <c r="AC39" s="685"/>
      <c r="AD39" s="685"/>
      <c r="AE39" s="685"/>
      <c r="AF39" s="681"/>
      <c r="AG39" s="678"/>
    </row>
    <row r="40" spans="1:33">
      <c r="A40" s="679" t="str">
        <f>VLOOKUP(B40,'[4]B1-基础资料'!$A$108:$B$135,2,0)</f>
        <v>固定</v>
      </c>
      <c r="B40" s="675" t="s">
        <v>475</v>
      </c>
      <c r="C40" s="675" t="str">
        <f>VLOOKUP(B40,'[4]B1-基础资料'!$A$108:$C$135,3,0)</f>
        <v>资产折旧摊销费</v>
      </c>
      <c r="D40" s="676"/>
      <c r="E40" s="677"/>
      <c r="F40" s="676"/>
      <c r="G40" s="677"/>
      <c r="H40" s="685"/>
      <c r="I40" s="685"/>
      <c r="J40" s="685"/>
      <c r="K40" s="685"/>
      <c r="L40" s="685"/>
      <c r="M40" s="685"/>
      <c r="N40" s="685"/>
      <c r="O40" s="685"/>
      <c r="P40" s="685"/>
      <c r="Q40" s="685"/>
      <c r="R40" s="685"/>
      <c r="S40" s="685"/>
      <c r="T40" s="678"/>
      <c r="U40" s="685"/>
      <c r="V40" s="685"/>
      <c r="W40" s="685"/>
      <c r="X40" s="685"/>
      <c r="Y40" s="685"/>
      <c r="Z40" s="685"/>
      <c r="AA40" s="685"/>
      <c r="AB40" s="685"/>
      <c r="AC40" s="685"/>
      <c r="AD40" s="685"/>
      <c r="AE40" s="685"/>
      <c r="AF40" s="681"/>
      <c r="AG40" s="678"/>
    </row>
    <row r="41" spans="1:33">
      <c r="A41" s="656"/>
      <c r="B41" s="682" t="s">
        <v>276</v>
      </c>
      <c r="C41" s="682"/>
      <c r="D41" s="676"/>
      <c r="E41" s="677"/>
      <c r="F41" s="676"/>
      <c r="G41" s="677"/>
      <c r="H41" s="685"/>
      <c r="I41" s="685"/>
      <c r="J41" s="685"/>
      <c r="K41" s="685"/>
      <c r="L41" s="685"/>
      <c r="M41" s="685"/>
      <c r="N41" s="685"/>
      <c r="O41" s="685"/>
      <c r="P41" s="685"/>
      <c r="Q41" s="685"/>
      <c r="R41" s="685"/>
      <c r="S41" s="685"/>
      <c r="T41" s="685"/>
      <c r="U41" s="685"/>
      <c r="V41" s="685"/>
      <c r="W41" s="685"/>
      <c r="X41" s="685"/>
      <c r="Y41" s="685"/>
      <c r="Z41" s="685"/>
      <c r="AA41" s="685"/>
      <c r="AB41" s="685"/>
      <c r="AC41" s="685"/>
      <c r="AD41" s="685"/>
      <c r="AE41" s="685"/>
      <c r="AF41" s="685"/>
      <c r="AG41" s="685"/>
    </row>
    <row r="42" spans="1:33">
      <c r="A42" s="656"/>
      <c r="B42" s="675" t="s">
        <v>1745</v>
      </c>
      <c r="C42" s="675"/>
      <c r="D42" s="676"/>
      <c r="E42" s="677"/>
      <c r="F42" s="676"/>
      <c r="G42" s="677"/>
      <c r="H42" s="678"/>
      <c r="I42" s="678"/>
      <c r="J42" s="678"/>
      <c r="K42" s="678"/>
      <c r="L42" s="678"/>
      <c r="M42" s="678"/>
      <c r="N42" s="678"/>
      <c r="O42" s="678"/>
      <c r="P42" s="678"/>
      <c r="Q42" s="678"/>
      <c r="R42" s="678"/>
      <c r="S42" s="678"/>
      <c r="T42" s="678"/>
      <c r="U42" s="678"/>
      <c r="V42" s="678"/>
      <c r="W42" s="678"/>
      <c r="X42" s="678"/>
      <c r="Y42" s="678"/>
      <c r="Z42" s="678"/>
      <c r="AA42" s="678"/>
      <c r="AB42" s="678"/>
      <c r="AC42" s="678"/>
      <c r="AD42" s="678"/>
      <c r="AE42" s="678"/>
      <c r="AF42" s="678"/>
      <c r="AG42" s="678"/>
    </row>
    <row r="43" spans="1:33">
      <c r="A43" s="656"/>
      <c r="B43" s="675" t="s">
        <v>1746</v>
      </c>
      <c r="C43" s="675"/>
      <c r="D43" s="676"/>
      <c r="E43" s="677"/>
      <c r="F43" s="676"/>
      <c r="G43" s="677"/>
      <c r="H43" s="678"/>
      <c r="I43" s="678"/>
      <c r="J43" s="678"/>
      <c r="K43" s="678"/>
      <c r="L43" s="678"/>
      <c r="M43" s="678"/>
      <c r="N43" s="678"/>
      <c r="O43" s="678"/>
      <c r="P43" s="678"/>
      <c r="Q43" s="678"/>
      <c r="R43" s="678"/>
      <c r="S43" s="678"/>
      <c r="T43" s="678"/>
      <c r="U43" s="678"/>
      <c r="V43" s="678"/>
      <c r="W43" s="678"/>
      <c r="X43" s="678"/>
      <c r="Y43" s="678"/>
      <c r="Z43" s="678"/>
      <c r="AA43" s="678"/>
      <c r="AB43" s="678"/>
      <c r="AC43" s="678"/>
      <c r="AD43" s="678"/>
      <c r="AE43" s="678"/>
      <c r="AF43" s="678"/>
      <c r="AG43" s="678"/>
    </row>
    <row r="44" spans="1:33">
      <c r="A44" s="656"/>
      <c r="B44" s="675" t="s">
        <v>1747</v>
      </c>
      <c r="C44" s="675"/>
      <c r="D44" s="676"/>
      <c r="E44" s="677"/>
      <c r="F44" s="676"/>
      <c r="G44" s="677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678"/>
      <c r="AB44" s="678"/>
      <c r="AC44" s="678"/>
      <c r="AD44" s="678"/>
      <c r="AE44" s="678"/>
      <c r="AF44" s="678"/>
      <c r="AG44" s="678"/>
    </row>
    <row r="45" spans="1:33">
      <c r="A45" s="656"/>
      <c r="B45" s="675" t="s">
        <v>1748</v>
      </c>
      <c r="C45" s="675"/>
      <c r="D45" s="676"/>
      <c r="E45" s="676"/>
      <c r="F45" s="676"/>
      <c r="G45" s="676"/>
      <c r="H45" s="688">
        <f t="shared" ref="H45:AG45" si="0">IFERROR(SUM(H13:H23,H33)/H11,0)</f>
        <v>0</v>
      </c>
      <c r="I45" s="688">
        <f t="shared" si="0"/>
        <v>0</v>
      </c>
      <c r="J45" s="688">
        <f t="shared" si="0"/>
        <v>0</v>
      </c>
      <c r="K45" s="688">
        <f t="shared" si="0"/>
        <v>0</v>
      </c>
      <c r="L45" s="688">
        <f t="shared" si="0"/>
        <v>0</v>
      </c>
      <c r="M45" s="688">
        <f t="shared" si="0"/>
        <v>0</v>
      </c>
      <c r="N45" s="688">
        <f t="shared" si="0"/>
        <v>0</v>
      </c>
      <c r="O45" s="688">
        <f t="shared" si="0"/>
        <v>0</v>
      </c>
      <c r="P45" s="688">
        <f t="shared" si="0"/>
        <v>0</v>
      </c>
      <c r="Q45" s="688">
        <f t="shared" si="0"/>
        <v>0</v>
      </c>
      <c r="R45" s="688">
        <f t="shared" si="0"/>
        <v>0</v>
      </c>
      <c r="S45" s="688">
        <f t="shared" si="0"/>
        <v>0</v>
      </c>
      <c r="T45" s="688">
        <f t="shared" si="0"/>
        <v>0</v>
      </c>
      <c r="U45" s="688">
        <f t="shared" si="0"/>
        <v>0</v>
      </c>
      <c r="V45" s="688">
        <f t="shared" si="0"/>
        <v>0</v>
      </c>
      <c r="W45" s="688">
        <f t="shared" si="0"/>
        <v>0</v>
      </c>
      <c r="X45" s="688">
        <f t="shared" si="0"/>
        <v>0</v>
      </c>
      <c r="Y45" s="688">
        <f t="shared" si="0"/>
        <v>0</v>
      </c>
      <c r="Z45" s="688">
        <f t="shared" si="0"/>
        <v>0</v>
      </c>
      <c r="AA45" s="688">
        <f t="shared" si="0"/>
        <v>0</v>
      </c>
      <c r="AB45" s="688">
        <f t="shared" si="0"/>
        <v>0</v>
      </c>
      <c r="AC45" s="688">
        <f t="shared" si="0"/>
        <v>0</v>
      </c>
      <c r="AD45" s="688">
        <f t="shared" si="0"/>
        <v>0</v>
      </c>
      <c r="AE45" s="688">
        <f t="shared" si="0"/>
        <v>0</v>
      </c>
      <c r="AF45" s="688">
        <f t="shared" si="0"/>
        <v>0</v>
      </c>
      <c r="AG45" s="688">
        <f t="shared" si="0"/>
        <v>0</v>
      </c>
    </row>
    <row r="46" spans="1:33">
      <c r="A46" s="689"/>
      <c r="B46" s="675"/>
      <c r="C46" s="675"/>
      <c r="D46" s="690"/>
      <c r="E46" s="690"/>
      <c r="F46" s="690"/>
      <c r="G46" s="690"/>
      <c r="H46" s="691"/>
      <c r="I46" s="691"/>
      <c r="J46" s="691"/>
      <c r="K46" s="691"/>
      <c r="L46" s="691"/>
      <c r="M46" s="691"/>
      <c r="N46" s="691"/>
      <c r="O46" s="691"/>
      <c r="P46" s="691"/>
      <c r="Q46" s="691"/>
      <c r="R46" s="691"/>
      <c r="S46" s="691"/>
      <c r="T46" s="691"/>
      <c r="U46" s="691"/>
      <c r="V46" s="691"/>
      <c r="W46" s="691"/>
      <c r="X46" s="691"/>
      <c r="Y46" s="691"/>
      <c r="Z46" s="691"/>
      <c r="AA46" s="691"/>
      <c r="AB46" s="691"/>
      <c r="AC46" s="691"/>
      <c r="AD46" s="691"/>
      <c r="AE46" s="691"/>
      <c r="AF46" s="691"/>
      <c r="AG46" s="691"/>
    </row>
    <row r="47" spans="1:33">
      <c r="B47" s="656" t="s">
        <v>1716</v>
      </c>
      <c r="C47" s="656" t="s">
        <v>1749</v>
      </c>
      <c r="H47" s="324"/>
      <c r="I47" s="324"/>
    </row>
    <row r="48" spans="1:33">
      <c r="B48" s="649" t="s">
        <v>230</v>
      </c>
      <c r="C48" s="692">
        <v>0.97548262816261</v>
      </c>
      <c r="H48" s="324"/>
      <c r="I48" s="324"/>
    </row>
    <row r="49" spans="2:9">
      <c r="B49" s="649" t="s">
        <v>1717</v>
      </c>
      <c r="C49" s="692">
        <v>2.65663354052796</v>
      </c>
      <c r="H49" s="324"/>
      <c r="I49" s="324"/>
    </row>
    <row r="50" spans="2:9">
      <c r="B50" s="649" t="s">
        <v>231</v>
      </c>
      <c r="C50" s="692">
        <v>1.82643555911297</v>
      </c>
      <c r="H50" s="324"/>
      <c r="I50" s="324"/>
    </row>
    <row r="51" spans="2:9">
      <c r="B51" s="649" t="s">
        <v>1718</v>
      </c>
      <c r="C51" s="692">
        <v>3.35538350821891</v>
      </c>
      <c r="H51" s="324"/>
      <c r="I51" s="324"/>
    </row>
    <row r="52" spans="2:9">
      <c r="B52" s="138"/>
      <c r="C52" s="138"/>
      <c r="H52" s="324"/>
      <c r="I52" s="324"/>
    </row>
    <row r="53" spans="2:9">
      <c r="B53" s="138"/>
      <c r="C53" s="138"/>
    </row>
  </sheetData>
  <mergeCells count="12">
    <mergeCell ref="A5:F5"/>
    <mergeCell ref="A8:B8"/>
    <mergeCell ref="H9:T9"/>
    <mergeCell ref="U9:AG9"/>
    <mergeCell ref="A9:A10"/>
    <mergeCell ref="B9:B10"/>
    <mergeCell ref="C9:C10"/>
    <mergeCell ref="D9:D10"/>
    <mergeCell ref="E9:E10"/>
    <mergeCell ref="F9:F10"/>
    <mergeCell ref="G9:G10"/>
    <mergeCell ref="A1:F4"/>
  </mergeCells>
  <conditionalFormatting sqref="A8:IV8 A9:C10 H9:IV10 A11:IV46 A47:C47 G47:IV47 B48:C51 E48:IV51 A52:A53 D52:IV53 A54:IV65536">
    <cfRule type="cellIs" dxfId="1" priority="1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8">
    <tabColor theme="6" tint="0.399975585192419"/>
  </sheetPr>
  <dimension ref="A1:T45"/>
  <sheetViews>
    <sheetView showGridLines="0" zoomScale="90" zoomScaleNormal="90" topLeftCell="A3" workbookViewId="0">
      <selection activeCell="A1" sqref="A1:F4"/>
    </sheetView>
  </sheetViews>
  <sheetFormatPr defaultColWidth="9" defaultRowHeight="16.5"/>
  <cols>
    <col min="1" max="1" width="6.54166666666667" style="324" customWidth="1" outlineLevel="1"/>
    <col min="2" max="2" width="19" style="324" customWidth="1" outlineLevel="1"/>
    <col min="3" max="3" width="20.9083333333333" style="324" customWidth="1"/>
    <col min="4" max="4" width="9.63333333333333" style="324" customWidth="1"/>
    <col min="5" max="5" width="8.36666666666667" style="324" customWidth="1"/>
    <col min="6" max="6" width="8.26666666666667" style="324" customWidth="1"/>
    <col min="7" max="7" width="9.81666666666667" style="324" customWidth="1"/>
    <col min="8" max="8" width="8.18333333333333" style="324" customWidth="1"/>
    <col min="9" max="9" width="4.36666666666667" style="324" customWidth="1"/>
    <col min="10" max="11" width="4.36666666666667" style="638" customWidth="1"/>
    <col min="12" max="13" width="4.36666666666667" style="324" customWidth="1"/>
    <col min="14" max="16" width="5.36666666666667" style="324" customWidth="1"/>
    <col min="17" max="17" width="8.36666666666667" style="324" customWidth="1"/>
    <col min="18" max="21" width="11" style="324" customWidth="1"/>
    <col min="22" max="22" width="12.0916666666667" style="324" customWidth="1"/>
    <col min="23" max="23" width="11" style="324" customWidth="1"/>
    <col min="24" max="24" width="12.0916666666667" style="324" customWidth="1"/>
    <col min="25" max="25" width="15.45" style="324" customWidth="1"/>
    <col min="26" max="26" width="15.6333333333333" style="324"/>
    <col min="27" max="16384" width="9" style="324"/>
  </cols>
  <sheetData>
    <row r="1" s="157" customFormat="1" ht="19" customHeight="1" spans="1:20">
      <c r="A1" s="162" t="s">
        <v>185</v>
      </c>
      <c r="B1" s="163"/>
      <c r="C1" s="163"/>
      <c r="D1" s="163"/>
      <c r="E1" s="163"/>
      <c r="F1" s="163"/>
      <c r="G1" s="164" t="s">
        <v>1404</v>
      </c>
      <c r="H1" s="165" t="s">
        <v>1405</v>
      </c>
      <c r="I1" s="165"/>
      <c r="J1" s="165"/>
    </row>
    <row r="2" s="157" customFormat="1" ht="19" customHeight="1" spans="1:20">
      <c r="A2" s="163"/>
      <c r="B2" s="163"/>
      <c r="C2" s="163"/>
      <c r="D2" s="163"/>
      <c r="E2" s="163"/>
      <c r="F2" s="163"/>
      <c r="G2" s="166"/>
      <c r="H2" s="167" t="s">
        <v>1700</v>
      </c>
      <c r="I2" s="167"/>
      <c r="J2" s="167"/>
    </row>
    <row r="3" s="157" customFormat="1" ht="19" customHeight="1" spans="1:20">
      <c r="A3" s="163"/>
      <c r="B3" s="163"/>
      <c r="C3" s="163"/>
      <c r="D3" s="163"/>
      <c r="E3" s="163"/>
      <c r="F3" s="163"/>
      <c r="G3" s="166"/>
      <c r="H3" s="167" t="s">
        <v>1660</v>
      </c>
      <c r="I3" s="167"/>
      <c r="J3" s="167"/>
    </row>
    <row r="4" s="157" customFormat="1" ht="19" customHeight="1" spans="1:20">
      <c r="A4" s="163"/>
      <c r="B4" s="163"/>
      <c r="C4" s="163"/>
      <c r="D4" s="163"/>
      <c r="E4" s="163"/>
      <c r="F4" s="163"/>
      <c r="G4" s="166"/>
      <c r="H4" s="167"/>
      <c r="I4" s="167"/>
      <c r="J4" s="167"/>
    </row>
    <row r="5" s="157" customFormat="1" ht="19" customHeight="1" spans="1:20">
      <c r="A5" s="168" t="s">
        <v>1701</v>
      </c>
      <c r="B5" s="168"/>
      <c r="C5" s="168"/>
      <c r="D5" s="168"/>
      <c r="E5" s="168"/>
      <c r="F5" s="168"/>
      <c r="G5" s="169" t="s">
        <v>1567</v>
      </c>
      <c r="H5" s="170"/>
      <c r="I5" s="170"/>
      <c r="J5" s="171"/>
    </row>
    <row r="6" s="157" customFormat="1" ht="5" customHeight="1" spans="1:20">
      <c r="A6" s="220"/>
      <c r="B6" s="220"/>
      <c r="C6" s="167"/>
      <c r="D6" s="167"/>
      <c r="E6" s="167"/>
      <c r="F6" s="167"/>
      <c r="G6" s="221"/>
      <c r="H6" s="221"/>
      <c r="I6" s="222"/>
      <c r="J6" s="167"/>
    </row>
    <row r="7" s="159" customFormat="1" ht="14" customHeight="1" spans="1:20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8" ht="22.75" customHeight="1" spans="1:20">
      <c r="F8" s="639" t="s">
        <v>1750</v>
      </c>
      <c r="G8" s="639"/>
      <c r="H8" s="639"/>
      <c r="I8" s="640"/>
      <c r="J8" s="640"/>
      <c r="K8" s="640"/>
      <c r="L8" s="640"/>
      <c r="M8" s="640"/>
      <c r="N8" s="640"/>
      <c r="O8" s="640"/>
      <c r="P8" s="640"/>
      <c r="Q8" s="640"/>
    </row>
    <row r="9" ht="22.75" customHeight="1" spans="1:20">
      <c r="B9" s="641" t="s">
        <v>1751</v>
      </c>
      <c r="C9" s="641" t="s">
        <v>189</v>
      </c>
      <c r="D9" s="642" t="s">
        <v>1752</v>
      </c>
      <c r="E9" s="643" t="s">
        <v>190</v>
      </c>
      <c r="F9" s="644"/>
      <c r="G9" s="644"/>
      <c r="H9" s="644"/>
      <c r="I9" s="644"/>
      <c r="J9" s="644"/>
      <c r="K9" s="644"/>
      <c r="L9" s="644"/>
      <c r="M9" s="644"/>
      <c r="N9" s="644"/>
      <c r="O9" s="644"/>
      <c r="P9" s="644"/>
      <c r="Q9" s="644"/>
      <c r="R9" s="641" t="s">
        <v>1721</v>
      </c>
      <c r="S9" s="641" t="s">
        <v>222</v>
      </c>
      <c r="T9" s="641" t="s">
        <v>223</v>
      </c>
    </row>
    <row r="10" spans="1:20">
      <c r="B10" s="641"/>
      <c r="C10" s="641"/>
      <c r="D10" s="642"/>
      <c r="E10" s="645" t="s">
        <v>304</v>
      </c>
      <c r="F10" s="646" t="s">
        <v>305</v>
      </c>
      <c r="G10" s="646" t="s">
        <v>306</v>
      </c>
      <c r="H10" s="646" t="s">
        <v>307</v>
      </c>
      <c r="I10" s="646" t="s">
        <v>308</v>
      </c>
      <c r="J10" s="646" t="s">
        <v>309</v>
      </c>
      <c r="K10" s="646" t="s">
        <v>310</v>
      </c>
      <c r="L10" s="646" t="s">
        <v>311</v>
      </c>
      <c r="M10" s="646" t="s">
        <v>312</v>
      </c>
      <c r="N10" s="646" t="s">
        <v>313</v>
      </c>
      <c r="O10" s="646" t="s">
        <v>314</v>
      </c>
      <c r="P10" s="646" t="s">
        <v>315</v>
      </c>
      <c r="Q10" s="647" t="s">
        <v>281</v>
      </c>
      <c r="R10" s="641" t="s">
        <v>281</v>
      </c>
      <c r="S10" s="641" t="s">
        <v>281</v>
      </c>
      <c r="T10" s="641" t="s">
        <v>281</v>
      </c>
    </row>
    <row r="11" spans="1:20">
      <c r="B11" s="648" t="s">
        <v>392</v>
      </c>
      <c r="C11" s="490" t="s">
        <v>1753</v>
      </c>
      <c r="D11" s="649" t="s">
        <v>1466</v>
      </c>
      <c r="E11" s="650"/>
      <c r="F11" s="650"/>
      <c r="G11" s="650"/>
      <c r="H11" s="650"/>
      <c r="I11" s="650"/>
      <c r="J11" s="650"/>
      <c r="K11" s="650"/>
      <c r="L11" s="650"/>
      <c r="M11" s="650"/>
      <c r="N11" s="650"/>
      <c r="O11" s="650"/>
      <c r="P11" s="650"/>
      <c r="Q11" s="55"/>
      <c r="R11" s="648"/>
      <c r="S11" s="648"/>
      <c r="T11" s="648"/>
    </row>
    <row r="12" spans="1:20">
      <c r="B12" s="648" t="s">
        <v>392</v>
      </c>
      <c r="C12" s="490" t="s">
        <v>1754</v>
      </c>
      <c r="D12" s="649" t="s">
        <v>1466</v>
      </c>
      <c r="E12" s="650"/>
      <c r="F12" s="650"/>
      <c r="G12" s="650"/>
      <c r="H12" s="650"/>
      <c r="I12" s="650"/>
      <c r="J12" s="650"/>
      <c r="K12" s="650"/>
      <c r="L12" s="650"/>
      <c r="M12" s="650"/>
      <c r="N12" s="650"/>
      <c r="O12" s="650"/>
      <c r="P12" s="650"/>
      <c r="Q12" s="55"/>
      <c r="R12" s="648"/>
      <c r="S12" s="648"/>
      <c r="T12" s="648"/>
    </row>
    <row r="13" spans="1:20">
      <c r="B13" s="648" t="s">
        <v>392</v>
      </c>
      <c r="C13" s="490" t="s">
        <v>1755</v>
      </c>
      <c r="D13" s="649" t="s">
        <v>1466</v>
      </c>
      <c r="E13" s="650"/>
      <c r="F13" s="650"/>
      <c r="G13" s="650"/>
      <c r="H13" s="650"/>
      <c r="I13" s="650"/>
      <c r="J13" s="650"/>
      <c r="K13" s="650"/>
      <c r="L13" s="650"/>
      <c r="M13" s="650"/>
      <c r="N13" s="650"/>
      <c r="O13" s="650"/>
      <c r="P13" s="650"/>
      <c r="Q13" s="55"/>
      <c r="R13" s="648"/>
      <c r="S13" s="648"/>
      <c r="T13" s="648"/>
    </row>
    <row r="14" spans="1:20">
      <c r="B14" s="648" t="s">
        <v>392</v>
      </c>
      <c r="C14" s="490" t="s">
        <v>1756</v>
      </c>
      <c r="D14" s="649" t="s">
        <v>1466</v>
      </c>
      <c r="E14" s="650"/>
      <c r="F14" s="650"/>
      <c r="G14" s="650"/>
      <c r="H14" s="650"/>
      <c r="I14" s="650"/>
      <c r="J14" s="650"/>
      <c r="K14" s="650"/>
      <c r="L14" s="650"/>
      <c r="M14" s="650"/>
      <c r="N14" s="650"/>
      <c r="O14" s="650"/>
      <c r="P14" s="650"/>
      <c r="Q14" s="55"/>
      <c r="R14" s="648"/>
      <c r="S14" s="648"/>
      <c r="T14" s="648"/>
    </row>
    <row r="15" spans="1:20">
      <c r="B15" s="648" t="s">
        <v>392</v>
      </c>
      <c r="C15" s="490" t="s">
        <v>1757</v>
      </c>
      <c r="D15" s="649" t="s">
        <v>1466</v>
      </c>
      <c r="E15" s="650"/>
      <c r="F15" s="650"/>
      <c r="G15" s="650"/>
      <c r="H15" s="650"/>
      <c r="I15" s="650"/>
      <c r="J15" s="650"/>
      <c r="K15" s="650"/>
      <c r="L15" s="650"/>
      <c r="M15" s="650"/>
      <c r="N15" s="650"/>
      <c r="O15" s="650"/>
      <c r="P15" s="650"/>
      <c r="Q15" s="55"/>
      <c r="R15" s="648"/>
      <c r="S15" s="648"/>
      <c r="T15" s="648"/>
    </row>
    <row r="16" spans="1:20">
      <c r="B16" s="648" t="s">
        <v>384</v>
      </c>
      <c r="C16" s="648" t="s">
        <v>470</v>
      </c>
      <c r="D16" s="649" t="s">
        <v>1466</v>
      </c>
      <c r="E16" s="650"/>
      <c r="F16" s="650"/>
      <c r="G16" s="650"/>
      <c r="H16" s="650"/>
      <c r="I16" s="650"/>
      <c r="J16" s="650"/>
      <c r="K16" s="650"/>
      <c r="L16" s="650"/>
      <c r="M16" s="650"/>
      <c r="N16" s="650"/>
      <c r="O16" s="650"/>
      <c r="P16" s="650"/>
      <c r="Q16" s="55"/>
      <c r="R16" s="648"/>
      <c r="S16" s="648"/>
      <c r="T16" s="648"/>
    </row>
    <row r="17" spans="2:20">
      <c r="B17" s="651" t="s">
        <v>281</v>
      </c>
      <c r="C17" s="652"/>
      <c r="D17" s="653"/>
      <c r="E17" s="654"/>
      <c r="F17" s="654"/>
      <c r="G17" s="654"/>
      <c r="H17" s="654"/>
      <c r="I17" s="654"/>
      <c r="J17" s="654"/>
      <c r="K17" s="654"/>
      <c r="L17" s="654"/>
      <c r="M17" s="654"/>
      <c r="N17" s="654"/>
      <c r="O17" s="654"/>
      <c r="P17" s="654"/>
      <c r="Q17" s="655"/>
      <c r="R17" s="648"/>
      <c r="S17" s="648"/>
      <c r="T17" s="648"/>
    </row>
    <row r="18" spans="2:20">
      <c r="B18" s="648" t="s">
        <v>1758</v>
      </c>
      <c r="C18" s="490" t="s">
        <v>1759</v>
      </c>
      <c r="D18" s="656" t="s">
        <v>230</v>
      </c>
      <c r="E18" s="657"/>
      <c r="F18" s="657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648"/>
      <c r="S18" s="648"/>
      <c r="T18" s="648"/>
    </row>
    <row r="19" spans="2:20">
      <c r="B19" s="648"/>
      <c r="C19" s="490" t="s">
        <v>1760</v>
      </c>
      <c r="D19" s="656" t="s">
        <v>230</v>
      </c>
      <c r="E19" s="657"/>
      <c r="F19" s="657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648"/>
      <c r="S19" s="648"/>
      <c r="T19" s="648"/>
    </row>
    <row r="20" spans="2:20">
      <c r="B20" s="648"/>
      <c r="C20" s="490" t="s">
        <v>1761</v>
      </c>
      <c r="D20" s="656" t="s">
        <v>230</v>
      </c>
      <c r="E20" s="657"/>
      <c r="F20" s="657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648"/>
      <c r="S20" s="648"/>
      <c r="T20" s="648"/>
    </row>
    <row r="21" spans="2:20">
      <c r="B21" s="648"/>
      <c r="C21" s="490" t="s">
        <v>1762</v>
      </c>
      <c r="D21" s="656" t="s">
        <v>230</v>
      </c>
      <c r="E21" s="657"/>
      <c r="F21" s="657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648"/>
      <c r="S21" s="648"/>
      <c r="T21" s="648"/>
    </row>
    <row r="22" spans="2:20">
      <c r="B22" s="648"/>
      <c r="C22" s="490" t="s">
        <v>1763</v>
      </c>
      <c r="D22" s="656" t="s">
        <v>230</v>
      </c>
      <c r="E22" s="657"/>
      <c r="F22" s="657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648"/>
      <c r="S22" s="648"/>
      <c r="T22" s="648"/>
    </row>
    <row r="23" spans="2:20">
      <c r="B23" s="648" t="s">
        <v>1764</v>
      </c>
      <c r="C23" s="648" t="s">
        <v>1764</v>
      </c>
      <c r="D23" s="656" t="s">
        <v>230</v>
      </c>
      <c r="E23" s="657"/>
      <c r="F23" s="657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648"/>
      <c r="S23" s="648"/>
      <c r="T23" s="648"/>
    </row>
    <row r="24" spans="2:20">
      <c r="B24" s="658" t="s">
        <v>1765</v>
      </c>
      <c r="C24" s="659"/>
      <c r="D24" s="649" t="s">
        <v>230</v>
      </c>
      <c r="E24" s="660"/>
      <c r="F24" s="660"/>
      <c r="G24" s="661"/>
      <c r="H24" s="661"/>
      <c r="I24" s="661"/>
      <c r="J24" s="661"/>
      <c r="K24" s="661"/>
      <c r="L24" s="661"/>
      <c r="M24" s="661"/>
      <c r="N24" s="661"/>
      <c r="O24" s="661"/>
      <c r="P24" s="661"/>
      <c r="Q24" s="138"/>
      <c r="R24" s="648"/>
      <c r="S24" s="648"/>
      <c r="T24" s="648"/>
    </row>
    <row r="25" spans="2:20">
      <c r="B25" s="648" t="s">
        <v>1758</v>
      </c>
      <c r="C25" s="490" t="s">
        <v>1759</v>
      </c>
      <c r="D25" s="656" t="s">
        <v>1717</v>
      </c>
      <c r="E25" s="657"/>
      <c r="F25" s="657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648"/>
      <c r="S25" s="648"/>
      <c r="T25" s="648"/>
    </row>
    <row r="26" spans="2:20">
      <c r="B26" s="648"/>
      <c r="C26" s="490" t="s">
        <v>1760</v>
      </c>
      <c r="D26" s="656" t="s">
        <v>1717</v>
      </c>
      <c r="E26" s="657"/>
      <c r="F26" s="657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648"/>
      <c r="S26" s="648"/>
      <c r="T26" s="648"/>
    </row>
    <row r="27" spans="2:20">
      <c r="B27" s="648"/>
      <c r="C27" s="490" t="s">
        <v>1761</v>
      </c>
      <c r="D27" s="656" t="s">
        <v>1717</v>
      </c>
      <c r="E27" s="657"/>
      <c r="F27" s="657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648"/>
      <c r="S27" s="648"/>
      <c r="T27" s="648"/>
    </row>
    <row r="28" spans="2:20">
      <c r="B28" s="648"/>
      <c r="C28" s="490" t="s">
        <v>1762</v>
      </c>
      <c r="D28" s="656" t="s">
        <v>1717</v>
      </c>
      <c r="E28" s="657"/>
      <c r="F28" s="657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648"/>
      <c r="S28" s="648"/>
      <c r="T28" s="648"/>
    </row>
    <row r="29" spans="2:20">
      <c r="B29" s="648"/>
      <c r="C29" s="490" t="s">
        <v>1763</v>
      </c>
      <c r="D29" s="656" t="s">
        <v>1717</v>
      </c>
      <c r="E29" s="657"/>
      <c r="F29" s="657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648"/>
      <c r="S29" s="648"/>
      <c r="T29" s="648"/>
    </row>
    <row r="30" spans="2:20">
      <c r="B30" s="648" t="s">
        <v>1764</v>
      </c>
      <c r="C30" s="648" t="s">
        <v>1764</v>
      </c>
      <c r="D30" s="656" t="s">
        <v>1717</v>
      </c>
      <c r="E30" s="657"/>
      <c r="F30" s="657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648"/>
      <c r="S30" s="648"/>
      <c r="T30" s="648"/>
    </row>
    <row r="31" spans="2:20">
      <c r="B31" s="658" t="s">
        <v>1765</v>
      </c>
      <c r="C31" s="659"/>
      <c r="D31" s="662" t="s">
        <v>1717</v>
      </c>
      <c r="E31" s="660"/>
      <c r="F31" s="660"/>
      <c r="G31" s="661"/>
      <c r="H31" s="661"/>
      <c r="I31" s="661"/>
      <c r="J31" s="661"/>
      <c r="K31" s="661"/>
      <c r="L31" s="661"/>
      <c r="M31" s="661"/>
      <c r="N31" s="661"/>
      <c r="O31" s="661"/>
      <c r="P31" s="661"/>
      <c r="Q31" s="138"/>
      <c r="R31" s="648"/>
      <c r="S31" s="648"/>
      <c r="T31" s="648"/>
    </row>
    <row r="32" spans="2:20">
      <c r="B32" s="648" t="s">
        <v>1758</v>
      </c>
      <c r="C32" s="490" t="s">
        <v>1759</v>
      </c>
      <c r="D32" s="656" t="s">
        <v>231</v>
      </c>
      <c r="E32" s="657"/>
      <c r="F32" s="657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648"/>
      <c r="S32" s="648"/>
      <c r="T32" s="648"/>
    </row>
    <row r="33" spans="2:20">
      <c r="B33" s="648"/>
      <c r="C33" s="490" t="s">
        <v>1760</v>
      </c>
      <c r="D33" s="656" t="s">
        <v>231</v>
      </c>
      <c r="E33" s="657"/>
      <c r="F33" s="657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648"/>
      <c r="S33" s="648"/>
      <c r="T33" s="648"/>
    </row>
    <row r="34" spans="2:20">
      <c r="B34" s="648"/>
      <c r="C34" s="490" t="s">
        <v>1761</v>
      </c>
      <c r="D34" s="656" t="s">
        <v>231</v>
      </c>
      <c r="E34" s="657"/>
      <c r="F34" s="657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648"/>
      <c r="S34" s="648"/>
      <c r="T34" s="648"/>
    </row>
    <row r="35" spans="2:20">
      <c r="B35" s="648"/>
      <c r="C35" s="490" t="s">
        <v>1762</v>
      </c>
      <c r="D35" s="656" t="s">
        <v>231</v>
      </c>
      <c r="E35" s="657"/>
      <c r="F35" s="657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648"/>
      <c r="S35" s="648"/>
      <c r="T35" s="648"/>
    </row>
    <row r="36" spans="2:20">
      <c r="B36" s="648"/>
      <c r="C36" s="490" t="s">
        <v>1763</v>
      </c>
      <c r="D36" s="656" t="s">
        <v>231</v>
      </c>
      <c r="E36" s="657"/>
      <c r="F36" s="657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648"/>
      <c r="S36" s="648"/>
      <c r="T36" s="648"/>
    </row>
    <row r="37" spans="2:20">
      <c r="B37" s="648" t="s">
        <v>1764</v>
      </c>
      <c r="C37" s="648" t="s">
        <v>1764</v>
      </c>
      <c r="D37" s="656" t="s">
        <v>231</v>
      </c>
      <c r="E37" s="657"/>
      <c r="F37" s="657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648"/>
      <c r="S37" s="648"/>
      <c r="T37" s="648"/>
    </row>
    <row r="38" spans="2:20">
      <c r="B38" s="658" t="s">
        <v>1765</v>
      </c>
      <c r="C38" s="659"/>
      <c r="D38" s="662" t="s">
        <v>231</v>
      </c>
      <c r="E38" s="660"/>
      <c r="F38" s="660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138"/>
      <c r="R38" s="648"/>
      <c r="S38" s="648"/>
      <c r="T38" s="648"/>
    </row>
    <row r="39" spans="2:20">
      <c r="B39" s="648" t="s">
        <v>1758</v>
      </c>
      <c r="C39" s="490" t="s">
        <v>1759</v>
      </c>
      <c r="D39" s="656" t="s">
        <v>1718</v>
      </c>
      <c r="E39" s="657"/>
      <c r="F39" s="657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648"/>
      <c r="S39" s="648"/>
      <c r="T39" s="648"/>
    </row>
    <row r="40" spans="2:20">
      <c r="B40" s="648"/>
      <c r="C40" s="490" t="s">
        <v>1760</v>
      </c>
      <c r="D40" s="656" t="s">
        <v>1718</v>
      </c>
      <c r="E40" s="657"/>
      <c r="F40" s="657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648"/>
      <c r="S40" s="648"/>
      <c r="T40" s="648"/>
    </row>
    <row r="41" spans="2:20">
      <c r="B41" s="648"/>
      <c r="C41" s="490" t="s">
        <v>1761</v>
      </c>
      <c r="D41" s="656" t="s">
        <v>1718</v>
      </c>
      <c r="E41" s="657"/>
      <c r="F41" s="657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648"/>
      <c r="S41" s="648"/>
      <c r="T41" s="648"/>
    </row>
    <row r="42" spans="2:20">
      <c r="B42" s="648"/>
      <c r="C42" s="490" t="s">
        <v>1762</v>
      </c>
      <c r="D42" s="656" t="s">
        <v>1718</v>
      </c>
      <c r="E42" s="657"/>
      <c r="F42" s="657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648"/>
      <c r="S42" s="648"/>
      <c r="T42" s="648"/>
    </row>
    <row r="43" spans="2:20">
      <c r="B43" s="648"/>
      <c r="C43" s="490" t="s">
        <v>1763</v>
      </c>
      <c r="D43" s="656" t="s">
        <v>1718</v>
      </c>
      <c r="E43" s="657"/>
      <c r="F43" s="657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648"/>
      <c r="S43" s="648"/>
      <c r="T43" s="648"/>
    </row>
    <row r="44" spans="2:20">
      <c r="B44" s="648" t="s">
        <v>1764</v>
      </c>
      <c r="C44" s="648" t="s">
        <v>1764</v>
      </c>
      <c r="D44" s="656" t="s">
        <v>1718</v>
      </c>
      <c r="E44" s="657"/>
      <c r="F44" s="657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648"/>
      <c r="S44" s="648"/>
      <c r="T44" s="648"/>
    </row>
    <row r="45" spans="2:20">
      <c r="B45" s="658" t="s">
        <v>1765</v>
      </c>
      <c r="C45" s="659"/>
      <c r="D45" s="662" t="s">
        <v>1718</v>
      </c>
      <c r="E45" s="660"/>
      <c r="F45" s="660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138"/>
      <c r="R45" s="648"/>
      <c r="S45" s="648"/>
      <c r="T45" s="648"/>
    </row>
  </sheetData>
  <mergeCells count="16">
    <mergeCell ref="A5:F5"/>
    <mergeCell ref="F8:Q8"/>
    <mergeCell ref="E9:Q9"/>
    <mergeCell ref="B17:C17"/>
    <mergeCell ref="B24:C24"/>
    <mergeCell ref="B31:C31"/>
    <mergeCell ref="B38:C38"/>
    <mergeCell ref="B45:C45"/>
    <mergeCell ref="B9:B10"/>
    <mergeCell ref="B18:B22"/>
    <mergeCell ref="B25:B29"/>
    <mergeCell ref="B32:B36"/>
    <mergeCell ref="B39:B43"/>
    <mergeCell ref="C9:C10"/>
    <mergeCell ref="D9:D10"/>
    <mergeCell ref="A1:F4"/>
  </mergeCells>
  <conditionalFormatting sqref="A8:T8 A46:IV65536">
    <cfRule type="cellIs" dxfId="1" priority="1" operator="lessThan">
      <formula>0</formula>
    </cfRule>
  </conditionalFormatting>
  <conditionalFormatting sqref="W8:IV8 A9:Q9 V9:IV45 A10 E10:Q10 A11:Q16 A17:B17 D17:Q17 A18:Q45">
    <cfRule type="cellIs" dxfId="1" priority="3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7">
    <tabColor theme="8" tint="0.399975585192419"/>
  </sheetPr>
  <dimension ref="A1:V139"/>
  <sheetViews>
    <sheetView showGridLines="0" workbookViewId="0">
      <pane xSplit="3" ySplit="10" topLeftCell="D14" activePane="bottomRight" state="frozen"/>
      <selection/>
      <selection pane="topRight"/>
      <selection pane="bottomLeft"/>
      <selection pane="bottomRight" activeCell="A1" sqref="A1:D4"/>
    </sheetView>
  </sheetViews>
  <sheetFormatPr defaultColWidth="9" defaultRowHeight="14.25"/>
  <cols>
    <col min="1" max="1" width="8.36666666666667" style="620" customWidth="1"/>
    <col min="2" max="2" width="8.26666666666667" style="620" customWidth="1"/>
    <col min="3" max="3" width="14.6333333333333" style="620" customWidth="1"/>
    <col min="4" max="4" width="9" style="620" customWidth="1"/>
    <col min="5" max="5" width="13.5416666666667" style="620" customWidth="1"/>
    <col min="6" max="6" width="8.36666666666667" style="620" customWidth="1"/>
    <col min="7" max="7" width="6.54166666666667" style="621" customWidth="1"/>
    <col min="8" max="8" width="8.90833333333333" style="621" customWidth="1"/>
    <col min="9" max="17" width="4.26666666666667" style="621" customWidth="1"/>
    <col min="18" max="20" width="5.26666666666667" style="621" customWidth="1"/>
    <col min="21" max="21" width="4.90833333333333" style="621" customWidth="1"/>
    <col min="22" max="22" width="8.54166666666667" style="621" customWidth="1"/>
    <col min="23" max="16384" width="9" style="621"/>
  </cols>
  <sheetData>
    <row r="1" s="159" customFormat="1" ht="11.25" spans="1:22">
      <c r="A1" s="202" t="s">
        <v>185</v>
      </c>
      <c r="B1" s="291"/>
      <c r="C1" s="291"/>
      <c r="D1" s="291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="159" customFormat="1" ht="11.25" spans="1:22">
      <c r="A2" s="291"/>
      <c r="B2" s="291"/>
      <c r="C2" s="291"/>
      <c r="D2" s="291"/>
      <c r="E2" s="12"/>
      <c r="F2" s="13" t="s">
        <v>1659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="159" customFormat="1" ht="11.25" spans="1:22">
      <c r="A3" s="291"/>
      <c r="B3" s="291"/>
      <c r="C3" s="291"/>
      <c r="D3" s="291"/>
      <c r="E3" s="12"/>
      <c r="F3" s="13" t="s">
        <v>1660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s="159" customFormat="1" ht="11.25" spans="1:22">
      <c r="A4" s="291"/>
      <c r="B4" s="291"/>
      <c r="C4" s="291"/>
      <c r="D4" s="291"/>
      <c r="E4" s="12"/>
      <c r="F4" s="13"/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="159" customFormat="1" ht="11.25" spans="1:22">
      <c r="A5" s="292" t="s">
        <v>1766</v>
      </c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s="159" customFormat="1" ht="13.5" spans="1:22">
      <c r="A6" s="1"/>
      <c r="B6" s="1"/>
      <c r="C6" s="1"/>
      <c r="D6" s="1"/>
      <c r="E6"/>
      <c r="F6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s="159" customFormat="1" ht="13.5" spans="1:22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8" s="159" customFormat="1" ht="13.5" spans="1:22">
      <c r="A8" s="1"/>
      <c r="B8" s="1"/>
      <c r="C8" s="1"/>
      <c r="D8" s="1"/>
      <c r="E8"/>
      <c r="F8"/>
      <c r="G8" s="32"/>
      <c r="H8" s="1"/>
      <c r="I8" s="1"/>
      <c r="J8" s="1"/>
      <c r="K8" s="1"/>
      <c r="L8" s="1"/>
      <c r="M8" s="1"/>
      <c r="N8" s="1"/>
      <c r="O8" s="1"/>
      <c r="P8" s="1"/>
      <c r="Q8" s="1"/>
    </row>
    <row r="9" ht="13" customHeight="1" spans="1:22">
      <c r="A9" s="622" t="s">
        <v>187</v>
      </c>
      <c r="B9" s="623" t="s">
        <v>188</v>
      </c>
      <c r="C9" s="624" t="s">
        <v>1767</v>
      </c>
      <c r="D9" s="625" t="s">
        <v>1768</v>
      </c>
      <c r="E9" s="625" t="s">
        <v>1769</v>
      </c>
      <c r="F9" s="625" t="s">
        <v>1770</v>
      </c>
      <c r="G9" s="625" t="s">
        <v>1771</v>
      </c>
      <c r="H9" s="625" t="s">
        <v>1772</v>
      </c>
      <c r="I9" s="626" t="s">
        <v>190</v>
      </c>
      <c r="J9" s="626"/>
      <c r="K9" s="626"/>
      <c r="L9" s="626"/>
      <c r="M9" s="626"/>
      <c r="N9" s="626"/>
      <c r="O9" s="626"/>
      <c r="P9" s="626"/>
      <c r="Q9" s="626"/>
      <c r="R9" s="626"/>
      <c r="S9" s="626"/>
      <c r="T9" s="626"/>
      <c r="U9" s="626"/>
      <c r="V9" s="627" t="s">
        <v>1773</v>
      </c>
    </row>
    <row r="10" spans="1:22">
      <c r="A10" s="623"/>
      <c r="B10" s="623"/>
      <c r="C10" s="624"/>
      <c r="D10" s="628"/>
      <c r="E10" s="628"/>
      <c r="F10" s="628"/>
      <c r="G10" s="628"/>
      <c r="H10" s="628"/>
      <c r="I10" s="629">
        <v>1</v>
      </c>
      <c r="J10" s="629">
        <v>2</v>
      </c>
      <c r="K10" s="629">
        <v>3</v>
      </c>
      <c r="L10" s="629">
        <v>4</v>
      </c>
      <c r="M10" s="629">
        <v>5</v>
      </c>
      <c r="N10" s="629">
        <v>6</v>
      </c>
      <c r="O10" s="629">
        <v>7</v>
      </c>
      <c r="P10" s="629">
        <v>8</v>
      </c>
      <c r="Q10" s="629">
        <v>9</v>
      </c>
      <c r="R10" s="629">
        <v>10</v>
      </c>
      <c r="S10" s="629">
        <v>11</v>
      </c>
      <c r="T10" s="629">
        <v>12</v>
      </c>
      <c r="U10" s="630" t="s">
        <v>1774</v>
      </c>
      <c r="V10" s="631"/>
    </row>
    <row r="11" spans="1:22">
      <c r="A11" s="632" t="s">
        <v>196</v>
      </c>
      <c r="B11" s="632" t="s">
        <v>337</v>
      </c>
      <c r="C11" s="633" t="s">
        <v>1775</v>
      </c>
      <c r="D11" s="633"/>
      <c r="E11" s="633" t="s">
        <v>1776</v>
      </c>
      <c r="F11" s="633" t="s">
        <v>1421</v>
      </c>
      <c r="G11" s="634" t="s">
        <v>1777</v>
      </c>
      <c r="H11" s="634"/>
      <c r="I11" s="633">
        <v>0</v>
      </c>
      <c r="J11" s="633">
        <v>0</v>
      </c>
      <c r="K11" s="633">
        <v>0</v>
      </c>
      <c r="L11" s="633">
        <v>0</v>
      </c>
      <c r="M11" s="633">
        <v>0</v>
      </c>
      <c r="N11" s="633">
        <v>0</v>
      </c>
      <c r="O11" s="633">
        <v>0</v>
      </c>
      <c r="P11" s="633">
        <v>0</v>
      </c>
      <c r="Q11" s="633">
        <v>0</v>
      </c>
      <c r="R11" s="633">
        <v>0</v>
      </c>
      <c r="S11" s="633">
        <v>0</v>
      </c>
      <c r="T11" s="633">
        <v>0</v>
      </c>
      <c r="U11" s="635">
        <f t="shared" ref="U11:U74" si="0">AVERAGE(I11:T11)</f>
        <v>0</v>
      </c>
      <c r="V11" s="635">
        <v>0</v>
      </c>
    </row>
    <row r="12" spans="1:22">
      <c r="A12" s="632" t="s">
        <v>196</v>
      </c>
      <c r="B12" s="632" t="s">
        <v>337</v>
      </c>
      <c r="C12" s="633" t="s">
        <v>1775</v>
      </c>
      <c r="D12" s="633"/>
      <c r="E12" s="633" t="s">
        <v>1778</v>
      </c>
      <c r="F12" s="633"/>
      <c r="G12" s="634" t="s">
        <v>1779</v>
      </c>
      <c r="H12" s="634"/>
      <c r="I12" s="633">
        <v>1</v>
      </c>
      <c r="J12" s="633">
        <v>1</v>
      </c>
      <c r="K12" s="633">
        <v>1</v>
      </c>
      <c r="L12" s="633">
        <v>1</v>
      </c>
      <c r="M12" s="633">
        <v>1</v>
      </c>
      <c r="N12" s="633">
        <v>1</v>
      </c>
      <c r="O12" s="633">
        <v>1</v>
      </c>
      <c r="P12" s="633">
        <v>1</v>
      </c>
      <c r="Q12" s="633">
        <v>1</v>
      </c>
      <c r="R12" s="633">
        <v>1</v>
      </c>
      <c r="S12" s="633">
        <v>1</v>
      </c>
      <c r="T12" s="633">
        <v>1</v>
      </c>
      <c r="U12" s="635">
        <f t="shared" si="0"/>
        <v>1</v>
      </c>
      <c r="V12" s="635">
        <v>1</v>
      </c>
    </row>
    <row r="13" spans="1:22">
      <c r="A13" s="632" t="s">
        <v>196</v>
      </c>
      <c r="B13" s="632" t="s">
        <v>337</v>
      </c>
      <c r="C13" s="633" t="s">
        <v>1780</v>
      </c>
      <c r="D13" s="633"/>
      <c r="E13" s="633" t="s">
        <v>1781</v>
      </c>
      <c r="F13" s="633"/>
      <c r="G13" s="634" t="s">
        <v>1782</v>
      </c>
      <c r="H13" s="634"/>
      <c r="I13" s="633">
        <v>1</v>
      </c>
      <c r="J13" s="633">
        <v>1</v>
      </c>
      <c r="K13" s="633">
        <v>1</v>
      </c>
      <c r="L13" s="633">
        <v>1</v>
      </c>
      <c r="M13" s="633">
        <v>1</v>
      </c>
      <c r="N13" s="633">
        <v>1</v>
      </c>
      <c r="O13" s="633">
        <v>1</v>
      </c>
      <c r="P13" s="633">
        <v>1</v>
      </c>
      <c r="Q13" s="633">
        <v>1</v>
      </c>
      <c r="R13" s="633">
        <v>1</v>
      </c>
      <c r="S13" s="633">
        <v>1</v>
      </c>
      <c r="T13" s="633">
        <v>1</v>
      </c>
      <c r="U13" s="635">
        <f t="shared" si="0"/>
        <v>1</v>
      </c>
      <c r="V13" s="635">
        <v>1</v>
      </c>
    </row>
    <row r="14" spans="1:22">
      <c r="A14" s="632" t="s">
        <v>196</v>
      </c>
      <c r="B14" s="632" t="s">
        <v>337</v>
      </c>
      <c r="C14" s="633" t="s">
        <v>1780</v>
      </c>
      <c r="D14" s="633"/>
      <c r="E14" s="633" t="s">
        <v>1783</v>
      </c>
      <c r="F14" s="633"/>
      <c r="G14" s="634" t="s">
        <v>1784</v>
      </c>
      <c r="H14" s="634"/>
      <c r="I14" s="633">
        <v>1</v>
      </c>
      <c r="J14" s="633">
        <v>1</v>
      </c>
      <c r="K14" s="633">
        <v>1</v>
      </c>
      <c r="L14" s="633">
        <v>1</v>
      </c>
      <c r="M14" s="633">
        <v>1</v>
      </c>
      <c r="N14" s="633">
        <v>1</v>
      </c>
      <c r="O14" s="633">
        <v>1</v>
      </c>
      <c r="P14" s="633">
        <v>1</v>
      </c>
      <c r="Q14" s="633">
        <v>1</v>
      </c>
      <c r="R14" s="633">
        <v>1</v>
      </c>
      <c r="S14" s="633">
        <v>1</v>
      </c>
      <c r="T14" s="633">
        <v>1</v>
      </c>
      <c r="U14" s="635">
        <f t="shared" si="0"/>
        <v>1</v>
      </c>
      <c r="V14" s="635">
        <v>1</v>
      </c>
    </row>
    <row r="15" spans="1:22">
      <c r="A15" s="632" t="s">
        <v>196</v>
      </c>
      <c r="B15" s="632" t="s">
        <v>337</v>
      </c>
      <c r="C15" s="633" t="s">
        <v>1780</v>
      </c>
      <c r="D15" s="633"/>
      <c r="E15" s="633" t="s">
        <v>1785</v>
      </c>
      <c r="F15" s="633"/>
      <c r="G15" s="634" t="s">
        <v>1786</v>
      </c>
      <c r="H15" s="634"/>
      <c r="I15" s="633">
        <v>1</v>
      </c>
      <c r="J15" s="633">
        <v>1</v>
      </c>
      <c r="K15" s="633">
        <v>1</v>
      </c>
      <c r="L15" s="633">
        <v>1</v>
      </c>
      <c r="M15" s="633">
        <v>1</v>
      </c>
      <c r="N15" s="633">
        <v>1</v>
      </c>
      <c r="O15" s="633">
        <v>1</v>
      </c>
      <c r="P15" s="633">
        <v>1</v>
      </c>
      <c r="Q15" s="633">
        <v>1</v>
      </c>
      <c r="R15" s="633">
        <v>1</v>
      </c>
      <c r="S15" s="633">
        <v>1</v>
      </c>
      <c r="T15" s="633">
        <v>1</v>
      </c>
      <c r="U15" s="635">
        <f t="shared" si="0"/>
        <v>1</v>
      </c>
      <c r="V15" s="635">
        <v>1</v>
      </c>
    </row>
    <row r="16" spans="1:22">
      <c r="A16" s="632" t="s">
        <v>196</v>
      </c>
      <c r="B16" s="632" t="s">
        <v>337</v>
      </c>
      <c r="C16" s="633" t="s">
        <v>1780</v>
      </c>
      <c r="D16" s="633"/>
      <c r="E16" s="633" t="s">
        <v>1787</v>
      </c>
      <c r="F16" s="633"/>
      <c r="G16" s="634" t="s">
        <v>1788</v>
      </c>
      <c r="H16" s="634"/>
      <c r="I16" s="633">
        <v>1</v>
      </c>
      <c r="J16" s="633">
        <v>1</v>
      </c>
      <c r="K16" s="633">
        <v>1</v>
      </c>
      <c r="L16" s="633">
        <v>1</v>
      </c>
      <c r="M16" s="633">
        <v>1</v>
      </c>
      <c r="N16" s="633">
        <v>1</v>
      </c>
      <c r="O16" s="633">
        <v>1</v>
      </c>
      <c r="P16" s="633">
        <v>1</v>
      </c>
      <c r="Q16" s="633">
        <v>1</v>
      </c>
      <c r="R16" s="633">
        <v>1</v>
      </c>
      <c r="S16" s="633">
        <v>1</v>
      </c>
      <c r="T16" s="633">
        <v>1</v>
      </c>
      <c r="U16" s="635">
        <f t="shared" si="0"/>
        <v>1</v>
      </c>
      <c r="V16" s="635">
        <v>1</v>
      </c>
    </row>
    <row r="17" spans="1:22">
      <c r="A17" s="632" t="s">
        <v>196</v>
      </c>
      <c r="B17" s="632" t="s">
        <v>337</v>
      </c>
      <c r="C17" s="633" t="s">
        <v>1780</v>
      </c>
      <c r="D17" s="633"/>
      <c r="E17" s="633" t="s">
        <v>1789</v>
      </c>
      <c r="F17" s="633"/>
      <c r="G17" s="634" t="s">
        <v>1788</v>
      </c>
      <c r="H17" s="634"/>
      <c r="I17" s="633">
        <v>2</v>
      </c>
      <c r="J17" s="633">
        <v>2</v>
      </c>
      <c r="K17" s="633">
        <v>2</v>
      </c>
      <c r="L17" s="633">
        <v>2</v>
      </c>
      <c r="M17" s="633">
        <v>2</v>
      </c>
      <c r="N17" s="633">
        <v>2</v>
      </c>
      <c r="O17" s="633">
        <v>2</v>
      </c>
      <c r="P17" s="633">
        <v>2</v>
      </c>
      <c r="Q17" s="633">
        <v>2</v>
      </c>
      <c r="R17" s="633">
        <v>2</v>
      </c>
      <c r="S17" s="633">
        <v>2</v>
      </c>
      <c r="T17" s="633">
        <v>2</v>
      </c>
      <c r="U17" s="635">
        <f t="shared" si="0"/>
        <v>2</v>
      </c>
      <c r="V17" s="635">
        <v>2</v>
      </c>
    </row>
    <row r="18" spans="1:22">
      <c r="A18" s="632" t="s">
        <v>196</v>
      </c>
      <c r="B18" s="632" t="s">
        <v>337</v>
      </c>
      <c r="C18" s="633" t="s">
        <v>1790</v>
      </c>
      <c r="D18" s="633"/>
      <c r="E18" s="633" t="s">
        <v>1791</v>
      </c>
      <c r="F18" s="633"/>
      <c r="G18" s="634" t="s">
        <v>1782</v>
      </c>
      <c r="H18" s="634"/>
      <c r="I18" s="633">
        <v>1</v>
      </c>
      <c r="J18" s="633">
        <v>1</v>
      </c>
      <c r="K18" s="633">
        <v>1</v>
      </c>
      <c r="L18" s="633">
        <v>1</v>
      </c>
      <c r="M18" s="633">
        <v>1</v>
      </c>
      <c r="N18" s="633">
        <v>1</v>
      </c>
      <c r="O18" s="633">
        <v>1</v>
      </c>
      <c r="P18" s="633">
        <v>1</v>
      </c>
      <c r="Q18" s="633">
        <v>1</v>
      </c>
      <c r="R18" s="633">
        <v>1</v>
      </c>
      <c r="S18" s="633">
        <v>1</v>
      </c>
      <c r="T18" s="633">
        <v>1</v>
      </c>
      <c r="U18" s="635">
        <f t="shared" si="0"/>
        <v>1</v>
      </c>
      <c r="V18" s="635">
        <v>1</v>
      </c>
    </row>
    <row r="19" spans="1:22">
      <c r="A19" s="632" t="s">
        <v>196</v>
      </c>
      <c r="B19" s="632" t="s">
        <v>337</v>
      </c>
      <c r="C19" s="633" t="s">
        <v>1790</v>
      </c>
      <c r="D19" s="633"/>
      <c r="E19" s="633" t="s">
        <v>1792</v>
      </c>
      <c r="F19" s="633"/>
      <c r="G19" s="634" t="s">
        <v>1788</v>
      </c>
      <c r="H19" s="634"/>
      <c r="I19" s="633">
        <v>2</v>
      </c>
      <c r="J19" s="633">
        <v>2</v>
      </c>
      <c r="K19" s="633">
        <v>2</v>
      </c>
      <c r="L19" s="633">
        <v>2</v>
      </c>
      <c r="M19" s="633">
        <v>2</v>
      </c>
      <c r="N19" s="633">
        <v>2</v>
      </c>
      <c r="O19" s="633">
        <v>2</v>
      </c>
      <c r="P19" s="633">
        <v>2</v>
      </c>
      <c r="Q19" s="633">
        <v>2</v>
      </c>
      <c r="R19" s="633">
        <v>2</v>
      </c>
      <c r="S19" s="633">
        <v>2</v>
      </c>
      <c r="T19" s="633">
        <v>2</v>
      </c>
      <c r="U19" s="635">
        <f t="shared" si="0"/>
        <v>2</v>
      </c>
      <c r="V19" s="635">
        <v>2</v>
      </c>
    </row>
    <row r="20" spans="1:22">
      <c r="A20" s="632" t="s">
        <v>196</v>
      </c>
      <c r="B20" s="632" t="s">
        <v>337</v>
      </c>
      <c r="C20" s="633" t="s">
        <v>1793</v>
      </c>
      <c r="D20" s="633"/>
      <c r="E20" s="633" t="s">
        <v>1794</v>
      </c>
      <c r="F20" s="633"/>
      <c r="G20" s="634" t="s">
        <v>1795</v>
      </c>
      <c r="H20" s="634"/>
      <c r="I20" s="633">
        <v>1</v>
      </c>
      <c r="J20" s="633">
        <v>1</v>
      </c>
      <c r="K20" s="633">
        <v>1</v>
      </c>
      <c r="L20" s="633">
        <v>1</v>
      </c>
      <c r="M20" s="633">
        <v>1</v>
      </c>
      <c r="N20" s="633">
        <v>1</v>
      </c>
      <c r="O20" s="633">
        <v>1</v>
      </c>
      <c r="P20" s="633">
        <v>1</v>
      </c>
      <c r="Q20" s="633">
        <v>1</v>
      </c>
      <c r="R20" s="633">
        <v>1</v>
      </c>
      <c r="S20" s="633">
        <v>1</v>
      </c>
      <c r="T20" s="633">
        <v>1</v>
      </c>
      <c r="U20" s="635">
        <f t="shared" si="0"/>
        <v>1</v>
      </c>
      <c r="V20" s="635">
        <v>1</v>
      </c>
    </row>
    <row r="21" spans="1:22">
      <c r="A21" s="632" t="s">
        <v>196</v>
      </c>
      <c r="B21" s="632" t="s">
        <v>337</v>
      </c>
      <c r="C21" s="633" t="s">
        <v>1793</v>
      </c>
      <c r="D21" s="633"/>
      <c r="E21" s="633" t="s">
        <v>1796</v>
      </c>
      <c r="F21" s="633"/>
      <c r="G21" s="634" t="s">
        <v>1788</v>
      </c>
      <c r="H21" s="634"/>
      <c r="I21" s="633">
        <v>1</v>
      </c>
      <c r="J21" s="633">
        <v>1</v>
      </c>
      <c r="K21" s="633">
        <v>1</v>
      </c>
      <c r="L21" s="633">
        <v>1</v>
      </c>
      <c r="M21" s="633">
        <v>1</v>
      </c>
      <c r="N21" s="633">
        <v>1</v>
      </c>
      <c r="O21" s="633">
        <v>1</v>
      </c>
      <c r="P21" s="633">
        <v>1</v>
      </c>
      <c r="Q21" s="633">
        <v>1</v>
      </c>
      <c r="R21" s="633">
        <v>1</v>
      </c>
      <c r="S21" s="633">
        <v>1</v>
      </c>
      <c r="T21" s="633">
        <v>1</v>
      </c>
      <c r="U21" s="635">
        <f t="shared" si="0"/>
        <v>1</v>
      </c>
      <c r="V21" s="635">
        <v>1</v>
      </c>
    </row>
    <row r="22" spans="1:22">
      <c r="A22" s="632" t="s">
        <v>196</v>
      </c>
      <c r="B22" s="632" t="s">
        <v>337</v>
      </c>
      <c r="C22" s="633" t="s">
        <v>1793</v>
      </c>
      <c r="D22" s="633"/>
      <c r="E22" s="633" t="s">
        <v>1797</v>
      </c>
      <c r="F22" s="633"/>
      <c r="G22" s="634" t="s">
        <v>1786</v>
      </c>
      <c r="H22" s="634"/>
      <c r="I22" s="633">
        <v>2</v>
      </c>
      <c r="J22" s="633">
        <v>2</v>
      </c>
      <c r="K22" s="633">
        <v>2</v>
      </c>
      <c r="L22" s="633">
        <v>2</v>
      </c>
      <c r="M22" s="633">
        <v>2</v>
      </c>
      <c r="N22" s="633">
        <v>2</v>
      </c>
      <c r="O22" s="633">
        <v>2</v>
      </c>
      <c r="P22" s="633">
        <v>2</v>
      </c>
      <c r="Q22" s="633">
        <v>2</v>
      </c>
      <c r="R22" s="633">
        <v>2</v>
      </c>
      <c r="S22" s="633">
        <v>2</v>
      </c>
      <c r="T22" s="633">
        <v>2</v>
      </c>
      <c r="U22" s="635">
        <f t="shared" si="0"/>
        <v>2</v>
      </c>
      <c r="V22" s="635">
        <v>2</v>
      </c>
    </row>
    <row r="23" spans="1:22">
      <c r="A23" s="632" t="s">
        <v>196</v>
      </c>
      <c r="B23" s="632" t="s">
        <v>337</v>
      </c>
      <c r="C23" s="633" t="s">
        <v>1793</v>
      </c>
      <c r="D23" s="633"/>
      <c r="E23" s="633" t="s">
        <v>1798</v>
      </c>
      <c r="F23" s="633"/>
      <c r="G23" s="634" t="s">
        <v>1788</v>
      </c>
      <c r="H23" s="634"/>
      <c r="I23" s="633">
        <v>1</v>
      </c>
      <c r="J23" s="633">
        <v>1</v>
      </c>
      <c r="K23" s="633">
        <v>1</v>
      </c>
      <c r="L23" s="633">
        <v>1</v>
      </c>
      <c r="M23" s="633">
        <v>1</v>
      </c>
      <c r="N23" s="633">
        <v>1</v>
      </c>
      <c r="O23" s="633">
        <v>1</v>
      </c>
      <c r="P23" s="633">
        <v>1</v>
      </c>
      <c r="Q23" s="633">
        <v>1</v>
      </c>
      <c r="R23" s="633">
        <v>1</v>
      </c>
      <c r="S23" s="633">
        <v>1</v>
      </c>
      <c r="T23" s="633">
        <v>1</v>
      </c>
      <c r="U23" s="635">
        <f t="shared" si="0"/>
        <v>1</v>
      </c>
      <c r="V23" s="635">
        <v>1</v>
      </c>
    </row>
    <row r="24" spans="1:22">
      <c r="A24" s="632" t="s">
        <v>196</v>
      </c>
      <c r="B24" s="632" t="s">
        <v>337</v>
      </c>
      <c r="C24" s="633" t="s">
        <v>1793</v>
      </c>
      <c r="D24" s="633"/>
      <c r="E24" s="633" t="s">
        <v>1799</v>
      </c>
      <c r="F24" s="633"/>
      <c r="G24" s="634" t="s">
        <v>1788</v>
      </c>
      <c r="H24" s="634"/>
      <c r="I24" s="633">
        <v>1</v>
      </c>
      <c r="J24" s="633">
        <v>1</v>
      </c>
      <c r="K24" s="633">
        <v>1</v>
      </c>
      <c r="L24" s="633">
        <v>1</v>
      </c>
      <c r="M24" s="633">
        <v>1</v>
      </c>
      <c r="N24" s="633">
        <v>1</v>
      </c>
      <c r="O24" s="633">
        <v>1</v>
      </c>
      <c r="P24" s="633">
        <v>1</v>
      </c>
      <c r="Q24" s="633">
        <v>1</v>
      </c>
      <c r="R24" s="633">
        <v>1</v>
      </c>
      <c r="S24" s="633">
        <v>1</v>
      </c>
      <c r="T24" s="633">
        <v>1</v>
      </c>
      <c r="U24" s="635">
        <f t="shared" si="0"/>
        <v>1</v>
      </c>
      <c r="V24" s="635">
        <v>1</v>
      </c>
    </row>
    <row r="25" spans="1:22">
      <c r="A25" s="632" t="s">
        <v>196</v>
      </c>
      <c r="B25" s="632" t="s">
        <v>337</v>
      </c>
      <c r="C25" s="633" t="s">
        <v>1800</v>
      </c>
      <c r="D25" s="633"/>
      <c r="E25" s="633" t="s">
        <v>1801</v>
      </c>
      <c r="F25" s="633"/>
      <c r="G25" s="634" t="s">
        <v>1786</v>
      </c>
      <c r="H25" s="634"/>
      <c r="I25" s="633">
        <v>1</v>
      </c>
      <c r="J25" s="633">
        <v>1</v>
      </c>
      <c r="K25" s="633">
        <v>1</v>
      </c>
      <c r="L25" s="633">
        <v>1</v>
      </c>
      <c r="M25" s="633">
        <v>1</v>
      </c>
      <c r="N25" s="633">
        <v>1</v>
      </c>
      <c r="O25" s="633">
        <v>1</v>
      </c>
      <c r="P25" s="633">
        <v>1</v>
      </c>
      <c r="Q25" s="633">
        <v>1</v>
      </c>
      <c r="R25" s="633">
        <v>1</v>
      </c>
      <c r="S25" s="633">
        <v>1</v>
      </c>
      <c r="T25" s="633">
        <v>1</v>
      </c>
      <c r="U25" s="635">
        <f t="shared" si="0"/>
        <v>1</v>
      </c>
      <c r="V25" s="635">
        <v>1</v>
      </c>
    </row>
    <row r="26" spans="1:22">
      <c r="A26" s="632" t="s">
        <v>196</v>
      </c>
      <c r="B26" s="632" t="s">
        <v>337</v>
      </c>
      <c r="C26" s="633" t="s">
        <v>1800</v>
      </c>
      <c r="D26" s="633"/>
      <c r="E26" s="633" t="s">
        <v>1802</v>
      </c>
      <c r="F26" s="633"/>
      <c r="G26" s="634" t="s">
        <v>1786</v>
      </c>
      <c r="H26" s="634"/>
      <c r="I26" s="633">
        <v>2</v>
      </c>
      <c r="J26" s="633">
        <v>2</v>
      </c>
      <c r="K26" s="633">
        <v>2</v>
      </c>
      <c r="L26" s="633">
        <v>2</v>
      </c>
      <c r="M26" s="633">
        <v>2</v>
      </c>
      <c r="N26" s="633">
        <v>2</v>
      </c>
      <c r="O26" s="633">
        <v>2</v>
      </c>
      <c r="P26" s="633">
        <v>2</v>
      </c>
      <c r="Q26" s="633">
        <v>2</v>
      </c>
      <c r="R26" s="633">
        <v>2</v>
      </c>
      <c r="S26" s="633">
        <v>2</v>
      </c>
      <c r="T26" s="633">
        <v>2</v>
      </c>
      <c r="U26" s="635">
        <f t="shared" si="0"/>
        <v>2</v>
      </c>
      <c r="V26" s="635">
        <v>2</v>
      </c>
    </row>
    <row r="27" spans="1:22">
      <c r="A27" s="632" t="s">
        <v>196</v>
      </c>
      <c r="B27" s="632" t="s">
        <v>337</v>
      </c>
      <c r="C27" s="633" t="s">
        <v>1803</v>
      </c>
      <c r="D27" s="633"/>
      <c r="E27" s="633" t="s">
        <v>1804</v>
      </c>
      <c r="F27" s="633"/>
      <c r="G27" s="634" t="s">
        <v>1805</v>
      </c>
      <c r="H27" s="634"/>
      <c r="I27" s="633">
        <v>1</v>
      </c>
      <c r="J27" s="633">
        <v>1</v>
      </c>
      <c r="K27" s="633">
        <v>1</v>
      </c>
      <c r="L27" s="633">
        <v>1</v>
      </c>
      <c r="M27" s="633">
        <v>1</v>
      </c>
      <c r="N27" s="633">
        <v>1</v>
      </c>
      <c r="O27" s="633">
        <v>1</v>
      </c>
      <c r="P27" s="633">
        <v>1</v>
      </c>
      <c r="Q27" s="633">
        <v>1</v>
      </c>
      <c r="R27" s="633">
        <v>1</v>
      </c>
      <c r="S27" s="633">
        <v>1</v>
      </c>
      <c r="T27" s="633">
        <v>1</v>
      </c>
      <c r="U27" s="635">
        <f t="shared" si="0"/>
        <v>1</v>
      </c>
      <c r="V27" s="635">
        <v>1</v>
      </c>
    </row>
    <row r="28" spans="1:22">
      <c r="A28" s="632" t="s">
        <v>196</v>
      </c>
      <c r="B28" s="632" t="s">
        <v>337</v>
      </c>
      <c r="C28" s="633" t="s">
        <v>1803</v>
      </c>
      <c r="D28" s="633"/>
      <c r="E28" s="633" t="s">
        <v>1801</v>
      </c>
      <c r="F28" s="633"/>
      <c r="G28" s="634" t="s">
        <v>1786</v>
      </c>
      <c r="H28" s="634"/>
      <c r="I28" s="633">
        <v>1</v>
      </c>
      <c r="J28" s="633">
        <v>1</v>
      </c>
      <c r="K28" s="633">
        <v>1</v>
      </c>
      <c r="L28" s="633">
        <v>1</v>
      </c>
      <c r="M28" s="633">
        <v>1</v>
      </c>
      <c r="N28" s="633">
        <v>1</v>
      </c>
      <c r="O28" s="633">
        <v>1</v>
      </c>
      <c r="P28" s="633">
        <v>1</v>
      </c>
      <c r="Q28" s="633">
        <v>1</v>
      </c>
      <c r="R28" s="633">
        <v>1</v>
      </c>
      <c r="S28" s="633">
        <v>1</v>
      </c>
      <c r="T28" s="633">
        <v>1</v>
      </c>
      <c r="U28" s="635">
        <f t="shared" si="0"/>
        <v>1</v>
      </c>
      <c r="V28" s="635">
        <v>1</v>
      </c>
    </row>
    <row r="29" spans="1:22">
      <c r="A29" s="632" t="s">
        <v>196</v>
      </c>
      <c r="B29" s="632" t="s">
        <v>337</v>
      </c>
      <c r="C29" s="633" t="s">
        <v>1803</v>
      </c>
      <c r="D29" s="633"/>
      <c r="E29" s="633" t="s">
        <v>1806</v>
      </c>
      <c r="F29" s="633"/>
      <c r="G29" s="634" t="s">
        <v>1784</v>
      </c>
      <c r="H29" s="634"/>
      <c r="I29" s="633">
        <v>1</v>
      </c>
      <c r="J29" s="633">
        <v>1</v>
      </c>
      <c r="K29" s="633">
        <v>1</v>
      </c>
      <c r="L29" s="633">
        <v>1</v>
      </c>
      <c r="M29" s="633">
        <v>1</v>
      </c>
      <c r="N29" s="633">
        <v>1</v>
      </c>
      <c r="O29" s="633">
        <v>1</v>
      </c>
      <c r="P29" s="633">
        <v>1</v>
      </c>
      <c r="Q29" s="633">
        <v>1</v>
      </c>
      <c r="R29" s="633">
        <v>1</v>
      </c>
      <c r="S29" s="633">
        <v>1</v>
      </c>
      <c r="T29" s="633">
        <v>1</v>
      </c>
      <c r="U29" s="635">
        <f t="shared" si="0"/>
        <v>1</v>
      </c>
      <c r="V29" s="635">
        <v>1</v>
      </c>
    </row>
    <row r="30" spans="1:22">
      <c r="A30" s="632" t="s">
        <v>196</v>
      </c>
      <c r="B30" s="632" t="s">
        <v>337</v>
      </c>
      <c r="C30" s="633" t="s">
        <v>1803</v>
      </c>
      <c r="D30" s="633"/>
      <c r="E30" s="633" t="s">
        <v>1807</v>
      </c>
      <c r="F30" s="633"/>
      <c r="G30" s="634" t="s">
        <v>1788</v>
      </c>
      <c r="H30" s="634"/>
      <c r="I30" s="633">
        <v>1</v>
      </c>
      <c r="J30" s="633">
        <v>1</v>
      </c>
      <c r="K30" s="633">
        <v>1</v>
      </c>
      <c r="L30" s="633">
        <v>1</v>
      </c>
      <c r="M30" s="633">
        <v>1</v>
      </c>
      <c r="N30" s="633">
        <v>1</v>
      </c>
      <c r="O30" s="633">
        <v>1</v>
      </c>
      <c r="P30" s="633">
        <v>1</v>
      </c>
      <c r="Q30" s="633">
        <v>1</v>
      </c>
      <c r="R30" s="633">
        <v>1</v>
      </c>
      <c r="S30" s="633">
        <v>1</v>
      </c>
      <c r="T30" s="633">
        <v>1</v>
      </c>
      <c r="U30" s="635">
        <f t="shared" si="0"/>
        <v>1</v>
      </c>
      <c r="V30" s="635">
        <v>1</v>
      </c>
    </row>
    <row r="31" spans="1:22">
      <c r="A31" s="632" t="s">
        <v>196</v>
      </c>
      <c r="B31" s="632" t="s">
        <v>337</v>
      </c>
      <c r="C31" s="633" t="s">
        <v>1803</v>
      </c>
      <c r="D31" s="633" t="s">
        <v>1808</v>
      </c>
      <c r="E31" s="633" t="s">
        <v>1809</v>
      </c>
      <c r="F31" s="633"/>
      <c r="G31" s="634" t="s">
        <v>1810</v>
      </c>
      <c r="H31" s="634"/>
      <c r="I31" s="633">
        <v>1</v>
      </c>
      <c r="J31" s="633">
        <v>1</v>
      </c>
      <c r="K31" s="633">
        <v>1</v>
      </c>
      <c r="L31" s="633">
        <v>1</v>
      </c>
      <c r="M31" s="633">
        <v>1</v>
      </c>
      <c r="N31" s="633">
        <v>1</v>
      </c>
      <c r="O31" s="633">
        <v>1</v>
      </c>
      <c r="P31" s="633">
        <v>1</v>
      </c>
      <c r="Q31" s="633">
        <v>1</v>
      </c>
      <c r="R31" s="633">
        <v>1</v>
      </c>
      <c r="S31" s="633">
        <v>1</v>
      </c>
      <c r="T31" s="633">
        <v>1</v>
      </c>
      <c r="U31" s="635">
        <f t="shared" si="0"/>
        <v>1</v>
      </c>
      <c r="V31" s="635">
        <v>1</v>
      </c>
    </row>
    <row r="32" spans="1:22">
      <c r="A32" s="632" t="s">
        <v>196</v>
      </c>
      <c r="B32" s="632" t="s">
        <v>337</v>
      </c>
      <c r="C32" s="633" t="s">
        <v>1803</v>
      </c>
      <c r="D32" s="633" t="s">
        <v>1808</v>
      </c>
      <c r="E32" s="633" t="s">
        <v>1811</v>
      </c>
      <c r="F32" s="633"/>
      <c r="G32" s="634" t="s">
        <v>1810</v>
      </c>
      <c r="H32" s="634"/>
      <c r="I32" s="633">
        <v>1</v>
      </c>
      <c r="J32" s="633">
        <v>1</v>
      </c>
      <c r="K32" s="633">
        <v>1</v>
      </c>
      <c r="L32" s="633">
        <v>1</v>
      </c>
      <c r="M32" s="633">
        <v>1</v>
      </c>
      <c r="N32" s="633">
        <v>1</v>
      </c>
      <c r="O32" s="633">
        <v>1</v>
      </c>
      <c r="P32" s="633">
        <v>1</v>
      </c>
      <c r="Q32" s="633">
        <v>1</v>
      </c>
      <c r="R32" s="633">
        <v>1</v>
      </c>
      <c r="S32" s="633">
        <v>1</v>
      </c>
      <c r="T32" s="633">
        <v>1</v>
      </c>
      <c r="U32" s="635">
        <f t="shared" si="0"/>
        <v>1</v>
      </c>
      <c r="V32" s="635">
        <v>1</v>
      </c>
    </row>
    <row r="33" spans="1:22">
      <c r="A33" s="632" t="s">
        <v>196</v>
      </c>
      <c r="B33" s="632" t="s">
        <v>337</v>
      </c>
      <c r="C33" s="633" t="s">
        <v>1803</v>
      </c>
      <c r="D33" s="633" t="s">
        <v>1808</v>
      </c>
      <c r="E33" s="633" t="s">
        <v>1812</v>
      </c>
      <c r="F33" s="633"/>
      <c r="G33" s="634" t="s">
        <v>1810</v>
      </c>
      <c r="H33" s="634"/>
      <c r="I33" s="633">
        <v>1</v>
      </c>
      <c r="J33" s="633">
        <v>1</v>
      </c>
      <c r="K33" s="633">
        <v>1</v>
      </c>
      <c r="L33" s="633">
        <v>1</v>
      </c>
      <c r="M33" s="633">
        <v>1</v>
      </c>
      <c r="N33" s="633">
        <v>1</v>
      </c>
      <c r="O33" s="633">
        <v>1</v>
      </c>
      <c r="P33" s="633">
        <v>1</v>
      </c>
      <c r="Q33" s="633">
        <v>1</v>
      </c>
      <c r="R33" s="633">
        <v>1</v>
      </c>
      <c r="S33" s="633">
        <v>1</v>
      </c>
      <c r="T33" s="633">
        <v>1</v>
      </c>
      <c r="U33" s="635">
        <f t="shared" si="0"/>
        <v>1</v>
      </c>
      <c r="V33" s="635">
        <v>1</v>
      </c>
    </row>
    <row r="34" spans="1:22">
      <c r="A34" s="632" t="s">
        <v>196</v>
      </c>
      <c r="B34" s="632" t="s">
        <v>337</v>
      </c>
      <c r="C34" s="633" t="s">
        <v>1803</v>
      </c>
      <c r="D34" s="633" t="s">
        <v>1808</v>
      </c>
      <c r="E34" s="633" t="s">
        <v>1813</v>
      </c>
      <c r="F34" s="633"/>
      <c r="G34" s="634" t="s">
        <v>1810</v>
      </c>
      <c r="H34" s="634"/>
      <c r="I34" s="633">
        <v>2</v>
      </c>
      <c r="J34" s="633">
        <v>2</v>
      </c>
      <c r="K34" s="633">
        <v>2</v>
      </c>
      <c r="L34" s="633">
        <v>2</v>
      </c>
      <c r="M34" s="633">
        <v>2</v>
      </c>
      <c r="N34" s="633">
        <v>2</v>
      </c>
      <c r="O34" s="633">
        <v>2</v>
      </c>
      <c r="P34" s="633">
        <v>2</v>
      </c>
      <c r="Q34" s="633">
        <v>2</v>
      </c>
      <c r="R34" s="633">
        <v>2</v>
      </c>
      <c r="S34" s="633">
        <v>2</v>
      </c>
      <c r="T34" s="633">
        <v>2</v>
      </c>
      <c r="U34" s="635">
        <f t="shared" si="0"/>
        <v>2</v>
      </c>
      <c r="V34" s="635">
        <v>2</v>
      </c>
    </row>
    <row r="35" spans="1:22">
      <c r="A35" s="632" t="s">
        <v>196</v>
      </c>
      <c r="B35" s="632" t="s">
        <v>337</v>
      </c>
      <c r="C35" s="633" t="s">
        <v>1803</v>
      </c>
      <c r="D35" s="633" t="s">
        <v>1808</v>
      </c>
      <c r="E35" s="633" t="s">
        <v>1814</v>
      </c>
      <c r="F35" s="633"/>
      <c r="G35" s="634" t="s">
        <v>1810</v>
      </c>
      <c r="H35" s="634"/>
      <c r="I35" s="633">
        <v>2</v>
      </c>
      <c r="J35" s="633">
        <v>2</v>
      </c>
      <c r="K35" s="633">
        <v>2</v>
      </c>
      <c r="L35" s="633">
        <v>2</v>
      </c>
      <c r="M35" s="633">
        <v>2</v>
      </c>
      <c r="N35" s="633">
        <v>2</v>
      </c>
      <c r="O35" s="633">
        <v>2</v>
      </c>
      <c r="P35" s="633">
        <v>2</v>
      </c>
      <c r="Q35" s="633">
        <v>2</v>
      </c>
      <c r="R35" s="633">
        <v>2</v>
      </c>
      <c r="S35" s="633">
        <v>2</v>
      </c>
      <c r="T35" s="633">
        <v>2</v>
      </c>
      <c r="U35" s="635">
        <f t="shared" si="0"/>
        <v>2</v>
      </c>
      <c r="V35" s="635">
        <v>2</v>
      </c>
    </row>
    <row r="36" spans="1:22">
      <c r="A36" s="632" t="s">
        <v>196</v>
      </c>
      <c r="B36" s="632" t="s">
        <v>337</v>
      </c>
      <c r="C36" s="633" t="s">
        <v>1815</v>
      </c>
      <c r="D36" s="633" t="s">
        <v>1815</v>
      </c>
      <c r="E36" s="633" t="s">
        <v>1801</v>
      </c>
      <c r="F36" s="633"/>
      <c r="G36" s="634" t="s">
        <v>1816</v>
      </c>
      <c r="H36" s="634"/>
      <c r="I36" s="633">
        <v>1</v>
      </c>
      <c r="J36" s="633">
        <v>1</v>
      </c>
      <c r="K36" s="633">
        <v>1</v>
      </c>
      <c r="L36" s="633">
        <v>1</v>
      </c>
      <c r="M36" s="633">
        <v>1</v>
      </c>
      <c r="N36" s="633">
        <v>1</v>
      </c>
      <c r="O36" s="633">
        <v>1</v>
      </c>
      <c r="P36" s="633">
        <v>1</v>
      </c>
      <c r="Q36" s="633">
        <v>1</v>
      </c>
      <c r="R36" s="633">
        <v>1</v>
      </c>
      <c r="S36" s="633">
        <v>1</v>
      </c>
      <c r="T36" s="633">
        <v>1</v>
      </c>
      <c r="U36" s="635">
        <f t="shared" si="0"/>
        <v>1</v>
      </c>
      <c r="V36" s="635">
        <v>1</v>
      </c>
    </row>
    <row r="37" spans="1:22">
      <c r="A37" s="632" t="s">
        <v>196</v>
      </c>
      <c r="B37" s="632" t="s">
        <v>337</v>
      </c>
      <c r="C37" s="633" t="s">
        <v>1815</v>
      </c>
      <c r="D37" s="633" t="s">
        <v>1815</v>
      </c>
      <c r="E37" s="633" t="s">
        <v>1817</v>
      </c>
      <c r="F37" s="633"/>
      <c r="G37" s="634" t="s">
        <v>1810</v>
      </c>
      <c r="H37" s="634"/>
      <c r="I37" s="633">
        <v>9</v>
      </c>
      <c r="J37" s="633">
        <v>9</v>
      </c>
      <c r="K37" s="633">
        <v>9</v>
      </c>
      <c r="L37" s="633">
        <v>9</v>
      </c>
      <c r="M37" s="633">
        <v>9</v>
      </c>
      <c r="N37" s="633">
        <v>9</v>
      </c>
      <c r="O37" s="633">
        <v>9</v>
      </c>
      <c r="P37" s="633">
        <v>9</v>
      </c>
      <c r="Q37" s="633">
        <v>9</v>
      </c>
      <c r="R37" s="633">
        <v>9</v>
      </c>
      <c r="S37" s="633">
        <v>9</v>
      </c>
      <c r="T37" s="633">
        <v>9</v>
      </c>
      <c r="U37" s="635">
        <f t="shared" si="0"/>
        <v>9</v>
      </c>
      <c r="V37" s="635">
        <v>8</v>
      </c>
    </row>
    <row r="38" spans="1:22">
      <c r="A38" s="632" t="s">
        <v>196</v>
      </c>
      <c r="B38" s="632" t="s">
        <v>337</v>
      </c>
      <c r="C38" s="633" t="s">
        <v>1815</v>
      </c>
      <c r="D38" s="633" t="s">
        <v>1815</v>
      </c>
      <c r="E38" s="633" t="s">
        <v>1818</v>
      </c>
      <c r="F38" s="633"/>
      <c r="G38" s="634" t="s">
        <v>1810</v>
      </c>
      <c r="H38" s="634"/>
      <c r="I38" s="633">
        <v>2</v>
      </c>
      <c r="J38" s="633">
        <v>2</v>
      </c>
      <c r="K38" s="633">
        <v>2</v>
      </c>
      <c r="L38" s="633">
        <v>2</v>
      </c>
      <c r="M38" s="633">
        <v>2</v>
      </c>
      <c r="N38" s="633">
        <v>2</v>
      </c>
      <c r="O38" s="633">
        <v>2</v>
      </c>
      <c r="P38" s="633">
        <v>2</v>
      </c>
      <c r="Q38" s="633">
        <v>2</v>
      </c>
      <c r="R38" s="633">
        <v>2</v>
      </c>
      <c r="S38" s="633">
        <v>2</v>
      </c>
      <c r="T38" s="633">
        <v>2</v>
      </c>
      <c r="U38" s="635">
        <f t="shared" si="0"/>
        <v>2</v>
      </c>
      <c r="V38" s="635">
        <v>1</v>
      </c>
    </row>
    <row r="39" spans="1:22">
      <c r="A39" s="632" t="s">
        <v>196</v>
      </c>
      <c r="B39" s="632" t="s">
        <v>337</v>
      </c>
      <c r="C39" s="633" t="s">
        <v>1819</v>
      </c>
      <c r="D39" s="633" t="s">
        <v>1820</v>
      </c>
      <c r="E39" s="633" t="s">
        <v>1821</v>
      </c>
      <c r="F39" s="633"/>
      <c r="G39" s="634" t="s">
        <v>1805</v>
      </c>
      <c r="H39" s="634"/>
      <c r="I39" s="633">
        <v>1</v>
      </c>
      <c r="J39" s="633">
        <v>1</v>
      </c>
      <c r="K39" s="633">
        <v>1</v>
      </c>
      <c r="L39" s="633">
        <v>1</v>
      </c>
      <c r="M39" s="633">
        <v>1</v>
      </c>
      <c r="N39" s="633">
        <v>1</v>
      </c>
      <c r="O39" s="633">
        <v>1</v>
      </c>
      <c r="P39" s="633">
        <v>1</v>
      </c>
      <c r="Q39" s="633">
        <v>1</v>
      </c>
      <c r="R39" s="633">
        <v>1</v>
      </c>
      <c r="S39" s="633">
        <v>1</v>
      </c>
      <c r="T39" s="633">
        <v>1</v>
      </c>
      <c r="U39" s="635">
        <f t="shared" si="0"/>
        <v>1</v>
      </c>
      <c r="V39" s="635">
        <v>1</v>
      </c>
    </row>
    <row r="40" spans="1:22">
      <c r="A40" s="632" t="s">
        <v>196</v>
      </c>
      <c r="B40" s="632" t="s">
        <v>337</v>
      </c>
      <c r="C40" s="633" t="s">
        <v>1819</v>
      </c>
      <c r="D40" s="633" t="s">
        <v>1820</v>
      </c>
      <c r="E40" s="633" t="s">
        <v>1822</v>
      </c>
      <c r="F40" s="633"/>
      <c r="G40" s="634" t="s">
        <v>1816</v>
      </c>
      <c r="H40" s="634"/>
      <c r="I40" s="633">
        <v>1</v>
      </c>
      <c r="J40" s="633">
        <v>1</v>
      </c>
      <c r="K40" s="633">
        <v>1</v>
      </c>
      <c r="L40" s="633">
        <v>1</v>
      </c>
      <c r="M40" s="633">
        <v>1</v>
      </c>
      <c r="N40" s="633">
        <v>1</v>
      </c>
      <c r="O40" s="633">
        <v>1</v>
      </c>
      <c r="P40" s="633">
        <v>1</v>
      </c>
      <c r="Q40" s="633">
        <v>1</v>
      </c>
      <c r="R40" s="633">
        <v>1</v>
      </c>
      <c r="S40" s="633">
        <v>1</v>
      </c>
      <c r="T40" s="633">
        <v>1</v>
      </c>
      <c r="U40" s="635">
        <f t="shared" si="0"/>
        <v>1</v>
      </c>
      <c r="V40" s="635">
        <v>1</v>
      </c>
    </row>
    <row r="41" spans="1:22">
      <c r="A41" s="632" t="s">
        <v>196</v>
      </c>
      <c r="B41" s="632" t="s">
        <v>337</v>
      </c>
      <c r="C41" s="633" t="s">
        <v>1819</v>
      </c>
      <c r="D41" s="633" t="s">
        <v>1820</v>
      </c>
      <c r="E41" s="633" t="s">
        <v>1823</v>
      </c>
      <c r="F41" s="633"/>
      <c r="G41" s="634" t="s">
        <v>1816</v>
      </c>
      <c r="H41" s="634"/>
      <c r="I41" s="633">
        <v>2</v>
      </c>
      <c r="J41" s="633">
        <v>2</v>
      </c>
      <c r="K41" s="633">
        <v>2</v>
      </c>
      <c r="L41" s="633">
        <v>2</v>
      </c>
      <c r="M41" s="633">
        <v>2</v>
      </c>
      <c r="N41" s="633">
        <v>2</v>
      </c>
      <c r="O41" s="633">
        <v>2</v>
      </c>
      <c r="P41" s="633">
        <v>2</v>
      </c>
      <c r="Q41" s="633">
        <v>2</v>
      </c>
      <c r="R41" s="633">
        <v>2</v>
      </c>
      <c r="S41" s="633">
        <v>2</v>
      </c>
      <c r="T41" s="633">
        <v>2</v>
      </c>
      <c r="U41" s="635">
        <f t="shared" si="0"/>
        <v>2</v>
      </c>
      <c r="V41" s="635">
        <v>2</v>
      </c>
    </row>
    <row r="42" spans="1:22">
      <c r="A42" s="632" t="s">
        <v>196</v>
      </c>
      <c r="B42" s="632" t="s">
        <v>337</v>
      </c>
      <c r="C42" s="633" t="s">
        <v>1819</v>
      </c>
      <c r="D42" s="633" t="s">
        <v>1820</v>
      </c>
      <c r="E42" s="633" t="s">
        <v>1824</v>
      </c>
      <c r="F42" s="633"/>
      <c r="G42" s="634" t="s">
        <v>1810</v>
      </c>
      <c r="H42" s="634"/>
      <c r="I42" s="633">
        <v>8</v>
      </c>
      <c r="J42" s="633">
        <v>8</v>
      </c>
      <c r="K42" s="633">
        <v>8</v>
      </c>
      <c r="L42" s="633">
        <v>8</v>
      </c>
      <c r="M42" s="633">
        <v>8</v>
      </c>
      <c r="N42" s="633">
        <v>8</v>
      </c>
      <c r="O42" s="633">
        <v>8</v>
      </c>
      <c r="P42" s="633">
        <v>8</v>
      </c>
      <c r="Q42" s="633">
        <v>8</v>
      </c>
      <c r="R42" s="633">
        <v>8</v>
      </c>
      <c r="S42" s="633">
        <v>8</v>
      </c>
      <c r="T42" s="633">
        <v>8</v>
      </c>
      <c r="U42" s="635">
        <f t="shared" si="0"/>
        <v>8</v>
      </c>
      <c r="V42" s="635">
        <v>6</v>
      </c>
    </row>
    <row r="43" spans="1:22">
      <c r="A43" s="632" t="s">
        <v>196</v>
      </c>
      <c r="B43" s="632" t="s">
        <v>337</v>
      </c>
      <c r="C43" s="633" t="s">
        <v>1819</v>
      </c>
      <c r="D43" s="633" t="s">
        <v>1820</v>
      </c>
      <c r="E43" s="633" t="s">
        <v>1825</v>
      </c>
      <c r="F43" s="633"/>
      <c r="G43" s="634" t="s">
        <v>1810</v>
      </c>
      <c r="H43" s="634"/>
      <c r="I43" s="633">
        <v>8</v>
      </c>
      <c r="J43" s="633">
        <v>8</v>
      </c>
      <c r="K43" s="633">
        <v>8</v>
      </c>
      <c r="L43" s="633">
        <v>8</v>
      </c>
      <c r="M43" s="633">
        <v>8</v>
      </c>
      <c r="N43" s="633">
        <v>8</v>
      </c>
      <c r="O43" s="633">
        <v>8</v>
      </c>
      <c r="P43" s="633">
        <v>8</v>
      </c>
      <c r="Q43" s="633">
        <v>8</v>
      </c>
      <c r="R43" s="633">
        <v>8</v>
      </c>
      <c r="S43" s="633">
        <v>8</v>
      </c>
      <c r="T43" s="633">
        <v>8</v>
      </c>
      <c r="U43" s="635">
        <f t="shared" si="0"/>
        <v>8</v>
      </c>
      <c r="V43" s="635">
        <v>6</v>
      </c>
    </row>
    <row r="44" spans="1:22">
      <c r="A44" s="632" t="s">
        <v>196</v>
      </c>
      <c r="B44" s="632" t="s">
        <v>337</v>
      </c>
      <c r="C44" s="633" t="s">
        <v>1819</v>
      </c>
      <c r="D44" s="633" t="s">
        <v>1820</v>
      </c>
      <c r="E44" s="633" t="s">
        <v>1826</v>
      </c>
      <c r="F44" s="633"/>
      <c r="G44" s="634" t="s">
        <v>1810</v>
      </c>
      <c r="H44" s="634"/>
      <c r="I44" s="633">
        <v>6</v>
      </c>
      <c r="J44" s="633">
        <v>6</v>
      </c>
      <c r="K44" s="633">
        <v>6</v>
      </c>
      <c r="L44" s="633">
        <v>6</v>
      </c>
      <c r="M44" s="633">
        <v>6</v>
      </c>
      <c r="N44" s="633">
        <v>6</v>
      </c>
      <c r="O44" s="633">
        <v>6</v>
      </c>
      <c r="P44" s="633">
        <v>6</v>
      </c>
      <c r="Q44" s="633">
        <v>6</v>
      </c>
      <c r="R44" s="633">
        <v>6</v>
      </c>
      <c r="S44" s="633">
        <v>6</v>
      </c>
      <c r="T44" s="633">
        <v>6</v>
      </c>
      <c r="U44" s="635">
        <f t="shared" si="0"/>
        <v>6</v>
      </c>
      <c r="V44" s="635">
        <v>4</v>
      </c>
    </row>
    <row r="45" spans="1:22">
      <c r="A45" s="632" t="s">
        <v>196</v>
      </c>
      <c r="B45" s="632" t="s">
        <v>337</v>
      </c>
      <c r="C45" s="633" t="s">
        <v>1819</v>
      </c>
      <c r="D45" s="633" t="s">
        <v>1827</v>
      </c>
      <c r="E45" s="633" t="s">
        <v>1828</v>
      </c>
      <c r="F45" s="633"/>
      <c r="G45" s="634" t="s">
        <v>1816</v>
      </c>
      <c r="H45" s="634"/>
      <c r="I45" s="633">
        <v>1</v>
      </c>
      <c r="J45" s="633">
        <v>1</v>
      </c>
      <c r="K45" s="633">
        <v>1</v>
      </c>
      <c r="L45" s="633">
        <v>1</v>
      </c>
      <c r="M45" s="633">
        <v>1</v>
      </c>
      <c r="N45" s="633">
        <v>1</v>
      </c>
      <c r="O45" s="633">
        <v>1</v>
      </c>
      <c r="P45" s="633">
        <v>1</v>
      </c>
      <c r="Q45" s="633">
        <v>1</v>
      </c>
      <c r="R45" s="633">
        <v>1</v>
      </c>
      <c r="S45" s="633">
        <v>1</v>
      </c>
      <c r="T45" s="633">
        <v>1</v>
      </c>
      <c r="U45" s="635">
        <f t="shared" si="0"/>
        <v>1</v>
      </c>
      <c r="V45" s="635">
        <v>1</v>
      </c>
    </row>
    <row r="46" spans="1:22">
      <c r="A46" s="632" t="s">
        <v>196</v>
      </c>
      <c r="B46" s="632" t="s">
        <v>337</v>
      </c>
      <c r="C46" s="633" t="s">
        <v>1819</v>
      </c>
      <c r="D46" s="633" t="s">
        <v>1827</v>
      </c>
      <c r="E46" s="633" t="s">
        <v>1829</v>
      </c>
      <c r="F46" s="633"/>
      <c r="G46" s="634" t="s">
        <v>1810</v>
      </c>
      <c r="H46" s="634"/>
      <c r="I46" s="633">
        <v>7</v>
      </c>
      <c r="J46" s="633">
        <v>7</v>
      </c>
      <c r="K46" s="633">
        <v>7</v>
      </c>
      <c r="L46" s="633">
        <v>7</v>
      </c>
      <c r="M46" s="633">
        <v>7</v>
      </c>
      <c r="N46" s="633">
        <v>7</v>
      </c>
      <c r="O46" s="633">
        <v>7</v>
      </c>
      <c r="P46" s="633">
        <v>7</v>
      </c>
      <c r="Q46" s="633">
        <v>7</v>
      </c>
      <c r="R46" s="633">
        <v>7</v>
      </c>
      <c r="S46" s="633">
        <v>7</v>
      </c>
      <c r="T46" s="633">
        <v>7</v>
      </c>
      <c r="U46" s="635">
        <f t="shared" si="0"/>
        <v>7</v>
      </c>
      <c r="V46" s="635">
        <v>6</v>
      </c>
    </row>
    <row r="47" spans="1:22">
      <c r="A47" s="632" t="s">
        <v>196</v>
      </c>
      <c r="B47" s="632" t="s">
        <v>337</v>
      </c>
      <c r="C47" s="633" t="s">
        <v>1819</v>
      </c>
      <c r="D47" s="633" t="s">
        <v>1820</v>
      </c>
      <c r="E47" s="633" t="s">
        <v>1830</v>
      </c>
      <c r="F47" s="633"/>
      <c r="G47" s="634" t="s">
        <v>1810</v>
      </c>
      <c r="H47" s="634"/>
      <c r="I47" s="633">
        <v>2</v>
      </c>
      <c r="J47" s="633">
        <v>2</v>
      </c>
      <c r="K47" s="633">
        <v>2</v>
      </c>
      <c r="L47" s="633">
        <v>2</v>
      </c>
      <c r="M47" s="633">
        <v>2</v>
      </c>
      <c r="N47" s="633">
        <v>2</v>
      </c>
      <c r="O47" s="633">
        <v>2</v>
      </c>
      <c r="P47" s="633">
        <v>2</v>
      </c>
      <c r="Q47" s="633">
        <v>2</v>
      </c>
      <c r="R47" s="633">
        <v>2</v>
      </c>
      <c r="S47" s="633">
        <v>2</v>
      </c>
      <c r="T47" s="633">
        <v>2</v>
      </c>
      <c r="U47" s="635">
        <f t="shared" si="0"/>
        <v>2</v>
      </c>
      <c r="V47" s="635">
        <v>2</v>
      </c>
    </row>
    <row r="48" spans="1:22">
      <c r="A48" s="632" t="s">
        <v>196</v>
      </c>
      <c r="B48" s="632" t="s">
        <v>337</v>
      </c>
      <c r="C48" s="633" t="s">
        <v>1819</v>
      </c>
      <c r="D48" s="633" t="s">
        <v>1820</v>
      </c>
      <c r="E48" s="633" t="s">
        <v>1831</v>
      </c>
      <c r="F48" s="633"/>
      <c r="G48" s="634" t="s">
        <v>1810</v>
      </c>
      <c r="H48" s="634"/>
      <c r="I48" s="633">
        <v>2</v>
      </c>
      <c r="J48" s="633">
        <v>2</v>
      </c>
      <c r="K48" s="633">
        <v>2</v>
      </c>
      <c r="L48" s="633">
        <v>2</v>
      </c>
      <c r="M48" s="633">
        <v>2</v>
      </c>
      <c r="N48" s="633">
        <v>2</v>
      </c>
      <c r="O48" s="633">
        <v>2</v>
      </c>
      <c r="P48" s="633">
        <v>2</v>
      </c>
      <c r="Q48" s="633">
        <v>2</v>
      </c>
      <c r="R48" s="633">
        <v>2</v>
      </c>
      <c r="S48" s="633">
        <v>2</v>
      </c>
      <c r="T48" s="633">
        <v>2</v>
      </c>
      <c r="U48" s="635">
        <f t="shared" si="0"/>
        <v>2</v>
      </c>
      <c r="V48" s="635">
        <v>2</v>
      </c>
    </row>
    <row r="49" spans="1:22">
      <c r="A49" s="632" t="s">
        <v>196</v>
      </c>
      <c r="B49" s="632" t="s">
        <v>337</v>
      </c>
      <c r="C49" s="633" t="s">
        <v>1819</v>
      </c>
      <c r="D49" s="633" t="s">
        <v>1820</v>
      </c>
      <c r="E49" s="633" t="s">
        <v>1832</v>
      </c>
      <c r="F49" s="633"/>
      <c r="G49" s="634" t="s">
        <v>1810</v>
      </c>
      <c r="H49" s="634"/>
      <c r="I49" s="633">
        <v>6</v>
      </c>
      <c r="J49" s="633">
        <v>6</v>
      </c>
      <c r="K49" s="633">
        <v>6</v>
      </c>
      <c r="L49" s="633">
        <v>6</v>
      </c>
      <c r="M49" s="633">
        <v>6</v>
      </c>
      <c r="N49" s="633">
        <v>6</v>
      </c>
      <c r="O49" s="633">
        <v>6</v>
      </c>
      <c r="P49" s="633">
        <v>6</v>
      </c>
      <c r="Q49" s="633">
        <v>6</v>
      </c>
      <c r="R49" s="633">
        <v>6</v>
      </c>
      <c r="S49" s="633">
        <v>6</v>
      </c>
      <c r="T49" s="633">
        <v>6</v>
      </c>
      <c r="U49" s="635">
        <f t="shared" si="0"/>
        <v>6</v>
      </c>
      <c r="V49" s="635">
        <v>4</v>
      </c>
    </row>
    <row r="50" spans="1:22">
      <c r="A50" s="632" t="s">
        <v>196</v>
      </c>
      <c r="B50" s="632" t="s">
        <v>337</v>
      </c>
      <c r="C50" s="633" t="s">
        <v>1819</v>
      </c>
      <c r="D50" s="633" t="s">
        <v>1820</v>
      </c>
      <c r="E50" s="633" t="s">
        <v>1833</v>
      </c>
      <c r="F50" s="633"/>
      <c r="G50" s="634" t="s">
        <v>1810</v>
      </c>
      <c r="H50" s="634"/>
      <c r="I50" s="633">
        <v>2</v>
      </c>
      <c r="J50" s="633">
        <v>2</v>
      </c>
      <c r="K50" s="633">
        <v>2</v>
      </c>
      <c r="L50" s="633">
        <v>2</v>
      </c>
      <c r="M50" s="633">
        <v>2</v>
      </c>
      <c r="N50" s="633">
        <v>2</v>
      </c>
      <c r="O50" s="633">
        <v>2</v>
      </c>
      <c r="P50" s="633">
        <v>2</v>
      </c>
      <c r="Q50" s="633">
        <v>2</v>
      </c>
      <c r="R50" s="633">
        <v>2</v>
      </c>
      <c r="S50" s="633">
        <v>2</v>
      </c>
      <c r="T50" s="633">
        <v>2</v>
      </c>
      <c r="U50" s="635">
        <f t="shared" si="0"/>
        <v>2</v>
      </c>
      <c r="V50" s="635">
        <v>2</v>
      </c>
    </row>
    <row r="51" spans="1:22">
      <c r="A51" s="632" t="s">
        <v>196</v>
      </c>
      <c r="B51" s="632" t="s">
        <v>337</v>
      </c>
      <c r="C51" s="633" t="s">
        <v>1819</v>
      </c>
      <c r="D51" s="633" t="s">
        <v>1820</v>
      </c>
      <c r="E51" s="633" t="s">
        <v>1834</v>
      </c>
      <c r="F51" s="633"/>
      <c r="G51" s="634" t="s">
        <v>1788</v>
      </c>
      <c r="H51" s="634"/>
      <c r="I51" s="633">
        <v>1</v>
      </c>
      <c r="J51" s="633">
        <v>1</v>
      </c>
      <c r="K51" s="633">
        <v>1</v>
      </c>
      <c r="L51" s="633">
        <v>1</v>
      </c>
      <c r="M51" s="633">
        <v>1</v>
      </c>
      <c r="N51" s="633">
        <v>1</v>
      </c>
      <c r="O51" s="633">
        <v>1</v>
      </c>
      <c r="P51" s="633">
        <v>1</v>
      </c>
      <c r="Q51" s="633">
        <v>1</v>
      </c>
      <c r="R51" s="633">
        <v>1</v>
      </c>
      <c r="S51" s="633">
        <v>1</v>
      </c>
      <c r="T51" s="633">
        <v>1</v>
      </c>
      <c r="U51" s="635">
        <f t="shared" si="0"/>
        <v>1</v>
      </c>
      <c r="V51" s="635">
        <v>1</v>
      </c>
    </row>
    <row r="52" spans="1:22">
      <c r="A52" s="632" t="s">
        <v>196</v>
      </c>
      <c r="B52" s="632" t="s">
        <v>337</v>
      </c>
      <c r="C52" s="633" t="s">
        <v>1819</v>
      </c>
      <c r="D52" s="633" t="s">
        <v>1820</v>
      </c>
      <c r="E52" s="633" t="s">
        <v>1835</v>
      </c>
      <c r="F52" s="633"/>
      <c r="G52" s="634" t="s">
        <v>1816</v>
      </c>
      <c r="H52" s="634"/>
      <c r="I52" s="633">
        <v>1</v>
      </c>
      <c r="J52" s="633">
        <v>1</v>
      </c>
      <c r="K52" s="633">
        <v>1</v>
      </c>
      <c r="L52" s="633">
        <v>1</v>
      </c>
      <c r="M52" s="633">
        <v>1</v>
      </c>
      <c r="N52" s="633">
        <v>1</v>
      </c>
      <c r="O52" s="633">
        <v>1</v>
      </c>
      <c r="P52" s="633">
        <v>1</v>
      </c>
      <c r="Q52" s="633">
        <v>1</v>
      </c>
      <c r="R52" s="633">
        <v>1</v>
      </c>
      <c r="S52" s="633">
        <v>1</v>
      </c>
      <c r="T52" s="633">
        <v>1</v>
      </c>
      <c r="U52" s="635">
        <f t="shared" si="0"/>
        <v>1</v>
      </c>
      <c r="V52" s="635">
        <v>1</v>
      </c>
    </row>
    <row r="53" spans="1:22">
      <c r="A53" s="632" t="s">
        <v>196</v>
      </c>
      <c r="B53" s="632" t="s">
        <v>337</v>
      </c>
      <c r="C53" s="633" t="s">
        <v>1819</v>
      </c>
      <c r="D53" s="633" t="s">
        <v>1820</v>
      </c>
      <c r="E53" s="633" t="s">
        <v>1836</v>
      </c>
      <c r="F53" s="633"/>
      <c r="G53" s="634" t="s">
        <v>1810</v>
      </c>
      <c r="H53" s="634"/>
      <c r="I53" s="633">
        <v>2</v>
      </c>
      <c r="J53" s="633">
        <v>2</v>
      </c>
      <c r="K53" s="633">
        <v>2</v>
      </c>
      <c r="L53" s="633">
        <v>2</v>
      </c>
      <c r="M53" s="633">
        <v>2</v>
      </c>
      <c r="N53" s="633">
        <v>2</v>
      </c>
      <c r="O53" s="633">
        <v>2</v>
      </c>
      <c r="P53" s="633">
        <v>2</v>
      </c>
      <c r="Q53" s="633">
        <v>2</v>
      </c>
      <c r="R53" s="633">
        <v>2</v>
      </c>
      <c r="S53" s="633">
        <v>2</v>
      </c>
      <c r="T53" s="633">
        <v>2</v>
      </c>
      <c r="U53" s="635">
        <f t="shared" si="0"/>
        <v>2</v>
      </c>
      <c r="V53" s="635">
        <v>2</v>
      </c>
    </row>
    <row r="54" spans="1:22">
      <c r="A54" s="632" t="s">
        <v>196</v>
      </c>
      <c r="B54" s="632" t="s">
        <v>337</v>
      </c>
      <c r="C54" s="633" t="s">
        <v>1819</v>
      </c>
      <c r="D54" s="633" t="s">
        <v>1820</v>
      </c>
      <c r="E54" s="633" t="s">
        <v>1837</v>
      </c>
      <c r="F54" s="633"/>
      <c r="G54" s="634" t="s">
        <v>1810</v>
      </c>
      <c r="H54" s="634"/>
      <c r="I54" s="633">
        <v>36</v>
      </c>
      <c r="J54" s="633">
        <v>36</v>
      </c>
      <c r="K54" s="633">
        <v>36</v>
      </c>
      <c r="L54" s="633">
        <v>36</v>
      </c>
      <c r="M54" s="633">
        <v>36</v>
      </c>
      <c r="N54" s="633">
        <v>36</v>
      </c>
      <c r="O54" s="633">
        <v>36</v>
      </c>
      <c r="P54" s="633">
        <v>36</v>
      </c>
      <c r="Q54" s="633">
        <v>36</v>
      </c>
      <c r="R54" s="633">
        <v>36</v>
      </c>
      <c r="S54" s="633">
        <v>36</v>
      </c>
      <c r="T54" s="633">
        <v>36</v>
      </c>
      <c r="U54" s="635">
        <f t="shared" si="0"/>
        <v>36</v>
      </c>
      <c r="V54" s="635">
        <v>28</v>
      </c>
    </row>
    <row r="55" spans="1:22">
      <c r="A55" s="632" t="s">
        <v>196</v>
      </c>
      <c r="B55" s="632" t="s">
        <v>337</v>
      </c>
      <c r="C55" s="633" t="s">
        <v>1819</v>
      </c>
      <c r="D55" s="633" t="s">
        <v>1820</v>
      </c>
      <c r="E55" s="633" t="s">
        <v>1838</v>
      </c>
      <c r="F55" s="633"/>
      <c r="G55" s="634" t="s">
        <v>1810</v>
      </c>
      <c r="H55" s="634"/>
      <c r="I55" s="633">
        <v>0</v>
      </c>
      <c r="J55" s="633">
        <v>0</v>
      </c>
      <c r="K55" s="633">
        <v>0</v>
      </c>
      <c r="L55" s="633">
        <v>0</v>
      </c>
      <c r="M55" s="633">
        <v>0</v>
      </c>
      <c r="N55" s="633">
        <v>0</v>
      </c>
      <c r="O55" s="633">
        <v>0</v>
      </c>
      <c r="P55" s="633">
        <v>0</v>
      </c>
      <c r="Q55" s="633">
        <v>0</v>
      </c>
      <c r="R55" s="633">
        <v>0</v>
      </c>
      <c r="S55" s="633">
        <v>0</v>
      </c>
      <c r="T55" s="633">
        <v>0</v>
      </c>
      <c r="U55" s="635">
        <f t="shared" si="0"/>
        <v>0</v>
      </c>
      <c r="V55" s="635">
        <v>0</v>
      </c>
    </row>
    <row r="56" spans="1:22">
      <c r="A56" s="632" t="s">
        <v>196</v>
      </c>
      <c r="B56" s="632" t="s">
        <v>337</v>
      </c>
      <c r="C56" s="633" t="s">
        <v>1839</v>
      </c>
      <c r="D56" s="633" t="s">
        <v>1840</v>
      </c>
      <c r="E56" s="633" t="s">
        <v>1841</v>
      </c>
      <c r="F56" s="633"/>
      <c r="G56" s="634" t="s">
        <v>1842</v>
      </c>
      <c r="H56" s="634"/>
      <c r="I56" s="633">
        <v>1</v>
      </c>
      <c r="J56" s="633">
        <v>1</v>
      </c>
      <c r="K56" s="633">
        <v>1</v>
      </c>
      <c r="L56" s="633">
        <v>1</v>
      </c>
      <c r="M56" s="633">
        <v>1</v>
      </c>
      <c r="N56" s="633">
        <v>1</v>
      </c>
      <c r="O56" s="633">
        <v>1</v>
      </c>
      <c r="P56" s="633">
        <v>1</v>
      </c>
      <c r="Q56" s="633">
        <v>1</v>
      </c>
      <c r="R56" s="633">
        <v>1</v>
      </c>
      <c r="S56" s="633">
        <v>1</v>
      </c>
      <c r="T56" s="633">
        <v>1</v>
      </c>
      <c r="U56" s="635">
        <f t="shared" si="0"/>
        <v>1</v>
      </c>
      <c r="V56" s="635">
        <v>1</v>
      </c>
    </row>
    <row r="57" spans="1:22">
      <c r="A57" s="632" t="s">
        <v>196</v>
      </c>
      <c r="B57" s="632" t="s">
        <v>337</v>
      </c>
      <c r="C57" s="633" t="s">
        <v>1839</v>
      </c>
      <c r="D57" s="633" t="s">
        <v>1840</v>
      </c>
      <c r="E57" s="633" t="s">
        <v>1843</v>
      </c>
      <c r="F57" s="633"/>
      <c r="G57" s="634" t="s">
        <v>1844</v>
      </c>
      <c r="H57" s="634"/>
      <c r="I57" s="633">
        <v>1</v>
      </c>
      <c r="J57" s="633">
        <v>1</v>
      </c>
      <c r="K57" s="633">
        <v>1</v>
      </c>
      <c r="L57" s="633">
        <v>1</v>
      </c>
      <c r="M57" s="633">
        <v>1</v>
      </c>
      <c r="N57" s="633">
        <v>1</v>
      </c>
      <c r="O57" s="633">
        <v>1</v>
      </c>
      <c r="P57" s="633">
        <v>1</v>
      </c>
      <c r="Q57" s="633">
        <v>1</v>
      </c>
      <c r="R57" s="633">
        <v>1</v>
      </c>
      <c r="S57" s="633">
        <v>1</v>
      </c>
      <c r="T57" s="633">
        <v>1</v>
      </c>
      <c r="U57" s="635">
        <f t="shared" si="0"/>
        <v>1</v>
      </c>
      <c r="V57" s="635">
        <v>1</v>
      </c>
    </row>
    <row r="58" spans="1:22">
      <c r="A58" s="632" t="s">
        <v>196</v>
      </c>
      <c r="B58" s="632" t="s">
        <v>337</v>
      </c>
      <c r="C58" s="633" t="s">
        <v>1839</v>
      </c>
      <c r="D58" s="633" t="s">
        <v>1840</v>
      </c>
      <c r="E58" s="633" t="s">
        <v>1845</v>
      </c>
      <c r="F58" s="633"/>
      <c r="G58" s="634" t="s">
        <v>1846</v>
      </c>
      <c r="H58" s="634"/>
      <c r="I58" s="633">
        <v>1</v>
      </c>
      <c r="J58" s="633">
        <v>1</v>
      </c>
      <c r="K58" s="633">
        <v>1</v>
      </c>
      <c r="L58" s="633">
        <v>1</v>
      </c>
      <c r="M58" s="633">
        <v>1</v>
      </c>
      <c r="N58" s="633">
        <v>1</v>
      </c>
      <c r="O58" s="633">
        <v>1</v>
      </c>
      <c r="P58" s="633">
        <v>1</v>
      </c>
      <c r="Q58" s="633">
        <v>1</v>
      </c>
      <c r="R58" s="633">
        <v>1</v>
      </c>
      <c r="S58" s="633">
        <v>1</v>
      </c>
      <c r="T58" s="633">
        <v>1</v>
      </c>
      <c r="U58" s="635">
        <f t="shared" si="0"/>
        <v>1</v>
      </c>
      <c r="V58" s="635">
        <v>1</v>
      </c>
    </row>
    <row r="59" spans="1:22">
      <c r="A59" s="632" t="s">
        <v>196</v>
      </c>
      <c r="B59" s="632" t="s">
        <v>337</v>
      </c>
      <c r="C59" s="633" t="s">
        <v>1839</v>
      </c>
      <c r="D59" s="633" t="s">
        <v>1840</v>
      </c>
      <c r="E59" s="633" t="s">
        <v>1847</v>
      </c>
      <c r="F59" s="633"/>
      <c r="G59" s="634" t="s">
        <v>1848</v>
      </c>
      <c r="H59" s="634"/>
      <c r="I59" s="633">
        <v>4</v>
      </c>
      <c r="J59" s="633">
        <v>4</v>
      </c>
      <c r="K59" s="633">
        <v>4</v>
      </c>
      <c r="L59" s="633">
        <v>4</v>
      </c>
      <c r="M59" s="633">
        <v>4</v>
      </c>
      <c r="N59" s="633">
        <v>4</v>
      </c>
      <c r="O59" s="633">
        <v>4</v>
      </c>
      <c r="P59" s="633">
        <v>4</v>
      </c>
      <c r="Q59" s="633">
        <v>4</v>
      </c>
      <c r="R59" s="633">
        <v>4</v>
      </c>
      <c r="S59" s="633">
        <v>4</v>
      </c>
      <c r="T59" s="633">
        <v>4</v>
      </c>
      <c r="U59" s="635">
        <f t="shared" si="0"/>
        <v>4</v>
      </c>
      <c r="V59" s="635">
        <v>4</v>
      </c>
    </row>
    <row r="60" spans="1:22">
      <c r="A60" s="632" t="s">
        <v>196</v>
      </c>
      <c r="B60" s="632" t="s">
        <v>337</v>
      </c>
      <c r="C60" s="633" t="s">
        <v>1839</v>
      </c>
      <c r="D60" s="633" t="s">
        <v>1840</v>
      </c>
      <c r="E60" s="633" t="s">
        <v>1845</v>
      </c>
      <c r="F60" s="633"/>
      <c r="G60" s="634" t="s">
        <v>1846</v>
      </c>
      <c r="H60" s="634"/>
      <c r="I60" s="633">
        <v>1</v>
      </c>
      <c r="J60" s="633">
        <v>1</v>
      </c>
      <c r="K60" s="633">
        <v>1</v>
      </c>
      <c r="L60" s="633">
        <v>1</v>
      </c>
      <c r="M60" s="633">
        <v>1</v>
      </c>
      <c r="N60" s="633">
        <v>1</v>
      </c>
      <c r="O60" s="633">
        <v>1</v>
      </c>
      <c r="P60" s="633">
        <v>1</v>
      </c>
      <c r="Q60" s="633">
        <v>1</v>
      </c>
      <c r="R60" s="633">
        <v>1</v>
      </c>
      <c r="S60" s="633">
        <v>1</v>
      </c>
      <c r="T60" s="633">
        <v>1</v>
      </c>
      <c r="U60" s="635">
        <f t="shared" si="0"/>
        <v>1</v>
      </c>
      <c r="V60" s="635">
        <v>1</v>
      </c>
    </row>
    <row r="61" spans="1:22">
      <c r="A61" s="632" t="s">
        <v>196</v>
      </c>
      <c r="B61" s="632" t="s">
        <v>337</v>
      </c>
      <c r="C61" s="633" t="s">
        <v>1839</v>
      </c>
      <c r="D61" s="633" t="s">
        <v>1840</v>
      </c>
      <c r="E61" s="633" t="s">
        <v>1847</v>
      </c>
      <c r="F61" s="633"/>
      <c r="G61" s="634" t="s">
        <v>1848</v>
      </c>
      <c r="H61" s="634"/>
      <c r="I61" s="633">
        <v>3</v>
      </c>
      <c r="J61" s="633">
        <v>3</v>
      </c>
      <c r="K61" s="633">
        <v>3</v>
      </c>
      <c r="L61" s="633">
        <v>3</v>
      </c>
      <c r="M61" s="633">
        <v>3</v>
      </c>
      <c r="N61" s="633">
        <v>3</v>
      </c>
      <c r="O61" s="633">
        <v>3</v>
      </c>
      <c r="P61" s="633">
        <v>3</v>
      </c>
      <c r="Q61" s="633">
        <v>3</v>
      </c>
      <c r="R61" s="633">
        <v>3</v>
      </c>
      <c r="S61" s="633">
        <v>3</v>
      </c>
      <c r="T61" s="633">
        <v>3</v>
      </c>
      <c r="U61" s="635">
        <f t="shared" si="0"/>
        <v>3</v>
      </c>
      <c r="V61" s="635">
        <v>3</v>
      </c>
    </row>
    <row r="62" spans="1:22">
      <c r="A62" s="632" t="s">
        <v>196</v>
      </c>
      <c r="B62" s="632" t="s">
        <v>337</v>
      </c>
      <c r="C62" s="633" t="s">
        <v>1839</v>
      </c>
      <c r="D62" s="633" t="s">
        <v>1840</v>
      </c>
      <c r="E62" s="633" t="s">
        <v>1845</v>
      </c>
      <c r="F62" s="633"/>
      <c r="G62" s="634" t="s">
        <v>1846</v>
      </c>
      <c r="H62" s="634"/>
      <c r="I62" s="633">
        <v>1</v>
      </c>
      <c r="J62" s="633">
        <v>1</v>
      </c>
      <c r="K62" s="633">
        <v>1</v>
      </c>
      <c r="L62" s="633">
        <v>1</v>
      </c>
      <c r="M62" s="633">
        <v>1</v>
      </c>
      <c r="N62" s="633">
        <v>1</v>
      </c>
      <c r="O62" s="633">
        <v>1</v>
      </c>
      <c r="P62" s="633">
        <v>1</v>
      </c>
      <c r="Q62" s="633">
        <v>1</v>
      </c>
      <c r="R62" s="633">
        <v>1</v>
      </c>
      <c r="S62" s="633">
        <v>1</v>
      </c>
      <c r="T62" s="633">
        <v>1</v>
      </c>
      <c r="U62" s="635">
        <f t="shared" si="0"/>
        <v>1</v>
      </c>
      <c r="V62" s="635">
        <v>1</v>
      </c>
    </row>
    <row r="63" spans="1:22">
      <c r="A63" s="632" t="s">
        <v>196</v>
      </c>
      <c r="B63" s="632" t="s">
        <v>337</v>
      </c>
      <c r="C63" s="633" t="s">
        <v>1839</v>
      </c>
      <c r="D63" s="633" t="s">
        <v>1840</v>
      </c>
      <c r="E63" s="633" t="s">
        <v>1847</v>
      </c>
      <c r="F63" s="633"/>
      <c r="G63" s="634" t="s">
        <v>1848</v>
      </c>
      <c r="H63" s="634"/>
      <c r="I63" s="633">
        <v>5</v>
      </c>
      <c r="J63" s="633">
        <v>5</v>
      </c>
      <c r="K63" s="633">
        <v>5</v>
      </c>
      <c r="L63" s="633">
        <v>5</v>
      </c>
      <c r="M63" s="633">
        <v>5</v>
      </c>
      <c r="N63" s="633">
        <v>5</v>
      </c>
      <c r="O63" s="633">
        <v>5</v>
      </c>
      <c r="P63" s="633">
        <v>5</v>
      </c>
      <c r="Q63" s="633">
        <v>5</v>
      </c>
      <c r="R63" s="633">
        <v>5</v>
      </c>
      <c r="S63" s="633">
        <v>5</v>
      </c>
      <c r="T63" s="633">
        <v>5</v>
      </c>
      <c r="U63" s="635">
        <f t="shared" si="0"/>
        <v>5</v>
      </c>
      <c r="V63" s="635">
        <v>3</v>
      </c>
    </row>
    <row r="64" spans="1:22">
      <c r="A64" s="632" t="s">
        <v>196</v>
      </c>
      <c r="B64" s="632" t="s">
        <v>337</v>
      </c>
      <c r="C64" s="633" t="s">
        <v>1839</v>
      </c>
      <c r="D64" s="633" t="s">
        <v>1840</v>
      </c>
      <c r="E64" s="633" t="s">
        <v>1843</v>
      </c>
      <c r="F64" s="633"/>
      <c r="G64" s="634" t="s">
        <v>1844</v>
      </c>
      <c r="H64" s="634"/>
      <c r="I64" s="633">
        <v>1</v>
      </c>
      <c r="J64" s="633">
        <v>1</v>
      </c>
      <c r="K64" s="633">
        <v>1</v>
      </c>
      <c r="L64" s="633">
        <v>1</v>
      </c>
      <c r="M64" s="633">
        <v>1</v>
      </c>
      <c r="N64" s="633">
        <v>1</v>
      </c>
      <c r="O64" s="633">
        <v>1</v>
      </c>
      <c r="P64" s="633">
        <v>1</v>
      </c>
      <c r="Q64" s="633">
        <v>1</v>
      </c>
      <c r="R64" s="633">
        <v>1</v>
      </c>
      <c r="S64" s="633">
        <v>1</v>
      </c>
      <c r="T64" s="633">
        <v>1</v>
      </c>
      <c r="U64" s="635">
        <f t="shared" si="0"/>
        <v>1</v>
      </c>
      <c r="V64" s="635">
        <v>1</v>
      </c>
    </row>
    <row r="65" spans="1:22">
      <c r="A65" s="632" t="s">
        <v>196</v>
      </c>
      <c r="B65" s="632" t="s">
        <v>337</v>
      </c>
      <c r="C65" s="633" t="s">
        <v>1839</v>
      </c>
      <c r="D65" s="633" t="s">
        <v>1840</v>
      </c>
      <c r="E65" s="633" t="s">
        <v>1849</v>
      </c>
      <c r="F65" s="633"/>
      <c r="G65" s="634" t="s">
        <v>1846</v>
      </c>
      <c r="H65" s="634"/>
      <c r="I65" s="633">
        <v>1</v>
      </c>
      <c r="J65" s="633">
        <v>1</v>
      </c>
      <c r="K65" s="633">
        <v>1</v>
      </c>
      <c r="L65" s="633">
        <v>1</v>
      </c>
      <c r="M65" s="633">
        <v>1</v>
      </c>
      <c r="N65" s="633">
        <v>1</v>
      </c>
      <c r="O65" s="633">
        <v>1</v>
      </c>
      <c r="P65" s="633">
        <v>1</v>
      </c>
      <c r="Q65" s="633">
        <v>1</v>
      </c>
      <c r="R65" s="633">
        <v>1</v>
      </c>
      <c r="S65" s="633">
        <v>1</v>
      </c>
      <c r="T65" s="633">
        <v>1</v>
      </c>
      <c r="U65" s="635">
        <f t="shared" si="0"/>
        <v>1</v>
      </c>
      <c r="V65" s="635">
        <v>1</v>
      </c>
    </row>
    <row r="66" spans="1:22">
      <c r="A66" s="632" t="s">
        <v>196</v>
      </c>
      <c r="B66" s="632" t="s">
        <v>337</v>
      </c>
      <c r="C66" s="633" t="s">
        <v>1839</v>
      </c>
      <c r="D66" s="633" t="s">
        <v>1840</v>
      </c>
      <c r="E66" s="633" t="s">
        <v>1847</v>
      </c>
      <c r="F66" s="633"/>
      <c r="G66" s="634" t="s">
        <v>1848</v>
      </c>
      <c r="H66" s="634"/>
      <c r="I66" s="636">
        <v>6</v>
      </c>
      <c r="J66" s="636">
        <v>6</v>
      </c>
      <c r="K66" s="636">
        <v>6</v>
      </c>
      <c r="L66" s="636">
        <v>6</v>
      </c>
      <c r="M66" s="636">
        <v>6</v>
      </c>
      <c r="N66" s="636">
        <v>6</v>
      </c>
      <c r="O66" s="636">
        <v>6</v>
      </c>
      <c r="P66" s="636">
        <v>6</v>
      </c>
      <c r="Q66" s="636">
        <v>6</v>
      </c>
      <c r="R66" s="636">
        <v>6</v>
      </c>
      <c r="S66" s="636">
        <v>6</v>
      </c>
      <c r="T66" s="636">
        <v>6</v>
      </c>
      <c r="U66" s="637">
        <f t="shared" si="0"/>
        <v>6</v>
      </c>
      <c r="V66" s="635">
        <v>8</v>
      </c>
    </row>
    <row r="67" spans="1:22">
      <c r="A67" s="632" t="s">
        <v>196</v>
      </c>
      <c r="B67" s="632" t="s">
        <v>337</v>
      </c>
      <c r="C67" s="633" t="s">
        <v>1839</v>
      </c>
      <c r="D67" s="633" t="s">
        <v>1840</v>
      </c>
      <c r="E67" s="633" t="s">
        <v>1849</v>
      </c>
      <c r="F67" s="633"/>
      <c r="G67" s="634" t="s">
        <v>1846</v>
      </c>
      <c r="H67" s="634"/>
      <c r="I67" s="633">
        <v>1</v>
      </c>
      <c r="J67" s="633">
        <v>1</v>
      </c>
      <c r="K67" s="633">
        <v>1</v>
      </c>
      <c r="L67" s="633">
        <v>1</v>
      </c>
      <c r="M67" s="633">
        <v>1</v>
      </c>
      <c r="N67" s="633">
        <v>1</v>
      </c>
      <c r="O67" s="633">
        <v>1</v>
      </c>
      <c r="P67" s="633">
        <v>1</v>
      </c>
      <c r="Q67" s="633">
        <v>1</v>
      </c>
      <c r="R67" s="633">
        <v>1</v>
      </c>
      <c r="S67" s="633">
        <v>1</v>
      </c>
      <c r="T67" s="633">
        <v>1</v>
      </c>
      <c r="U67" s="635">
        <f t="shared" si="0"/>
        <v>1</v>
      </c>
      <c r="V67" s="635">
        <v>1</v>
      </c>
    </row>
    <row r="68" spans="1:22">
      <c r="A68" s="632" t="s">
        <v>196</v>
      </c>
      <c r="B68" s="632" t="s">
        <v>337</v>
      </c>
      <c r="C68" s="633" t="s">
        <v>1839</v>
      </c>
      <c r="D68" s="633" t="s">
        <v>1840</v>
      </c>
      <c r="E68" s="633" t="s">
        <v>1847</v>
      </c>
      <c r="F68" s="633"/>
      <c r="G68" s="634" t="s">
        <v>1848</v>
      </c>
      <c r="H68" s="634"/>
      <c r="I68" s="633">
        <v>3</v>
      </c>
      <c r="J68" s="633">
        <v>3</v>
      </c>
      <c r="K68" s="633">
        <v>3</v>
      </c>
      <c r="L68" s="633">
        <v>3</v>
      </c>
      <c r="M68" s="633">
        <v>3</v>
      </c>
      <c r="N68" s="633">
        <v>3</v>
      </c>
      <c r="O68" s="633">
        <v>3</v>
      </c>
      <c r="P68" s="633">
        <v>3</v>
      </c>
      <c r="Q68" s="633">
        <v>3</v>
      </c>
      <c r="R68" s="633">
        <v>3</v>
      </c>
      <c r="S68" s="633">
        <v>3</v>
      </c>
      <c r="T68" s="633">
        <v>3</v>
      </c>
      <c r="U68" s="635">
        <f t="shared" si="0"/>
        <v>3</v>
      </c>
      <c r="V68" s="635">
        <v>3</v>
      </c>
    </row>
    <row r="69" spans="1:22">
      <c r="A69" s="632" t="s">
        <v>196</v>
      </c>
      <c r="B69" s="632" t="s">
        <v>337</v>
      </c>
      <c r="C69" s="633" t="s">
        <v>1839</v>
      </c>
      <c r="D69" s="633" t="s">
        <v>1840</v>
      </c>
      <c r="E69" s="633" t="s">
        <v>1849</v>
      </c>
      <c r="F69" s="633"/>
      <c r="G69" s="634" t="s">
        <v>1846</v>
      </c>
      <c r="H69" s="634"/>
      <c r="I69" s="633">
        <v>1</v>
      </c>
      <c r="J69" s="633">
        <v>1</v>
      </c>
      <c r="K69" s="633">
        <v>1</v>
      </c>
      <c r="L69" s="633">
        <v>1</v>
      </c>
      <c r="M69" s="633">
        <v>1</v>
      </c>
      <c r="N69" s="633">
        <v>1</v>
      </c>
      <c r="O69" s="633">
        <v>1</v>
      </c>
      <c r="P69" s="633">
        <v>1</v>
      </c>
      <c r="Q69" s="633">
        <v>1</v>
      </c>
      <c r="R69" s="633">
        <v>1</v>
      </c>
      <c r="S69" s="633">
        <v>1</v>
      </c>
      <c r="T69" s="633">
        <v>1</v>
      </c>
      <c r="U69" s="635">
        <f t="shared" si="0"/>
        <v>1</v>
      </c>
      <c r="V69" s="635">
        <v>1</v>
      </c>
    </row>
    <row r="70" spans="1:22">
      <c r="A70" s="632" t="s">
        <v>196</v>
      </c>
      <c r="B70" s="632" t="s">
        <v>337</v>
      </c>
      <c r="C70" s="633" t="s">
        <v>1839</v>
      </c>
      <c r="D70" s="633" t="s">
        <v>1840</v>
      </c>
      <c r="E70" s="633" t="s">
        <v>1847</v>
      </c>
      <c r="F70" s="633"/>
      <c r="G70" s="634" t="s">
        <v>1848</v>
      </c>
      <c r="H70" s="634"/>
      <c r="I70" s="633">
        <v>6</v>
      </c>
      <c r="J70" s="633">
        <v>6</v>
      </c>
      <c r="K70" s="633">
        <v>6</v>
      </c>
      <c r="L70" s="633">
        <v>6</v>
      </c>
      <c r="M70" s="633">
        <v>6</v>
      </c>
      <c r="N70" s="633">
        <v>6</v>
      </c>
      <c r="O70" s="633">
        <v>6</v>
      </c>
      <c r="P70" s="633">
        <v>6</v>
      </c>
      <c r="Q70" s="633">
        <v>6</v>
      </c>
      <c r="R70" s="633">
        <v>6</v>
      </c>
      <c r="S70" s="633">
        <v>6</v>
      </c>
      <c r="T70" s="633">
        <v>6</v>
      </c>
      <c r="U70" s="635">
        <f t="shared" si="0"/>
        <v>6</v>
      </c>
      <c r="V70" s="635">
        <v>6</v>
      </c>
    </row>
    <row r="71" spans="1:22">
      <c r="A71" s="632" t="s">
        <v>196</v>
      </c>
      <c r="B71" s="632" t="s">
        <v>337</v>
      </c>
      <c r="C71" s="633" t="s">
        <v>1839</v>
      </c>
      <c r="D71" s="633" t="s">
        <v>1840</v>
      </c>
      <c r="E71" s="633" t="s">
        <v>1843</v>
      </c>
      <c r="F71" s="633"/>
      <c r="G71" s="634" t="s">
        <v>1842</v>
      </c>
      <c r="H71" s="634"/>
      <c r="I71" s="633">
        <v>1</v>
      </c>
      <c r="J71" s="633">
        <v>1</v>
      </c>
      <c r="K71" s="633">
        <v>1</v>
      </c>
      <c r="L71" s="633">
        <v>1</v>
      </c>
      <c r="M71" s="633">
        <v>1</v>
      </c>
      <c r="N71" s="633">
        <v>1</v>
      </c>
      <c r="O71" s="633">
        <v>1</v>
      </c>
      <c r="P71" s="633">
        <v>1</v>
      </c>
      <c r="Q71" s="633">
        <v>1</v>
      </c>
      <c r="R71" s="633">
        <v>1</v>
      </c>
      <c r="S71" s="633">
        <v>1</v>
      </c>
      <c r="T71" s="633">
        <v>1</v>
      </c>
      <c r="U71" s="635">
        <f t="shared" si="0"/>
        <v>1</v>
      </c>
      <c r="V71" s="635">
        <v>1</v>
      </c>
    </row>
    <row r="72" spans="1:22">
      <c r="A72" s="632" t="s">
        <v>196</v>
      </c>
      <c r="B72" s="632" t="s">
        <v>337</v>
      </c>
      <c r="C72" s="633" t="s">
        <v>1839</v>
      </c>
      <c r="D72" s="633" t="s">
        <v>1840</v>
      </c>
      <c r="E72" s="633" t="s">
        <v>1849</v>
      </c>
      <c r="F72" s="633"/>
      <c r="G72" s="634" t="s">
        <v>1846</v>
      </c>
      <c r="H72" s="634"/>
      <c r="I72" s="633">
        <v>1</v>
      </c>
      <c r="J72" s="633">
        <v>1</v>
      </c>
      <c r="K72" s="633">
        <v>1</v>
      </c>
      <c r="L72" s="633">
        <v>1</v>
      </c>
      <c r="M72" s="633">
        <v>1</v>
      </c>
      <c r="N72" s="633">
        <v>1</v>
      </c>
      <c r="O72" s="633">
        <v>1</v>
      </c>
      <c r="P72" s="633">
        <v>1</v>
      </c>
      <c r="Q72" s="633">
        <v>1</v>
      </c>
      <c r="R72" s="633">
        <v>1</v>
      </c>
      <c r="S72" s="633">
        <v>1</v>
      </c>
      <c r="T72" s="633">
        <v>1</v>
      </c>
      <c r="U72" s="635">
        <f t="shared" si="0"/>
        <v>1</v>
      </c>
      <c r="V72" s="635">
        <v>1</v>
      </c>
    </row>
    <row r="73" spans="1:22">
      <c r="A73" s="632" t="s">
        <v>196</v>
      </c>
      <c r="B73" s="632" t="s">
        <v>337</v>
      </c>
      <c r="C73" s="633" t="s">
        <v>1839</v>
      </c>
      <c r="D73" s="633" t="s">
        <v>1840</v>
      </c>
      <c r="E73" s="633" t="s">
        <v>1847</v>
      </c>
      <c r="F73" s="633"/>
      <c r="G73" s="634" t="s">
        <v>1848</v>
      </c>
      <c r="H73" s="634"/>
      <c r="I73" s="633">
        <v>7</v>
      </c>
      <c r="J73" s="633">
        <v>7</v>
      </c>
      <c r="K73" s="633">
        <v>7</v>
      </c>
      <c r="L73" s="633">
        <v>7</v>
      </c>
      <c r="M73" s="633">
        <v>7</v>
      </c>
      <c r="N73" s="633">
        <v>7</v>
      </c>
      <c r="O73" s="633">
        <v>7</v>
      </c>
      <c r="P73" s="633">
        <v>7</v>
      </c>
      <c r="Q73" s="633">
        <v>7</v>
      </c>
      <c r="R73" s="633">
        <v>7</v>
      </c>
      <c r="S73" s="633">
        <v>7</v>
      </c>
      <c r="T73" s="633">
        <v>7</v>
      </c>
      <c r="U73" s="635">
        <f t="shared" si="0"/>
        <v>7</v>
      </c>
      <c r="V73" s="635">
        <v>7</v>
      </c>
    </row>
    <row r="74" spans="1:22">
      <c r="A74" s="632" t="s">
        <v>196</v>
      </c>
      <c r="B74" s="632" t="s">
        <v>337</v>
      </c>
      <c r="C74" s="633" t="s">
        <v>1839</v>
      </c>
      <c r="D74" s="633" t="s">
        <v>1840</v>
      </c>
      <c r="E74" s="633" t="s">
        <v>1845</v>
      </c>
      <c r="F74" s="633"/>
      <c r="G74" s="634" t="s">
        <v>1846</v>
      </c>
      <c r="H74" s="634"/>
      <c r="I74" s="633">
        <v>1</v>
      </c>
      <c r="J74" s="633">
        <v>1</v>
      </c>
      <c r="K74" s="633">
        <v>1</v>
      </c>
      <c r="L74" s="633">
        <v>1</v>
      </c>
      <c r="M74" s="633">
        <v>1</v>
      </c>
      <c r="N74" s="633">
        <v>1</v>
      </c>
      <c r="O74" s="633">
        <v>1</v>
      </c>
      <c r="P74" s="633">
        <v>1</v>
      </c>
      <c r="Q74" s="633">
        <v>1</v>
      </c>
      <c r="R74" s="633">
        <v>1</v>
      </c>
      <c r="S74" s="633">
        <v>1</v>
      </c>
      <c r="T74" s="633">
        <v>1</v>
      </c>
      <c r="U74" s="635">
        <f t="shared" si="0"/>
        <v>1</v>
      </c>
      <c r="V74" s="635">
        <v>1</v>
      </c>
    </row>
    <row r="75" spans="1:22">
      <c r="A75" s="632" t="s">
        <v>196</v>
      </c>
      <c r="B75" s="632" t="s">
        <v>337</v>
      </c>
      <c r="C75" s="633" t="s">
        <v>1839</v>
      </c>
      <c r="D75" s="633" t="s">
        <v>1840</v>
      </c>
      <c r="E75" s="633" t="s">
        <v>1847</v>
      </c>
      <c r="F75" s="633"/>
      <c r="G75" s="634" t="s">
        <v>1848</v>
      </c>
      <c r="H75" s="634"/>
      <c r="I75" s="633">
        <v>4</v>
      </c>
      <c r="J75" s="633">
        <v>4</v>
      </c>
      <c r="K75" s="633">
        <v>4</v>
      </c>
      <c r="L75" s="633">
        <v>4</v>
      </c>
      <c r="M75" s="633">
        <v>4</v>
      </c>
      <c r="N75" s="633">
        <v>4</v>
      </c>
      <c r="O75" s="633">
        <v>4</v>
      </c>
      <c r="P75" s="633">
        <v>4</v>
      </c>
      <c r="Q75" s="633">
        <v>4</v>
      </c>
      <c r="R75" s="633">
        <v>4</v>
      </c>
      <c r="S75" s="633">
        <v>4</v>
      </c>
      <c r="T75" s="633">
        <v>4</v>
      </c>
      <c r="U75" s="635">
        <f t="shared" ref="U75:U84" si="1">AVERAGE(I75:T75)</f>
        <v>4</v>
      </c>
      <c r="V75" s="635">
        <v>3</v>
      </c>
    </row>
    <row r="76" spans="1:22">
      <c r="A76" s="632" t="s">
        <v>196</v>
      </c>
      <c r="B76" s="632" t="s">
        <v>337</v>
      </c>
      <c r="C76" s="633" t="s">
        <v>1839</v>
      </c>
      <c r="D76" s="633" t="s">
        <v>1840</v>
      </c>
      <c r="E76" s="633" t="s">
        <v>1845</v>
      </c>
      <c r="F76" s="633"/>
      <c r="G76" s="634" t="s">
        <v>1846</v>
      </c>
      <c r="H76" s="634"/>
      <c r="I76" s="633">
        <v>1</v>
      </c>
      <c r="J76" s="633">
        <v>1</v>
      </c>
      <c r="K76" s="633">
        <v>1</v>
      </c>
      <c r="L76" s="633">
        <v>1</v>
      </c>
      <c r="M76" s="633">
        <v>1</v>
      </c>
      <c r="N76" s="633">
        <v>1</v>
      </c>
      <c r="O76" s="633">
        <v>1</v>
      </c>
      <c r="P76" s="633">
        <v>1</v>
      </c>
      <c r="Q76" s="633">
        <v>1</v>
      </c>
      <c r="R76" s="633">
        <v>1</v>
      </c>
      <c r="S76" s="633">
        <v>1</v>
      </c>
      <c r="T76" s="633">
        <v>1</v>
      </c>
      <c r="U76" s="635">
        <f t="shared" si="1"/>
        <v>1</v>
      </c>
      <c r="V76" s="635">
        <v>1</v>
      </c>
    </row>
    <row r="77" spans="1:22">
      <c r="A77" s="632" t="s">
        <v>196</v>
      </c>
      <c r="B77" s="632" t="s">
        <v>337</v>
      </c>
      <c r="C77" s="633" t="s">
        <v>1839</v>
      </c>
      <c r="D77" s="633" t="s">
        <v>1840</v>
      </c>
      <c r="E77" s="633" t="s">
        <v>1847</v>
      </c>
      <c r="F77" s="633"/>
      <c r="G77" s="634" t="s">
        <v>1848</v>
      </c>
      <c r="H77" s="634"/>
      <c r="I77" s="633">
        <v>3</v>
      </c>
      <c r="J77" s="633">
        <v>3</v>
      </c>
      <c r="K77" s="633">
        <v>3</v>
      </c>
      <c r="L77" s="633">
        <v>3</v>
      </c>
      <c r="M77" s="633">
        <v>3</v>
      </c>
      <c r="N77" s="633">
        <v>3</v>
      </c>
      <c r="O77" s="633">
        <v>3</v>
      </c>
      <c r="P77" s="633">
        <v>3</v>
      </c>
      <c r="Q77" s="633">
        <v>3</v>
      </c>
      <c r="R77" s="633">
        <v>3</v>
      </c>
      <c r="S77" s="633">
        <v>3</v>
      </c>
      <c r="T77" s="633">
        <v>3</v>
      </c>
      <c r="U77" s="635">
        <f t="shared" si="1"/>
        <v>3</v>
      </c>
      <c r="V77" s="635">
        <v>3</v>
      </c>
    </row>
    <row r="78" spans="1:22">
      <c r="A78" s="632" t="s">
        <v>196</v>
      </c>
      <c r="B78" s="632" t="s">
        <v>337</v>
      </c>
      <c r="C78" s="633" t="s">
        <v>1839</v>
      </c>
      <c r="D78" s="633" t="s">
        <v>1840</v>
      </c>
      <c r="E78" s="633" t="s">
        <v>1845</v>
      </c>
      <c r="F78" s="633"/>
      <c r="G78" s="634" t="s">
        <v>1846</v>
      </c>
      <c r="H78" s="634"/>
      <c r="I78" s="633">
        <v>1</v>
      </c>
      <c r="J78" s="633">
        <v>1</v>
      </c>
      <c r="K78" s="633">
        <v>1</v>
      </c>
      <c r="L78" s="633">
        <v>1</v>
      </c>
      <c r="M78" s="633">
        <v>1</v>
      </c>
      <c r="N78" s="633">
        <v>1</v>
      </c>
      <c r="O78" s="633">
        <v>1</v>
      </c>
      <c r="P78" s="633">
        <v>1</v>
      </c>
      <c r="Q78" s="633">
        <v>1</v>
      </c>
      <c r="R78" s="633">
        <v>1</v>
      </c>
      <c r="S78" s="633">
        <v>1</v>
      </c>
      <c r="T78" s="633">
        <v>1</v>
      </c>
      <c r="U78" s="635">
        <f t="shared" si="1"/>
        <v>1</v>
      </c>
      <c r="V78" s="635">
        <v>1</v>
      </c>
    </row>
    <row r="79" spans="1:22">
      <c r="A79" s="632" t="s">
        <v>196</v>
      </c>
      <c r="B79" s="632" t="s">
        <v>337</v>
      </c>
      <c r="C79" s="633" t="s">
        <v>1839</v>
      </c>
      <c r="D79" s="633" t="s">
        <v>1840</v>
      </c>
      <c r="E79" s="633" t="s">
        <v>1847</v>
      </c>
      <c r="F79" s="633"/>
      <c r="G79" s="634" t="s">
        <v>1848</v>
      </c>
      <c r="H79" s="634"/>
      <c r="I79" s="633">
        <v>3</v>
      </c>
      <c r="J79" s="633">
        <v>3</v>
      </c>
      <c r="K79" s="633">
        <v>3</v>
      </c>
      <c r="L79" s="633">
        <v>3</v>
      </c>
      <c r="M79" s="633">
        <v>3</v>
      </c>
      <c r="N79" s="633">
        <v>3</v>
      </c>
      <c r="O79" s="633">
        <v>3</v>
      </c>
      <c r="P79" s="633">
        <v>3</v>
      </c>
      <c r="Q79" s="633">
        <v>3</v>
      </c>
      <c r="R79" s="633">
        <v>3</v>
      </c>
      <c r="S79" s="633">
        <v>3</v>
      </c>
      <c r="T79" s="633">
        <v>3</v>
      </c>
      <c r="U79" s="635">
        <f t="shared" si="1"/>
        <v>3</v>
      </c>
      <c r="V79" s="635">
        <v>3</v>
      </c>
    </row>
    <row r="80" spans="1:22">
      <c r="A80" s="632" t="s">
        <v>196</v>
      </c>
      <c r="B80" s="632" t="s">
        <v>337</v>
      </c>
      <c r="C80" s="633" t="s">
        <v>1839</v>
      </c>
      <c r="D80" s="633" t="s">
        <v>1840</v>
      </c>
      <c r="E80" s="633" t="s">
        <v>1843</v>
      </c>
      <c r="F80" s="633"/>
      <c r="G80" s="634" t="s">
        <v>1842</v>
      </c>
      <c r="H80" s="634"/>
      <c r="I80" s="633">
        <v>1</v>
      </c>
      <c r="J80" s="633">
        <v>1</v>
      </c>
      <c r="K80" s="633">
        <v>1</v>
      </c>
      <c r="L80" s="633">
        <v>1</v>
      </c>
      <c r="M80" s="633">
        <v>1</v>
      </c>
      <c r="N80" s="633">
        <v>1</v>
      </c>
      <c r="O80" s="633">
        <v>1</v>
      </c>
      <c r="P80" s="633">
        <v>1</v>
      </c>
      <c r="Q80" s="633">
        <v>1</v>
      </c>
      <c r="R80" s="633">
        <v>1</v>
      </c>
      <c r="S80" s="633">
        <v>1</v>
      </c>
      <c r="T80" s="633">
        <v>1</v>
      </c>
      <c r="U80" s="635">
        <f t="shared" si="1"/>
        <v>1</v>
      </c>
      <c r="V80" s="635">
        <v>1</v>
      </c>
    </row>
    <row r="81" spans="1:22">
      <c r="A81" s="632" t="s">
        <v>196</v>
      </c>
      <c r="B81" s="632" t="s">
        <v>337</v>
      </c>
      <c r="C81" s="633" t="s">
        <v>1839</v>
      </c>
      <c r="D81" s="633" t="s">
        <v>1840</v>
      </c>
      <c r="E81" s="633" t="s">
        <v>1845</v>
      </c>
      <c r="F81" s="633"/>
      <c r="G81" s="634" t="s">
        <v>1846</v>
      </c>
      <c r="H81" s="634"/>
      <c r="I81" s="633">
        <v>1</v>
      </c>
      <c r="J81" s="633">
        <v>1</v>
      </c>
      <c r="K81" s="633">
        <v>1</v>
      </c>
      <c r="L81" s="633">
        <v>1</v>
      </c>
      <c r="M81" s="633">
        <v>1</v>
      </c>
      <c r="N81" s="633">
        <v>1</v>
      </c>
      <c r="O81" s="633">
        <v>1</v>
      </c>
      <c r="P81" s="633">
        <v>1</v>
      </c>
      <c r="Q81" s="633">
        <v>1</v>
      </c>
      <c r="R81" s="633">
        <v>1</v>
      </c>
      <c r="S81" s="633">
        <v>1</v>
      </c>
      <c r="T81" s="633">
        <v>1</v>
      </c>
      <c r="U81" s="635">
        <f t="shared" si="1"/>
        <v>1</v>
      </c>
      <c r="V81" s="635">
        <v>1</v>
      </c>
    </row>
    <row r="82" spans="1:22">
      <c r="A82" s="632" t="s">
        <v>196</v>
      </c>
      <c r="B82" s="632" t="s">
        <v>337</v>
      </c>
      <c r="C82" s="633" t="s">
        <v>1839</v>
      </c>
      <c r="D82" s="633" t="s">
        <v>1840</v>
      </c>
      <c r="E82" s="633" t="s">
        <v>1847</v>
      </c>
      <c r="F82" s="633"/>
      <c r="G82" s="634" t="s">
        <v>1848</v>
      </c>
      <c r="H82" s="634"/>
      <c r="I82" s="633">
        <v>1</v>
      </c>
      <c r="J82" s="633">
        <v>1</v>
      </c>
      <c r="K82" s="633">
        <v>1</v>
      </c>
      <c r="L82" s="633">
        <v>1</v>
      </c>
      <c r="M82" s="633">
        <v>1</v>
      </c>
      <c r="N82" s="633">
        <v>1</v>
      </c>
      <c r="O82" s="633">
        <v>1</v>
      </c>
      <c r="P82" s="633">
        <v>1</v>
      </c>
      <c r="Q82" s="633">
        <v>1</v>
      </c>
      <c r="R82" s="633">
        <v>1</v>
      </c>
      <c r="S82" s="633">
        <v>1</v>
      </c>
      <c r="T82" s="633">
        <v>1</v>
      </c>
      <c r="U82" s="635">
        <f t="shared" si="1"/>
        <v>1</v>
      </c>
      <c r="V82" s="635">
        <v>1</v>
      </c>
    </row>
    <row r="83" spans="1:22">
      <c r="A83" s="632" t="s">
        <v>196</v>
      </c>
      <c r="B83" s="632" t="s">
        <v>337</v>
      </c>
      <c r="C83" s="633" t="s">
        <v>1839</v>
      </c>
      <c r="D83" s="633" t="s">
        <v>1840</v>
      </c>
      <c r="E83" s="633" t="s">
        <v>1845</v>
      </c>
      <c r="F83" s="633"/>
      <c r="G83" s="634" t="s">
        <v>1846</v>
      </c>
      <c r="H83" s="634"/>
      <c r="I83" s="633">
        <v>1</v>
      </c>
      <c r="J83" s="633">
        <v>1</v>
      </c>
      <c r="K83" s="633">
        <v>1</v>
      </c>
      <c r="L83" s="633">
        <v>1</v>
      </c>
      <c r="M83" s="633">
        <v>1</v>
      </c>
      <c r="N83" s="633">
        <v>1</v>
      </c>
      <c r="O83" s="633">
        <v>1</v>
      </c>
      <c r="P83" s="633">
        <v>1</v>
      </c>
      <c r="Q83" s="633">
        <v>1</v>
      </c>
      <c r="R83" s="633">
        <v>1</v>
      </c>
      <c r="S83" s="633">
        <v>1</v>
      </c>
      <c r="T83" s="633">
        <v>1</v>
      </c>
      <c r="U83" s="635">
        <f t="shared" si="1"/>
        <v>1</v>
      </c>
      <c r="V83" s="635">
        <v>1</v>
      </c>
    </row>
    <row r="84" spans="1:22">
      <c r="A84" s="632" t="s">
        <v>196</v>
      </c>
      <c r="B84" s="632" t="s">
        <v>337</v>
      </c>
      <c r="C84" s="633" t="s">
        <v>1839</v>
      </c>
      <c r="D84" s="633" t="s">
        <v>1840</v>
      </c>
      <c r="E84" s="633" t="s">
        <v>1847</v>
      </c>
      <c r="F84" s="633"/>
      <c r="G84" s="634" t="s">
        <v>1848</v>
      </c>
      <c r="H84" s="634"/>
      <c r="I84" s="633">
        <v>4</v>
      </c>
      <c r="J84" s="633">
        <v>4</v>
      </c>
      <c r="K84" s="633">
        <v>4</v>
      </c>
      <c r="L84" s="633">
        <v>4</v>
      </c>
      <c r="M84" s="633">
        <v>4</v>
      </c>
      <c r="N84" s="633">
        <v>4</v>
      </c>
      <c r="O84" s="633">
        <v>4</v>
      </c>
      <c r="P84" s="633">
        <v>4</v>
      </c>
      <c r="Q84" s="633">
        <v>4</v>
      </c>
      <c r="R84" s="633">
        <v>4</v>
      </c>
      <c r="S84" s="633">
        <v>4</v>
      </c>
      <c r="T84" s="633">
        <v>4</v>
      </c>
      <c r="U84" s="635">
        <f t="shared" si="1"/>
        <v>4</v>
      </c>
      <c r="V84" s="635">
        <v>4</v>
      </c>
    </row>
    <row r="85" spans="1:22">
      <c r="A85" s="632" t="s">
        <v>196</v>
      </c>
      <c r="B85" s="632" t="s">
        <v>337</v>
      </c>
      <c r="C85" s="633" t="s">
        <v>1839</v>
      </c>
      <c r="D85" s="633" t="s">
        <v>1840</v>
      </c>
      <c r="E85" s="633" t="s">
        <v>1845</v>
      </c>
      <c r="F85" s="633"/>
      <c r="G85" s="634" t="s">
        <v>1846</v>
      </c>
      <c r="H85" s="634"/>
      <c r="I85" s="633"/>
      <c r="J85" s="633"/>
      <c r="K85" s="633"/>
      <c r="L85" s="633"/>
      <c r="M85" s="633"/>
      <c r="N85" s="633"/>
      <c r="O85" s="633"/>
      <c r="P85" s="633"/>
      <c r="Q85" s="633"/>
      <c r="R85" s="633"/>
      <c r="S85" s="633"/>
      <c r="T85" s="633"/>
      <c r="U85" s="635">
        <v>0</v>
      </c>
      <c r="V85" s="635"/>
    </row>
    <row r="86" spans="1:22">
      <c r="A86" s="632" t="s">
        <v>196</v>
      </c>
      <c r="B86" s="632" t="s">
        <v>337</v>
      </c>
      <c r="C86" s="633" t="s">
        <v>1839</v>
      </c>
      <c r="D86" s="633" t="s">
        <v>1840</v>
      </c>
      <c r="E86" s="633" t="s">
        <v>1847</v>
      </c>
      <c r="F86" s="633"/>
      <c r="G86" s="634" t="s">
        <v>1848</v>
      </c>
      <c r="H86" s="634"/>
      <c r="I86" s="633">
        <v>1</v>
      </c>
      <c r="J86" s="633">
        <v>1</v>
      </c>
      <c r="K86" s="633">
        <v>1</v>
      </c>
      <c r="L86" s="633">
        <v>1</v>
      </c>
      <c r="M86" s="633">
        <v>1</v>
      </c>
      <c r="N86" s="633">
        <v>1</v>
      </c>
      <c r="O86" s="633">
        <v>1</v>
      </c>
      <c r="P86" s="633">
        <v>1</v>
      </c>
      <c r="Q86" s="633">
        <v>1</v>
      </c>
      <c r="R86" s="633">
        <v>1</v>
      </c>
      <c r="S86" s="633">
        <v>1</v>
      </c>
      <c r="T86" s="633">
        <v>1</v>
      </c>
      <c r="U86" s="635">
        <f t="shared" ref="U86:U94" si="2">AVERAGE(I86:T86)</f>
        <v>1</v>
      </c>
      <c r="V86" s="635">
        <v>1</v>
      </c>
    </row>
    <row r="87" spans="1:22">
      <c r="A87" s="632" t="s">
        <v>196</v>
      </c>
      <c r="B87" s="632" t="s">
        <v>337</v>
      </c>
      <c r="C87" s="633" t="s">
        <v>1839</v>
      </c>
      <c r="D87" s="633" t="s">
        <v>1840</v>
      </c>
      <c r="E87" s="633" t="s">
        <v>1845</v>
      </c>
      <c r="F87" s="633"/>
      <c r="G87" s="634" t="s">
        <v>1846</v>
      </c>
      <c r="H87" s="634"/>
      <c r="I87" s="633">
        <v>1</v>
      </c>
      <c r="J87" s="633">
        <v>1</v>
      </c>
      <c r="K87" s="633">
        <v>1</v>
      </c>
      <c r="L87" s="633">
        <v>1</v>
      </c>
      <c r="M87" s="633">
        <v>1</v>
      </c>
      <c r="N87" s="633">
        <v>1</v>
      </c>
      <c r="O87" s="633">
        <v>1</v>
      </c>
      <c r="P87" s="633">
        <v>1</v>
      </c>
      <c r="Q87" s="633">
        <v>1</v>
      </c>
      <c r="R87" s="633">
        <v>1</v>
      </c>
      <c r="S87" s="633">
        <v>1</v>
      </c>
      <c r="T87" s="633">
        <v>1</v>
      </c>
      <c r="U87" s="635">
        <f t="shared" si="2"/>
        <v>1</v>
      </c>
      <c r="V87" s="635">
        <v>1</v>
      </c>
    </row>
    <row r="88" spans="1:22">
      <c r="A88" s="632" t="s">
        <v>196</v>
      </c>
      <c r="B88" s="632" t="s">
        <v>337</v>
      </c>
      <c r="C88" s="633" t="s">
        <v>1839</v>
      </c>
      <c r="D88" s="633" t="s">
        <v>1840</v>
      </c>
      <c r="E88" s="633" t="s">
        <v>1847</v>
      </c>
      <c r="F88" s="633"/>
      <c r="G88" s="634" t="s">
        <v>1848</v>
      </c>
      <c r="H88" s="634"/>
      <c r="I88" s="633"/>
      <c r="J88" s="633"/>
      <c r="K88" s="633"/>
      <c r="L88" s="633"/>
      <c r="M88" s="633"/>
      <c r="N88" s="633"/>
      <c r="O88" s="633"/>
      <c r="P88" s="633"/>
      <c r="Q88" s="633"/>
      <c r="R88" s="633"/>
      <c r="S88" s="633"/>
      <c r="T88" s="633"/>
      <c r="U88" s="635">
        <v>0</v>
      </c>
      <c r="V88" s="635"/>
    </row>
    <row r="89" spans="1:22">
      <c r="A89" s="632" t="s">
        <v>196</v>
      </c>
      <c r="B89" s="632" t="s">
        <v>337</v>
      </c>
      <c r="C89" s="633" t="s">
        <v>1839</v>
      </c>
      <c r="D89" s="633" t="s">
        <v>1840</v>
      </c>
      <c r="E89" s="633" t="s">
        <v>1843</v>
      </c>
      <c r="F89" s="633"/>
      <c r="G89" s="634" t="s">
        <v>1844</v>
      </c>
      <c r="H89" s="634"/>
      <c r="I89" s="633">
        <v>1</v>
      </c>
      <c r="J89" s="633">
        <v>1</v>
      </c>
      <c r="K89" s="633">
        <v>1</v>
      </c>
      <c r="L89" s="633">
        <v>1</v>
      </c>
      <c r="M89" s="633">
        <v>1</v>
      </c>
      <c r="N89" s="633">
        <v>1</v>
      </c>
      <c r="O89" s="633">
        <v>1</v>
      </c>
      <c r="P89" s="633">
        <v>1</v>
      </c>
      <c r="Q89" s="633">
        <v>1</v>
      </c>
      <c r="R89" s="633">
        <v>1</v>
      </c>
      <c r="S89" s="633">
        <v>1</v>
      </c>
      <c r="T89" s="633">
        <v>1</v>
      </c>
      <c r="U89" s="635">
        <f t="shared" si="2"/>
        <v>1</v>
      </c>
      <c r="V89" s="635">
        <v>1</v>
      </c>
    </row>
    <row r="90" spans="1:22">
      <c r="A90" s="632" t="s">
        <v>196</v>
      </c>
      <c r="B90" s="632" t="s">
        <v>337</v>
      </c>
      <c r="C90" s="633" t="s">
        <v>1839</v>
      </c>
      <c r="D90" s="633" t="s">
        <v>1840</v>
      </c>
      <c r="E90" s="633" t="s">
        <v>1849</v>
      </c>
      <c r="F90" s="633"/>
      <c r="G90" s="634" t="s">
        <v>1846</v>
      </c>
      <c r="H90" s="634"/>
      <c r="I90" s="633">
        <v>1</v>
      </c>
      <c r="J90" s="633">
        <v>1</v>
      </c>
      <c r="K90" s="633">
        <v>1</v>
      </c>
      <c r="L90" s="633">
        <v>1</v>
      </c>
      <c r="M90" s="633">
        <v>1</v>
      </c>
      <c r="N90" s="633">
        <v>1</v>
      </c>
      <c r="O90" s="633">
        <v>1</v>
      </c>
      <c r="P90" s="633">
        <v>1</v>
      </c>
      <c r="Q90" s="633">
        <v>1</v>
      </c>
      <c r="R90" s="633">
        <v>1</v>
      </c>
      <c r="S90" s="633">
        <v>1</v>
      </c>
      <c r="T90" s="633">
        <v>1</v>
      </c>
      <c r="U90" s="635">
        <f t="shared" si="2"/>
        <v>1</v>
      </c>
      <c r="V90" s="635">
        <v>1</v>
      </c>
    </row>
    <row r="91" spans="1:22">
      <c r="A91" s="632" t="s">
        <v>196</v>
      </c>
      <c r="B91" s="632" t="s">
        <v>337</v>
      </c>
      <c r="C91" s="633" t="s">
        <v>1839</v>
      </c>
      <c r="D91" s="633" t="s">
        <v>1840</v>
      </c>
      <c r="E91" s="633" t="s">
        <v>1847</v>
      </c>
      <c r="F91" s="633"/>
      <c r="G91" s="634" t="s">
        <v>1848</v>
      </c>
      <c r="H91" s="634"/>
      <c r="I91" s="633">
        <v>3</v>
      </c>
      <c r="J91" s="633">
        <v>3</v>
      </c>
      <c r="K91" s="633">
        <v>3</v>
      </c>
      <c r="L91" s="633">
        <v>3</v>
      </c>
      <c r="M91" s="633">
        <v>3</v>
      </c>
      <c r="N91" s="633">
        <v>3</v>
      </c>
      <c r="O91" s="633">
        <v>3</v>
      </c>
      <c r="P91" s="633">
        <v>3</v>
      </c>
      <c r="Q91" s="633">
        <v>3</v>
      </c>
      <c r="R91" s="633">
        <v>3</v>
      </c>
      <c r="S91" s="633">
        <v>3</v>
      </c>
      <c r="T91" s="633">
        <v>3</v>
      </c>
      <c r="U91" s="635">
        <f t="shared" si="2"/>
        <v>3</v>
      </c>
      <c r="V91" s="635">
        <v>3</v>
      </c>
    </row>
    <row r="92" spans="1:22">
      <c r="A92" s="632" t="s">
        <v>196</v>
      </c>
      <c r="B92" s="632" t="s">
        <v>337</v>
      </c>
      <c r="C92" s="633" t="s">
        <v>1839</v>
      </c>
      <c r="D92" s="633" t="s">
        <v>1840</v>
      </c>
      <c r="E92" s="633" t="s">
        <v>1849</v>
      </c>
      <c r="F92" s="633"/>
      <c r="G92" s="634" t="s">
        <v>1846</v>
      </c>
      <c r="H92" s="634"/>
      <c r="I92" s="633">
        <v>1</v>
      </c>
      <c r="J92" s="633">
        <v>1</v>
      </c>
      <c r="K92" s="633">
        <v>1</v>
      </c>
      <c r="L92" s="633">
        <v>1</v>
      </c>
      <c r="M92" s="633">
        <v>1</v>
      </c>
      <c r="N92" s="633">
        <v>1</v>
      </c>
      <c r="O92" s="633">
        <v>1</v>
      </c>
      <c r="P92" s="633">
        <v>1</v>
      </c>
      <c r="Q92" s="633">
        <v>1</v>
      </c>
      <c r="R92" s="633">
        <v>1</v>
      </c>
      <c r="S92" s="633">
        <v>1</v>
      </c>
      <c r="T92" s="633">
        <v>1</v>
      </c>
      <c r="U92" s="635">
        <f t="shared" si="2"/>
        <v>1</v>
      </c>
      <c r="V92" s="635">
        <v>1</v>
      </c>
    </row>
    <row r="93" spans="1:22">
      <c r="A93" s="632" t="s">
        <v>196</v>
      </c>
      <c r="B93" s="632" t="s">
        <v>337</v>
      </c>
      <c r="C93" s="633" t="s">
        <v>1839</v>
      </c>
      <c r="D93" s="633" t="s">
        <v>1840</v>
      </c>
      <c r="E93" s="633" t="s">
        <v>1847</v>
      </c>
      <c r="F93" s="633"/>
      <c r="G93" s="634" t="s">
        <v>1848</v>
      </c>
      <c r="H93" s="634"/>
      <c r="I93" s="633">
        <v>3</v>
      </c>
      <c r="J93" s="633">
        <v>3</v>
      </c>
      <c r="K93" s="633">
        <v>3</v>
      </c>
      <c r="L93" s="633">
        <v>3</v>
      </c>
      <c r="M93" s="633">
        <v>3</v>
      </c>
      <c r="N93" s="633">
        <v>3</v>
      </c>
      <c r="O93" s="633">
        <v>3</v>
      </c>
      <c r="P93" s="633">
        <v>3</v>
      </c>
      <c r="Q93" s="633">
        <v>3</v>
      </c>
      <c r="R93" s="633">
        <v>3</v>
      </c>
      <c r="S93" s="633">
        <v>3</v>
      </c>
      <c r="T93" s="633">
        <v>3</v>
      </c>
      <c r="U93" s="635">
        <f t="shared" si="2"/>
        <v>3</v>
      </c>
      <c r="V93" s="635">
        <v>3</v>
      </c>
    </row>
    <row r="94" spans="1:22">
      <c r="A94" s="632" t="s">
        <v>196</v>
      </c>
      <c r="B94" s="632" t="s">
        <v>337</v>
      </c>
      <c r="C94" s="633" t="s">
        <v>1839</v>
      </c>
      <c r="D94" s="633" t="s">
        <v>1840</v>
      </c>
      <c r="E94" s="633" t="s">
        <v>1843</v>
      </c>
      <c r="F94" s="633"/>
      <c r="G94" s="634" t="s">
        <v>1844</v>
      </c>
      <c r="H94" s="634"/>
      <c r="I94" s="633">
        <v>1</v>
      </c>
      <c r="J94" s="633">
        <v>1</v>
      </c>
      <c r="K94" s="633">
        <v>1</v>
      </c>
      <c r="L94" s="633">
        <v>1</v>
      </c>
      <c r="M94" s="633">
        <v>1</v>
      </c>
      <c r="N94" s="633">
        <v>1</v>
      </c>
      <c r="O94" s="633">
        <v>1</v>
      </c>
      <c r="P94" s="633">
        <v>1</v>
      </c>
      <c r="Q94" s="633">
        <v>1</v>
      </c>
      <c r="R94" s="633">
        <v>1</v>
      </c>
      <c r="S94" s="633">
        <v>1</v>
      </c>
      <c r="T94" s="633">
        <v>1</v>
      </c>
      <c r="U94" s="635">
        <f t="shared" si="2"/>
        <v>1</v>
      </c>
      <c r="V94" s="635"/>
    </row>
    <row r="95" spans="1:22">
      <c r="A95" s="632" t="s">
        <v>196</v>
      </c>
      <c r="B95" s="632" t="s">
        <v>337</v>
      </c>
      <c r="C95" s="633" t="s">
        <v>1839</v>
      </c>
      <c r="D95" s="633" t="s">
        <v>1840</v>
      </c>
      <c r="E95" s="633" t="s">
        <v>1845</v>
      </c>
      <c r="F95" s="633"/>
      <c r="G95" s="634" t="s">
        <v>1846</v>
      </c>
      <c r="H95" s="634"/>
      <c r="I95" s="633"/>
      <c r="J95" s="633"/>
      <c r="K95" s="633"/>
      <c r="L95" s="633"/>
      <c r="M95" s="633"/>
      <c r="N95" s="633"/>
      <c r="O95" s="633"/>
      <c r="P95" s="633"/>
      <c r="Q95" s="633"/>
      <c r="R95" s="633"/>
      <c r="S95" s="633"/>
      <c r="T95" s="633"/>
      <c r="U95" s="635">
        <v>0</v>
      </c>
      <c r="V95" s="635"/>
    </row>
    <row r="96" spans="1:22">
      <c r="A96" s="632" t="s">
        <v>196</v>
      </c>
      <c r="B96" s="632" t="s">
        <v>337</v>
      </c>
      <c r="C96" s="633" t="s">
        <v>1839</v>
      </c>
      <c r="D96" s="633" t="s">
        <v>1840</v>
      </c>
      <c r="E96" s="633" t="s">
        <v>1847</v>
      </c>
      <c r="F96" s="633"/>
      <c r="G96" s="634" t="s">
        <v>1848</v>
      </c>
      <c r="H96" s="634"/>
      <c r="I96" s="633">
        <v>1</v>
      </c>
      <c r="J96" s="633">
        <v>1</v>
      </c>
      <c r="K96" s="633">
        <v>1</v>
      </c>
      <c r="L96" s="633">
        <v>1</v>
      </c>
      <c r="M96" s="633">
        <v>1</v>
      </c>
      <c r="N96" s="633">
        <v>1</v>
      </c>
      <c r="O96" s="633">
        <v>1</v>
      </c>
      <c r="P96" s="633">
        <v>1</v>
      </c>
      <c r="Q96" s="633">
        <v>1</v>
      </c>
      <c r="R96" s="633">
        <v>1</v>
      </c>
      <c r="S96" s="633">
        <v>1</v>
      </c>
      <c r="T96" s="633">
        <v>1</v>
      </c>
      <c r="U96" s="635">
        <f t="shared" ref="U96:U113" si="3">AVERAGE(I96:T96)</f>
        <v>1</v>
      </c>
      <c r="V96" s="635">
        <v>1</v>
      </c>
    </row>
    <row r="97" spans="1:22">
      <c r="A97" s="632" t="s">
        <v>196</v>
      </c>
      <c r="B97" s="632" t="s">
        <v>337</v>
      </c>
      <c r="C97" s="633" t="s">
        <v>1839</v>
      </c>
      <c r="D97" s="633" t="s">
        <v>1840</v>
      </c>
      <c r="E97" s="633" t="s">
        <v>1845</v>
      </c>
      <c r="F97" s="633"/>
      <c r="G97" s="634" t="s">
        <v>1846</v>
      </c>
      <c r="H97" s="634"/>
      <c r="I97" s="633">
        <v>1</v>
      </c>
      <c r="J97" s="633">
        <v>1</v>
      </c>
      <c r="K97" s="633">
        <v>1</v>
      </c>
      <c r="L97" s="633">
        <v>1</v>
      </c>
      <c r="M97" s="633">
        <v>1</v>
      </c>
      <c r="N97" s="633">
        <v>1</v>
      </c>
      <c r="O97" s="633">
        <v>1</v>
      </c>
      <c r="P97" s="633">
        <v>1</v>
      </c>
      <c r="Q97" s="633">
        <v>1</v>
      </c>
      <c r="R97" s="633">
        <v>1</v>
      </c>
      <c r="S97" s="633">
        <v>1</v>
      </c>
      <c r="T97" s="633">
        <v>1</v>
      </c>
      <c r="U97" s="635">
        <f t="shared" si="3"/>
        <v>1</v>
      </c>
      <c r="V97" s="635"/>
    </row>
    <row r="98" spans="1:22">
      <c r="A98" s="632" t="s">
        <v>196</v>
      </c>
      <c r="B98" s="632" t="s">
        <v>337</v>
      </c>
      <c r="C98" s="633" t="s">
        <v>1839</v>
      </c>
      <c r="D98" s="633" t="s">
        <v>1840</v>
      </c>
      <c r="E98" s="633" t="s">
        <v>1847</v>
      </c>
      <c r="F98" s="633"/>
      <c r="G98" s="634" t="s">
        <v>1848</v>
      </c>
      <c r="H98" s="634"/>
      <c r="I98" s="633"/>
      <c r="J98" s="633"/>
      <c r="K98" s="633"/>
      <c r="L98" s="633"/>
      <c r="M98" s="633"/>
      <c r="N98" s="633"/>
      <c r="O98" s="633"/>
      <c r="P98" s="633"/>
      <c r="Q98" s="633"/>
      <c r="R98" s="633"/>
      <c r="S98" s="633"/>
      <c r="T98" s="633"/>
      <c r="U98" s="635">
        <v>0</v>
      </c>
      <c r="V98" s="635"/>
    </row>
    <row r="99" spans="1:22">
      <c r="A99" s="632" t="s">
        <v>196</v>
      </c>
      <c r="B99" s="632" t="s">
        <v>337</v>
      </c>
      <c r="C99" s="633" t="s">
        <v>1850</v>
      </c>
      <c r="D99" s="633" t="s">
        <v>1851</v>
      </c>
      <c r="E99" s="633" t="s">
        <v>1843</v>
      </c>
      <c r="F99" s="633"/>
      <c r="G99" s="634" t="s">
        <v>1844</v>
      </c>
      <c r="H99" s="634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5">
        <v>0</v>
      </c>
      <c r="V99" s="635"/>
    </row>
    <row r="100" spans="1:22">
      <c r="A100" s="632" t="s">
        <v>196</v>
      </c>
      <c r="B100" s="632" t="s">
        <v>337</v>
      </c>
      <c r="C100" s="633" t="s">
        <v>1850</v>
      </c>
      <c r="D100" s="633" t="s">
        <v>1851</v>
      </c>
      <c r="E100" s="633" t="s">
        <v>1845</v>
      </c>
      <c r="F100" s="633"/>
      <c r="G100" s="634" t="s">
        <v>1846</v>
      </c>
      <c r="H100" s="634"/>
      <c r="I100" s="633">
        <v>1</v>
      </c>
      <c r="J100" s="633">
        <v>1</v>
      </c>
      <c r="K100" s="633">
        <v>1</v>
      </c>
      <c r="L100" s="633">
        <v>1</v>
      </c>
      <c r="M100" s="633">
        <v>1</v>
      </c>
      <c r="N100" s="633">
        <v>1</v>
      </c>
      <c r="O100" s="633">
        <v>1</v>
      </c>
      <c r="P100" s="633">
        <v>1</v>
      </c>
      <c r="Q100" s="633">
        <v>1</v>
      </c>
      <c r="R100" s="633">
        <v>1</v>
      </c>
      <c r="S100" s="633">
        <v>1</v>
      </c>
      <c r="T100" s="633">
        <v>1</v>
      </c>
      <c r="U100" s="635">
        <f t="shared" si="3"/>
        <v>1</v>
      </c>
      <c r="V100" s="635">
        <v>1</v>
      </c>
    </row>
    <row r="101" spans="1:22">
      <c r="A101" s="632" t="s">
        <v>196</v>
      </c>
      <c r="B101" s="632" t="s">
        <v>337</v>
      </c>
      <c r="C101" s="633" t="s">
        <v>1850</v>
      </c>
      <c r="D101" s="633" t="s">
        <v>1851</v>
      </c>
      <c r="E101" s="633" t="s">
        <v>1847</v>
      </c>
      <c r="F101" s="633"/>
      <c r="G101" s="634" t="s">
        <v>1848</v>
      </c>
      <c r="H101" s="634"/>
      <c r="I101" s="633">
        <v>2</v>
      </c>
      <c r="J101" s="633">
        <v>2</v>
      </c>
      <c r="K101" s="633">
        <v>2</v>
      </c>
      <c r="L101" s="633">
        <v>2</v>
      </c>
      <c r="M101" s="633">
        <v>2</v>
      </c>
      <c r="N101" s="633">
        <v>2</v>
      </c>
      <c r="O101" s="633">
        <v>2</v>
      </c>
      <c r="P101" s="633">
        <v>2</v>
      </c>
      <c r="Q101" s="633">
        <v>2</v>
      </c>
      <c r="R101" s="633">
        <v>2</v>
      </c>
      <c r="S101" s="633">
        <v>2</v>
      </c>
      <c r="T101" s="633">
        <v>2</v>
      </c>
      <c r="U101" s="635">
        <f t="shared" si="3"/>
        <v>2</v>
      </c>
      <c r="V101" s="635">
        <v>2</v>
      </c>
    </row>
    <row r="102" spans="1:22">
      <c r="A102" s="632" t="s">
        <v>196</v>
      </c>
      <c r="B102" s="632" t="s">
        <v>337</v>
      </c>
      <c r="C102" s="633" t="s">
        <v>1850</v>
      </c>
      <c r="D102" s="633" t="s">
        <v>1851</v>
      </c>
      <c r="E102" s="633" t="s">
        <v>1845</v>
      </c>
      <c r="F102" s="633"/>
      <c r="G102" s="634" t="s">
        <v>1846</v>
      </c>
      <c r="H102" s="634"/>
      <c r="I102" s="633">
        <v>1</v>
      </c>
      <c r="J102" s="633">
        <v>1</v>
      </c>
      <c r="K102" s="633">
        <v>1</v>
      </c>
      <c r="L102" s="633">
        <v>1</v>
      </c>
      <c r="M102" s="633">
        <v>1</v>
      </c>
      <c r="N102" s="633">
        <v>1</v>
      </c>
      <c r="O102" s="633">
        <v>1</v>
      </c>
      <c r="P102" s="633">
        <v>1</v>
      </c>
      <c r="Q102" s="633">
        <v>1</v>
      </c>
      <c r="R102" s="633">
        <v>1</v>
      </c>
      <c r="S102" s="633">
        <v>1</v>
      </c>
      <c r="T102" s="633">
        <v>1</v>
      </c>
      <c r="U102" s="635">
        <f t="shared" si="3"/>
        <v>1</v>
      </c>
      <c r="V102" s="635">
        <v>0</v>
      </c>
    </row>
    <row r="103" spans="1:22">
      <c r="A103" s="632" t="s">
        <v>196</v>
      </c>
      <c r="B103" s="632" t="s">
        <v>337</v>
      </c>
      <c r="C103" s="633" t="s">
        <v>1850</v>
      </c>
      <c r="D103" s="633" t="s">
        <v>1851</v>
      </c>
      <c r="E103" s="633" t="s">
        <v>1847</v>
      </c>
      <c r="F103" s="633"/>
      <c r="G103" s="634" t="s">
        <v>1848</v>
      </c>
      <c r="H103" s="634"/>
      <c r="I103" s="633">
        <v>1</v>
      </c>
      <c r="J103" s="633">
        <v>1</v>
      </c>
      <c r="K103" s="633">
        <v>1</v>
      </c>
      <c r="L103" s="633">
        <v>1</v>
      </c>
      <c r="M103" s="633">
        <v>1</v>
      </c>
      <c r="N103" s="633">
        <v>1</v>
      </c>
      <c r="O103" s="633">
        <v>1</v>
      </c>
      <c r="P103" s="633">
        <v>1</v>
      </c>
      <c r="Q103" s="633">
        <v>1</v>
      </c>
      <c r="R103" s="633">
        <v>1</v>
      </c>
      <c r="S103" s="633">
        <v>1</v>
      </c>
      <c r="T103" s="633">
        <v>1</v>
      </c>
      <c r="U103" s="635">
        <f t="shared" si="3"/>
        <v>1</v>
      </c>
      <c r="V103" s="635">
        <v>2</v>
      </c>
    </row>
    <row r="104" spans="1:22">
      <c r="A104" s="632" t="s">
        <v>196</v>
      </c>
      <c r="B104" s="632" t="s">
        <v>337</v>
      </c>
      <c r="C104" s="633" t="s">
        <v>1850</v>
      </c>
      <c r="D104" s="633" t="s">
        <v>1851</v>
      </c>
      <c r="E104" s="633" t="s">
        <v>1843</v>
      </c>
      <c r="F104" s="633"/>
      <c r="G104" s="634" t="s">
        <v>1844</v>
      </c>
      <c r="H104" s="634"/>
      <c r="I104" s="633">
        <v>1</v>
      </c>
      <c r="J104" s="633">
        <v>1</v>
      </c>
      <c r="K104" s="633">
        <v>1</v>
      </c>
      <c r="L104" s="633">
        <v>1</v>
      </c>
      <c r="M104" s="633">
        <v>1</v>
      </c>
      <c r="N104" s="633">
        <v>1</v>
      </c>
      <c r="O104" s="633">
        <v>1</v>
      </c>
      <c r="P104" s="633">
        <v>1</v>
      </c>
      <c r="Q104" s="633">
        <v>1</v>
      </c>
      <c r="R104" s="633">
        <v>1</v>
      </c>
      <c r="S104" s="633">
        <v>1</v>
      </c>
      <c r="T104" s="633">
        <v>1</v>
      </c>
      <c r="U104" s="635">
        <f t="shared" si="3"/>
        <v>1</v>
      </c>
      <c r="V104" s="635">
        <v>1</v>
      </c>
    </row>
    <row r="105" spans="1:22">
      <c r="A105" s="632" t="s">
        <v>196</v>
      </c>
      <c r="B105" s="632" t="s">
        <v>337</v>
      </c>
      <c r="C105" s="633" t="s">
        <v>1850</v>
      </c>
      <c r="D105" s="633" t="s">
        <v>1851</v>
      </c>
      <c r="E105" s="633" t="s">
        <v>1849</v>
      </c>
      <c r="F105" s="633"/>
      <c r="G105" s="634" t="s">
        <v>1846</v>
      </c>
      <c r="H105" s="634"/>
      <c r="I105" s="633">
        <v>1</v>
      </c>
      <c r="J105" s="633">
        <v>1</v>
      </c>
      <c r="K105" s="633">
        <v>1</v>
      </c>
      <c r="L105" s="633">
        <v>1</v>
      </c>
      <c r="M105" s="633">
        <v>1</v>
      </c>
      <c r="N105" s="633">
        <v>1</v>
      </c>
      <c r="O105" s="633">
        <v>1</v>
      </c>
      <c r="P105" s="633">
        <v>1</v>
      </c>
      <c r="Q105" s="633">
        <v>1</v>
      </c>
      <c r="R105" s="633">
        <v>1</v>
      </c>
      <c r="S105" s="633">
        <v>1</v>
      </c>
      <c r="T105" s="633">
        <v>1</v>
      </c>
      <c r="U105" s="635">
        <f t="shared" si="3"/>
        <v>1</v>
      </c>
      <c r="V105" s="635">
        <v>1</v>
      </c>
    </row>
    <row r="106" spans="1:22">
      <c r="A106" s="632" t="s">
        <v>196</v>
      </c>
      <c r="B106" s="632" t="s">
        <v>337</v>
      </c>
      <c r="C106" s="633" t="s">
        <v>1850</v>
      </c>
      <c r="D106" s="633" t="s">
        <v>1851</v>
      </c>
      <c r="E106" s="633" t="s">
        <v>1847</v>
      </c>
      <c r="F106" s="633"/>
      <c r="G106" s="634" t="s">
        <v>1848</v>
      </c>
      <c r="H106" s="634"/>
      <c r="I106" s="633">
        <v>2</v>
      </c>
      <c r="J106" s="633">
        <v>2</v>
      </c>
      <c r="K106" s="633">
        <v>2</v>
      </c>
      <c r="L106" s="633">
        <v>2</v>
      </c>
      <c r="M106" s="633">
        <v>2</v>
      </c>
      <c r="N106" s="633">
        <v>2</v>
      </c>
      <c r="O106" s="633">
        <v>2</v>
      </c>
      <c r="P106" s="633">
        <v>2</v>
      </c>
      <c r="Q106" s="633">
        <v>2</v>
      </c>
      <c r="R106" s="633">
        <v>2</v>
      </c>
      <c r="S106" s="633">
        <v>2</v>
      </c>
      <c r="T106" s="633">
        <v>2</v>
      </c>
      <c r="U106" s="635">
        <f t="shared" si="3"/>
        <v>2</v>
      </c>
      <c r="V106" s="635">
        <v>2</v>
      </c>
    </row>
    <row r="107" spans="1:22">
      <c r="A107" s="632" t="s">
        <v>196</v>
      </c>
      <c r="B107" s="632" t="s">
        <v>337</v>
      </c>
      <c r="C107" s="633" t="s">
        <v>1850</v>
      </c>
      <c r="D107" s="633" t="s">
        <v>1851</v>
      </c>
      <c r="E107" s="633" t="s">
        <v>1849</v>
      </c>
      <c r="F107" s="633"/>
      <c r="G107" s="634" t="s">
        <v>1846</v>
      </c>
      <c r="H107" s="634"/>
      <c r="I107" s="633">
        <v>1</v>
      </c>
      <c r="J107" s="633">
        <v>1</v>
      </c>
      <c r="K107" s="633">
        <v>1</v>
      </c>
      <c r="L107" s="633">
        <v>1</v>
      </c>
      <c r="M107" s="633">
        <v>1</v>
      </c>
      <c r="N107" s="633">
        <v>1</v>
      </c>
      <c r="O107" s="633">
        <v>1</v>
      </c>
      <c r="P107" s="633">
        <v>1</v>
      </c>
      <c r="Q107" s="633">
        <v>1</v>
      </c>
      <c r="R107" s="633">
        <v>1</v>
      </c>
      <c r="S107" s="633">
        <v>1</v>
      </c>
      <c r="T107" s="633">
        <v>1</v>
      </c>
      <c r="U107" s="635">
        <f t="shared" si="3"/>
        <v>1</v>
      </c>
      <c r="V107" s="635">
        <v>1</v>
      </c>
    </row>
    <row r="108" spans="1:22">
      <c r="A108" s="632" t="s">
        <v>196</v>
      </c>
      <c r="B108" s="632" t="s">
        <v>337</v>
      </c>
      <c r="C108" s="633" t="s">
        <v>1850</v>
      </c>
      <c r="D108" s="633" t="s">
        <v>1851</v>
      </c>
      <c r="E108" s="633" t="s">
        <v>1847</v>
      </c>
      <c r="F108" s="633"/>
      <c r="G108" s="634" t="s">
        <v>1848</v>
      </c>
      <c r="H108" s="634"/>
      <c r="I108" s="633">
        <v>2</v>
      </c>
      <c r="J108" s="633">
        <v>2</v>
      </c>
      <c r="K108" s="633">
        <v>2</v>
      </c>
      <c r="L108" s="633">
        <v>2</v>
      </c>
      <c r="M108" s="633">
        <v>2</v>
      </c>
      <c r="N108" s="633">
        <v>2</v>
      </c>
      <c r="O108" s="633">
        <v>2</v>
      </c>
      <c r="P108" s="633">
        <v>2</v>
      </c>
      <c r="Q108" s="633">
        <v>2</v>
      </c>
      <c r="R108" s="633">
        <v>2</v>
      </c>
      <c r="S108" s="633">
        <v>2</v>
      </c>
      <c r="T108" s="633">
        <v>2</v>
      </c>
      <c r="U108" s="635">
        <f t="shared" si="3"/>
        <v>2</v>
      </c>
      <c r="V108" s="635">
        <v>2</v>
      </c>
    </row>
    <row r="109" spans="1:22">
      <c r="A109" s="632" t="s">
        <v>196</v>
      </c>
      <c r="B109" s="632" t="s">
        <v>337</v>
      </c>
      <c r="C109" s="633" t="s">
        <v>1850</v>
      </c>
      <c r="D109" s="633" t="s">
        <v>1851</v>
      </c>
      <c r="E109" s="633" t="s">
        <v>1845</v>
      </c>
      <c r="F109" s="633"/>
      <c r="G109" s="634" t="s">
        <v>1846</v>
      </c>
      <c r="H109" s="634"/>
      <c r="I109" s="633">
        <v>1</v>
      </c>
      <c r="J109" s="633">
        <v>1</v>
      </c>
      <c r="K109" s="633">
        <v>1</v>
      </c>
      <c r="L109" s="633">
        <v>1</v>
      </c>
      <c r="M109" s="633">
        <v>1</v>
      </c>
      <c r="N109" s="633">
        <v>1</v>
      </c>
      <c r="O109" s="633">
        <v>1</v>
      </c>
      <c r="P109" s="633">
        <v>1</v>
      </c>
      <c r="Q109" s="633">
        <v>1</v>
      </c>
      <c r="R109" s="633">
        <v>1</v>
      </c>
      <c r="S109" s="633">
        <v>1</v>
      </c>
      <c r="T109" s="633">
        <v>1</v>
      </c>
      <c r="U109" s="635">
        <f t="shared" si="3"/>
        <v>1</v>
      </c>
      <c r="V109" s="635"/>
    </row>
    <row r="110" spans="1:22">
      <c r="A110" s="632" t="s">
        <v>196</v>
      </c>
      <c r="B110" s="632" t="s">
        <v>337</v>
      </c>
      <c r="C110" s="633" t="s">
        <v>1850</v>
      </c>
      <c r="D110" s="633" t="s">
        <v>1851</v>
      </c>
      <c r="E110" s="633" t="s">
        <v>1847</v>
      </c>
      <c r="F110" s="633"/>
      <c r="G110" s="634" t="s">
        <v>1848</v>
      </c>
      <c r="H110" s="634"/>
      <c r="I110" s="633">
        <v>1</v>
      </c>
      <c r="J110" s="633">
        <v>1</v>
      </c>
      <c r="K110" s="633">
        <v>1</v>
      </c>
      <c r="L110" s="633">
        <v>1</v>
      </c>
      <c r="M110" s="633">
        <v>1</v>
      </c>
      <c r="N110" s="633">
        <v>1</v>
      </c>
      <c r="O110" s="633">
        <v>1</v>
      </c>
      <c r="P110" s="633">
        <v>1</v>
      </c>
      <c r="Q110" s="633">
        <v>1</v>
      </c>
      <c r="R110" s="633">
        <v>1</v>
      </c>
      <c r="S110" s="633">
        <v>1</v>
      </c>
      <c r="T110" s="633">
        <v>1</v>
      </c>
      <c r="U110" s="635">
        <f t="shared" si="3"/>
        <v>1</v>
      </c>
      <c r="V110" s="635">
        <v>1</v>
      </c>
    </row>
    <row r="111" spans="1:22">
      <c r="A111" s="632" t="s">
        <v>196</v>
      </c>
      <c r="B111" s="632" t="s">
        <v>337</v>
      </c>
      <c r="C111" s="633" t="s">
        <v>1850</v>
      </c>
      <c r="D111" s="633" t="s">
        <v>1851</v>
      </c>
      <c r="E111" s="633" t="s">
        <v>1843</v>
      </c>
      <c r="F111" s="633"/>
      <c r="G111" s="634" t="s">
        <v>1844</v>
      </c>
      <c r="H111" s="634"/>
      <c r="I111" s="633">
        <v>1</v>
      </c>
      <c r="J111" s="633">
        <v>1</v>
      </c>
      <c r="K111" s="633">
        <v>1</v>
      </c>
      <c r="L111" s="633">
        <v>1</v>
      </c>
      <c r="M111" s="633">
        <v>1</v>
      </c>
      <c r="N111" s="633">
        <v>1</v>
      </c>
      <c r="O111" s="633">
        <v>1</v>
      </c>
      <c r="P111" s="633">
        <v>1</v>
      </c>
      <c r="Q111" s="633">
        <v>1</v>
      </c>
      <c r="R111" s="633">
        <v>1</v>
      </c>
      <c r="S111" s="633">
        <v>1</v>
      </c>
      <c r="T111" s="633">
        <v>1</v>
      </c>
      <c r="U111" s="635">
        <f t="shared" si="3"/>
        <v>1</v>
      </c>
      <c r="V111" s="635">
        <v>1</v>
      </c>
    </row>
    <row r="112" spans="1:22">
      <c r="A112" s="632" t="s">
        <v>196</v>
      </c>
      <c r="B112" s="632" t="s">
        <v>337</v>
      </c>
      <c r="C112" s="633" t="s">
        <v>1850</v>
      </c>
      <c r="D112" s="633" t="s">
        <v>1851</v>
      </c>
      <c r="E112" s="633" t="s">
        <v>1845</v>
      </c>
      <c r="F112" s="633"/>
      <c r="G112" s="634" t="s">
        <v>1846</v>
      </c>
      <c r="H112" s="634"/>
      <c r="I112" s="633">
        <v>1</v>
      </c>
      <c r="J112" s="633">
        <v>1</v>
      </c>
      <c r="K112" s="633">
        <v>1</v>
      </c>
      <c r="L112" s="633">
        <v>1</v>
      </c>
      <c r="M112" s="633">
        <v>1</v>
      </c>
      <c r="N112" s="633">
        <v>1</v>
      </c>
      <c r="O112" s="633">
        <v>1</v>
      </c>
      <c r="P112" s="633">
        <v>1</v>
      </c>
      <c r="Q112" s="633">
        <v>1</v>
      </c>
      <c r="R112" s="633">
        <v>1</v>
      </c>
      <c r="S112" s="633">
        <v>1</v>
      </c>
      <c r="T112" s="633">
        <v>1</v>
      </c>
      <c r="U112" s="635">
        <f t="shared" si="3"/>
        <v>1</v>
      </c>
      <c r="V112" s="635">
        <v>1</v>
      </c>
    </row>
    <row r="113" spans="1:22">
      <c r="A113" s="632" t="s">
        <v>196</v>
      </c>
      <c r="B113" s="632" t="s">
        <v>337</v>
      </c>
      <c r="C113" s="633" t="s">
        <v>1850</v>
      </c>
      <c r="D113" s="633" t="s">
        <v>1851</v>
      </c>
      <c r="E113" s="633" t="s">
        <v>1847</v>
      </c>
      <c r="F113" s="633"/>
      <c r="G113" s="634" t="s">
        <v>1848</v>
      </c>
      <c r="H113" s="634"/>
      <c r="I113" s="633">
        <v>1</v>
      </c>
      <c r="J113" s="633">
        <v>1</v>
      </c>
      <c r="K113" s="633">
        <v>1</v>
      </c>
      <c r="L113" s="633">
        <v>1</v>
      </c>
      <c r="M113" s="633">
        <v>1</v>
      </c>
      <c r="N113" s="633">
        <v>1</v>
      </c>
      <c r="O113" s="633">
        <v>1</v>
      </c>
      <c r="P113" s="633">
        <v>1</v>
      </c>
      <c r="Q113" s="633">
        <v>1</v>
      </c>
      <c r="R113" s="633">
        <v>1</v>
      </c>
      <c r="S113" s="633">
        <v>1</v>
      </c>
      <c r="T113" s="633">
        <v>1</v>
      </c>
      <c r="U113" s="635">
        <f t="shared" si="3"/>
        <v>1</v>
      </c>
      <c r="V113" s="635">
        <v>1</v>
      </c>
    </row>
    <row r="114" spans="1:22">
      <c r="A114" s="632" t="s">
        <v>196</v>
      </c>
      <c r="B114" s="632" t="s">
        <v>337</v>
      </c>
      <c r="C114" s="633" t="s">
        <v>1850</v>
      </c>
      <c r="D114" s="633" t="s">
        <v>1851</v>
      </c>
      <c r="E114" s="633" t="s">
        <v>1845</v>
      </c>
      <c r="F114" s="633"/>
      <c r="G114" s="634" t="s">
        <v>1846</v>
      </c>
      <c r="H114" s="634"/>
      <c r="I114" s="633"/>
      <c r="J114" s="633"/>
      <c r="K114" s="633"/>
      <c r="L114" s="633"/>
      <c r="M114" s="633"/>
      <c r="N114" s="633"/>
      <c r="O114" s="633"/>
      <c r="P114" s="633"/>
      <c r="Q114" s="633"/>
      <c r="R114" s="633"/>
      <c r="S114" s="633"/>
      <c r="T114" s="633"/>
      <c r="U114" s="635">
        <v>0</v>
      </c>
      <c r="V114" s="635"/>
    </row>
    <row r="115" spans="1:22">
      <c r="A115" s="632" t="s">
        <v>196</v>
      </c>
      <c r="B115" s="632" t="s">
        <v>337</v>
      </c>
      <c r="C115" s="633" t="s">
        <v>1850</v>
      </c>
      <c r="D115" s="633" t="s">
        <v>1851</v>
      </c>
      <c r="E115" s="633" t="s">
        <v>1847</v>
      </c>
      <c r="F115" s="633"/>
      <c r="G115" s="634" t="s">
        <v>1848</v>
      </c>
      <c r="H115" s="634"/>
      <c r="I115" s="633">
        <v>2</v>
      </c>
      <c r="J115" s="633">
        <v>2</v>
      </c>
      <c r="K115" s="633">
        <v>2</v>
      </c>
      <c r="L115" s="633">
        <v>2</v>
      </c>
      <c r="M115" s="633">
        <v>2</v>
      </c>
      <c r="N115" s="633">
        <v>2</v>
      </c>
      <c r="O115" s="633">
        <v>2</v>
      </c>
      <c r="P115" s="633">
        <v>2</v>
      </c>
      <c r="Q115" s="633">
        <v>2</v>
      </c>
      <c r="R115" s="633">
        <v>2</v>
      </c>
      <c r="S115" s="633">
        <v>2</v>
      </c>
      <c r="T115" s="633">
        <v>2</v>
      </c>
      <c r="U115" s="635">
        <f t="shared" ref="U115:U118" si="4">AVERAGE(I115:T115)</f>
        <v>2</v>
      </c>
      <c r="V115" s="635">
        <v>2</v>
      </c>
    </row>
    <row r="116" spans="1:22">
      <c r="A116" s="632" t="s">
        <v>196</v>
      </c>
      <c r="B116" s="632" t="s">
        <v>337</v>
      </c>
      <c r="C116" s="633" t="s">
        <v>1850</v>
      </c>
      <c r="D116" s="633" t="s">
        <v>1851</v>
      </c>
      <c r="E116" s="633" t="s">
        <v>1845</v>
      </c>
      <c r="F116" s="633"/>
      <c r="G116" s="634" t="s">
        <v>1846</v>
      </c>
      <c r="H116" s="634"/>
      <c r="I116" s="633"/>
      <c r="J116" s="633"/>
      <c r="K116" s="633"/>
      <c r="L116" s="633"/>
      <c r="M116" s="633"/>
      <c r="N116" s="633"/>
      <c r="O116" s="633"/>
      <c r="P116" s="633"/>
      <c r="Q116" s="633"/>
      <c r="R116" s="633"/>
      <c r="S116" s="633"/>
      <c r="T116" s="633"/>
      <c r="U116" s="635">
        <v>0</v>
      </c>
      <c r="V116" s="635"/>
    </row>
    <row r="117" spans="1:22">
      <c r="A117" s="632" t="s">
        <v>196</v>
      </c>
      <c r="B117" s="632" t="s">
        <v>337</v>
      </c>
      <c r="C117" s="633" t="s">
        <v>1850</v>
      </c>
      <c r="D117" s="633" t="s">
        <v>1851</v>
      </c>
      <c r="E117" s="633" t="s">
        <v>1847</v>
      </c>
      <c r="F117" s="633"/>
      <c r="G117" s="634" t="s">
        <v>1848</v>
      </c>
      <c r="H117" s="634"/>
      <c r="I117" s="633">
        <v>1</v>
      </c>
      <c r="J117" s="633">
        <v>1</v>
      </c>
      <c r="K117" s="633">
        <v>1</v>
      </c>
      <c r="L117" s="633">
        <v>1</v>
      </c>
      <c r="M117" s="633">
        <v>1</v>
      </c>
      <c r="N117" s="633">
        <v>1</v>
      </c>
      <c r="O117" s="633">
        <v>1</v>
      </c>
      <c r="P117" s="633">
        <v>1</v>
      </c>
      <c r="Q117" s="633">
        <v>1</v>
      </c>
      <c r="R117" s="633">
        <v>1</v>
      </c>
      <c r="S117" s="633">
        <v>1</v>
      </c>
      <c r="T117" s="633">
        <v>1</v>
      </c>
      <c r="U117" s="635">
        <f t="shared" si="4"/>
        <v>1</v>
      </c>
      <c r="V117" s="635">
        <v>1</v>
      </c>
    </row>
    <row r="118" spans="1:22">
      <c r="A118" s="632" t="s">
        <v>196</v>
      </c>
      <c r="B118" s="632" t="s">
        <v>337</v>
      </c>
      <c r="C118" s="633" t="s">
        <v>1852</v>
      </c>
      <c r="D118" s="633" t="s">
        <v>1853</v>
      </c>
      <c r="E118" s="633" t="s">
        <v>1843</v>
      </c>
      <c r="F118" s="633"/>
      <c r="G118" s="634" t="s">
        <v>1844</v>
      </c>
      <c r="H118" s="634"/>
      <c r="I118" s="633">
        <v>1</v>
      </c>
      <c r="J118" s="633">
        <v>1</v>
      </c>
      <c r="K118" s="633">
        <v>1</v>
      </c>
      <c r="L118" s="633">
        <v>1</v>
      </c>
      <c r="M118" s="633">
        <v>1</v>
      </c>
      <c r="N118" s="633">
        <v>1</v>
      </c>
      <c r="O118" s="633">
        <v>1</v>
      </c>
      <c r="P118" s="633">
        <v>1</v>
      </c>
      <c r="Q118" s="633">
        <v>1</v>
      </c>
      <c r="R118" s="633">
        <v>1</v>
      </c>
      <c r="S118" s="633">
        <v>1</v>
      </c>
      <c r="T118" s="633">
        <v>1</v>
      </c>
      <c r="U118" s="635">
        <f t="shared" si="4"/>
        <v>1</v>
      </c>
      <c r="V118" s="635">
        <v>1</v>
      </c>
    </row>
    <row r="119" spans="1:22">
      <c r="A119" s="632" t="s">
        <v>196</v>
      </c>
      <c r="B119" s="632" t="s">
        <v>337</v>
      </c>
      <c r="C119" s="633" t="s">
        <v>1852</v>
      </c>
      <c r="D119" s="633" t="s">
        <v>1853</v>
      </c>
      <c r="E119" s="633" t="s">
        <v>1845</v>
      </c>
      <c r="F119" s="633"/>
      <c r="G119" s="634" t="s">
        <v>1846</v>
      </c>
      <c r="H119" s="634"/>
      <c r="I119" s="633"/>
      <c r="J119" s="633"/>
      <c r="K119" s="633"/>
      <c r="L119" s="633"/>
      <c r="M119" s="633"/>
      <c r="N119" s="633"/>
      <c r="O119" s="633"/>
      <c r="P119" s="633"/>
      <c r="Q119" s="633"/>
      <c r="R119" s="633"/>
      <c r="S119" s="633"/>
      <c r="T119" s="633"/>
      <c r="U119" s="635">
        <v>0</v>
      </c>
      <c r="V119" s="635"/>
    </row>
    <row r="120" spans="1:22">
      <c r="A120" s="632" t="s">
        <v>196</v>
      </c>
      <c r="B120" s="632" t="s">
        <v>337</v>
      </c>
      <c r="C120" s="633" t="s">
        <v>1852</v>
      </c>
      <c r="D120" s="633" t="s">
        <v>1853</v>
      </c>
      <c r="E120" s="633" t="s">
        <v>1847</v>
      </c>
      <c r="F120" s="633"/>
      <c r="G120" s="634" t="s">
        <v>1848</v>
      </c>
      <c r="H120" s="634"/>
      <c r="I120" s="633">
        <v>3</v>
      </c>
      <c r="J120" s="633">
        <v>3</v>
      </c>
      <c r="K120" s="633">
        <v>3</v>
      </c>
      <c r="L120" s="633">
        <v>3</v>
      </c>
      <c r="M120" s="633">
        <v>3</v>
      </c>
      <c r="N120" s="633">
        <v>3</v>
      </c>
      <c r="O120" s="633">
        <v>3</v>
      </c>
      <c r="P120" s="633">
        <v>3</v>
      </c>
      <c r="Q120" s="633">
        <v>3</v>
      </c>
      <c r="R120" s="633">
        <v>3</v>
      </c>
      <c r="S120" s="633">
        <v>3</v>
      </c>
      <c r="T120" s="633">
        <v>3</v>
      </c>
      <c r="U120" s="635">
        <f t="shared" ref="U120:U125" si="5">AVERAGE(I120:T120)</f>
        <v>3</v>
      </c>
      <c r="V120" s="635">
        <v>2</v>
      </c>
    </row>
    <row r="121" spans="1:22">
      <c r="A121" s="632" t="s">
        <v>196</v>
      </c>
      <c r="B121" s="632" t="s">
        <v>337</v>
      </c>
      <c r="C121" s="633" t="s">
        <v>1852</v>
      </c>
      <c r="D121" s="633" t="s">
        <v>1853</v>
      </c>
      <c r="E121" s="633" t="s">
        <v>1843</v>
      </c>
      <c r="F121" s="633"/>
      <c r="G121" s="634" t="s">
        <v>1844</v>
      </c>
      <c r="H121" s="634"/>
      <c r="I121" s="633">
        <v>1</v>
      </c>
      <c r="J121" s="633">
        <v>1</v>
      </c>
      <c r="K121" s="633">
        <v>1</v>
      </c>
      <c r="L121" s="633">
        <v>1</v>
      </c>
      <c r="M121" s="633">
        <v>1</v>
      </c>
      <c r="N121" s="633">
        <v>1</v>
      </c>
      <c r="O121" s="633">
        <v>1</v>
      </c>
      <c r="P121" s="633">
        <v>1</v>
      </c>
      <c r="Q121" s="633">
        <v>1</v>
      </c>
      <c r="R121" s="633">
        <v>1</v>
      </c>
      <c r="S121" s="633">
        <v>1</v>
      </c>
      <c r="T121" s="633">
        <v>1</v>
      </c>
      <c r="U121" s="635">
        <f t="shared" si="5"/>
        <v>1</v>
      </c>
      <c r="V121" s="635">
        <v>1</v>
      </c>
    </row>
    <row r="122" spans="1:22">
      <c r="A122" s="632" t="s">
        <v>196</v>
      </c>
      <c r="B122" s="632" t="s">
        <v>337</v>
      </c>
      <c r="C122" s="633" t="s">
        <v>1852</v>
      </c>
      <c r="D122" s="633" t="s">
        <v>1853</v>
      </c>
      <c r="E122" s="633" t="s">
        <v>1845</v>
      </c>
      <c r="F122" s="633"/>
      <c r="G122" s="634" t="s">
        <v>1846</v>
      </c>
      <c r="H122" s="634"/>
      <c r="I122" s="633">
        <v>1</v>
      </c>
      <c r="J122" s="633">
        <v>1</v>
      </c>
      <c r="K122" s="633">
        <v>1</v>
      </c>
      <c r="L122" s="633">
        <v>1</v>
      </c>
      <c r="M122" s="633">
        <v>1</v>
      </c>
      <c r="N122" s="633">
        <v>1</v>
      </c>
      <c r="O122" s="633">
        <v>1</v>
      </c>
      <c r="P122" s="633">
        <v>1</v>
      </c>
      <c r="Q122" s="633">
        <v>1</v>
      </c>
      <c r="R122" s="633">
        <v>1</v>
      </c>
      <c r="S122" s="633">
        <v>1</v>
      </c>
      <c r="T122" s="633">
        <v>1</v>
      </c>
      <c r="U122" s="635">
        <f t="shared" si="5"/>
        <v>1</v>
      </c>
      <c r="V122" s="635">
        <v>1</v>
      </c>
    </row>
    <row r="123" spans="1:22">
      <c r="A123" s="632" t="s">
        <v>196</v>
      </c>
      <c r="B123" s="632" t="s">
        <v>337</v>
      </c>
      <c r="C123" s="633" t="s">
        <v>1852</v>
      </c>
      <c r="D123" s="633" t="s">
        <v>1853</v>
      </c>
      <c r="E123" s="633" t="s">
        <v>1847</v>
      </c>
      <c r="F123" s="633"/>
      <c r="G123" s="634" t="s">
        <v>1848</v>
      </c>
      <c r="H123" s="634"/>
      <c r="I123" s="633">
        <v>3</v>
      </c>
      <c r="J123" s="633">
        <v>3</v>
      </c>
      <c r="K123" s="633">
        <v>3</v>
      </c>
      <c r="L123" s="633">
        <v>3</v>
      </c>
      <c r="M123" s="633">
        <v>3</v>
      </c>
      <c r="N123" s="633">
        <v>3</v>
      </c>
      <c r="O123" s="633">
        <v>3</v>
      </c>
      <c r="P123" s="633">
        <v>3</v>
      </c>
      <c r="Q123" s="633">
        <v>3</v>
      </c>
      <c r="R123" s="633">
        <v>3</v>
      </c>
      <c r="S123" s="633">
        <v>3</v>
      </c>
      <c r="T123" s="633">
        <v>3</v>
      </c>
      <c r="U123" s="635">
        <f t="shared" si="5"/>
        <v>3</v>
      </c>
      <c r="V123" s="635">
        <v>3</v>
      </c>
    </row>
    <row r="124" spans="1:22">
      <c r="A124" s="632" t="s">
        <v>196</v>
      </c>
      <c r="B124" s="632" t="s">
        <v>337</v>
      </c>
      <c r="C124" s="633" t="s">
        <v>1852</v>
      </c>
      <c r="D124" s="633" t="s">
        <v>1853</v>
      </c>
      <c r="E124" s="633" t="s">
        <v>1845</v>
      </c>
      <c r="F124" s="633"/>
      <c r="G124" s="634" t="s">
        <v>1846</v>
      </c>
      <c r="H124" s="634"/>
      <c r="I124" s="633">
        <v>1</v>
      </c>
      <c r="J124" s="633">
        <v>1</v>
      </c>
      <c r="K124" s="633">
        <v>1</v>
      </c>
      <c r="L124" s="633">
        <v>1</v>
      </c>
      <c r="M124" s="633">
        <v>1</v>
      </c>
      <c r="N124" s="633">
        <v>1</v>
      </c>
      <c r="O124" s="633">
        <v>1</v>
      </c>
      <c r="P124" s="633">
        <v>1</v>
      </c>
      <c r="Q124" s="633">
        <v>1</v>
      </c>
      <c r="R124" s="633">
        <v>1</v>
      </c>
      <c r="S124" s="633">
        <v>1</v>
      </c>
      <c r="T124" s="633">
        <v>1</v>
      </c>
      <c r="U124" s="635">
        <f t="shared" si="5"/>
        <v>1</v>
      </c>
      <c r="V124" s="635">
        <v>1</v>
      </c>
    </row>
    <row r="125" spans="1:22">
      <c r="A125" s="632" t="s">
        <v>196</v>
      </c>
      <c r="B125" s="632" t="s">
        <v>337</v>
      </c>
      <c r="C125" s="633" t="s">
        <v>1852</v>
      </c>
      <c r="D125" s="633" t="s">
        <v>1853</v>
      </c>
      <c r="E125" s="633" t="s">
        <v>1847</v>
      </c>
      <c r="F125" s="633"/>
      <c r="G125" s="634" t="s">
        <v>1848</v>
      </c>
      <c r="H125" s="634"/>
      <c r="I125" s="633">
        <v>2</v>
      </c>
      <c r="J125" s="633">
        <v>2</v>
      </c>
      <c r="K125" s="633">
        <v>2</v>
      </c>
      <c r="L125" s="633">
        <v>2</v>
      </c>
      <c r="M125" s="633">
        <v>2</v>
      </c>
      <c r="N125" s="633">
        <v>2</v>
      </c>
      <c r="O125" s="633">
        <v>2</v>
      </c>
      <c r="P125" s="633">
        <v>2</v>
      </c>
      <c r="Q125" s="633">
        <v>2</v>
      </c>
      <c r="R125" s="633">
        <v>2</v>
      </c>
      <c r="S125" s="633">
        <v>2</v>
      </c>
      <c r="T125" s="633">
        <v>2</v>
      </c>
      <c r="U125" s="635">
        <f t="shared" si="5"/>
        <v>2</v>
      </c>
      <c r="V125" s="635">
        <v>1</v>
      </c>
    </row>
    <row r="126" spans="1:22">
      <c r="A126" s="632" t="s">
        <v>196</v>
      </c>
      <c r="B126" s="632" t="s">
        <v>337</v>
      </c>
      <c r="C126" s="633" t="s">
        <v>1852</v>
      </c>
      <c r="D126" s="633" t="s">
        <v>1853</v>
      </c>
      <c r="E126" s="633" t="s">
        <v>1843</v>
      </c>
      <c r="F126" s="633"/>
      <c r="G126" s="634" t="s">
        <v>1844</v>
      </c>
      <c r="H126" s="634"/>
      <c r="I126" s="633"/>
      <c r="J126" s="633"/>
      <c r="K126" s="633"/>
      <c r="L126" s="633"/>
      <c r="M126" s="633"/>
      <c r="N126" s="633"/>
      <c r="O126" s="633"/>
      <c r="P126" s="633"/>
      <c r="Q126" s="633"/>
      <c r="R126" s="633"/>
      <c r="S126" s="633"/>
      <c r="T126" s="633"/>
      <c r="U126" s="635">
        <v>0</v>
      </c>
      <c r="V126" s="635"/>
    </row>
    <row r="127" spans="1:22">
      <c r="A127" s="632" t="s">
        <v>196</v>
      </c>
      <c r="B127" s="632" t="s">
        <v>337</v>
      </c>
      <c r="C127" s="633" t="s">
        <v>1852</v>
      </c>
      <c r="D127" s="633" t="s">
        <v>1853</v>
      </c>
      <c r="E127" s="633" t="s">
        <v>1845</v>
      </c>
      <c r="F127" s="633"/>
      <c r="G127" s="634" t="s">
        <v>1846</v>
      </c>
      <c r="H127" s="634"/>
      <c r="I127" s="633">
        <v>1</v>
      </c>
      <c r="J127" s="633">
        <v>1</v>
      </c>
      <c r="K127" s="633">
        <v>1</v>
      </c>
      <c r="L127" s="633">
        <v>1</v>
      </c>
      <c r="M127" s="633">
        <v>1</v>
      </c>
      <c r="N127" s="633">
        <v>1</v>
      </c>
      <c r="O127" s="633">
        <v>1</v>
      </c>
      <c r="P127" s="633">
        <v>1</v>
      </c>
      <c r="Q127" s="633">
        <v>1</v>
      </c>
      <c r="R127" s="633">
        <v>1</v>
      </c>
      <c r="S127" s="633">
        <v>1</v>
      </c>
      <c r="T127" s="633">
        <v>1</v>
      </c>
      <c r="U127" s="635">
        <f t="shared" ref="U127:U129" si="6">AVERAGE(I127:T127)</f>
        <v>1</v>
      </c>
      <c r="V127" s="635"/>
    </row>
    <row r="128" spans="1:22">
      <c r="A128" s="632" t="s">
        <v>196</v>
      </c>
      <c r="B128" s="632" t="s">
        <v>337</v>
      </c>
      <c r="C128" s="633" t="s">
        <v>1852</v>
      </c>
      <c r="D128" s="633" t="s">
        <v>1853</v>
      </c>
      <c r="E128" s="633" t="s">
        <v>1847</v>
      </c>
      <c r="F128" s="633"/>
      <c r="G128" s="634" t="s">
        <v>1848</v>
      </c>
      <c r="H128" s="634"/>
      <c r="I128" s="633">
        <v>1</v>
      </c>
      <c r="J128" s="633">
        <v>1</v>
      </c>
      <c r="K128" s="633">
        <v>1</v>
      </c>
      <c r="L128" s="633">
        <v>1</v>
      </c>
      <c r="M128" s="633">
        <v>1</v>
      </c>
      <c r="N128" s="633">
        <v>1</v>
      </c>
      <c r="O128" s="633">
        <v>1</v>
      </c>
      <c r="P128" s="633">
        <v>1</v>
      </c>
      <c r="Q128" s="633">
        <v>1</v>
      </c>
      <c r="R128" s="633">
        <v>1</v>
      </c>
      <c r="S128" s="633">
        <v>1</v>
      </c>
      <c r="T128" s="633">
        <v>1</v>
      </c>
      <c r="U128" s="635">
        <f t="shared" si="6"/>
        <v>1</v>
      </c>
      <c r="V128" s="635">
        <v>1</v>
      </c>
    </row>
    <row r="129" spans="1:22">
      <c r="A129" s="632" t="s">
        <v>196</v>
      </c>
      <c r="B129" s="632" t="s">
        <v>337</v>
      </c>
      <c r="C129" s="633" t="s">
        <v>1852</v>
      </c>
      <c r="D129" s="633" t="s">
        <v>1853</v>
      </c>
      <c r="E129" s="633" t="s">
        <v>1843</v>
      </c>
      <c r="F129" s="633"/>
      <c r="G129" s="634" t="s">
        <v>1842</v>
      </c>
      <c r="H129" s="634"/>
      <c r="I129" s="633">
        <v>1</v>
      </c>
      <c r="J129" s="633">
        <v>1</v>
      </c>
      <c r="K129" s="633">
        <v>1</v>
      </c>
      <c r="L129" s="633">
        <v>1</v>
      </c>
      <c r="M129" s="633">
        <v>1</v>
      </c>
      <c r="N129" s="633">
        <v>1</v>
      </c>
      <c r="O129" s="633">
        <v>1</v>
      </c>
      <c r="P129" s="633">
        <v>1</v>
      </c>
      <c r="Q129" s="633">
        <v>1</v>
      </c>
      <c r="R129" s="633">
        <v>1</v>
      </c>
      <c r="S129" s="633">
        <v>1</v>
      </c>
      <c r="T129" s="633">
        <v>1</v>
      </c>
      <c r="U129" s="635">
        <f t="shared" si="6"/>
        <v>1</v>
      </c>
      <c r="V129" s="635">
        <v>1</v>
      </c>
    </row>
    <row r="130" spans="1:22">
      <c r="A130" s="632" t="s">
        <v>196</v>
      </c>
      <c r="B130" s="632" t="s">
        <v>337</v>
      </c>
      <c r="C130" s="633" t="s">
        <v>1852</v>
      </c>
      <c r="D130" s="633" t="s">
        <v>1853</v>
      </c>
      <c r="E130" s="633" t="s">
        <v>1845</v>
      </c>
      <c r="F130" s="633"/>
      <c r="G130" s="634" t="s">
        <v>1846</v>
      </c>
      <c r="H130" s="634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5">
        <v>0</v>
      </c>
      <c r="V130" s="635"/>
    </row>
    <row r="131" spans="1:22">
      <c r="A131" s="632" t="s">
        <v>196</v>
      </c>
      <c r="B131" s="632" t="s">
        <v>337</v>
      </c>
      <c r="C131" s="633" t="s">
        <v>1852</v>
      </c>
      <c r="D131" s="633" t="s">
        <v>1853</v>
      </c>
      <c r="E131" s="633" t="s">
        <v>1847</v>
      </c>
      <c r="F131" s="633"/>
      <c r="G131" s="634" t="s">
        <v>1848</v>
      </c>
      <c r="H131" s="634"/>
      <c r="I131" s="633">
        <v>1</v>
      </c>
      <c r="J131" s="633">
        <v>1</v>
      </c>
      <c r="K131" s="633">
        <v>1</v>
      </c>
      <c r="L131" s="633">
        <v>1</v>
      </c>
      <c r="M131" s="633">
        <v>1</v>
      </c>
      <c r="N131" s="633">
        <v>1</v>
      </c>
      <c r="O131" s="633">
        <v>1</v>
      </c>
      <c r="P131" s="633">
        <v>1</v>
      </c>
      <c r="Q131" s="633">
        <v>1</v>
      </c>
      <c r="R131" s="633">
        <v>1</v>
      </c>
      <c r="S131" s="633">
        <v>1</v>
      </c>
      <c r="T131" s="633">
        <v>1</v>
      </c>
      <c r="U131" s="635">
        <f t="shared" ref="U131:U134" si="7">AVERAGE(I131:T131)</f>
        <v>1</v>
      </c>
      <c r="V131" s="635"/>
    </row>
    <row r="132" spans="1:22">
      <c r="A132" s="632" t="s">
        <v>196</v>
      </c>
      <c r="B132" s="632" t="s">
        <v>337</v>
      </c>
      <c r="C132" s="633" t="s">
        <v>1854</v>
      </c>
      <c r="D132" s="633"/>
      <c r="E132" s="633" t="s">
        <v>1821</v>
      </c>
      <c r="F132" s="633"/>
      <c r="G132" s="634" t="s">
        <v>1795</v>
      </c>
      <c r="H132" s="634"/>
      <c r="I132" s="633">
        <v>1</v>
      </c>
      <c r="J132" s="633">
        <v>1</v>
      </c>
      <c r="K132" s="633">
        <v>1</v>
      </c>
      <c r="L132" s="633">
        <v>1</v>
      </c>
      <c r="M132" s="633">
        <v>1</v>
      </c>
      <c r="N132" s="633">
        <v>1</v>
      </c>
      <c r="O132" s="633">
        <v>1</v>
      </c>
      <c r="P132" s="633">
        <v>1</v>
      </c>
      <c r="Q132" s="633">
        <v>1</v>
      </c>
      <c r="R132" s="633">
        <v>1</v>
      </c>
      <c r="S132" s="633">
        <v>1</v>
      </c>
      <c r="T132" s="633">
        <v>1</v>
      </c>
      <c r="U132" s="635">
        <f t="shared" si="7"/>
        <v>1</v>
      </c>
      <c r="V132" s="635">
        <v>1</v>
      </c>
    </row>
    <row r="133" spans="1:22">
      <c r="A133" s="632" t="s">
        <v>196</v>
      </c>
      <c r="B133" s="632" t="s">
        <v>337</v>
      </c>
      <c r="C133" s="633" t="s">
        <v>1854</v>
      </c>
      <c r="D133" s="633"/>
      <c r="E133" s="633" t="s">
        <v>1855</v>
      </c>
      <c r="F133" s="633"/>
      <c r="G133" s="634" t="s">
        <v>1784</v>
      </c>
      <c r="H133" s="634"/>
      <c r="I133" s="633">
        <v>12</v>
      </c>
      <c r="J133" s="633">
        <v>12</v>
      </c>
      <c r="K133" s="633">
        <v>12</v>
      </c>
      <c r="L133" s="633">
        <v>12</v>
      </c>
      <c r="M133" s="633">
        <v>12</v>
      </c>
      <c r="N133" s="633">
        <v>12</v>
      </c>
      <c r="O133" s="633">
        <v>12</v>
      </c>
      <c r="P133" s="633">
        <v>12</v>
      </c>
      <c r="Q133" s="633">
        <v>12</v>
      </c>
      <c r="R133" s="633">
        <v>12</v>
      </c>
      <c r="S133" s="633">
        <v>12</v>
      </c>
      <c r="T133" s="633">
        <v>12</v>
      </c>
      <c r="U133" s="635">
        <f t="shared" si="7"/>
        <v>12</v>
      </c>
      <c r="V133" s="635">
        <v>9</v>
      </c>
    </row>
    <row r="134" spans="1:22">
      <c r="A134" s="632" t="s">
        <v>196</v>
      </c>
      <c r="B134" s="632" t="s">
        <v>337</v>
      </c>
      <c r="C134" s="633" t="s">
        <v>1854</v>
      </c>
      <c r="D134" s="633"/>
      <c r="E134" s="633" t="s">
        <v>1856</v>
      </c>
      <c r="F134" s="633"/>
      <c r="G134" s="634" t="s">
        <v>1784</v>
      </c>
      <c r="H134" s="634"/>
      <c r="I134" s="633">
        <v>22</v>
      </c>
      <c r="J134" s="633">
        <v>22</v>
      </c>
      <c r="K134" s="633">
        <v>22</v>
      </c>
      <c r="L134" s="633">
        <v>22</v>
      </c>
      <c r="M134" s="633">
        <v>22</v>
      </c>
      <c r="N134" s="633">
        <v>22</v>
      </c>
      <c r="O134" s="633">
        <v>22</v>
      </c>
      <c r="P134" s="633">
        <v>22</v>
      </c>
      <c r="Q134" s="633">
        <v>22</v>
      </c>
      <c r="R134" s="633">
        <v>22</v>
      </c>
      <c r="S134" s="633">
        <v>22</v>
      </c>
      <c r="T134" s="633">
        <v>22</v>
      </c>
      <c r="U134" s="635">
        <f t="shared" si="7"/>
        <v>22</v>
      </c>
      <c r="V134" s="635">
        <v>6</v>
      </c>
    </row>
    <row r="135" spans="1:22">
      <c r="A135" s="632" t="s">
        <v>196</v>
      </c>
      <c r="B135" s="632" t="s">
        <v>337</v>
      </c>
      <c r="C135" s="633" t="s">
        <v>1854</v>
      </c>
      <c r="D135" s="633"/>
      <c r="E135" s="633" t="s">
        <v>1821</v>
      </c>
      <c r="F135" s="633"/>
      <c r="G135" s="634" t="s">
        <v>1795</v>
      </c>
      <c r="H135" s="634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5">
        <v>0</v>
      </c>
      <c r="V135" s="635"/>
    </row>
    <row r="136" spans="1:22">
      <c r="A136" s="632" t="s">
        <v>196</v>
      </c>
      <c r="B136" s="632" t="s">
        <v>337</v>
      </c>
      <c r="C136" s="633" t="s">
        <v>1854</v>
      </c>
      <c r="D136" s="633"/>
      <c r="E136" s="633" t="s">
        <v>1855</v>
      </c>
      <c r="F136" s="633"/>
      <c r="G136" s="634" t="s">
        <v>1784</v>
      </c>
      <c r="H136" s="634"/>
      <c r="I136" s="633">
        <v>4</v>
      </c>
      <c r="J136" s="633">
        <v>4</v>
      </c>
      <c r="K136" s="633">
        <v>4</v>
      </c>
      <c r="L136" s="633">
        <v>4</v>
      </c>
      <c r="M136" s="633">
        <v>4</v>
      </c>
      <c r="N136" s="633">
        <v>4</v>
      </c>
      <c r="O136" s="633">
        <v>4</v>
      </c>
      <c r="P136" s="633">
        <v>4</v>
      </c>
      <c r="Q136" s="633">
        <v>4</v>
      </c>
      <c r="R136" s="633">
        <v>4</v>
      </c>
      <c r="S136" s="633">
        <v>4</v>
      </c>
      <c r="T136" s="633">
        <v>4</v>
      </c>
      <c r="U136" s="635">
        <f t="shared" ref="U136:U138" si="8">AVERAGE(I136:T136)</f>
        <v>4</v>
      </c>
      <c r="V136" s="635">
        <v>2</v>
      </c>
    </row>
    <row r="137" spans="1:22">
      <c r="A137" s="632" t="s">
        <v>196</v>
      </c>
      <c r="B137" s="632" t="s">
        <v>337</v>
      </c>
      <c r="C137" s="633" t="s">
        <v>1854</v>
      </c>
      <c r="D137" s="633"/>
      <c r="E137" s="633" t="s">
        <v>1855</v>
      </c>
      <c r="F137" s="633"/>
      <c r="G137" s="634" t="s">
        <v>1784</v>
      </c>
      <c r="H137" s="634"/>
      <c r="I137" s="633">
        <v>3</v>
      </c>
      <c r="J137" s="633">
        <v>3</v>
      </c>
      <c r="K137" s="633">
        <v>3</v>
      </c>
      <c r="L137" s="633">
        <v>3</v>
      </c>
      <c r="M137" s="633">
        <v>3</v>
      </c>
      <c r="N137" s="633">
        <v>3</v>
      </c>
      <c r="O137" s="633">
        <v>3</v>
      </c>
      <c r="P137" s="633">
        <v>3</v>
      </c>
      <c r="Q137" s="633">
        <v>3</v>
      </c>
      <c r="R137" s="633">
        <v>3</v>
      </c>
      <c r="S137" s="633">
        <v>3</v>
      </c>
      <c r="T137" s="633">
        <v>3</v>
      </c>
      <c r="U137" s="635">
        <f t="shared" si="8"/>
        <v>3</v>
      </c>
      <c r="V137" s="635">
        <v>2</v>
      </c>
    </row>
    <row r="138" spans="1:22">
      <c r="A138" s="632" t="s">
        <v>196</v>
      </c>
      <c r="B138" s="632" t="s">
        <v>337</v>
      </c>
      <c r="C138" s="633" t="s">
        <v>1857</v>
      </c>
      <c r="D138" s="633" t="s">
        <v>1858</v>
      </c>
      <c r="E138" s="633" t="s">
        <v>1859</v>
      </c>
      <c r="F138" s="633"/>
      <c r="G138" s="634" t="s">
        <v>1848</v>
      </c>
      <c r="H138" s="634"/>
      <c r="I138" s="633"/>
      <c r="J138" s="633"/>
      <c r="K138" s="633"/>
      <c r="L138" s="633"/>
      <c r="M138" s="633"/>
      <c r="N138" s="633"/>
      <c r="O138" s="633">
        <v>8</v>
      </c>
      <c r="P138" s="633">
        <v>8</v>
      </c>
      <c r="Q138" s="633">
        <v>8</v>
      </c>
      <c r="R138" s="633">
        <v>8</v>
      </c>
      <c r="S138" s="633">
        <v>8</v>
      </c>
      <c r="T138" s="633">
        <v>8</v>
      </c>
      <c r="U138" s="635">
        <f t="shared" si="8"/>
        <v>8</v>
      </c>
      <c r="V138" s="635"/>
    </row>
    <row r="139" spans="1:22">
      <c r="A139" s="632"/>
      <c r="B139" s="632"/>
      <c r="C139" s="633"/>
      <c r="D139" s="633"/>
      <c r="E139" s="633"/>
      <c r="F139" s="633"/>
      <c r="G139" s="634"/>
      <c r="H139" s="634"/>
      <c r="I139" s="633"/>
      <c r="J139" s="633"/>
      <c r="K139" s="633"/>
      <c r="L139" s="633"/>
      <c r="M139" s="633"/>
      <c r="N139" s="633"/>
      <c r="O139" s="633"/>
      <c r="P139" s="633"/>
      <c r="Q139" s="633"/>
      <c r="R139" s="633"/>
      <c r="S139" s="633"/>
      <c r="T139" s="633"/>
      <c r="U139" s="635"/>
      <c r="V139" s="635"/>
    </row>
  </sheetData>
  <autoFilter xmlns:etc="http://www.wps.cn/officeDocument/2017/etCustomData" ref="D9:D139" etc:filterBottomFollowUsedRange="0">
    <extLst/>
  </autoFilter>
  <mergeCells count="12">
    <mergeCell ref="A5:D5"/>
    <mergeCell ref="I9:U9"/>
    <mergeCell ref="A9:A10"/>
    <mergeCell ref="B9:B10"/>
    <mergeCell ref="C9:C10"/>
    <mergeCell ref="D9:D10"/>
    <mergeCell ref="E9:E10"/>
    <mergeCell ref="F9:F10"/>
    <mergeCell ref="G9:G10"/>
    <mergeCell ref="H9:H10"/>
    <mergeCell ref="V9:V10"/>
    <mergeCell ref="A1:D4"/>
  </mergeCells>
  <hyperlinks>
    <hyperlink ref="A1" location="目录!A1" display="← 返回目录"/>
  </hyperlinks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8">
    <tabColor theme="8" tint="0.399975585192419"/>
  </sheetPr>
  <dimension ref="A1:IT65"/>
  <sheetViews>
    <sheetView showGridLines="0" zoomScale="93" zoomScaleNormal="93" workbookViewId="0">
      <selection activeCell="A1" sqref="A1:D4"/>
    </sheetView>
  </sheetViews>
  <sheetFormatPr defaultColWidth="9" defaultRowHeight="14.25"/>
  <cols>
    <col min="1" max="1" width="15.6333333333333" style="568" customWidth="1"/>
    <col min="2" max="2" width="9" style="569"/>
    <col min="3" max="3" width="11.725" style="568" customWidth="1"/>
    <col min="4" max="4" width="24" style="568" customWidth="1"/>
    <col min="5" max="5" width="16.6333333333333" style="568" customWidth="1"/>
    <col min="6" max="6" width="13.1833333333333" style="570" customWidth="1"/>
    <col min="7" max="7" width="13.9083333333333" style="570" customWidth="1"/>
    <col min="8" max="9" width="9" style="570" customWidth="1"/>
    <col min="10" max="21" width="10" style="568" customWidth="1"/>
    <col min="22" max="16384" width="9" style="569"/>
  </cols>
  <sheetData>
    <row r="1" s="159" customFormat="1" ht="11.25" spans="1:21">
      <c r="A1" s="202" t="s">
        <v>185</v>
      </c>
      <c r="B1" s="492"/>
      <c r="C1" s="492"/>
      <c r="D1" s="492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="159" customFormat="1" ht="11.25" spans="1:21">
      <c r="A2" s="492"/>
      <c r="B2" s="492"/>
      <c r="C2" s="492"/>
      <c r="D2" s="492"/>
      <c r="E2" s="12"/>
      <c r="F2" s="13" t="s">
        <v>1659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="159" customFormat="1" ht="11.25" spans="1:21">
      <c r="A3" s="492"/>
      <c r="B3" s="492"/>
      <c r="C3" s="492"/>
      <c r="D3" s="492"/>
      <c r="E3" s="12"/>
      <c r="F3" s="13" t="s">
        <v>1660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s="159" customFormat="1" ht="11.25" spans="1:21">
      <c r="A4" s="492"/>
      <c r="B4" s="492"/>
      <c r="C4" s="492"/>
      <c r="D4" s="492"/>
      <c r="E4" s="12"/>
      <c r="F4" s="13"/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="159" customFormat="1" ht="11.25" spans="1:21">
      <c r="A5" s="292" t="s">
        <v>1766</v>
      </c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s="159" customFormat="1" ht="13.5" spans="1:21">
      <c r="A6" s="1"/>
      <c r="B6" s="1"/>
      <c r="C6" s="1"/>
      <c r="D6" s="1"/>
      <c r="E6"/>
      <c r="F6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s="159" customFormat="1" ht="13.5" spans="1:21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571" t="s">
        <v>1860</v>
      </c>
      <c r="K7" s="1"/>
      <c r="L7" s="1"/>
      <c r="M7" s="1"/>
      <c r="N7" s="1"/>
      <c r="O7" s="1"/>
      <c r="P7"/>
      <c r="Q7"/>
    </row>
    <row r="8" s="159" customFormat="1" ht="13.5" spans="1:21">
      <c r="A8" s="1"/>
      <c r="B8" s="1"/>
      <c r="C8" s="1"/>
      <c r="D8" s="1"/>
      <c r="E8"/>
      <c r="F8"/>
      <c r="G8" s="32"/>
      <c r="H8" s="1"/>
      <c r="I8" s="1"/>
      <c r="J8" s="1"/>
      <c r="K8" s="1"/>
      <c r="L8" s="1"/>
      <c r="M8" s="1"/>
      <c r="N8" s="1"/>
      <c r="O8" s="1"/>
      <c r="P8" s="1"/>
      <c r="Q8" s="1"/>
    </row>
    <row r="9" s="565" customFormat="1" spans="1:21">
      <c r="A9" s="572" t="s">
        <v>1861</v>
      </c>
      <c r="C9" s="573"/>
      <c r="D9" s="573"/>
      <c r="E9" s="573"/>
      <c r="F9" s="574"/>
      <c r="G9" s="574"/>
      <c r="H9" s="574"/>
      <c r="I9" s="574"/>
      <c r="J9" s="573"/>
      <c r="K9" s="573"/>
      <c r="L9" s="573"/>
      <c r="M9" s="573"/>
      <c r="N9" s="573"/>
      <c r="O9" s="573"/>
      <c r="P9" s="573"/>
      <c r="Q9" s="573"/>
      <c r="R9" s="573"/>
      <c r="S9" s="573"/>
      <c r="T9" s="573"/>
      <c r="U9" s="573"/>
    </row>
    <row r="10" s="565" customFormat="1" spans="1:21">
      <c r="A10" s="575" t="s">
        <v>1862</v>
      </c>
      <c r="C10" s="573"/>
      <c r="D10" s="573"/>
      <c r="E10" s="573"/>
      <c r="F10" s="574"/>
      <c r="G10" s="574"/>
      <c r="H10" s="574"/>
      <c r="I10" s="574"/>
      <c r="J10" s="573"/>
      <c r="K10" s="573"/>
      <c r="L10" s="573"/>
      <c r="M10" s="573"/>
      <c r="N10" s="573"/>
      <c r="O10" s="573"/>
      <c r="P10" s="573"/>
      <c r="Q10" s="573"/>
      <c r="R10" s="573"/>
      <c r="S10" s="573"/>
      <c r="T10" s="573"/>
      <c r="U10" s="573"/>
    </row>
    <row r="11" ht="16.5" spans="1:21">
      <c r="A11" s="576" t="s">
        <v>1863</v>
      </c>
      <c r="B11" s="576" t="s">
        <v>1864</v>
      </c>
      <c r="C11" s="576" t="s">
        <v>278</v>
      </c>
      <c r="D11" s="577" t="s">
        <v>1865</v>
      </c>
      <c r="E11" s="577" t="s">
        <v>1866</v>
      </c>
      <c r="F11" s="578" t="s">
        <v>1867</v>
      </c>
      <c r="G11" s="578"/>
      <c r="H11" s="578"/>
      <c r="I11" s="578"/>
      <c r="J11" s="579" t="s">
        <v>1868</v>
      </c>
      <c r="K11" s="579"/>
      <c r="L11" s="579"/>
      <c r="M11" s="579"/>
      <c r="N11" s="579"/>
      <c r="O11" s="579"/>
      <c r="P11" s="579"/>
      <c r="Q11" s="579"/>
      <c r="R11" s="579"/>
      <c r="S11" s="579"/>
      <c r="T11" s="579"/>
      <c r="U11" s="579"/>
    </row>
    <row r="12" ht="16.5" spans="1:21">
      <c r="A12" s="576"/>
      <c r="B12" s="576"/>
      <c r="C12" s="576"/>
      <c r="D12" s="576"/>
      <c r="E12" s="576"/>
      <c r="F12" s="578" t="s">
        <v>1869</v>
      </c>
      <c r="G12" s="578" t="s">
        <v>1870</v>
      </c>
      <c r="H12" s="578" t="s">
        <v>222</v>
      </c>
      <c r="I12" s="578" t="s">
        <v>223</v>
      </c>
      <c r="J12" s="580" t="s">
        <v>304</v>
      </c>
      <c r="K12" s="580" t="s">
        <v>305</v>
      </c>
      <c r="L12" s="580" t="s">
        <v>306</v>
      </c>
      <c r="M12" s="580" t="s">
        <v>307</v>
      </c>
      <c r="N12" s="580" t="s">
        <v>308</v>
      </c>
      <c r="O12" s="580" t="s">
        <v>309</v>
      </c>
      <c r="P12" s="580" t="s">
        <v>310</v>
      </c>
      <c r="Q12" s="580" t="s">
        <v>311</v>
      </c>
      <c r="R12" s="580" t="s">
        <v>312</v>
      </c>
      <c r="S12" s="580" t="s">
        <v>313</v>
      </c>
      <c r="T12" s="580" t="s">
        <v>314</v>
      </c>
      <c r="U12" s="580" t="s">
        <v>315</v>
      </c>
    </row>
    <row r="13" s="566" customFormat="1" spans="1:21">
      <c r="A13" s="581" t="s">
        <v>383</v>
      </c>
      <c r="B13" s="582" t="s">
        <v>115</v>
      </c>
      <c r="C13" s="583" t="s">
        <v>1871</v>
      </c>
      <c r="D13" s="584" t="s">
        <v>383</v>
      </c>
      <c r="E13" s="585" t="s">
        <v>1872</v>
      </c>
      <c r="F13" s="586"/>
      <c r="G13" s="586">
        <f t="shared" ref="G13:G16" si="0">SUM(J13:U13)</f>
        <v>0</v>
      </c>
      <c r="H13" s="586"/>
      <c r="I13" s="586"/>
      <c r="J13" s="587"/>
      <c r="K13" s="587"/>
      <c r="L13" s="587"/>
      <c r="M13" s="587"/>
      <c r="N13" s="587"/>
      <c r="O13" s="587"/>
      <c r="P13" s="587"/>
      <c r="Q13" s="587"/>
      <c r="R13" s="587"/>
      <c r="S13" s="587"/>
      <c r="T13" s="587"/>
      <c r="U13" s="587"/>
    </row>
    <row r="14" s="566" customFormat="1" spans="1:21">
      <c r="A14" s="581" t="s">
        <v>383</v>
      </c>
      <c r="B14" s="582" t="s">
        <v>115</v>
      </c>
      <c r="C14" s="588"/>
      <c r="D14" s="589" t="s">
        <v>417</v>
      </c>
      <c r="E14" s="585" t="s">
        <v>417</v>
      </c>
      <c r="F14" s="586"/>
      <c r="G14" s="586">
        <f t="shared" si="0"/>
        <v>0</v>
      </c>
      <c r="H14" s="586"/>
      <c r="I14" s="586"/>
      <c r="J14" s="587"/>
      <c r="K14" s="587"/>
      <c r="L14" s="587"/>
      <c r="M14" s="587"/>
      <c r="N14" s="587"/>
      <c r="O14" s="587"/>
      <c r="P14" s="587"/>
      <c r="Q14" s="587"/>
      <c r="R14" s="587"/>
      <c r="S14" s="587"/>
      <c r="T14" s="587"/>
      <c r="U14" s="587"/>
    </row>
    <row r="15" s="566" customFormat="1" spans="1:21">
      <c r="A15" s="581" t="s">
        <v>383</v>
      </c>
      <c r="B15" s="582" t="s">
        <v>115</v>
      </c>
      <c r="C15" s="588"/>
      <c r="D15" s="590" t="s">
        <v>383</v>
      </c>
      <c r="E15" s="590" t="s">
        <v>1873</v>
      </c>
      <c r="F15" s="586"/>
      <c r="G15" s="586">
        <f t="shared" si="0"/>
        <v>0</v>
      </c>
      <c r="H15" s="586"/>
      <c r="I15" s="586"/>
      <c r="J15" s="587"/>
      <c r="K15" s="587"/>
      <c r="L15" s="587"/>
      <c r="M15" s="587"/>
      <c r="N15" s="587"/>
      <c r="O15" s="587"/>
      <c r="P15" s="587"/>
      <c r="Q15" s="587"/>
      <c r="R15" s="587"/>
      <c r="S15" s="587"/>
      <c r="T15" s="587"/>
      <c r="U15" s="587"/>
    </row>
    <row r="16" s="566" customFormat="1" spans="1:21">
      <c r="A16" s="581" t="s">
        <v>383</v>
      </c>
      <c r="B16" s="582" t="s">
        <v>115</v>
      </c>
      <c r="C16" s="588"/>
      <c r="D16" s="584" t="s">
        <v>383</v>
      </c>
      <c r="E16" s="585" t="s">
        <v>1874</v>
      </c>
      <c r="F16" s="586"/>
      <c r="G16" s="586">
        <f t="shared" si="0"/>
        <v>0</v>
      </c>
      <c r="H16" s="586"/>
      <c r="I16" s="586"/>
      <c r="J16" s="587"/>
      <c r="K16" s="587"/>
      <c r="L16" s="587"/>
      <c r="M16" s="587"/>
      <c r="N16" s="587"/>
      <c r="O16" s="587"/>
      <c r="P16" s="587"/>
      <c r="Q16" s="587"/>
      <c r="R16" s="587"/>
      <c r="S16" s="587"/>
      <c r="T16" s="587"/>
      <c r="U16" s="587"/>
    </row>
    <row r="17" s="566" customFormat="1" spans="1:254">
      <c r="A17" s="581" t="s">
        <v>383</v>
      </c>
      <c r="B17" s="582" t="s">
        <v>115</v>
      </c>
      <c r="C17" s="591"/>
      <c r="D17" s="589" t="s">
        <v>424</v>
      </c>
      <c r="E17" s="592" t="s">
        <v>424</v>
      </c>
      <c r="F17" s="586"/>
      <c r="G17" s="586"/>
      <c r="H17" s="586"/>
      <c r="I17" s="586"/>
      <c r="J17" s="587"/>
      <c r="K17" s="587"/>
      <c r="L17" s="587"/>
      <c r="M17" s="587"/>
      <c r="N17" s="587"/>
      <c r="O17" s="587"/>
      <c r="P17" s="587"/>
      <c r="Q17" s="587"/>
      <c r="R17" s="587"/>
      <c r="S17" s="587"/>
      <c r="T17" s="587"/>
      <c r="U17" s="587"/>
    </row>
    <row r="18" s="566" customFormat="1" spans="1:254">
      <c r="A18" s="581" t="s">
        <v>383</v>
      </c>
      <c r="B18" s="582" t="s">
        <v>115</v>
      </c>
      <c r="C18" s="584" t="s">
        <v>1875</v>
      </c>
      <c r="D18" s="584" t="s">
        <v>383</v>
      </c>
      <c r="E18" s="585" t="s">
        <v>1875</v>
      </c>
      <c r="F18" s="586"/>
      <c r="G18" s="586">
        <f t="shared" ref="G18:G59" si="1">SUM(J18:U18)</f>
        <v>0</v>
      </c>
      <c r="H18" s="586"/>
      <c r="I18" s="586"/>
      <c r="J18" s="593"/>
      <c r="K18" s="593"/>
      <c r="L18" s="593"/>
      <c r="M18" s="593"/>
      <c r="N18" s="593"/>
      <c r="O18" s="593"/>
      <c r="P18" s="593"/>
      <c r="Q18" s="593"/>
      <c r="R18" s="593"/>
      <c r="S18" s="593"/>
      <c r="T18" s="593"/>
      <c r="U18" s="593"/>
    </row>
    <row r="19" s="566" customFormat="1" ht="16" customHeight="1" spans="1:254">
      <c r="A19" s="594" t="s">
        <v>367</v>
      </c>
      <c r="B19" s="595" t="s">
        <v>115</v>
      </c>
      <c r="C19" s="584" t="s">
        <v>1876</v>
      </c>
      <c r="D19" s="583" t="s">
        <v>367</v>
      </c>
      <c r="E19" s="585" t="s">
        <v>1877</v>
      </c>
      <c r="F19" s="586" t="s">
        <v>199</v>
      </c>
      <c r="G19" s="586">
        <f t="shared" si="1"/>
        <v>0</v>
      </c>
      <c r="H19" s="586"/>
      <c r="I19" s="586"/>
      <c r="J19" s="587"/>
      <c r="K19" s="587"/>
      <c r="L19" s="587"/>
      <c r="M19" s="587"/>
      <c r="N19" s="587"/>
      <c r="O19" s="587"/>
      <c r="P19" s="587"/>
      <c r="Q19" s="587"/>
      <c r="R19" s="587"/>
      <c r="S19" s="587"/>
      <c r="T19" s="587"/>
      <c r="U19" s="587"/>
    </row>
    <row r="20" s="566" customFormat="1" ht="16" customHeight="1" spans="1:254">
      <c r="A20" s="596"/>
      <c r="B20" s="597"/>
      <c r="C20" s="584"/>
      <c r="D20" s="588"/>
      <c r="E20" s="1099" t="s">
        <v>1878</v>
      </c>
      <c r="F20" s="586"/>
      <c r="G20" s="586"/>
      <c r="H20" s="586"/>
      <c r="I20" s="586"/>
      <c r="J20" s="587"/>
      <c r="K20" s="587"/>
      <c r="L20" s="587"/>
      <c r="M20" s="587"/>
      <c r="N20" s="587"/>
      <c r="O20" s="587"/>
      <c r="P20" s="587"/>
      <c r="Q20" s="587"/>
      <c r="R20" s="587"/>
      <c r="S20" s="587"/>
      <c r="T20" s="587"/>
      <c r="U20" s="587"/>
    </row>
    <row r="21" s="566" customFormat="1" ht="16" customHeight="1" spans="1:254">
      <c r="A21" s="598"/>
      <c r="B21" s="599"/>
      <c r="C21" s="584"/>
      <c r="D21" s="591"/>
      <c r="E21" s="1099" t="s">
        <v>1879</v>
      </c>
      <c r="F21" s="586"/>
      <c r="G21" s="586"/>
      <c r="H21" s="586"/>
      <c r="I21" s="586"/>
      <c r="J21" s="587"/>
      <c r="K21" s="587"/>
      <c r="L21" s="587"/>
      <c r="M21" s="587"/>
      <c r="N21" s="587"/>
      <c r="O21" s="587"/>
      <c r="P21" s="587"/>
      <c r="Q21" s="587"/>
      <c r="R21" s="587"/>
      <c r="S21" s="587"/>
      <c r="T21" s="587"/>
      <c r="U21" s="587"/>
    </row>
    <row r="22" s="566" customFormat="1" spans="1:254">
      <c r="A22" s="581" t="s">
        <v>374</v>
      </c>
      <c r="B22" s="582" t="s">
        <v>115</v>
      </c>
      <c r="C22" s="584"/>
      <c r="D22" s="584" t="s">
        <v>374</v>
      </c>
      <c r="E22" s="585" t="s">
        <v>1880</v>
      </c>
      <c r="F22" s="586"/>
      <c r="G22" s="586">
        <f t="shared" si="1"/>
        <v>0</v>
      </c>
      <c r="H22" s="586"/>
      <c r="I22" s="586"/>
      <c r="J22" s="587"/>
      <c r="K22" s="587"/>
      <c r="L22" s="587"/>
      <c r="M22" s="587"/>
      <c r="N22" s="587"/>
      <c r="O22" s="587"/>
      <c r="P22" s="587"/>
      <c r="Q22" s="587"/>
      <c r="R22" s="587"/>
      <c r="S22" s="587"/>
      <c r="T22" s="587"/>
      <c r="U22" s="587"/>
    </row>
    <row r="23" s="566" customFormat="1" spans="1:254">
      <c r="A23" s="581" t="s">
        <v>383</v>
      </c>
      <c r="B23" s="582" t="s">
        <v>115</v>
      </c>
      <c r="C23" s="584" t="s">
        <v>1881</v>
      </c>
      <c r="D23" s="583" t="s">
        <v>383</v>
      </c>
      <c r="E23" s="585" t="s">
        <v>1882</v>
      </c>
      <c r="F23" s="586"/>
      <c r="G23" s="586">
        <f t="shared" si="1"/>
        <v>0</v>
      </c>
      <c r="H23" s="586"/>
      <c r="I23" s="586"/>
      <c r="J23" s="587"/>
      <c r="K23" s="587"/>
      <c r="L23" s="587"/>
      <c r="M23" s="587"/>
      <c r="N23" s="587"/>
      <c r="O23" s="587"/>
      <c r="P23" s="587"/>
      <c r="Q23" s="587"/>
      <c r="R23" s="587"/>
      <c r="S23" s="587"/>
      <c r="T23" s="587"/>
      <c r="U23" s="587"/>
    </row>
    <row r="24" s="566" customFormat="1" spans="1:254">
      <c r="A24" s="581" t="s">
        <v>383</v>
      </c>
      <c r="B24" s="582" t="s">
        <v>115</v>
      </c>
      <c r="C24" s="584"/>
      <c r="D24" s="591"/>
      <c r="E24" s="585" t="s">
        <v>1883</v>
      </c>
      <c r="F24" s="586"/>
      <c r="G24" s="586">
        <f t="shared" si="1"/>
        <v>0</v>
      </c>
      <c r="H24" s="586"/>
      <c r="I24" s="586"/>
      <c r="J24" s="587"/>
      <c r="K24" s="587"/>
      <c r="L24" s="587"/>
      <c r="M24" s="587"/>
      <c r="N24" s="587"/>
      <c r="O24" s="587"/>
      <c r="P24" s="587"/>
      <c r="Q24" s="587"/>
      <c r="R24" s="587"/>
      <c r="S24" s="587"/>
      <c r="T24" s="587"/>
      <c r="U24" s="587"/>
    </row>
    <row r="25" s="566" customFormat="1" spans="1:254">
      <c r="A25" s="581" t="s">
        <v>416</v>
      </c>
      <c r="B25" s="582" t="s">
        <v>115</v>
      </c>
      <c r="C25" s="584" t="s">
        <v>1884</v>
      </c>
      <c r="D25" s="584" t="s">
        <v>416</v>
      </c>
      <c r="E25" s="585" t="s">
        <v>416</v>
      </c>
      <c r="F25" s="586"/>
      <c r="G25" s="586">
        <f t="shared" si="1"/>
        <v>0</v>
      </c>
      <c r="H25" s="586"/>
      <c r="I25" s="586"/>
      <c r="J25" s="587"/>
      <c r="K25" s="587"/>
      <c r="L25" s="587"/>
      <c r="M25" s="587"/>
      <c r="N25" s="587"/>
      <c r="O25" s="587"/>
      <c r="P25" s="587"/>
      <c r="Q25" s="587"/>
      <c r="R25" s="587"/>
      <c r="S25" s="587"/>
      <c r="T25" s="587"/>
      <c r="U25" s="587"/>
    </row>
    <row r="26" s="566" customFormat="1" spans="1:254">
      <c r="A26" s="581" t="s">
        <v>423</v>
      </c>
      <c r="B26" s="582" t="s">
        <v>115</v>
      </c>
      <c r="C26" s="584"/>
      <c r="D26" s="584" t="s">
        <v>423</v>
      </c>
      <c r="E26" s="585" t="s">
        <v>423</v>
      </c>
      <c r="F26" s="586"/>
      <c r="G26" s="586">
        <f t="shared" si="1"/>
        <v>0</v>
      </c>
      <c r="H26" s="586"/>
      <c r="I26" s="586"/>
      <c r="J26" s="587"/>
      <c r="K26" s="587"/>
      <c r="L26" s="587"/>
      <c r="M26" s="587"/>
      <c r="N26" s="587"/>
      <c r="O26" s="587"/>
      <c r="P26" s="587"/>
      <c r="Q26" s="587"/>
      <c r="R26" s="587"/>
      <c r="S26" s="587"/>
      <c r="T26" s="587"/>
      <c r="U26" s="587"/>
    </row>
    <row r="27" s="566" customFormat="1" spans="1:254">
      <c r="A27" s="581" t="s">
        <v>428</v>
      </c>
      <c r="B27" s="582" t="s">
        <v>115</v>
      </c>
      <c r="C27" s="584" t="s">
        <v>428</v>
      </c>
      <c r="D27" s="584" t="s">
        <v>428</v>
      </c>
      <c r="E27" s="585" t="s">
        <v>428</v>
      </c>
      <c r="F27" s="586"/>
      <c r="G27" s="586">
        <f t="shared" si="1"/>
        <v>0</v>
      </c>
      <c r="H27" s="586"/>
      <c r="I27" s="586"/>
      <c r="J27" s="587"/>
      <c r="K27" s="587"/>
      <c r="L27" s="587"/>
      <c r="M27" s="587"/>
      <c r="N27" s="587"/>
      <c r="O27" s="587"/>
      <c r="P27" s="587"/>
      <c r="Q27" s="587"/>
      <c r="R27" s="587"/>
      <c r="S27" s="587"/>
      <c r="T27" s="587"/>
      <c r="U27" s="587"/>
    </row>
    <row r="28" s="566" customFormat="1" spans="1:254">
      <c r="A28" s="581" t="s">
        <v>410</v>
      </c>
      <c r="B28" s="582" t="s">
        <v>115</v>
      </c>
      <c r="C28" s="600" t="s">
        <v>1885</v>
      </c>
      <c r="D28" s="585" t="s">
        <v>410</v>
      </c>
      <c r="E28" s="585" t="s">
        <v>410</v>
      </c>
      <c r="F28" s="586"/>
      <c r="G28" s="586">
        <f t="shared" si="1"/>
        <v>0</v>
      </c>
      <c r="H28" s="586"/>
      <c r="I28" s="586"/>
      <c r="J28" s="587"/>
      <c r="K28" s="587"/>
      <c r="L28" s="587"/>
      <c r="M28" s="587"/>
      <c r="N28" s="587"/>
      <c r="O28" s="587"/>
      <c r="P28" s="587"/>
      <c r="Q28" s="587"/>
      <c r="R28" s="587"/>
      <c r="S28" s="587"/>
      <c r="T28" s="587"/>
      <c r="U28" s="587"/>
    </row>
    <row r="29" s="566" customFormat="1" ht="13" customHeight="1" spans="1:254">
      <c r="A29" s="581" t="s">
        <v>386</v>
      </c>
      <c r="B29" s="582" t="s">
        <v>115</v>
      </c>
      <c r="C29" s="600" t="s">
        <v>1886</v>
      </c>
      <c r="D29" s="585" t="s">
        <v>386</v>
      </c>
      <c r="E29" s="601" t="s">
        <v>386</v>
      </c>
      <c r="F29" s="586"/>
      <c r="G29" s="586">
        <f t="shared" si="1"/>
        <v>0</v>
      </c>
      <c r="H29" s="586"/>
      <c r="I29" s="586"/>
      <c r="J29" s="587"/>
      <c r="K29" s="587"/>
      <c r="L29" s="587"/>
      <c r="M29" s="587"/>
      <c r="N29" s="587"/>
      <c r="O29" s="587"/>
      <c r="P29" s="587"/>
      <c r="Q29" s="587"/>
      <c r="R29" s="587"/>
      <c r="S29" s="587"/>
      <c r="T29" s="587"/>
      <c r="U29" s="587"/>
      <c r="AU29" s="602"/>
      <c r="AV29" s="602"/>
      <c r="AW29" s="602"/>
      <c r="AX29" s="602"/>
      <c r="AY29" s="602"/>
      <c r="AZ29" s="602"/>
      <c r="BA29" s="582"/>
      <c r="BB29" s="600"/>
      <c r="BC29" s="585"/>
      <c r="BD29" s="603"/>
      <c r="BE29" s="604"/>
      <c r="BF29" s="604"/>
      <c r="BG29" s="602"/>
      <c r="BH29" s="602"/>
      <c r="BI29" s="602"/>
      <c r="BJ29" s="602"/>
      <c r="BK29" s="602"/>
      <c r="BL29" s="602"/>
      <c r="BM29" s="602"/>
      <c r="BN29" s="602"/>
      <c r="BO29" s="602"/>
      <c r="BP29" s="602"/>
      <c r="BQ29" s="602"/>
      <c r="BR29" s="602"/>
      <c r="BS29" s="582"/>
      <c r="BT29" s="600"/>
      <c r="BU29" s="585"/>
      <c r="BV29" s="603"/>
      <c r="BW29" s="604"/>
      <c r="BX29" s="604"/>
      <c r="BY29" s="602"/>
      <c r="BZ29" s="602"/>
      <c r="CA29" s="602"/>
      <c r="CB29" s="602"/>
      <c r="CC29" s="602"/>
      <c r="CD29" s="602"/>
      <c r="CE29" s="602"/>
      <c r="CF29" s="602"/>
      <c r="CG29" s="602"/>
      <c r="CH29" s="602"/>
      <c r="CI29" s="602"/>
      <c r="CJ29" s="602"/>
      <c r="CK29" s="582"/>
      <c r="CL29" s="600"/>
      <c r="CM29" s="585"/>
      <c r="CN29" s="603"/>
      <c r="CO29" s="604"/>
      <c r="CP29" s="604"/>
      <c r="CQ29" s="602"/>
      <c r="CR29" s="602"/>
      <c r="CS29" s="602"/>
      <c r="CT29" s="602"/>
      <c r="CU29" s="602"/>
      <c r="CV29" s="602"/>
      <c r="CW29" s="602"/>
      <c r="CX29" s="602"/>
      <c r="CY29" s="602"/>
      <c r="CZ29" s="602"/>
      <c r="DA29" s="602"/>
      <c r="DB29" s="602"/>
      <c r="DC29" s="582"/>
      <c r="DD29" s="600"/>
      <c r="DE29" s="585"/>
      <c r="DF29" s="603"/>
      <c r="DG29" s="604"/>
      <c r="DH29" s="604"/>
      <c r="DI29" s="602"/>
      <c r="DJ29" s="602"/>
      <c r="DK29" s="602"/>
      <c r="DL29" s="602"/>
      <c r="DM29" s="602"/>
      <c r="DN29" s="602"/>
      <c r="DO29" s="602"/>
      <c r="DP29" s="602"/>
      <c r="DQ29" s="602"/>
      <c r="DR29" s="602"/>
      <c r="DS29" s="602"/>
      <c r="DT29" s="602"/>
      <c r="DU29" s="582"/>
      <c r="DV29" s="600"/>
      <c r="DW29" s="585"/>
      <c r="DX29" s="603"/>
      <c r="DY29" s="604"/>
      <c r="DZ29" s="604"/>
      <c r="EA29" s="602"/>
      <c r="EB29" s="602"/>
      <c r="EC29" s="602"/>
      <c r="ED29" s="602"/>
      <c r="EE29" s="602"/>
      <c r="EF29" s="602"/>
      <c r="EG29" s="602"/>
      <c r="EH29" s="602"/>
      <c r="EI29" s="602"/>
      <c r="EJ29" s="602"/>
      <c r="EK29" s="602"/>
      <c r="EL29" s="602"/>
      <c r="EM29" s="582"/>
      <c r="EN29" s="600"/>
      <c r="EO29" s="585"/>
      <c r="EP29" s="603"/>
      <c r="EQ29" s="604"/>
      <c r="ER29" s="604"/>
      <c r="ES29" s="602"/>
      <c r="ET29" s="602"/>
      <c r="EU29" s="602"/>
      <c r="EV29" s="602"/>
      <c r="EW29" s="602"/>
      <c r="EX29" s="602"/>
      <c r="EY29" s="602"/>
      <c r="EZ29" s="602"/>
      <c r="FA29" s="602"/>
      <c r="FB29" s="602"/>
      <c r="FC29" s="602"/>
      <c r="FD29" s="602"/>
      <c r="FE29" s="582"/>
      <c r="FF29" s="600"/>
      <c r="FG29" s="585"/>
      <c r="FH29" s="603"/>
      <c r="FI29" s="604"/>
      <c r="FJ29" s="604"/>
      <c r="FK29" s="602"/>
      <c r="FL29" s="602"/>
      <c r="FM29" s="602"/>
      <c r="FN29" s="602"/>
      <c r="FO29" s="602"/>
      <c r="FP29" s="602"/>
      <c r="FQ29" s="602"/>
      <c r="FR29" s="602"/>
      <c r="FS29" s="602"/>
      <c r="FT29" s="602"/>
      <c r="FU29" s="602"/>
      <c r="FV29" s="602"/>
      <c r="FW29" s="582"/>
      <c r="FX29" s="600"/>
      <c r="FY29" s="585"/>
      <c r="FZ29" s="603"/>
      <c r="GA29" s="604"/>
      <c r="GB29" s="604"/>
      <c r="GC29" s="602"/>
      <c r="GD29" s="602"/>
      <c r="GE29" s="602"/>
      <c r="GF29" s="602"/>
      <c r="GG29" s="602"/>
      <c r="GH29" s="602"/>
      <c r="GI29" s="602"/>
      <c r="GJ29" s="602"/>
      <c r="GK29" s="602"/>
      <c r="GL29" s="602"/>
      <c r="GM29" s="602"/>
      <c r="GN29" s="602"/>
      <c r="GO29" s="582"/>
      <c r="GP29" s="600"/>
      <c r="GQ29" s="585"/>
      <c r="GR29" s="603"/>
      <c r="GS29" s="604"/>
      <c r="GT29" s="604"/>
      <c r="GU29" s="602"/>
      <c r="GV29" s="602"/>
      <c r="GW29" s="602"/>
      <c r="GX29" s="602"/>
      <c r="GY29" s="602"/>
      <c r="GZ29" s="602"/>
      <c r="HA29" s="602"/>
      <c r="HB29" s="602"/>
      <c r="HC29" s="602"/>
      <c r="HD29" s="602"/>
      <c r="HE29" s="602"/>
      <c r="HF29" s="602"/>
      <c r="HG29" s="582"/>
      <c r="HH29" s="600"/>
      <c r="HI29" s="585"/>
      <c r="HJ29" s="603"/>
      <c r="HK29" s="604"/>
      <c r="HL29" s="604"/>
      <c r="HM29" s="602"/>
      <c r="HN29" s="602"/>
      <c r="HO29" s="602"/>
      <c r="HP29" s="602"/>
      <c r="HQ29" s="602"/>
      <c r="HR29" s="602"/>
      <c r="HS29" s="602"/>
      <c r="HT29" s="602"/>
      <c r="HU29" s="602"/>
      <c r="HV29" s="602"/>
      <c r="HW29" s="602"/>
      <c r="HX29" s="602"/>
      <c r="HY29" s="582"/>
      <c r="HZ29" s="600"/>
      <c r="IA29" s="585"/>
      <c r="IB29" s="603"/>
      <c r="IC29" s="604"/>
      <c r="ID29" s="604"/>
      <c r="IE29" s="602"/>
      <c r="IF29" s="602"/>
      <c r="IG29" s="602"/>
      <c r="IH29" s="602"/>
      <c r="II29" s="602"/>
      <c r="IJ29" s="602"/>
      <c r="IK29" s="602"/>
      <c r="IL29" s="602"/>
      <c r="IM29" s="602"/>
      <c r="IN29" s="602"/>
      <c r="IO29" s="602"/>
      <c r="IP29" s="602"/>
      <c r="IQ29" s="582"/>
      <c r="IR29" s="600"/>
      <c r="IS29" s="585"/>
      <c r="IT29" s="603"/>
    </row>
    <row r="30" s="567" customFormat="1" spans="1:254">
      <c r="A30" s="605"/>
      <c r="B30" s="606" t="s">
        <v>115</v>
      </c>
      <c r="C30" s="606" t="s">
        <v>1887</v>
      </c>
      <c r="D30" s="606"/>
      <c r="E30" s="606"/>
      <c r="F30" s="607">
        <f t="shared" ref="F30:U30" si="2">SUM(F13:F29)</f>
        <v>0</v>
      </c>
      <c r="G30" s="607">
        <f t="shared" si="1"/>
        <v>0</v>
      </c>
      <c r="H30" s="607"/>
      <c r="I30" s="607"/>
      <c r="J30" s="608">
        <f t="shared" si="2"/>
        <v>0</v>
      </c>
      <c r="K30" s="608">
        <f t="shared" si="2"/>
        <v>0</v>
      </c>
      <c r="L30" s="608">
        <f t="shared" si="2"/>
        <v>0</v>
      </c>
      <c r="M30" s="608">
        <f t="shared" si="2"/>
        <v>0</v>
      </c>
      <c r="N30" s="608">
        <f t="shared" si="2"/>
        <v>0</v>
      </c>
      <c r="O30" s="608">
        <f t="shared" si="2"/>
        <v>0</v>
      </c>
      <c r="P30" s="608">
        <f t="shared" si="2"/>
        <v>0</v>
      </c>
      <c r="Q30" s="608">
        <f t="shared" si="2"/>
        <v>0</v>
      </c>
      <c r="R30" s="608">
        <f t="shared" si="2"/>
        <v>0</v>
      </c>
      <c r="S30" s="608">
        <f t="shared" si="2"/>
        <v>0</v>
      </c>
      <c r="T30" s="608">
        <f t="shared" si="2"/>
        <v>0</v>
      </c>
      <c r="U30" s="608">
        <f t="shared" si="2"/>
        <v>0</v>
      </c>
    </row>
    <row r="31" s="566" customFormat="1" spans="1:254">
      <c r="A31" s="581" t="s">
        <v>383</v>
      </c>
      <c r="B31" s="609" t="s">
        <v>126</v>
      </c>
      <c r="C31" s="610" t="s">
        <v>1888</v>
      </c>
      <c r="D31" s="584" t="s">
        <v>383</v>
      </c>
      <c r="E31" s="585" t="s">
        <v>1872</v>
      </c>
      <c r="F31" s="611"/>
      <c r="G31" s="611">
        <f t="shared" si="1"/>
        <v>0</v>
      </c>
      <c r="H31" s="611"/>
      <c r="I31" s="611"/>
      <c r="J31" s="612"/>
      <c r="K31" s="612"/>
      <c r="L31" s="612"/>
      <c r="M31" s="612"/>
      <c r="N31" s="612"/>
      <c r="O31" s="612"/>
      <c r="P31" s="612"/>
      <c r="Q31" s="612"/>
      <c r="R31" s="612"/>
      <c r="S31" s="612"/>
      <c r="T31" s="612"/>
      <c r="U31" s="612"/>
    </row>
    <row r="32" s="566" customFormat="1" spans="1:254">
      <c r="A32" s="581" t="s">
        <v>424</v>
      </c>
      <c r="B32" s="609" t="s">
        <v>126</v>
      </c>
      <c r="C32" s="610"/>
      <c r="D32" s="613" t="s">
        <v>424</v>
      </c>
      <c r="E32" s="585" t="s">
        <v>1889</v>
      </c>
      <c r="F32" s="611"/>
      <c r="G32" s="611">
        <f t="shared" si="1"/>
        <v>0</v>
      </c>
      <c r="H32" s="611"/>
      <c r="I32" s="611"/>
      <c r="J32" s="612"/>
      <c r="K32" s="612"/>
      <c r="L32" s="612"/>
      <c r="M32" s="612"/>
      <c r="N32" s="612"/>
      <c r="O32" s="612"/>
      <c r="P32" s="612"/>
      <c r="Q32" s="612"/>
      <c r="R32" s="612"/>
      <c r="S32" s="612"/>
      <c r="T32" s="612"/>
      <c r="U32" s="612"/>
    </row>
    <row r="33" s="566" customFormat="1" spans="1:21">
      <c r="A33" s="581" t="s">
        <v>383</v>
      </c>
      <c r="B33" s="609" t="s">
        <v>126</v>
      </c>
      <c r="C33" s="610"/>
      <c r="D33" s="610" t="s">
        <v>1890</v>
      </c>
      <c r="E33" s="585" t="s">
        <v>1890</v>
      </c>
      <c r="F33" s="611"/>
      <c r="G33" s="611">
        <f t="shared" si="1"/>
        <v>0</v>
      </c>
      <c r="H33" s="611"/>
      <c r="I33" s="611"/>
      <c r="J33" s="612"/>
      <c r="K33" s="612"/>
      <c r="L33" s="612"/>
      <c r="M33" s="612"/>
      <c r="N33" s="612"/>
      <c r="O33" s="612"/>
      <c r="P33" s="612"/>
      <c r="Q33" s="612"/>
      <c r="R33" s="612"/>
      <c r="S33" s="612"/>
      <c r="T33" s="612"/>
      <c r="U33" s="612"/>
    </row>
    <row r="34" s="566" customFormat="1" spans="1:21">
      <c r="A34" s="581" t="s">
        <v>1891</v>
      </c>
      <c r="B34" s="609" t="s">
        <v>126</v>
      </c>
      <c r="C34" s="610"/>
      <c r="D34" s="610" t="s">
        <v>1891</v>
      </c>
      <c r="E34" s="585" t="s">
        <v>1892</v>
      </c>
      <c r="F34" s="611"/>
      <c r="G34" s="611">
        <f t="shared" si="1"/>
        <v>0</v>
      </c>
      <c r="H34" s="611"/>
      <c r="I34" s="611"/>
      <c r="J34" s="612"/>
      <c r="K34" s="612"/>
      <c r="L34" s="612"/>
      <c r="M34" s="612"/>
      <c r="N34" s="612"/>
      <c r="O34" s="612"/>
      <c r="P34" s="612"/>
      <c r="Q34" s="612"/>
      <c r="R34" s="612"/>
      <c r="S34" s="612"/>
      <c r="T34" s="612"/>
      <c r="U34" s="612"/>
    </row>
    <row r="35" s="566" customFormat="1" spans="1:21">
      <c r="A35" s="581" t="s">
        <v>383</v>
      </c>
      <c r="B35" s="609" t="s">
        <v>126</v>
      </c>
      <c r="C35" s="610"/>
      <c r="D35" s="584" t="s">
        <v>383</v>
      </c>
      <c r="E35" s="585" t="s">
        <v>1874</v>
      </c>
      <c r="F35" s="611"/>
      <c r="G35" s="611">
        <f t="shared" si="1"/>
        <v>0</v>
      </c>
      <c r="H35" s="611"/>
      <c r="I35" s="611"/>
      <c r="J35" s="612"/>
      <c r="K35" s="612"/>
      <c r="L35" s="612"/>
      <c r="M35" s="612"/>
      <c r="N35" s="612"/>
      <c r="O35" s="612"/>
      <c r="P35" s="612"/>
      <c r="Q35" s="612"/>
      <c r="R35" s="612"/>
      <c r="S35" s="612"/>
      <c r="T35" s="612"/>
      <c r="U35" s="612"/>
    </row>
    <row r="36" s="566" customFormat="1" spans="1:21">
      <c r="A36" s="581" t="s">
        <v>383</v>
      </c>
      <c r="B36" s="609" t="s">
        <v>126</v>
      </c>
      <c r="C36" s="584" t="s">
        <v>1875</v>
      </c>
      <c r="D36" s="584" t="s">
        <v>383</v>
      </c>
      <c r="E36" s="585" t="s">
        <v>1875</v>
      </c>
      <c r="F36" s="611"/>
      <c r="G36" s="611">
        <f t="shared" si="1"/>
        <v>0</v>
      </c>
      <c r="H36" s="611"/>
      <c r="I36" s="611"/>
      <c r="J36" s="612"/>
      <c r="K36" s="612"/>
      <c r="L36" s="612"/>
      <c r="M36" s="612"/>
      <c r="N36" s="612"/>
      <c r="O36" s="612"/>
      <c r="P36" s="612"/>
      <c r="Q36" s="612"/>
      <c r="R36" s="612"/>
      <c r="S36" s="612"/>
      <c r="T36" s="612"/>
      <c r="U36" s="612"/>
    </row>
    <row r="37" s="566" customFormat="1" spans="1:21">
      <c r="A37" s="581" t="s">
        <v>383</v>
      </c>
      <c r="B37" s="609" t="s">
        <v>126</v>
      </c>
      <c r="C37" s="584" t="s">
        <v>1881</v>
      </c>
      <c r="D37" s="584" t="s">
        <v>383</v>
      </c>
      <c r="E37" s="585" t="s">
        <v>1882</v>
      </c>
      <c r="F37" s="611"/>
      <c r="G37" s="611">
        <f t="shared" si="1"/>
        <v>0</v>
      </c>
      <c r="H37" s="611"/>
      <c r="I37" s="611"/>
      <c r="J37" s="612"/>
      <c r="K37" s="612"/>
      <c r="L37" s="612"/>
      <c r="M37" s="612"/>
      <c r="N37" s="612"/>
      <c r="O37" s="612"/>
      <c r="P37" s="612"/>
      <c r="Q37" s="612"/>
      <c r="R37" s="612"/>
      <c r="S37" s="612"/>
      <c r="T37" s="612"/>
      <c r="U37" s="612"/>
    </row>
    <row r="38" s="566" customFormat="1" spans="1:21">
      <c r="A38" s="581" t="s">
        <v>383</v>
      </c>
      <c r="B38" s="609" t="s">
        <v>126</v>
      </c>
      <c r="C38" s="584"/>
      <c r="D38" s="584" t="s">
        <v>383</v>
      </c>
      <c r="E38" s="585" t="s">
        <v>1883</v>
      </c>
      <c r="F38" s="611"/>
      <c r="G38" s="611">
        <f t="shared" si="1"/>
        <v>0</v>
      </c>
      <c r="H38" s="611"/>
      <c r="I38" s="611"/>
      <c r="J38" s="612"/>
      <c r="K38" s="612"/>
      <c r="L38" s="612"/>
      <c r="M38" s="612"/>
      <c r="N38" s="612"/>
      <c r="O38" s="612"/>
      <c r="P38" s="612"/>
      <c r="Q38" s="612"/>
      <c r="R38" s="612"/>
      <c r="S38" s="612"/>
      <c r="T38" s="612"/>
      <c r="U38" s="612"/>
    </row>
    <row r="39" s="566" customFormat="1" spans="1:21">
      <c r="A39" s="581" t="s">
        <v>416</v>
      </c>
      <c r="B39" s="609" t="s">
        <v>126</v>
      </c>
      <c r="C39" s="610" t="s">
        <v>1884</v>
      </c>
      <c r="D39" s="610" t="s">
        <v>416</v>
      </c>
      <c r="E39" s="585" t="s">
        <v>416</v>
      </c>
      <c r="F39" s="611"/>
      <c r="G39" s="611">
        <f t="shared" si="1"/>
        <v>0</v>
      </c>
      <c r="H39" s="611"/>
      <c r="I39" s="611"/>
      <c r="J39" s="612"/>
      <c r="K39" s="612"/>
      <c r="L39" s="612"/>
      <c r="M39" s="612"/>
      <c r="N39" s="612"/>
      <c r="O39" s="612"/>
      <c r="P39" s="612"/>
      <c r="Q39" s="612"/>
      <c r="R39" s="612"/>
      <c r="S39" s="612"/>
      <c r="T39" s="612"/>
      <c r="U39" s="612"/>
    </row>
    <row r="40" s="566" customFormat="1" spans="1:21">
      <c r="A40" s="581" t="s">
        <v>423</v>
      </c>
      <c r="B40" s="609" t="s">
        <v>126</v>
      </c>
      <c r="C40" s="610"/>
      <c r="D40" s="610" t="s">
        <v>423</v>
      </c>
      <c r="E40" s="585" t="s">
        <v>423</v>
      </c>
      <c r="F40" s="611"/>
      <c r="G40" s="611">
        <f t="shared" si="1"/>
        <v>0</v>
      </c>
      <c r="H40" s="611"/>
      <c r="I40" s="611"/>
      <c r="J40" s="612"/>
      <c r="K40" s="612"/>
      <c r="L40" s="612"/>
      <c r="M40" s="612"/>
      <c r="N40" s="612"/>
      <c r="O40" s="612"/>
      <c r="P40" s="612"/>
      <c r="Q40" s="612"/>
      <c r="R40" s="612"/>
      <c r="S40" s="612"/>
      <c r="T40" s="612"/>
      <c r="U40" s="612"/>
    </row>
    <row r="41" s="566" customFormat="1" spans="1:21">
      <c r="A41" s="581" t="s">
        <v>428</v>
      </c>
      <c r="B41" s="609" t="s">
        <v>126</v>
      </c>
      <c r="C41" s="584" t="s">
        <v>428</v>
      </c>
      <c r="D41" s="584" t="s">
        <v>428</v>
      </c>
      <c r="E41" s="585" t="s">
        <v>428</v>
      </c>
      <c r="F41" s="611"/>
      <c r="G41" s="611">
        <f t="shared" si="1"/>
        <v>0</v>
      </c>
      <c r="H41" s="611"/>
      <c r="I41" s="611"/>
      <c r="J41" s="612"/>
      <c r="K41" s="612"/>
      <c r="L41" s="612"/>
      <c r="M41" s="612"/>
      <c r="N41" s="612"/>
      <c r="O41" s="612"/>
      <c r="P41" s="612"/>
      <c r="Q41" s="612"/>
      <c r="R41" s="612"/>
      <c r="S41" s="612"/>
      <c r="T41" s="612"/>
      <c r="U41" s="612"/>
    </row>
    <row r="42" s="566" customFormat="1" spans="1:21">
      <c r="A42" s="581" t="s">
        <v>1893</v>
      </c>
      <c r="B42" s="609" t="s">
        <v>126</v>
      </c>
      <c r="C42" s="610" t="s">
        <v>1885</v>
      </c>
      <c r="D42" s="585" t="s">
        <v>1893</v>
      </c>
      <c r="E42" s="585" t="s">
        <v>410</v>
      </c>
      <c r="F42" s="611"/>
      <c r="G42" s="611">
        <f t="shared" si="1"/>
        <v>0</v>
      </c>
      <c r="H42" s="611"/>
      <c r="I42" s="611"/>
      <c r="J42" s="612"/>
      <c r="K42" s="612"/>
      <c r="L42" s="612"/>
      <c r="M42" s="612"/>
      <c r="N42" s="612"/>
      <c r="O42" s="612"/>
      <c r="P42" s="612"/>
      <c r="Q42" s="612"/>
      <c r="R42" s="612"/>
      <c r="S42" s="612"/>
      <c r="T42" s="612"/>
      <c r="U42" s="612"/>
    </row>
    <row r="43" s="566" customFormat="1" ht="13" customHeight="1" spans="1:21">
      <c r="A43" s="581" t="s">
        <v>386</v>
      </c>
      <c r="B43" s="609" t="s">
        <v>126</v>
      </c>
      <c r="C43" s="610" t="s">
        <v>386</v>
      </c>
      <c r="D43" s="585" t="s">
        <v>386</v>
      </c>
      <c r="E43" s="601" t="s">
        <v>386</v>
      </c>
      <c r="F43" s="611"/>
      <c r="G43" s="611">
        <f t="shared" si="1"/>
        <v>0</v>
      </c>
      <c r="H43" s="611"/>
      <c r="I43" s="611"/>
      <c r="J43" s="612"/>
      <c r="K43" s="612"/>
      <c r="L43" s="612"/>
      <c r="M43" s="612"/>
      <c r="N43" s="612"/>
      <c r="O43" s="612"/>
      <c r="P43" s="612"/>
      <c r="Q43" s="612"/>
      <c r="R43" s="612"/>
      <c r="S43" s="612"/>
      <c r="T43" s="612"/>
      <c r="U43" s="612"/>
    </row>
    <row r="44" s="566" customFormat="1" spans="1:21">
      <c r="A44" s="590" t="s">
        <v>1894</v>
      </c>
      <c r="B44" s="609" t="s">
        <v>126</v>
      </c>
      <c r="C44" s="610" t="s">
        <v>1895</v>
      </c>
      <c r="D44" s="585" t="s">
        <v>1894</v>
      </c>
      <c r="E44" s="585" t="s">
        <v>1894</v>
      </c>
      <c r="F44" s="611"/>
      <c r="G44" s="611">
        <f t="shared" si="1"/>
        <v>0</v>
      </c>
      <c r="H44" s="611"/>
      <c r="I44" s="611"/>
      <c r="J44" s="612"/>
      <c r="K44" s="612"/>
      <c r="L44" s="612"/>
      <c r="M44" s="612"/>
      <c r="N44" s="612"/>
      <c r="O44" s="612"/>
      <c r="P44" s="612"/>
      <c r="Q44" s="612"/>
      <c r="R44" s="612"/>
      <c r="S44" s="612"/>
      <c r="T44" s="612"/>
      <c r="U44" s="612"/>
    </row>
    <row r="45" s="567" customFormat="1" spans="1:21">
      <c r="A45" s="605"/>
      <c r="B45" s="606" t="s">
        <v>126</v>
      </c>
      <c r="C45" s="606" t="s">
        <v>1896</v>
      </c>
      <c r="D45" s="606"/>
      <c r="E45" s="606"/>
      <c r="F45" s="607">
        <f t="shared" ref="F45:U45" si="3">SUM(F31:F44)</f>
        <v>0</v>
      </c>
      <c r="G45" s="607">
        <f t="shared" si="1"/>
        <v>0</v>
      </c>
      <c r="H45" s="607"/>
      <c r="I45" s="607"/>
      <c r="J45" s="608">
        <f t="shared" si="3"/>
        <v>0</v>
      </c>
      <c r="K45" s="608">
        <f t="shared" si="3"/>
        <v>0</v>
      </c>
      <c r="L45" s="608">
        <f t="shared" si="3"/>
        <v>0</v>
      </c>
      <c r="M45" s="608">
        <f t="shared" si="3"/>
        <v>0</v>
      </c>
      <c r="N45" s="608">
        <f t="shared" si="3"/>
        <v>0</v>
      </c>
      <c r="O45" s="608">
        <f t="shared" si="3"/>
        <v>0</v>
      </c>
      <c r="P45" s="608">
        <f t="shared" si="3"/>
        <v>0</v>
      </c>
      <c r="Q45" s="608">
        <f t="shared" si="3"/>
        <v>0</v>
      </c>
      <c r="R45" s="608">
        <f t="shared" si="3"/>
        <v>0</v>
      </c>
      <c r="S45" s="608">
        <f t="shared" si="3"/>
        <v>0</v>
      </c>
      <c r="T45" s="608">
        <f t="shared" si="3"/>
        <v>0</v>
      </c>
      <c r="U45" s="608">
        <f t="shared" si="3"/>
        <v>0</v>
      </c>
    </row>
    <row r="46" s="566" customFormat="1" spans="1:21">
      <c r="A46" s="581" t="s">
        <v>383</v>
      </c>
      <c r="B46" s="609" t="s">
        <v>46</v>
      </c>
      <c r="C46" s="584" t="s">
        <v>1888</v>
      </c>
      <c r="D46" s="585" t="s">
        <v>383</v>
      </c>
      <c r="E46" s="585" t="s">
        <v>1872</v>
      </c>
      <c r="F46" s="611"/>
      <c r="G46" s="611">
        <f t="shared" si="1"/>
        <v>0</v>
      </c>
      <c r="H46" s="611"/>
      <c r="I46" s="611"/>
      <c r="J46" s="612"/>
      <c r="K46" s="612"/>
      <c r="L46" s="612"/>
      <c r="M46" s="612"/>
      <c r="N46" s="612"/>
      <c r="O46" s="612"/>
      <c r="P46" s="612"/>
      <c r="Q46" s="612"/>
      <c r="R46" s="612"/>
      <c r="S46" s="612"/>
      <c r="T46" s="612"/>
      <c r="U46" s="612"/>
    </row>
    <row r="47" s="566" customFormat="1" spans="1:21">
      <c r="A47" s="581" t="s">
        <v>367</v>
      </c>
      <c r="B47" s="609" t="s">
        <v>46</v>
      </c>
      <c r="C47" s="584"/>
      <c r="D47" s="584" t="s">
        <v>1731</v>
      </c>
      <c r="E47" s="585" t="s">
        <v>1890</v>
      </c>
      <c r="F47" s="611"/>
      <c r="G47" s="611">
        <f t="shared" si="1"/>
        <v>0</v>
      </c>
      <c r="H47" s="611"/>
      <c r="I47" s="611"/>
      <c r="J47" s="612"/>
      <c r="K47" s="612"/>
      <c r="L47" s="612"/>
      <c r="M47" s="612"/>
      <c r="N47" s="612"/>
      <c r="O47" s="612"/>
      <c r="P47" s="612"/>
      <c r="Q47" s="612"/>
      <c r="R47" s="612"/>
      <c r="S47" s="612"/>
      <c r="T47" s="612"/>
      <c r="U47" s="612"/>
    </row>
    <row r="48" s="566" customFormat="1" spans="1:21">
      <c r="A48" s="581" t="s">
        <v>383</v>
      </c>
      <c r="B48" s="609" t="s">
        <v>46</v>
      </c>
      <c r="C48" s="584"/>
      <c r="D48" s="585" t="s">
        <v>383</v>
      </c>
      <c r="E48" s="585" t="s">
        <v>1892</v>
      </c>
      <c r="F48" s="611"/>
      <c r="G48" s="611">
        <f t="shared" si="1"/>
        <v>0</v>
      </c>
      <c r="H48" s="611"/>
      <c r="I48" s="611"/>
      <c r="J48" s="612"/>
      <c r="K48" s="612"/>
      <c r="L48" s="612"/>
      <c r="M48" s="612"/>
      <c r="N48" s="612"/>
      <c r="O48" s="612"/>
      <c r="P48" s="612"/>
      <c r="Q48" s="612"/>
      <c r="R48" s="612"/>
      <c r="S48" s="612"/>
      <c r="T48" s="612"/>
      <c r="U48" s="612"/>
    </row>
    <row r="49" s="566" customFormat="1" spans="1:254">
      <c r="A49" s="581" t="s">
        <v>383</v>
      </c>
      <c r="B49" s="609" t="s">
        <v>46</v>
      </c>
      <c r="C49" s="584"/>
      <c r="D49" s="585" t="s">
        <v>383</v>
      </c>
      <c r="E49" s="585" t="s">
        <v>1874</v>
      </c>
      <c r="F49" s="611"/>
      <c r="G49" s="611">
        <f t="shared" si="1"/>
        <v>0</v>
      </c>
      <c r="H49" s="611"/>
      <c r="I49" s="611"/>
      <c r="J49" s="612"/>
      <c r="K49" s="612"/>
      <c r="L49" s="612"/>
      <c r="M49" s="612"/>
      <c r="N49" s="612"/>
      <c r="O49" s="612"/>
      <c r="P49" s="612"/>
      <c r="Q49" s="612"/>
      <c r="R49" s="612"/>
      <c r="S49" s="612"/>
      <c r="T49" s="612"/>
      <c r="U49" s="612"/>
    </row>
    <row r="50" s="566" customFormat="1" spans="1:254">
      <c r="A50" s="581" t="s">
        <v>383</v>
      </c>
      <c r="B50" s="609" t="s">
        <v>46</v>
      </c>
      <c r="C50" s="584" t="s">
        <v>1875</v>
      </c>
      <c r="D50" s="584" t="s">
        <v>383</v>
      </c>
      <c r="E50" s="585" t="s">
        <v>1875</v>
      </c>
      <c r="F50" s="611"/>
      <c r="G50" s="611">
        <f t="shared" si="1"/>
        <v>0</v>
      </c>
      <c r="H50" s="611"/>
      <c r="I50" s="611"/>
      <c r="J50" s="612"/>
      <c r="K50" s="612"/>
      <c r="L50" s="612"/>
      <c r="M50" s="612"/>
      <c r="N50" s="612"/>
      <c r="O50" s="612"/>
      <c r="P50" s="612"/>
      <c r="Q50" s="612"/>
      <c r="R50" s="612"/>
      <c r="S50" s="612"/>
      <c r="T50" s="612"/>
      <c r="U50" s="612"/>
    </row>
    <row r="51" s="566" customFormat="1" spans="1:254">
      <c r="A51" s="581" t="s">
        <v>367</v>
      </c>
      <c r="B51" s="609" t="s">
        <v>46</v>
      </c>
      <c r="C51" s="584" t="s">
        <v>1876</v>
      </c>
      <c r="D51" s="584" t="s">
        <v>1731</v>
      </c>
      <c r="E51" s="585" t="s">
        <v>1897</v>
      </c>
      <c r="F51" s="611"/>
      <c r="G51" s="611">
        <f t="shared" si="1"/>
        <v>0</v>
      </c>
      <c r="H51" s="611"/>
      <c r="I51" s="611"/>
      <c r="J51" s="612"/>
      <c r="K51" s="612"/>
      <c r="L51" s="612"/>
      <c r="M51" s="612"/>
      <c r="N51" s="612"/>
      <c r="O51" s="612"/>
      <c r="P51" s="612"/>
      <c r="Q51" s="612"/>
      <c r="R51" s="612"/>
      <c r="S51" s="612"/>
      <c r="T51" s="612"/>
      <c r="U51" s="612"/>
    </row>
    <row r="52" s="566" customFormat="1" spans="1:254">
      <c r="A52" s="581" t="s">
        <v>383</v>
      </c>
      <c r="B52" s="609" t="s">
        <v>46</v>
      </c>
      <c r="C52" s="584" t="s">
        <v>1881</v>
      </c>
      <c r="D52" s="585" t="s">
        <v>383</v>
      </c>
      <c r="E52" s="585" t="s">
        <v>1882</v>
      </c>
      <c r="F52" s="611"/>
      <c r="G52" s="611">
        <f t="shared" si="1"/>
        <v>0</v>
      </c>
      <c r="H52" s="611"/>
      <c r="I52" s="611"/>
      <c r="J52" s="612"/>
      <c r="K52" s="612"/>
      <c r="L52" s="612"/>
      <c r="M52" s="612"/>
      <c r="N52" s="612"/>
      <c r="O52" s="612"/>
      <c r="P52" s="612"/>
      <c r="Q52" s="612"/>
      <c r="R52" s="612"/>
      <c r="S52" s="612"/>
      <c r="T52" s="612"/>
      <c r="U52" s="612"/>
    </row>
    <row r="53" s="566" customFormat="1" spans="1:254">
      <c r="A53" s="581" t="s">
        <v>383</v>
      </c>
      <c r="B53" s="609" t="s">
        <v>46</v>
      </c>
      <c r="C53" s="584"/>
      <c r="D53" s="585" t="s">
        <v>383</v>
      </c>
      <c r="E53" s="585" t="s">
        <v>1883</v>
      </c>
      <c r="F53" s="611"/>
      <c r="G53" s="611">
        <f t="shared" si="1"/>
        <v>0</v>
      </c>
      <c r="H53" s="611"/>
      <c r="I53" s="611"/>
      <c r="J53" s="612"/>
      <c r="K53" s="612"/>
      <c r="L53" s="612"/>
      <c r="M53" s="612"/>
      <c r="N53" s="612"/>
      <c r="O53" s="612"/>
      <c r="P53" s="612"/>
      <c r="Q53" s="612"/>
      <c r="R53" s="612"/>
      <c r="S53" s="612"/>
      <c r="T53" s="612"/>
      <c r="U53" s="612"/>
    </row>
    <row r="54" s="566" customFormat="1" spans="1:254">
      <c r="A54" s="581" t="s">
        <v>416</v>
      </c>
      <c r="B54" s="609" t="s">
        <v>46</v>
      </c>
      <c r="C54" s="584" t="s">
        <v>1884</v>
      </c>
      <c r="D54" s="585" t="s">
        <v>416</v>
      </c>
      <c r="E54" s="585" t="s">
        <v>416</v>
      </c>
      <c r="F54" s="611"/>
      <c r="G54" s="611">
        <f t="shared" si="1"/>
        <v>0</v>
      </c>
      <c r="H54" s="611"/>
      <c r="I54" s="611"/>
      <c r="J54" s="612"/>
      <c r="K54" s="612"/>
      <c r="L54" s="612"/>
      <c r="M54" s="612"/>
      <c r="N54" s="612"/>
      <c r="O54" s="612"/>
      <c r="P54" s="612"/>
      <c r="Q54" s="612"/>
      <c r="R54" s="612"/>
      <c r="S54" s="612"/>
      <c r="T54" s="612"/>
      <c r="U54" s="612"/>
    </row>
    <row r="55" s="566" customFormat="1" spans="1:254">
      <c r="A55" s="581" t="s">
        <v>423</v>
      </c>
      <c r="B55" s="609" t="s">
        <v>46</v>
      </c>
      <c r="C55" s="584"/>
      <c r="D55" s="585" t="s">
        <v>423</v>
      </c>
      <c r="E55" s="585" t="s">
        <v>423</v>
      </c>
      <c r="F55" s="611"/>
      <c r="G55" s="611">
        <f t="shared" si="1"/>
        <v>0</v>
      </c>
      <c r="H55" s="611"/>
      <c r="I55" s="611"/>
      <c r="J55" s="612"/>
      <c r="K55" s="612"/>
      <c r="L55" s="612"/>
      <c r="M55" s="612"/>
      <c r="N55" s="612"/>
      <c r="O55" s="612"/>
      <c r="P55" s="612"/>
      <c r="Q55" s="612"/>
      <c r="R55" s="612"/>
      <c r="S55" s="612"/>
      <c r="T55" s="612"/>
      <c r="U55" s="612"/>
    </row>
    <row r="56" s="566" customFormat="1" spans="1:254">
      <c r="A56" s="581" t="s">
        <v>428</v>
      </c>
      <c r="B56" s="609" t="s">
        <v>46</v>
      </c>
      <c r="C56" s="584" t="s">
        <v>428</v>
      </c>
      <c r="D56" s="584" t="s">
        <v>428</v>
      </c>
      <c r="E56" s="585" t="s">
        <v>428</v>
      </c>
      <c r="F56" s="611"/>
      <c r="G56" s="611">
        <f t="shared" si="1"/>
        <v>0</v>
      </c>
      <c r="H56" s="611"/>
      <c r="I56" s="611"/>
      <c r="J56" s="612"/>
      <c r="K56" s="612"/>
      <c r="L56" s="612"/>
      <c r="M56" s="612"/>
      <c r="N56" s="612"/>
      <c r="O56" s="612"/>
      <c r="P56" s="612"/>
      <c r="Q56" s="612"/>
      <c r="R56" s="612"/>
      <c r="S56" s="612"/>
      <c r="T56" s="612"/>
      <c r="U56" s="612"/>
    </row>
    <row r="57" s="566" customFormat="1" spans="1:254">
      <c r="A57" s="581" t="s">
        <v>410</v>
      </c>
      <c r="B57" s="609" t="s">
        <v>46</v>
      </c>
      <c r="C57" s="610" t="s">
        <v>1885</v>
      </c>
      <c r="D57" s="585" t="s">
        <v>410</v>
      </c>
      <c r="E57" s="585" t="s">
        <v>410</v>
      </c>
      <c r="F57" s="611"/>
      <c r="G57" s="611">
        <f t="shared" si="1"/>
        <v>0</v>
      </c>
      <c r="H57" s="611"/>
      <c r="I57" s="611"/>
      <c r="J57" s="612"/>
      <c r="K57" s="612"/>
      <c r="L57" s="612"/>
      <c r="M57" s="612"/>
      <c r="N57" s="612"/>
      <c r="O57" s="612"/>
      <c r="P57" s="612"/>
      <c r="Q57" s="612"/>
      <c r="R57" s="612"/>
      <c r="S57" s="612"/>
      <c r="T57" s="612"/>
      <c r="U57" s="612"/>
    </row>
    <row r="58" s="566" customFormat="1" ht="13" customHeight="1" spans="1:254">
      <c r="A58" s="581" t="s">
        <v>383</v>
      </c>
      <c r="B58" s="609" t="s">
        <v>46</v>
      </c>
      <c r="C58" s="610" t="s">
        <v>386</v>
      </c>
      <c r="D58" s="585" t="s">
        <v>383</v>
      </c>
      <c r="E58" s="601" t="s">
        <v>386</v>
      </c>
      <c r="F58" s="611"/>
      <c r="G58" s="611">
        <f t="shared" si="1"/>
        <v>0</v>
      </c>
      <c r="H58" s="611"/>
      <c r="I58" s="611"/>
      <c r="J58" s="612"/>
      <c r="K58" s="612"/>
      <c r="L58" s="612"/>
      <c r="M58" s="612"/>
      <c r="N58" s="612"/>
      <c r="O58" s="612"/>
      <c r="P58" s="612"/>
      <c r="Q58" s="612"/>
      <c r="R58" s="612"/>
      <c r="S58" s="612"/>
      <c r="T58" s="612"/>
      <c r="U58" s="612"/>
      <c r="AU58" s="614"/>
      <c r="AV58" s="614"/>
      <c r="AW58" s="614"/>
      <c r="AX58" s="614"/>
      <c r="AY58" s="614"/>
      <c r="AZ58" s="614"/>
      <c r="BA58" s="609"/>
      <c r="BB58" s="610"/>
      <c r="BC58" s="585"/>
      <c r="BD58" s="603"/>
      <c r="BE58" s="615"/>
      <c r="BF58" s="615"/>
      <c r="BG58" s="614"/>
      <c r="BH58" s="614"/>
      <c r="BI58" s="614"/>
      <c r="BJ58" s="614"/>
      <c r="BK58" s="614"/>
      <c r="BL58" s="614"/>
      <c r="BM58" s="614"/>
      <c r="BN58" s="614"/>
      <c r="BO58" s="614"/>
      <c r="BP58" s="614"/>
      <c r="BQ58" s="614"/>
      <c r="BR58" s="614"/>
      <c r="BS58" s="609"/>
      <c r="BT58" s="610"/>
      <c r="BU58" s="585"/>
      <c r="BV58" s="603"/>
      <c r="BW58" s="615"/>
      <c r="BX58" s="615"/>
      <c r="BY58" s="614"/>
      <c r="BZ58" s="614"/>
      <c r="CA58" s="614"/>
      <c r="CB58" s="614"/>
      <c r="CC58" s="614"/>
      <c r="CD58" s="614"/>
      <c r="CE58" s="614"/>
      <c r="CF58" s="614"/>
      <c r="CG58" s="614"/>
      <c r="CH58" s="614"/>
      <c r="CI58" s="614"/>
      <c r="CJ58" s="614"/>
      <c r="CK58" s="609"/>
      <c r="CL58" s="610"/>
      <c r="CM58" s="585"/>
      <c r="CN58" s="603"/>
      <c r="CO58" s="615"/>
      <c r="CP58" s="615"/>
      <c r="CQ58" s="614"/>
      <c r="CR58" s="614"/>
      <c r="CS58" s="614"/>
      <c r="CT58" s="614"/>
      <c r="CU58" s="614"/>
      <c r="CV58" s="614"/>
      <c r="CW58" s="614"/>
      <c r="CX58" s="614"/>
      <c r="CY58" s="614"/>
      <c r="CZ58" s="614"/>
      <c r="DA58" s="614"/>
      <c r="DB58" s="614"/>
      <c r="DC58" s="609"/>
      <c r="DD58" s="610"/>
      <c r="DE58" s="585"/>
      <c r="DF58" s="603"/>
      <c r="DG58" s="615"/>
      <c r="DH58" s="615"/>
      <c r="DI58" s="614"/>
      <c r="DJ58" s="614"/>
      <c r="DK58" s="614"/>
      <c r="DL58" s="614"/>
      <c r="DM58" s="614"/>
      <c r="DN58" s="614"/>
      <c r="DO58" s="614"/>
      <c r="DP58" s="614"/>
      <c r="DQ58" s="614"/>
      <c r="DR58" s="614"/>
      <c r="DS58" s="614"/>
      <c r="DT58" s="614"/>
      <c r="DU58" s="609"/>
      <c r="DV58" s="610"/>
      <c r="DW58" s="585"/>
      <c r="DX58" s="603"/>
      <c r="DY58" s="615"/>
      <c r="DZ58" s="615"/>
      <c r="EA58" s="614"/>
      <c r="EB58" s="614"/>
      <c r="EC58" s="614"/>
      <c r="ED58" s="614"/>
      <c r="EE58" s="614"/>
      <c r="EF58" s="614"/>
      <c r="EG58" s="614"/>
      <c r="EH58" s="614"/>
      <c r="EI58" s="614"/>
      <c r="EJ58" s="614"/>
      <c r="EK58" s="614"/>
      <c r="EL58" s="614"/>
      <c r="EM58" s="609"/>
      <c r="EN58" s="610"/>
      <c r="EO58" s="585"/>
      <c r="EP58" s="603"/>
      <c r="EQ58" s="615"/>
      <c r="ER58" s="615"/>
      <c r="ES58" s="614"/>
      <c r="ET58" s="614"/>
      <c r="EU58" s="614"/>
      <c r="EV58" s="614"/>
      <c r="EW58" s="614"/>
      <c r="EX58" s="614"/>
      <c r="EY58" s="614"/>
      <c r="EZ58" s="614"/>
      <c r="FA58" s="614"/>
      <c r="FB58" s="614"/>
      <c r="FC58" s="614"/>
      <c r="FD58" s="614"/>
      <c r="FE58" s="609"/>
      <c r="FF58" s="610"/>
      <c r="FG58" s="585"/>
      <c r="FH58" s="603"/>
      <c r="FI58" s="615"/>
      <c r="FJ58" s="615"/>
      <c r="FK58" s="614"/>
      <c r="FL58" s="614"/>
      <c r="FM58" s="614"/>
      <c r="FN58" s="614"/>
      <c r="FO58" s="614"/>
      <c r="FP58" s="614"/>
      <c r="FQ58" s="614"/>
      <c r="FR58" s="614"/>
      <c r="FS58" s="614"/>
      <c r="FT58" s="614"/>
      <c r="FU58" s="614"/>
      <c r="FV58" s="614"/>
      <c r="FW58" s="609"/>
      <c r="FX58" s="610"/>
      <c r="FY58" s="585"/>
      <c r="FZ58" s="603"/>
      <c r="GA58" s="615"/>
      <c r="GB58" s="615"/>
      <c r="GC58" s="614"/>
      <c r="GD58" s="614"/>
      <c r="GE58" s="614"/>
      <c r="GF58" s="614"/>
      <c r="GG58" s="614"/>
      <c r="GH58" s="614"/>
      <c r="GI58" s="614"/>
      <c r="GJ58" s="614"/>
      <c r="GK58" s="614"/>
      <c r="GL58" s="614"/>
      <c r="GM58" s="614"/>
      <c r="GN58" s="614"/>
      <c r="GO58" s="609"/>
      <c r="GP58" s="610"/>
      <c r="GQ58" s="585"/>
      <c r="GR58" s="603"/>
      <c r="GS58" s="615"/>
      <c r="GT58" s="615"/>
      <c r="GU58" s="614"/>
      <c r="GV58" s="614"/>
      <c r="GW58" s="614"/>
      <c r="GX58" s="614"/>
      <c r="GY58" s="614"/>
      <c r="GZ58" s="614"/>
      <c r="HA58" s="614"/>
      <c r="HB58" s="614"/>
      <c r="HC58" s="614"/>
      <c r="HD58" s="614"/>
      <c r="HE58" s="614"/>
      <c r="HF58" s="614"/>
      <c r="HG58" s="609"/>
      <c r="HH58" s="610"/>
      <c r="HI58" s="585"/>
      <c r="HJ58" s="603"/>
      <c r="HK58" s="615"/>
      <c r="HL58" s="615"/>
      <c r="HM58" s="614"/>
      <c r="HN58" s="614"/>
      <c r="HO58" s="614"/>
      <c r="HP58" s="614"/>
      <c r="HQ58" s="614"/>
      <c r="HR58" s="614"/>
      <c r="HS58" s="614"/>
      <c r="HT58" s="614"/>
      <c r="HU58" s="614"/>
      <c r="HV58" s="614"/>
      <c r="HW58" s="614"/>
      <c r="HX58" s="614"/>
      <c r="HY58" s="609"/>
      <c r="HZ58" s="610"/>
      <c r="IA58" s="585"/>
      <c r="IB58" s="603"/>
      <c r="IC58" s="615"/>
      <c r="ID58" s="615"/>
      <c r="IE58" s="614"/>
      <c r="IF58" s="614"/>
      <c r="IG58" s="614"/>
      <c r="IH58" s="614"/>
      <c r="II58" s="614"/>
      <c r="IJ58" s="614"/>
      <c r="IK58" s="614"/>
      <c r="IL58" s="614"/>
      <c r="IM58" s="614"/>
      <c r="IN58" s="614"/>
      <c r="IO58" s="614"/>
      <c r="IP58" s="614"/>
      <c r="IQ58" s="609"/>
      <c r="IR58" s="610"/>
      <c r="IS58" s="585"/>
      <c r="IT58" s="603"/>
    </row>
    <row r="59" s="567" customFormat="1" spans="1:254">
      <c r="A59" s="605"/>
      <c r="B59" s="606" t="s">
        <v>46</v>
      </c>
      <c r="C59" s="606" t="s">
        <v>1898</v>
      </c>
      <c r="D59" s="606"/>
      <c r="E59" s="606"/>
      <c r="F59" s="616">
        <f t="shared" ref="F59:U59" si="4">SUM(F46:F58)</f>
        <v>0</v>
      </c>
      <c r="G59" s="607">
        <f t="shared" si="1"/>
        <v>0</v>
      </c>
      <c r="H59" s="607"/>
      <c r="I59" s="607"/>
      <c r="J59" s="608">
        <f t="shared" si="4"/>
        <v>0</v>
      </c>
      <c r="K59" s="608">
        <f t="shared" si="4"/>
        <v>0</v>
      </c>
      <c r="L59" s="608">
        <f t="shared" si="4"/>
        <v>0</v>
      </c>
      <c r="M59" s="608">
        <f t="shared" si="4"/>
        <v>0</v>
      </c>
      <c r="N59" s="608">
        <f t="shared" si="4"/>
        <v>0</v>
      </c>
      <c r="O59" s="608">
        <f t="shared" si="4"/>
        <v>0</v>
      </c>
      <c r="P59" s="608">
        <f t="shared" si="4"/>
        <v>0</v>
      </c>
      <c r="Q59" s="608">
        <f t="shared" si="4"/>
        <v>0</v>
      </c>
      <c r="R59" s="608">
        <f t="shared" si="4"/>
        <v>0</v>
      </c>
      <c r="S59" s="608">
        <f t="shared" si="4"/>
        <v>0</v>
      </c>
      <c r="T59" s="608">
        <f t="shared" si="4"/>
        <v>0</v>
      </c>
      <c r="U59" s="608">
        <f t="shared" si="4"/>
        <v>0</v>
      </c>
    </row>
    <row r="60" spans="1:254">
      <c r="G60" s="617"/>
      <c r="H60" s="617"/>
      <c r="I60" s="617"/>
      <c r="J60" s="618"/>
      <c r="K60" s="618"/>
      <c r="L60" s="618"/>
      <c r="M60" s="618"/>
      <c r="N60" s="618"/>
      <c r="O60" s="618"/>
      <c r="P60" s="618"/>
      <c r="Q60" s="618"/>
      <c r="R60" s="618"/>
      <c r="S60" s="618"/>
      <c r="T60" s="618"/>
      <c r="U60" s="618"/>
    </row>
    <row r="65" spans="11:11">
      <c r="K65" s="619"/>
    </row>
  </sheetData>
  <mergeCells count="26">
    <mergeCell ref="A5:D5"/>
    <mergeCell ref="F11:I11"/>
    <mergeCell ref="J11:U11"/>
    <mergeCell ref="C30:E30"/>
    <mergeCell ref="C45:E45"/>
    <mergeCell ref="C59:E59"/>
    <mergeCell ref="A11:A12"/>
    <mergeCell ref="A19:A21"/>
    <mergeCell ref="B11:B12"/>
    <mergeCell ref="B19:B21"/>
    <mergeCell ref="C11:C12"/>
    <mergeCell ref="C13:C17"/>
    <mergeCell ref="C19:C22"/>
    <mergeCell ref="C23:C24"/>
    <mergeCell ref="C25:C26"/>
    <mergeCell ref="C31:C35"/>
    <mergeCell ref="C37:C38"/>
    <mergeCell ref="C39:C40"/>
    <mergeCell ref="C46:C49"/>
    <mergeCell ref="C52:C53"/>
    <mergeCell ref="C54:C55"/>
    <mergeCell ref="D11:D12"/>
    <mergeCell ref="D19:D21"/>
    <mergeCell ref="D23:D24"/>
    <mergeCell ref="E11:E12"/>
    <mergeCell ref="A1:D4"/>
  </mergeCells>
  <conditionalFormatting sqref="C23">
    <cfRule type="cellIs" dxfId="3" priority="36" operator="lessThanOrEqual">
      <formula>0</formula>
    </cfRule>
  </conditionalFormatting>
  <conditionalFormatting sqref="BB29:BD29">
    <cfRule type="cellIs" dxfId="3" priority="13" operator="lessThanOrEqual">
      <formula>0</formula>
    </cfRule>
  </conditionalFormatting>
  <conditionalFormatting sqref="BT29:BV29">
    <cfRule type="cellIs" dxfId="3" priority="12" operator="lessThanOrEqual">
      <formula>0</formula>
    </cfRule>
  </conditionalFormatting>
  <conditionalFormatting sqref="CL29:CN29">
    <cfRule type="cellIs" dxfId="3" priority="11" operator="lessThanOrEqual">
      <formula>0</formula>
    </cfRule>
  </conditionalFormatting>
  <conditionalFormatting sqref="DD29:DF29">
    <cfRule type="cellIs" dxfId="3" priority="10" operator="lessThanOrEqual">
      <formula>0</formula>
    </cfRule>
  </conditionalFormatting>
  <conditionalFormatting sqref="DV29:DX29">
    <cfRule type="cellIs" dxfId="3" priority="9" operator="lessThanOrEqual">
      <formula>0</formula>
    </cfRule>
  </conditionalFormatting>
  <conditionalFormatting sqref="EN29:EP29">
    <cfRule type="cellIs" dxfId="3" priority="8" operator="lessThanOrEqual">
      <formula>0</formula>
    </cfRule>
  </conditionalFormatting>
  <conditionalFormatting sqref="FF29:FH29">
    <cfRule type="cellIs" dxfId="3" priority="7" operator="lessThanOrEqual">
      <formula>0</formula>
    </cfRule>
  </conditionalFormatting>
  <conditionalFormatting sqref="FX29:FZ29">
    <cfRule type="cellIs" dxfId="3" priority="6" operator="lessThanOrEqual">
      <formula>0</formula>
    </cfRule>
  </conditionalFormatting>
  <conditionalFormatting sqref="GP29:GR29">
    <cfRule type="cellIs" dxfId="3" priority="5" operator="lessThanOrEqual">
      <formula>0</formula>
    </cfRule>
  </conditionalFormatting>
  <conditionalFormatting sqref="HH29:HJ29">
    <cfRule type="cellIs" dxfId="3" priority="4" operator="lessThanOrEqual">
      <formula>0</formula>
    </cfRule>
  </conditionalFormatting>
  <conditionalFormatting sqref="HZ29:IB29">
    <cfRule type="cellIs" dxfId="3" priority="3" operator="lessThanOrEqual">
      <formula>0</formula>
    </cfRule>
  </conditionalFormatting>
  <conditionalFormatting sqref="IR29:IT29">
    <cfRule type="cellIs" dxfId="3" priority="2" operator="lessThanOrEqual">
      <formula>0</formula>
    </cfRule>
  </conditionalFormatting>
  <conditionalFormatting sqref="C31">
    <cfRule type="cellIs" dxfId="3" priority="40" operator="lessThanOrEqual">
      <formula>0</formula>
    </cfRule>
  </conditionalFormatting>
  <conditionalFormatting sqref="C37">
    <cfRule type="cellIs" dxfId="3" priority="34" operator="lessThanOrEqual">
      <formula>0</formula>
    </cfRule>
  </conditionalFormatting>
  <conditionalFormatting sqref="C41:E41">
    <cfRule type="cellIs" dxfId="3" priority="28" operator="lessThanOrEqual">
      <formula>0</formula>
    </cfRule>
  </conditionalFormatting>
  <conditionalFormatting sqref="A44">
    <cfRule type="cellIs" dxfId="3" priority="1" operator="lessThanOrEqual">
      <formula>0</formula>
    </cfRule>
  </conditionalFormatting>
  <conditionalFormatting sqref="D46">
    <cfRule type="cellIs" dxfId="3" priority="37" operator="lessThanOrEqual">
      <formula>0</formula>
    </cfRule>
  </conditionalFormatting>
  <conditionalFormatting sqref="BB58:BD58">
    <cfRule type="cellIs" dxfId="3" priority="26" operator="lessThanOrEqual">
      <formula>0</formula>
    </cfRule>
  </conditionalFormatting>
  <conditionalFormatting sqref="BT58:BV58">
    <cfRule type="cellIs" dxfId="3" priority="25" operator="lessThanOrEqual">
      <formula>0</formula>
    </cfRule>
  </conditionalFormatting>
  <conditionalFormatting sqref="CL58:CN58">
    <cfRule type="cellIs" dxfId="3" priority="24" operator="lessThanOrEqual">
      <formula>0</formula>
    </cfRule>
  </conditionalFormatting>
  <conditionalFormatting sqref="DD58:DF58">
    <cfRule type="cellIs" dxfId="3" priority="23" operator="lessThanOrEqual">
      <formula>0</formula>
    </cfRule>
  </conditionalFormatting>
  <conditionalFormatting sqref="DV58:DX58">
    <cfRule type="cellIs" dxfId="3" priority="22" operator="lessThanOrEqual">
      <formula>0</formula>
    </cfRule>
  </conditionalFormatting>
  <conditionalFormatting sqref="EN58:EP58">
    <cfRule type="cellIs" dxfId="3" priority="21" operator="lessThanOrEqual">
      <formula>0</formula>
    </cfRule>
  </conditionalFormatting>
  <conditionalFormatting sqref="FF58:FH58">
    <cfRule type="cellIs" dxfId="3" priority="20" operator="lessThanOrEqual">
      <formula>0</formula>
    </cfRule>
  </conditionalFormatting>
  <conditionalFormatting sqref="FX58:FZ58">
    <cfRule type="cellIs" dxfId="3" priority="19" operator="lessThanOrEqual">
      <formula>0</formula>
    </cfRule>
  </conditionalFormatting>
  <conditionalFormatting sqref="GP58:GR58">
    <cfRule type="cellIs" dxfId="3" priority="18" operator="lessThanOrEqual">
      <formula>0</formula>
    </cfRule>
  </conditionalFormatting>
  <conditionalFormatting sqref="HH58:HJ58">
    <cfRule type="cellIs" dxfId="3" priority="17" operator="lessThanOrEqual">
      <formula>0</formula>
    </cfRule>
  </conditionalFormatting>
  <conditionalFormatting sqref="HZ58:IB58">
    <cfRule type="cellIs" dxfId="3" priority="16" operator="lessThanOrEqual">
      <formula>0</formula>
    </cfRule>
  </conditionalFormatting>
  <conditionalFormatting sqref="IR58:IT58">
    <cfRule type="cellIs" dxfId="3" priority="15" operator="lessThanOrEqual">
      <formula>0</formula>
    </cfRule>
  </conditionalFormatting>
  <conditionalFormatting sqref="D31:D32">
    <cfRule type="cellIs" dxfId="3" priority="39" operator="lessThanOrEqual">
      <formula>0</formula>
    </cfRule>
  </conditionalFormatting>
  <conditionalFormatting sqref="E31:E34">
    <cfRule type="cellIs" dxfId="3" priority="35" operator="lessThanOrEqual">
      <formula>0</formula>
    </cfRule>
  </conditionalFormatting>
  <conditionalFormatting sqref="E39:E40">
    <cfRule type="cellIs" dxfId="3" priority="42" operator="lessThanOrEqual">
      <formula>0</formula>
    </cfRule>
  </conditionalFormatting>
  <conditionalFormatting sqref="E46:E49">
    <cfRule type="cellIs" dxfId="3" priority="31" operator="lessThanOrEqual">
      <formula>0</formula>
    </cfRule>
  </conditionalFormatting>
  <conditionalFormatting sqref="E51:E55">
    <cfRule type="cellIs" dxfId="3" priority="32" operator="lessThanOrEqual">
      <formula>0</formula>
    </cfRule>
  </conditionalFormatting>
  <conditionalFormatting sqref="C13:E13 C19:E19 C20:C21 E20:E21 D22:E23 E24 C25:E25 D26:E26 D50:E50">
    <cfRule type="cellIs" dxfId="3" priority="43" operator="lessThanOrEqual">
      <formula>0</formula>
    </cfRule>
  </conditionalFormatting>
  <conditionalFormatting sqref="D14:E18">
    <cfRule type="cellIs" dxfId="3" priority="30" operator="lessThanOrEqual">
      <formula>0</formula>
    </cfRule>
  </conditionalFormatting>
  <conditionalFormatting sqref="C27:E29">
    <cfRule type="cellIs" dxfId="3" priority="14" operator="lessThanOrEqual">
      <formula>0</formula>
    </cfRule>
  </conditionalFormatting>
  <conditionalFormatting sqref="D34 C42:C43">
    <cfRule type="cellIs" dxfId="3" priority="41" operator="lessThanOrEqual">
      <formula>0</formula>
    </cfRule>
  </conditionalFormatting>
  <conditionalFormatting sqref="D35:E38">
    <cfRule type="cellIs" dxfId="3" priority="29" operator="lessThanOrEqual">
      <formula>0</formula>
    </cfRule>
  </conditionalFormatting>
  <conditionalFormatting sqref="D42:E44">
    <cfRule type="cellIs" dxfId="3" priority="38" operator="lessThanOrEqual">
      <formula>0</formula>
    </cfRule>
  </conditionalFormatting>
  <conditionalFormatting sqref="D48:D49 D52:D55">
    <cfRule type="cellIs" dxfId="3" priority="33" operator="lessThanOrEqual">
      <formula>0</formula>
    </cfRule>
  </conditionalFormatting>
  <conditionalFormatting sqref="C56:E58">
    <cfRule type="cellIs" dxfId="3" priority="27" operator="lessThanOrEqual">
      <formula>0</formula>
    </cfRule>
  </conditionalFormatting>
  <hyperlinks>
    <hyperlink ref="A1" location="目录!A1" display="← 返回目录"/>
  </hyperlinks>
  <pageMargins left="0.75" right="0.75" top="1" bottom="1" header="0.5" footer="0.5"/>
  <pageSetup paperSize="9" orientation="portrait"/>
  <headerFooter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950">
    <tabColor theme="2" tint="-0.249977111117893"/>
  </sheetPr>
  <dimension ref="A1:AV29"/>
  <sheetViews>
    <sheetView workbookViewId="0">
      <pane xSplit="2" ySplit="3" topLeftCell="Y4" activePane="bottomRight" state="frozen"/>
      <selection/>
      <selection pane="topRight"/>
      <selection pane="bottomLeft"/>
      <selection pane="bottomRight" activeCell="D1" sqref="D$1:D$1048576"/>
    </sheetView>
  </sheetViews>
  <sheetFormatPr defaultColWidth="8.90833333333333" defaultRowHeight="11.25"/>
  <cols>
    <col min="1" max="1" width="8.90833333333333" style="543"/>
    <col min="2" max="2" width="18.8166666666667" style="543" customWidth="1"/>
    <col min="3" max="8" width="8.90833333333333" style="543"/>
    <col min="9" max="9" width="10.2666666666667" style="543" customWidth="1"/>
    <col min="10" max="10" width="6.09166666666667" style="543" customWidth="1"/>
    <col min="11" max="17" width="8.90833333333333" style="543"/>
    <col min="18" max="18" width="11.0916666666667" style="543" customWidth="1"/>
    <col min="19" max="19" width="6.09166666666667" style="543" customWidth="1"/>
    <col min="20" max="20" width="7.54166666666667" style="543" customWidth="1"/>
    <col min="21" max="16384" width="8.90833333333333" style="543"/>
  </cols>
  <sheetData>
    <row r="1" ht="13.5" spans="1:48">
      <c r="A1" s="202" t="s">
        <v>185</v>
      </c>
    </row>
    <row r="2" s="542" customFormat="1" ht="14.4" customHeight="1" spans="1:48">
      <c r="B2" s="513" t="s">
        <v>1899</v>
      </c>
      <c r="C2" s="544" t="s">
        <v>1412</v>
      </c>
      <c r="D2" s="545"/>
      <c r="E2" s="545"/>
      <c r="F2" s="545"/>
      <c r="G2" s="545"/>
      <c r="H2" s="545"/>
      <c r="I2" s="545"/>
      <c r="J2" s="545"/>
      <c r="K2" s="545"/>
      <c r="L2" s="544" t="s">
        <v>1721</v>
      </c>
      <c r="M2" s="545"/>
      <c r="N2" s="545"/>
      <c r="O2" s="545"/>
      <c r="P2" s="545"/>
      <c r="Q2" s="545"/>
      <c r="R2" s="545"/>
      <c r="S2" s="545"/>
      <c r="T2" s="545"/>
      <c r="U2" s="513" t="s">
        <v>1900</v>
      </c>
      <c r="V2" s="546" t="s">
        <v>1322</v>
      </c>
      <c r="W2" s="513" t="s">
        <v>190</v>
      </c>
      <c r="X2" s="513"/>
      <c r="Y2" s="513"/>
      <c r="Z2" s="513"/>
      <c r="AA2" s="513"/>
      <c r="AB2" s="513"/>
      <c r="AC2" s="513"/>
      <c r="AD2" s="513"/>
      <c r="AE2" s="513"/>
      <c r="AF2" s="513"/>
      <c r="AG2" s="513"/>
      <c r="AH2" s="513"/>
      <c r="AI2" s="513"/>
      <c r="AJ2" s="513" t="s">
        <v>280</v>
      </c>
      <c r="AK2" s="513"/>
      <c r="AL2" s="513"/>
      <c r="AM2" s="513"/>
      <c r="AN2" s="513"/>
      <c r="AO2" s="513"/>
      <c r="AP2" s="513"/>
      <c r="AQ2" s="513"/>
      <c r="AR2" s="513"/>
      <c r="AS2" s="513"/>
      <c r="AT2" s="513"/>
      <c r="AU2" s="513"/>
      <c r="AV2" s="513"/>
    </row>
    <row r="3" s="542" customFormat="1" ht="22.5" spans="1:48">
      <c r="B3" s="513"/>
      <c r="C3" s="513" t="s">
        <v>281</v>
      </c>
      <c r="D3" s="547" t="s">
        <v>1840</v>
      </c>
      <c r="E3" s="547" t="s">
        <v>1853</v>
      </c>
      <c r="F3" s="547" t="s">
        <v>1901</v>
      </c>
      <c r="G3" s="547" t="s">
        <v>1902</v>
      </c>
      <c r="H3" s="547" t="s">
        <v>1903</v>
      </c>
      <c r="I3" s="547" t="s">
        <v>1854</v>
      </c>
      <c r="J3" s="547" t="s">
        <v>1904</v>
      </c>
      <c r="K3" s="547" t="s">
        <v>1905</v>
      </c>
      <c r="L3" s="548" t="s">
        <v>281</v>
      </c>
      <c r="M3" s="547" t="s">
        <v>1840</v>
      </c>
      <c r="N3" s="547" t="s">
        <v>1853</v>
      </c>
      <c r="O3" s="547" t="s">
        <v>1901</v>
      </c>
      <c r="P3" s="547" t="s">
        <v>1902</v>
      </c>
      <c r="Q3" s="547" t="s">
        <v>1903</v>
      </c>
      <c r="R3" s="547" t="s">
        <v>1854</v>
      </c>
      <c r="S3" s="547" t="s">
        <v>1904</v>
      </c>
      <c r="T3" s="549" t="s">
        <v>1905</v>
      </c>
      <c r="U3" s="513"/>
      <c r="V3" s="546"/>
      <c r="W3" s="513" t="s">
        <v>304</v>
      </c>
      <c r="X3" s="513" t="s">
        <v>305</v>
      </c>
      <c r="Y3" s="513" t="s">
        <v>306</v>
      </c>
      <c r="Z3" s="513" t="s">
        <v>307</v>
      </c>
      <c r="AA3" s="513" t="s">
        <v>308</v>
      </c>
      <c r="AB3" s="513" t="s">
        <v>309</v>
      </c>
      <c r="AC3" s="513" t="s">
        <v>310</v>
      </c>
      <c r="AD3" s="513" t="s">
        <v>311</v>
      </c>
      <c r="AE3" s="513" t="s">
        <v>312</v>
      </c>
      <c r="AF3" s="513" t="s">
        <v>313</v>
      </c>
      <c r="AG3" s="513" t="s">
        <v>314</v>
      </c>
      <c r="AH3" s="513" t="s">
        <v>315</v>
      </c>
      <c r="AI3" s="513" t="s">
        <v>281</v>
      </c>
      <c r="AJ3" s="549" t="s">
        <v>304</v>
      </c>
      <c r="AK3" s="549" t="s">
        <v>305</v>
      </c>
      <c r="AL3" s="549" t="s">
        <v>306</v>
      </c>
      <c r="AM3" s="513" t="s">
        <v>307</v>
      </c>
      <c r="AN3" s="513" t="s">
        <v>308</v>
      </c>
      <c r="AO3" s="513" t="s">
        <v>309</v>
      </c>
      <c r="AP3" s="513" t="s">
        <v>310</v>
      </c>
      <c r="AQ3" s="513" t="s">
        <v>311</v>
      </c>
      <c r="AR3" s="513" t="s">
        <v>312</v>
      </c>
      <c r="AS3" s="513" t="s">
        <v>313</v>
      </c>
      <c r="AT3" s="513" t="s">
        <v>314</v>
      </c>
      <c r="AU3" s="513" t="s">
        <v>315</v>
      </c>
      <c r="AV3" s="513" t="s">
        <v>281</v>
      </c>
    </row>
    <row r="4" s="542" customFormat="1" spans="1:48">
      <c r="B4" s="550" t="s">
        <v>1906</v>
      </c>
      <c r="C4" s="551" t="s">
        <v>199</v>
      </c>
      <c r="D4" s="551" t="s">
        <v>199</v>
      </c>
      <c r="E4" s="551" t="s">
        <v>199</v>
      </c>
      <c r="F4" s="551" t="s">
        <v>199</v>
      </c>
      <c r="G4" s="551" t="s">
        <v>199</v>
      </c>
      <c r="H4" s="551" t="s">
        <v>199</v>
      </c>
      <c r="I4" s="551" t="s">
        <v>199</v>
      </c>
      <c r="J4" s="551" t="s">
        <v>199</v>
      </c>
      <c r="K4" s="551" t="s">
        <v>199</v>
      </c>
      <c r="L4" s="551" t="s">
        <v>199</v>
      </c>
      <c r="M4" s="551" t="s">
        <v>199</v>
      </c>
      <c r="N4" s="551" t="s">
        <v>199</v>
      </c>
      <c r="O4" s="551" t="s">
        <v>199</v>
      </c>
      <c r="P4" s="551" t="s">
        <v>199</v>
      </c>
      <c r="Q4" s="551" t="s">
        <v>199</v>
      </c>
      <c r="R4" s="551" t="s">
        <v>199</v>
      </c>
      <c r="S4" s="551" t="s">
        <v>199</v>
      </c>
      <c r="T4" s="551" t="s">
        <v>199</v>
      </c>
      <c r="U4" s="551" t="s">
        <v>199</v>
      </c>
      <c r="V4" s="551" t="s">
        <v>199</v>
      </c>
      <c r="W4" s="551" t="s">
        <v>199</v>
      </c>
      <c r="X4" s="551" t="s">
        <v>199</v>
      </c>
      <c r="Y4" s="551" t="s">
        <v>199</v>
      </c>
      <c r="Z4" s="551" t="s">
        <v>199</v>
      </c>
      <c r="AA4" s="551" t="s">
        <v>199</v>
      </c>
      <c r="AB4" s="551" t="s">
        <v>199</v>
      </c>
      <c r="AC4" s="551" t="s">
        <v>199</v>
      </c>
      <c r="AD4" s="551" t="s">
        <v>199</v>
      </c>
      <c r="AE4" s="551" t="s">
        <v>199</v>
      </c>
      <c r="AF4" s="551" t="s">
        <v>199</v>
      </c>
      <c r="AG4" s="551" t="s">
        <v>199</v>
      </c>
      <c r="AH4" s="551" t="s">
        <v>199</v>
      </c>
      <c r="AI4" s="551" t="s">
        <v>199</v>
      </c>
      <c r="AJ4" s="551" t="s">
        <v>199</v>
      </c>
      <c r="AK4" s="551" t="s">
        <v>199</v>
      </c>
      <c r="AL4" s="551" t="s">
        <v>199</v>
      </c>
      <c r="AM4" s="551" t="s">
        <v>199</v>
      </c>
      <c r="AN4" s="551" t="s">
        <v>199</v>
      </c>
      <c r="AO4" s="551" t="s">
        <v>199</v>
      </c>
      <c r="AP4" s="551" t="s">
        <v>199</v>
      </c>
      <c r="AQ4" s="551" t="s">
        <v>199</v>
      </c>
      <c r="AR4" s="551" t="s">
        <v>199</v>
      </c>
      <c r="AS4" s="551" t="s">
        <v>199</v>
      </c>
      <c r="AT4" s="551" t="s">
        <v>199</v>
      </c>
      <c r="AU4" s="551" t="s">
        <v>199</v>
      </c>
      <c r="AV4" s="551" t="s">
        <v>199</v>
      </c>
    </row>
    <row r="5" s="542" customFormat="1" spans="1:48">
      <c r="B5" s="552" t="s">
        <v>367</v>
      </c>
      <c r="C5" s="553"/>
      <c r="D5" s="554"/>
      <c r="E5" s="554"/>
      <c r="F5" s="554"/>
      <c r="G5" s="554"/>
      <c r="H5" s="554"/>
      <c r="I5" s="554"/>
      <c r="J5" s="554"/>
      <c r="K5" s="554"/>
      <c r="L5" s="553"/>
      <c r="M5" s="554"/>
      <c r="N5" s="554"/>
      <c r="O5" s="554"/>
      <c r="P5" s="554"/>
      <c r="Q5" s="554"/>
      <c r="R5" s="554"/>
      <c r="S5" s="554"/>
      <c r="T5" s="554"/>
      <c r="U5" s="554"/>
      <c r="V5" s="554"/>
      <c r="W5" s="554"/>
      <c r="X5" s="554"/>
      <c r="Y5" s="554"/>
      <c r="Z5" s="554"/>
      <c r="AA5" s="554"/>
      <c r="AB5" s="554"/>
      <c r="AC5" s="554"/>
      <c r="AD5" s="554"/>
      <c r="AE5" s="554"/>
      <c r="AF5" s="554"/>
      <c r="AG5" s="554"/>
      <c r="AH5" s="554"/>
      <c r="AI5" s="553"/>
      <c r="AJ5" s="554"/>
      <c r="AK5" s="554"/>
      <c r="AL5" s="554"/>
      <c r="AM5" s="554"/>
      <c r="AN5" s="554"/>
      <c r="AO5" s="554"/>
      <c r="AP5" s="554"/>
      <c r="AQ5" s="554"/>
      <c r="AR5" s="554"/>
      <c r="AS5" s="554"/>
      <c r="AT5" s="554"/>
      <c r="AU5" s="554"/>
      <c r="AV5" s="553"/>
    </row>
    <row r="6" s="542" customFormat="1" spans="1:48">
      <c r="B6" s="1100" t="s">
        <v>1907</v>
      </c>
      <c r="C6" s="553"/>
      <c r="D6" s="554"/>
      <c r="E6" s="554"/>
      <c r="F6" s="554"/>
      <c r="G6" s="554"/>
      <c r="H6" s="554"/>
      <c r="I6" s="554"/>
      <c r="J6" s="554"/>
      <c r="K6" s="554"/>
      <c r="L6" s="553"/>
      <c r="M6" s="554"/>
      <c r="N6" s="554"/>
      <c r="O6" s="554"/>
      <c r="P6" s="554"/>
      <c r="Q6" s="554"/>
      <c r="R6" s="554"/>
      <c r="S6" s="554"/>
      <c r="T6" s="554"/>
      <c r="U6" s="554"/>
      <c r="V6" s="554"/>
      <c r="W6" s="554"/>
      <c r="X6" s="554"/>
      <c r="Y6" s="554"/>
      <c r="Z6" s="554"/>
      <c r="AA6" s="554"/>
      <c r="AB6" s="554"/>
      <c r="AC6" s="554"/>
      <c r="AD6" s="554"/>
      <c r="AE6" s="554"/>
      <c r="AF6" s="554"/>
      <c r="AG6" s="554"/>
      <c r="AH6" s="554"/>
      <c r="AI6" s="553"/>
      <c r="AJ6" s="554"/>
      <c r="AK6" s="554"/>
      <c r="AL6" s="554"/>
      <c r="AM6" s="554"/>
      <c r="AN6" s="554"/>
      <c r="AO6" s="554"/>
      <c r="AP6" s="554"/>
      <c r="AQ6" s="554"/>
      <c r="AR6" s="554"/>
      <c r="AS6" s="554"/>
      <c r="AT6" s="554"/>
      <c r="AU6" s="554"/>
      <c r="AV6" s="553"/>
    </row>
    <row r="7" s="542" customFormat="1" spans="1:48">
      <c r="B7" s="1100" t="s">
        <v>1908</v>
      </c>
      <c r="C7" s="553"/>
      <c r="D7" s="554"/>
      <c r="E7" s="554"/>
      <c r="F7" s="554"/>
      <c r="G7" s="554"/>
      <c r="H7" s="554"/>
      <c r="I7" s="554"/>
      <c r="J7" s="554"/>
      <c r="K7" s="554"/>
      <c r="L7" s="553"/>
      <c r="M7" s="554"/>
      <c r="N7" s="554"/>
      <c r="O7" s="554"/>
      <c r="P7" s="554"/>
      <c r="Q7" s="554"/>
      <c r="R7" s="554"/>
      <c r="S7" s="554"/>
      <c r="T7" s="554"/>
      <c r="U7" s="554"/>
      <c r="V7" s="554"/>
      <c r="W7" s="554"/>
      <c r="X7" s="554"/>
      <c r="Y7" s="554"/>
      <c r="Z7" s="554"/>
      <c r="AA7" s="554"/>
      <c r="AB7" s="554"/>
      <c r="AC7" s="554"/>
      <c r="AD7" s="554"/>
      <c r="AE7" s="554"/>
      <c r="AF7" s="554"/>
      <c r="AG7" s="554"/>
      <c r="AH7" s="554"/>
      <c r="AI7" s="553"/>
      <c r="AJ7" s="554"/>
      <c r="AK7" s="554"/>
      <c r="AL7" s="554"/>
      <c r="AM7" s="554"/>
      <c r="AN7" s="554"/>
      <c r="AO7" s="554"/>
      <c r="AP7" s="554"/>
      <c r="AQ7" s="554"/>
      <c r="AR7" s="554"/>
      <c r="AS7" s="554"/>
      <c r="AT7" s="554"/>
      <c r="AU7" s="554"/>
      <c r="AV7" s="553"/>
    </row>
    <row r="8" s="542" customFormat="1" spans="1:48">
      <c r="B8" s="552" t="s">
        <v>374</v>
      </c>
      <c r="C8" s="553"/>
      <c r="D8" s="554"/>
      <c r="E8" s="554"/>
      <c r="F8" s="554"/>
      <c r="G8" s="554"/>
      <c r="H8" s="554"/>
      <c r="I8" s="554"/>
      <c r="J8" s="554"/>
      <c r="K8" s="554"/>
      <c r="L8" s="553"/>
      <c r="M8" s="554"/>
      <c r="N8" s="554"/>
      <c r="O8" s="554"/>
      <c r="P8" s="554"/>
      <c r="Q8" s="554"/>
      <c r="R8" s="554"/>
      <c r="S8" s="554"/>
      <c r="T8" s="554"/>
      <c r="U8" s="554"/>
      <c r="V8" s="554"/>
      <c r="W8" s="554"/>
      <c r="X8" s="554"/>
      <c r="Y8" s="554"/>
      <c r="Z8" s="554"/>
      <c r="AA8" s="554"/>
      <c r="AB8" s="554"/>
      <c r="AC8" s="554"/>
      <c r="AD8" s="554"/>
      <c r="AE8" s="554"/>
      <c r="AF8" s="554"/>
      <c r="AG8" s="554"/>
      <c r="AH8" s="554"/>
      <c r="AI8" s="553"/>
      <c r="AJ8" s="554"/>
      <c r="AK8" s="554"/>
      <c r="AL8" s="554"/>
      <c r="AM8" s="554"/>
      <c r="AN8" s="554"/>
      <c r="AO8" s="554"/>
      <c r="AP8" s="554"/>
      <c r="AQ8" s="554"/>
      <c r="AR8" s="554"/>
      <c r="AS8" s="554"/>
      <c r="AT8" s="554"/>
      <c r="AU8" s="554"/>
      <c r="AV8" s="553"/>
    </row>
    <row r="9" s="542" customFormat="1" spans="1:48">
      <c r="B9" s="552" t="s">
        <v>386</v>
      </c>
      <c r="C9" s="553"/>
      <c r="D9" s="554"/>
      <c r="E9" s="554"/>
      <c r="F9" s="554"/>
      <c r="G9" s="554"/>
      <c r="H9" s="554"/>
      <c r="I9" s="554"/>
      <c r="J9" s="554"/>
      <c r="K9" s="554"/>
      <c r="L9" s="553"/>
      <c r="M9" s="554"/>
      <c r="N9" s="554"/>
      <c r="O9" s="554"/>
      <c r="P9" s="554"/>
      <c r="Q9" s="554"/>
      <c r="R9" s="554"/>
      <c r="S9" s="554"/>
      <c r="T9" s="554"/>
      <c r="U9" s="554"/>
      <c r="V9" s="554"/>
      <c r="W9" s="554"/>
      <c r="X9" s="554"/>
      <c r="Y9" s="554"/>
      <c r="Z9" s="554"/>
      <c r="AA9" s="554"/>
      <c r="AB9" s="554"/>
      <c r="AC9" s="554"/>
      <c r="AD9" s="554"/>
      <c r="AE9" s="554"/>
      <c r="AF9" s="554"/>
      <c r="AG9" s="554"/>
      <c r="AH9" s="554"/>
      <c r="AI9" s="553"/>
      <c r="AJ9" s="554"/>
      <c r="AK9" s="554"/>
      <c r="AL9" s="554"/>
      <c r="AM9" s="554"/>
      <c r="AN9" s="554"/>
      <c r="AO9" s="554"/>
      <c r="AP9" s="554"/>
      <c r="AQ9" s="554"/>
      <c r="AR9" s="554"/>
      <c r="AS9" s="554"/>
      <c r="AT9" s="554"/>
      <c r="AU9" s="554"/>
      <c r="AV9" s="553"/>
    </row>
    <row r="10" s="542" customFormat="1" spans="1:48">
      <c r="B10" s="552" t="s">
        <v>393</v>
      </c>
      <c r="C10" s="553"/>
      <c r="D10" s="554"/>
      <c r="E10" s="554"/>
      <c r="F10" s="554"/>
      <c r="G10" s="554"/>
      <c r="H10" s="554"/>
      <c r="I10" s="554"/>
      <c r="J10" s="554"/>
      <c r="K10" s="554"/>
      <c r="L10" s="553"/>
      <c r="M10" s="554"/>
      <c r="N10" s="554"/>
      <c r="O10" s="554"/>
      <c r="P10" s="554"/>
      <c r="Q10" s="554"/>
      <c r="R10" s="554"/>
      <c r="S10" s="554"/>
      <c r="T10" s="554"/>
      <c r="U10" s="554"/>
      <c r="V10" s="554"/>
      <c r="W10" s="554"/>
      <c r="X10" s="554"/>
      <c r="Y10" s="554"/>
      <c r="Z10" s="554"/>
      <c r="AA10" s="554"/>
      <c r="AB10" s="554"/>
      <c r="AC10" s="554"/>
      <c r="AD10" s="554"/>
      <c r="AE10" s="554"/>
      <c r="AF10" s="554"/>
      <c r="AG10" s="554"/>
      <c r="AH10" s="554"/>
      <c r="AI10" s="553"/>
      <c r="AJ10" s="554"/>
      <c r="AK10" s="554"/>
      <c r="AL10" s="554"/>
      <c r="AM10" s="554"/>
      <c r="AN10" s="554"/>
      <c r="AO10" s="554"/>
      <c r="AP10" s="554"/>
      <c r="AQ10" s="554"/>
      <c r="AR10" s="554"/>
      <c r="AS10" s="554"/>
      <c r="AT10" s="554"/>
      <c r="AU10" s="554"/>
      <c r="AV10" s="553"/>
    </row>
    <row r="11" s="542" customFormat="1" spans="1:48">
      <c r="B11" s="552" t="s">
        <v>399</v>
      </c>
      <c r="C11" s="553"/>
      <c r="D11" s="554"/>
      <c r="E11" s="554"/>
      <c r="F11" s="554"/>
      <c r="G11" s="554"/>
      <c r="H11" s="554"/>
      <c r="I11" s="554"/>
      <c r="J11" s="554"/>
      <c r="K11" s="554"/>
      <c r="L11" s="553"/>
      <c r="M11" s="554"/>
      <c r="N11" s="554"/>
      <c r="O11" s="554"/>
      <c r="P11" s="554"/>
      <c r="Q11" s="554"/>
      <c r="R11" s="554"/>
      <c r="S11" s="554"/>
      <c r="T11" s="554"/>
      <c r="U11" s="554"/>
      <c r="V11" s="554"/>
      <c r="W11" s="554"/>
      <c r="X11" s="554"/>
      <c r="Y11" s="554"/>
      <c r="Z11" s="554"/>
      <c r="AA11" s="554"/>
      <c r="AB11" s="554"/>
      <c r="AC11" s="554"/>
      <c r="AD11" s="554"/>
      <c r="AE11" s="554"/>
      <c r="AF11" s="554"/>
      <c r="AG11" s="554"/>
      <c r="AH11" s="554"/>
      <c r="AI11" s="553"/>
      <c r="AJ11" s="554"/>
      <c r="AK11" s="554"/>
      <c r="AL11" s="554"/>
      <c r="AM11" s="554"/>
      <c r="AN11" s="554"/>
      <c r="AO11" s="554"/>
      <c r="AP11" s="554"/>
      <c r="AQ11" s="554"/>
      <c r="AR11" s="554"/>
      <c r="AS11" s="554"/>
      <c r="AT11" s="554"/>
      <c r="AU11" s="554"/>
      <c r="AV11" s="553"/>
    </row>
    <row r="12" s="542" customFormat="1" spans="1:48">
      <c r="B12" s="555" t="s">
        <v>435</v>
      </c>
      <c r="C12" s="553"/>
      <c r="D12" s="554"/>
      <c r="E12" s="554"/>
      <c r="F12" s="554"/>
      <c r="G12" s="554"/>
      <c r="H12" s="554"/>
      <c r="I12" s="554"/>
      <c r="J12" s="554"/>
      <c r="K12" s="554"/>
      <c r="L12" s="553"/>
      <c r="M12" s="554"/>
      <c r="N12" s="554"/>
      <c r="O12" s="554"/>
      <c r="P12" s="554"/>
      <c r="Q12" s="554"/>
      <c r="R12" s="554"/>
      <c r="S12" s="554"/>
      <c r="T12" s="554"/>
      <c r="U12" s="554"/>
      <c r="V12" s="554"/>
      <c r="W12" s="554"/>
      <c r="X12" s="554"/>
      <c r="Y12" s="554"/>
      <c r="Z12" s="554"/>
      <c r="AA12" s="554"/>
      <c r="AB12" s="554"/>
      <c r="AC12" s="554"/>
      <c r="AD12" s="554"/>
      <c r="AE12" s="554"/>
      <c r="AF12" s="554"/>
      <c r="AG12" s="554"/>
      <c r="AH12" s="554"/>
      <c r="AI12" s="553"/>
      <c r="AJ12" s="554"/>
      <c r="AK12" s="554"/>
      <c r="AL12" s="554"/>
      <c r="AM12" s="554"/>
      <c r="AN12" s="554"/>
      <c r="AO12" s="554"/>
      <c r="AP12" s="554"/>
      <c r="AQ12" s="554"/>
      <c r="AR12" s="554"/>
      <c r="AS12" s="554"/>
      <c r="AT12" s="554"/>
      <c r="AU12" s="554"/>
      <c r="AV12" s="553"/>
    </row>
    <row r="13" s="542" customFormat="1" spans="1:48">
      <c r="B13" s="556" t="s">
        <v>1909</v>
      </c>
      <c r="C13" s="551"/>
      <c r="D13" s="551"/>
      <c r="E13" s="551"/>
      <c r="F13" s="551"/>
      <c r="G13" s="551"/>
      <c r="H13" s="551"/>
      <c r="I13" s="551"/>
      <c r="J13" s="551"/>
      <c r="K13" s="551"/>
      <c r="L13" s="551"/>
      <c r="M13" s="551"/>
      <c r="N13" s="551"/>
      <c r="O13" s="551"/>
      <c r="P13" s="551"/>
      <c r="Q13" s="551"/>
      <c r="R13" s="551"/>
      <c r="S13" s="551"/>
      <c r="T13" s="551"/>
      <c r="U13" s="551"/>
      <c r="V13" s="551"/>
      <c r="W13" s="551"/>
      <c r="X13" s="551"/>
      <c r="Y13" s="551"/>
      <c r="Z13" s="551"/>
      <c r="AA13" s="551"/>
      <c r="AB13" s="551"/>
      <c r="AC13" s="551"/>
      <c r="AD13" s="551"/>
      <c r="AE13" s="551"/>
      <c r="AF13" s="551"/>
      <c r="AG13" s="551"/>
      <c r="AH13" s="551"/>
      <c r="AI13" s="551"/>
      <c r="AJ13" s="551"/>
      <c r="AK13" s="551"/>
      <c r="AL13" s="551"/>
      <c r="AM13" s="551"/>
      <c r="AN13" s="551"/>
      <c r="AO13" s="551"/>
      <c r="AP13" s="551"/>
      <c r="AQ13" s="551"/>
      <c r="AR13" s="551"/>
      <c r="AS13" s="551"/>
      <c r="AT13" s="551"/>
      <c r="AU13" s="551"/>
      <c r="AV13" s="551"/>
    </row>
    <row r="14" s="542" customFormat="1" ht="22.5" spans="1:48">
      <c r="B14" s="555" t="s">
        <v>385</v>
      </c>
      <c r="C14" s="553"/>
      <c r="D14" s="554"/>
      <c r="E14" s="554"/>
      <c r="F14" s="554"/>
      <c r="G14" s="554"/>
      <c r="H14" s="554"/>
      <c r="I14" s="554"/>
      <c r="J14" s="554"/>
      <c r="K14" s="554"/>
      <c r="L14" s="553"/>
      <c r="M14" s="554"/>
      <c r="N14" s="554"/>
      <c r="O14" s="554"/>
      <c r="P14" s="554"/>
      <c r="Q14" s="554"/>
      <c r="R14" s="554"/>
      <c r="S14" s="554"/>
      <c r="T14" s="554"/>
      <c r="U14" s="554"/>
      <c r="V14" s="554"/>
      <c r="W14" s="554"/>
      <c r="X14" s="554"/>
      <c r="Y14" s="554"/>
      <c r="Z14" s="554"/>
      <c r="AA14" s="554"/>
      <c r="AB14" s="554"/>
      <c r="AC14" s="554"/>
      <c r="AD14" s="554"/>
      <c r="AE14" s="554"/>
      <c r="AF14" s="554"/>
      <c r="AG14" s="554"/>
      <c r="AH14" s="554"/>
      <c r="AI14" s="553"/>
      <c r="AJ14" s="554"/>
      <c r="AK14" s="554"/>
      <c r="AL14" s="554"/>
      <c r="AM14" s="554"/>
      <c r="AN14" s="554"/>
      <c r="AO14" s="554"/>
      <c r="AP14" s="554"/>
      <c r="AQ14" s="554"/>
      <c r="AR14" s="554"/>
      <c r="AS14" s="554"/>
      <c r="AT14" s="554"/>
      <c r="AU14" s="554"/>
      <c r="AV14" s="553"/>
    </row>
    <row r="15" s="542" customFormat="1" spans="1:48">
      <c r="B15" s="555" t="s">
        <v>417</v>
      </c>
      <c r="C15" s="553"/>
      <c r="D15" s="554"/>
      <c r="E15" s="554"/>
      <c r="F15" s="554"/>
      <c r="G15" s="554"/>
      <c r="H15" s="554"/>
      <c r="I15" s="554"/>
      <c r="J15" s="554"/>
      <c r="K15" s="554"/>
      <c r="L15" s="553"/>
      <c r="M15" s="554"/>
      <c r="N15" s="554"/>
      <c r="O15" s="554"/>
      <c r="P15" s="554"/>
      <c r="Q15" s="554"/>
      <c r="R15" s="554"/>
      <c r="S15" s="554"/>
      <c r="T15" s="554"/>
      <c r="U15" s="554"/>
      <c r="V15" s="554"/>
      <c r="W15" s="554"/>
      <c r="X15" s="554"/>
      <c r="Y15" s="554"/>
      <c r="Z15" s="554"/>
      <c r="AA15" s="554"/>
      <c r="AB15" s="554"/>
      <c r="AC15" s="554"/>
      <c r="AD15" s="554"/>
      <c r="AE15" s="554"/>
      <c r="AF15" s="554"/>
      <c r="AG15" s="554"/>
      <c r="AH15" s="554"/>
      <c r="AI15" s="553"/>
      <c r="AJ15" s="554"/>
      <c r="AK15" s="554"/>
      <c r="AL15" s="554"/>
      <c r="AM15" s="554"/>
      <c r="AN15" s="554"/>
      <c r="AO15" s="554"/>
      <c r="AP15" s="554"/>
      <c r="AQ15" s="554"/>
      <c r="AR15" s="554"/>
      <c r="AS15" s="554"/>
      <c r="AT15" s="554"/>
      <c r="AU15" s="554"/>
      <c r="AV15" s="553"/>
    </row>
    <row r="16" s="542" customFormat="1" spans="1:48">
      <c r="B16" s="555" t="s">
        <v>1910</v>
      </c>
      <c r="C16" s="553"/>
      <c r="D16" s="554"/>
      <c r="E16" s="554"/>
      <c r="F16" s="554"/>
      <c r="G16" s="554"/>
      <c r="H16" s="554"/>
      <c r="I16" s="554"/>
      <c r="J16" s="554"/>
      <c r="K16" s="554"/>
      <c r="L16" s="553"/>
      <c r="M16" s="554"/>
      <c r="N16" s="554"/>
      <c r="O16" s="554"/>
      <c r="P16" s="554"/>
      <c r="Q16" s="554"/>
      <c r="R16" s="554"/>
      <c r="S16" s="554"/>
      <c r="T16" s="554"/>
      <c r="U16" s="554"/>
      <c r="V16" s="554"/>
      <c r="W16" s="554"/>
      <c r="X16" s="554"/>
      <c r="Y16" s="554"/>
      <c r="Z16" s="554"/>
      <c r="AA16" s="554"/>
      <c r="AB16" s="554"/>
      <c r="AC16" s="554"/>
      <c r="AD16" s="554"/>
      <c r="AE16" s="554"/>
      <c r="AF16" s="554"/>
      <c r="AG16" s="554"/>
      <c r="AH16" s="554"/>
      <c r="AI16" s="553"/>
      <c r="AJ16" s="554"/>
      <c r="AK16" s="554"/>
      <c r="AL16" s="554"/>
      <c r="AM16" s="554"/>
      <c r="AN16" s="554"/>
      <c r="AO16" s="554"/>
      <c r="AP16" s="554"/>
      <c r="AQ16" s="554"/>
      <c r="AR16" s="554"/>
      <c r="AS16" s="554"/>
      <c r="AT16" s="554"/>
      <c r="AU16" s="554"/>
      <c r="AV16" s="553"/>
    </row>
    <row r="17" s="542" customFormat="1" spans="2:48">
      <c r="B17" s="555" t="s">
        <v>424</v>
      </c>
      <c r="C17" s="553"/>
      <c r="D17" s="554"/>
      <c r="E17" s="554"/>
      <c r="F17" s="554"/>
      <c r="G17" s="554"/>
      <c r="H17" s="554"/>
      <c r="I17" s="554"/>
      <c r="J17" s="554"/>
      <c r="K17" s="554"/>
      <c r="L17" s="553"/>
      <c r="M17" s="554"/>
      <c r="N17" s="554"/>
      <c r="O17" s="554"/>
      <c r="P17" s="554"/>
      <c r="Q17" s="554"/>
      <c r="R17" s="554"/>
      <c r="S17" s="554"/>
      <c r="T17" s="554"/>
      <c r="U17" s="554"/>
      <c r="V17" s="554"/>
      <c r="W17" s="554"/>
      <c r="X17" s="554"/>
      <c r="Y17" s="554"/>
      <c r="Z17" s="554"/>
      <c r="AA17" s="554"/>
      <c r="AB17" s="554"/>
      <c r="AC17" s="554"/>
      <c r="AD17" s="554"/>
      <c r="AE17" s="554"/>
      <c r="AF17" s="554"/>
      <c r="AG17" s="554"/>
      <c r="AH17" s="554"/>
      <c r="AI17" s="553"/>
      <c r="AJ17" s="554"/>
      <c r="AK17" s="554"/>
      <c r="AL17" s="554"/>
      <c r="AM17" s="554"/>
      <c r="AN17" s="554"/>
      <c r="AO17" s="554"/>
      <c r="AP17" s="554"/>
      <c r="AQ17" s="554"/>
      <c r="AR17" s="554"/>
      <c r="AS17" s="554"/>
      <c r="AT17" s="554"/>
      <c r="AU17" s="554"/>
      <c r="AV17" s="553"/>
    </row>
    <row r="18" s="542" customFormat="1" spans="2:48">
      <c r="B18" s="555" t="s">
        <v>439</v>
      </c>
      <c r="C18" s="553"/>
      <c r="D18" s="554"/>
      <c r="E18" s="554"/>
      <c r="F18" s="554"/>
      <c r="G18" s="554"/>
      <c r="H18" s="554"/>
      <c r="I18" s="554"/>
      <c r="J18" s="554"/>
      <c r="K18" s="554"/>
      <c r="L18" s="553"/>
      <c r="M18" s="554"/>
      <c r="N18" s="554"/>
      <c r="O18" s="554"/>
      <c r="P18" s="554"/>
      <c r="Q18" s="554"/>
      <c r="R18" s="554"/>
      <c r="S18" s="554"/>
      <c r="T18" s="554"/>
      <c r="U18" s="554"/>
      <c r="V18" s="554"/>
      <c r="W18" s="554"/>
      <c r="X18" s="554"/>
      <c r="Y18" s="554"/>
      <c r="Z18" s="554"/>
      <c r="AA18" s="554"/>
      <c r="AB18" s="554"/>
      <c r="AC18" s="554"/>
      <c r="AD18" s="554"/>
      <c r="AE18" s="554"/>
      <c r="AF18" s="554"/>
      <c r="AG18" s="554"/>
      <c r="AH18" s="554"/>
      <c r="AI18" s="553"/>
      <c r="AJ18" s="554"/>
      <c r="AK18" s="554"/>
      <c r="AL18" s="554"/>
      <c r="AM18" s="554"/>
      <c r="AN18" s="554"/>
      <c r="AO18" s="554"/>
      <c r="AP18" s="554"/>
      <c r="AQ18" s="554"/>
      <c r="AR18" s="554"/>
      <c r="AS18" s="554"/>
      <c r="AT18" s="554"/>
      <c r="AU18" s="554"/>
      <c r="AV18" s="553"/>
    </row>
    <row r="19" s="542" customFormat="1" spans="2:48">
      <c r="B19" s="555" t="s">
        <v>443</v>
      </c>
      <c r="C19" s="553"/>
      <c r="D19" s="554"/>
      <c r="E19" s="554"/>
      <c r="F19" s="554"/>
      <c r="G19" s="554"/>
      <c r="H19" s="554"/>
      <c r="I19" s="554"/>
      <c r="J19" s="554"/>
      <c r="K19" s="554"/>
      <c r="L19" s="553"/>
      <c r="M19" s="554"/>
      <c r="N19" s="554"/>
      <c r="O19" s="554"/>
      <c r="P19" s="554"/>
      <c r="Q19" s="554"/>
      <c r="R19" s="554"/>
      <c r="S19" s="554"/>
      <c r="T19" s="554"/>
      <c r="U19" s="554"/>
      <c r="V19" s="554"/>
      <c r="W19" s="554"/>
      <c r="X19" s="554"/>
      <c r="Y19" s="554"/>
      <c r="Z19" s="554"/>
      <c r="AA19" s="554"/>
      <c r="AB19" s="554"/>
      <c r="AC19" s="554"/>
      <c r="AD19" s="554"/>
      <c r="AE19" s="554"/>
      <c r="AF19" s="554"/>
      <c r="AG19" s="554"/>
      <c r="AH19" s="554"/>
      <c r="AI19" s="553"/>
      <c r="AJ19" s="554"/>
      <c r="AK19" s="554"/>
      <c r="AL19" s="554"/>
      <c r="AM19" s="554"/>
      <c r="AN19" s="554"/>
      <c r="AO19" s="554"/>
      <c r="AP19" s="554"/>
      <c r="AQ19" s="554"/>
      <c r="AR19" s="554"/>
      <c r="AS19" s="554"/>
      <c r="AT19" s="554"/>
      <c r="AU19" s="554"/>
      <c r="AV19" s="553"/>
    </row>
    <row r="20" s="542" customFormat="1" spans="2:48">
      <c r="B20" s="556" t="s">
        <v>1911</v>
      </c>
      <c r="C20" s="55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1"/>
      <c r="AA20" s="551"/>
      <c r="AB20" s="551"/>
      <c r="AC20" s="551"/>
      <c r="AD20" s="551"/>
      <c r="AE20" s="551"/>
      <c r="AF20" s="551"/>
      <c r="AG20" s="551"/>
      <c r="AH20" s="551"/>
      <c r="AI20" s="551"/>
      <c r="AJ20" s="551"/>
      <c r="AK20" s="551"/>
      <c r="AL20" s="551"/>
      <c r="AM20" s="551"/>
      <c r="AN20" s="551"/>
      <c r="AO20" s="551"/>
      <c r="AP20" s="551"/>
      <c r="AQ20" s="551"/>
      <c r="AR20" s="551"/>
      <c r="AS20" s="551"/>
      <c r="AT20" s="551"/>
      <c r="AU20" s="551"/>
      <c r="AV20" s="551"/>
    </row>
    <row r="21" s="542" customFormat="1" spans="2:48">
      <c r="B21" s="557" t="s">
        <v>1912</v>
      </c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7"/>
      <c r="X21" s="557"/>
      <c r="Y21" s="557"/>
      <c r="Z21" s="557"/>
      <c r="AA21" s="557"/>
      <c r="AB21" s="557"/>
      <c r="AC21" s="557"/>
      <c r="AD21" s="557"/>
      <c r="AE21" s="557"/>
      <c r="AF21" s="557"/>
      <c r="AG21" s="557"/>
      <c r="AH21" s="557"/>
      <c r="AI21" s="557"/>
      <c r="AJ21" s="557"/>
      <c r="AK21" s="557"/>
      <c r="AL21" s="557"/>
      <c r="AM21" s="557"/>
      <c r="AN21" s="557"/>
      <c r="AO21" s="557"/>
      <c r="AP21" s="557"/>
      <c r="AQ21" s="557"/>
      <c r="AR21" s="557"/>
      <c r="AS21" s="557"/>
      <c r="AT21" s="557"/>
      <c r="AU21" s="557"/>
      <c r="AV21" s="557"/>
    </row>
    <row r="22" s="542" customFormat="1" spans="2:48">
      <c r="B22" s="557" t="s">
        <v>1913</v>
      </c>
      <c r="C22" s="553"/>
      <c r="D22" s="553"/>
      <c r="E22" s="553"/>
      <c r="F22" s="553"/>
      <c r="G22" s="553"/>
      <c r="H22" s="553"/>
      <c r="I22" s="553"/>
      <c r="J22" s="553"/>
      <c r="K22" s="553"/>
      <c r="L22" s="553"/>
      <c r="M22" s="553"/>
      <c r="N22" s="553"/>
      <c r="O22" s="553"/>
      <c r="P22" s="553"/>
      <c r="Q22" s="553"/>
      <c r="R22" s="553"/>
      <c r="S22" s="553"/>
      <c r="T22" s="553"/>
      <c r="U22" s="553"/>
      <c r="V22" s="553"/>
      <c r="W22" s="557"/>
      <c r="X22" s="557"/>
      <c r="Y22" s="557"/>
      <c r="Z22" s="557"/>
      <c r="AA22" s="557"/>
      <c r="AB22" s="557"/>
      <c r="AC22" s="557"/>
      <c r="AD22" s="557"/>
      <c r="AE22" s="557"/>
      <c r="AF22" s="557"/>
      <c r="AG22" s="557"/>
      <c r="AH22" s="557"/>
      <c r="AI22" s="557"/>
      <c r="AJ22" s="557"/>
      <c r="AK22" s="557"/>
      <c r="AL22" s="557"/>
      <c r="AM22" s="557"/>
      <c r="AN22" s="557"/>
      <c r="AO22" s="557"/>
      <c r="AP22" s="557"/>
      <c r="AQ22" s="557"/>
      <c r="AR22" s="557"/>
      <c r="AS22" s="557"/>
      <c r="AT22" s="557"/>
      <c r="AU22" s="557"/>
      <c r="AV22" s="557"/>
    </row>
    <row r="23" s="542" customFormat="1" spans="2:48">
      <c r="B23" s="558" t="s">
        <v>1914</v>
      </c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53"/>
      <c r="P23" s="553"/>
      <c r="Q23" s="553"/>
      <c r="R23" s="553"/>
      <c r="S23" s="553"/>
      <c r="T23" s="553"/>
      <c r="U23" s="553"/>
      <c r="V23" s="553"/>
      <c r="W23" s="557"/>
      <c r="X23" s="557"/>
      <c r="Y23" s="557"/>
      <c r="Z23" s="557"/>
      <c r="AA23" s="557"/>
      <c r="AB23" s="557"/>
      <c r="AC23" s="557"/>
      <c r="AD23" s="557"/>
      <c r="AE23" s="557"/>
      <c r="AF23" s="557"/>
      <c r="AG23" s="557"/>
      <c r="AH23" s="557"/>
      <c r="AI23" s="557"/>
      <c r="AJ23" s="557"/>
      <c r="AK23" s="557"/>
      <c r="AL23" s="557"/>
      <c r="AM23" s="557"/>
      <c r="AN23" s="557"/>
      <c r="AO23" s="557"/>
      <c r="AP23" s="557"/>
      <c r="AQ23" s="557"/>
      <c r="AR23" s="557"/>
      <c r="AS23" s="557"/>
      <c r="AT23" s="557"/>
      <c r="AU23" s="557"/>
      <c r="AV23" s="557"/>
    </row>
    <row r="24" s="542" customFormat="1" spans="2:48">
      <c r="B24" s="558" t="s">
        <v>1915</v>
      </c>
      <c r="C24" s="559"/>
      <c r="D24" s="560"/>
      <c r="E24" s="560"/>
      <c r="F24" s="560"/>
      <c r="G24" s="560"/>
      <c r="H24" s="560"/>
      <c r="I24" s="560"/>
      <c r="J24" s="560"/>
      <c r="K24" s="560"/>
      <c r="L24" s="561"/>
      <c r="M24" s="562"/>
      <c r="N24" s="562"/>
      <c r="O24" s="562"/>
      <c r="P24" s="562"/>
      <c r="Q24" s="560"/>
      <c r="R24" s="560"/>
      <c r="S24" s="560"/>
      <c r="T24" s="562"/>
      <c r="U24" s="562"/>
      <c r="V24" s="563"/>
      <c r="W24" s="557"/>
      <c r="X24" s="557"/>
      <c r="Y24" s="557"/>
      <c r="Z24" s="557"/>
      <c r="AA24" s="557"/>
      <c r="AB24" s="557"/>
      <c r="AC24" s="557"/>
      <c r="AD24" s="557"/>
      <c r="AE24" s="557"/>
      <c r="AF24" s="557"/>
      <c r="AG24" s="557"/>
      <c r="AH24" s="557"/>
      <c r="AI24" s="557"/>
      <c r="AJ24" s="557"/>
      <c r="AK24" s="557"/>
      <c r="AL24" s="557"/>
      <c r="AM24" s="557"/>
      <c r="AN24" s="557"/>
      <c r="AO24" s="557"/>
      <c r="AP24" s="557"/>
      <c r="AQ24" s="557"/>
      <c r="AR24" s="557"/>
      <c r="AS24" s="557"/>
      <c r="AT24" s="557"/>
      <c r="AU24" s="557"/>
      <c r="AV24" s="557"/>
    </row>
    <row r="25" s="542" customFormat="1" spans="2:48">
      <c r="B25" s="558" t="s">
        <v>215</v>
      </c>
      <c r="C25" s="559"/>
      <c r="D25" s="560"/>
      <c r="E25" s="560"/>
      <c r="F25" s="560"/>
      <c r="G25" s="560"/>
      <c r="H25" s="560"/>
      <c r="I25" s="560"/>
      <c r="J25" s="560"/>
      <c r="K25" s="560"/>
      <c r="L25" s="561"/>
      <c r="M25" s="562"/>
      <c r="N25" s="562"/>
      <c r="O25" s="562"/>
      <c r="P25" s="562"/>
      <c r="Q25" s="560"/>
      <c r="R25" s="560"/>
      <c r="S25" s="560"/>
      <c r="T25" s="562"/>
      <c r="U25" s="562"/>
      <c r="V25" s="563"/>
      <c r="W25" s="557"/>
      <c r="X25" s="557"/>
      <c r="Y25" s="557"/>
      <c r="Z25" s="557"/>
      <c r="AA25" s="557"/>
      <c r="AB25" s="557"/>
      <c r="AC25" s="557"/>
      <c r="AD25" s="557"/>
      <c r="AE25" s="557"/>
      <c r="AF25" s="557"/>
      <c r="AG25" s="557"/>
      <c r="AH25" s="557"/>
      <c r="AI25" s="557"/>
      <c r="AJ25" s="557"/>
      <c r="AK25" s="557"/>
      <c r="AL25" s="557"/>
      <c r="AM25" s="557"/>
      <c r="AN25" s="557"/>
      <c r="AO25" s="557"/>
      <c r="AP25" s="557"/>
      <c r="AQ25" s="557"/>
      <c r="AR25" s="557"/>
      <c r="AS25" s="557"/>
      <c r="AT25" s="557"/>
      <c r="AU25" s="557"/>
      <c r="AV25" s="557"/>
    </row>
    <row r="26" spans="2:48">
      <c r="C26" s="564" t="s">
        <v>1916</v>
      </c>
    </row>
    <row r="29" spans="2:48">
      <c r="C29" s="543" t="s">
        <v>1917</v>
      </c>
    </row>
  </sheetData>
  <mergeCells count="7">
    <mergeCell ref="C2:K2"/>
    <mergeCell ref="L2:T2"/>
    <mergeCell ref="W2:AI2"/>
    <mergeCell ref="AJ2:AV2"/>
    <mergeCell ref="B2:B3"/>
    <mergeCell ref="U2:U3"/>
    <mergeCell ref="V2:V3"/>
  </mergeCells>
  <hyperlinks>
    <hyperlink ref="A1" location="目录!A1" display="← 返回目录"/>
  </hyperlinks>
  <pageMargins left="0.75" right="0.75" top="1" bottom="1" header="0.5" footer="0.5"/>
  <pageSetup paperSize="9" scale="54" orientation="portrait"/>
  <headerFooter/>
  <colBreaks count="2" manualBreakCount="2">
    <brk id="11" max="1048575" man="1"/>
    <brk id="35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051">
    <tabColor theme="2" tint="-0.249977111117893"/>
  </sheetPr>
  <dimension ref="A1:AJ39"/>
  <sheetViews>
    <sheetView zoomScale="90" zoomScaleNormal="90" workbookViewId="0">
      <pane xSplit="4" ySplit="3" topLeftCell="K4" activePane="bottomRight" state="frozen"/>
      <selection/>
      <selection pane="topRight"/>
      <selection pane="bottomLeft"/>
      <selection pane="bottomRight" activeCell="C11" sqref="C11"/>
    </sheetView>
  </sheetViews>
  <sheetFormatPr defaultColWidth="8.90833333333333" defaultRowHeight="11.25"/>
  <cols>
    <col min="1" max="1" width="8.90833333333333" style="508"/>
    <col min="2" max="2" width="8.90833333333333" style="508" hidden="1" customWidth="1"/>
    <col min="3" max="3" width="17.3666666666667" style="508" customWidth="1"/>
    <col min="4" max="4" width="14.6333333333333" style="508" hidden="1" customWidth="1"/>
    <col min="5" max="16384" width="8.90833333333333" style="508"/>
  </cols>
  <sheetData>
    <row r="1" ht="13.5" spans="1:36">
      <c r="A1" s="202" t="s">
        <v>185</v>
      </c>
    </row>
    <row r="2" s="507" customFormat="1" spans="1:36">
      <c r="A2" s="509" t="s">
        <v>279</v>
      </c>
      <c r="B2" s="510" t="s">
        <v>1918</v>
      </c>
      <c r="C2" s="511" t="s">
        <v>221</v>
      </c>
      <c r="D2" s="512" t="s">
        <v>1720</v>
      </c>
      <c r="E2" s="513" t="s">
        <v>1412</v>
      </c>
      <c r="F2" s="513"/>
      <c r="G2" s="513"/>
      <c r="H2" s="513" t="s">
        <v>1721</v>
      </c>
      <c r="I2" s="513"/>
      <c r="J2" s="513"/>
      <c r="K2" s="514" t="s">
        <v>190</v>
      </c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 t="s">
        <v>280</v>
      </c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="507" customFormat="1" spans="1:36">
      <c r="A3" s="509"/>
      <c r="B3" s="515"/>
      <c r="C3" s="511"/>
      <c r="D3" s="516"/>
      <c r="E3" s="513" t="s">
        <v>433</v>
      </c>
      <c r="F3" s="513" t="s">
        <v>1919</v>
      </c>
      <c r="G3" s="517" t="s">
        <v>1920</v>
      </c>
      <c r="H3" s="513" t="s">
        <v>433</v>
      </c>
      <c r="I3" s="513" t="s">
        <v>1919</v>
      </c>
      <c r="J3" s="513" t="s">
        <v>1920</v>
      </c>
      <c r="K3" s="518" t="s">
        <v>304</v>
      </c>
      <c r="L3" s="518" t="s">
        <v>305</v>
      </c>
      <c r="M3" s="518" t="s">
        <v>306</v>
      </c>
      <c r="N3" s="518" t="s">
        <v>307</v>
      </c>
      <c r="O3" s="518" t="s">
        <v>308</v>
      </c>
      <c r="P3" s="518" t="s">
        <v>309</v>
      </c>
      <c r="Q3" s="518" t="s">
        <v>310</v>
      </c>
      <c r="R3" s="518" t="s">
        <v>311</v>
      </c>
      <c r="S3" s="518" t="s">
        <v>312</v>
      </c>
      <c r="T3" s="518" t="s">
        <v>313</v>
      </c>
      <c r="U3" s="518" t="s">
        <v>314</v>
      </c>
      <c r="V3" s="518" t="s">
        <v>315</v>
      </c>
      <c r="W3" s="519" t="s">
        <v>281</v>
      </c>
      <c r="X3" s="518">
        <v>1</v>
      </c>
      <c r="Y3" s="518">
        <v>2</v>
      </c>
      <c r="Z3" s="518">
        <v>3</v>
      </c>
      <c r="AA3" s="518">
        <v>4</v>
      </c>
      <c r="AB3" s="518">
        <v>5</v>
      </c>
      <c r="AC3" s="518">
        <v>6</v>
      </c>
      <c r="AD3" s="518">
        <v>7</v>
      </c>
      <c r="AE3" s="518">
        <v>8</v>
      </c>
      <c r="AF3" s="518">
        <v>9</v>
      </c>
      <c r="AG3" s="518">
        <v>10</v>
      </c>
      <c r="AH3" s="518">
        <v>11</v>
      </c>
      <c r="AI3" s="518">
        <v>12</v>
      </c>
      <c r="AJ3" s="518" t="s">
        <v>281</v>
      </c>
    </row>
    <row r="4" spans="1:36">
      <c r="A4" s="520">
        <v>59</v>
      </c>
      <c r="B4" s="521" t="s">
        <v>1466</v>
      </c>
      <c r="C4" s="522" t="s">
        <v>356</v>
      </c>
      <c r="D4" s="521" t="s">
        <v>1466</v>
      </c>
      <c r="E4" s="523" t="s">
        <v>199</v>
      </c>
      <c r="F4" s="523" t="s">
        <v>199</v>
      </c>
      <c r="G4" s="523" t="s">
        <v>199</v>
      </c>
      <c r="H4" s="523" t="s">
        <v>199</v>
      </c>
      <c r="I4" s="523" t="s">
        <v>199</v>
      </c>
      <c r="J4" s="523" t="s">
        <v>199</v>
      </c>
      <c r="K4" s="523" t="s">
        <v>199</v>
      </c>
      <c r="L4" s="523" t="s">
        <v>199</v>
      </c>
      <c r="M4" s="523" t="s">
        <v>199</v>
      </c>
      <c r="N4" s="523" t="s">
        <v>199</v>
      </c>
      <c r="O4" s="523" t="s">
        <v>199</v>
      </c>
      <c r="P4" s="523" t="s">
        <v>199</v>
      </c>
      <c r="Q4" s="523" t="s">
        <v>199</v>
      </c>
      <c r="R4" s="523" t="s">
        <v>199</v>
      </c>
      <c r="S4" s="523" t="s">
        <v>199</v>
      </c>
      <c r="T4" s="523" t="s">
        <v>199</v>
      </c>
      <c r="U4" s="523" t="s">
        <v>199</v>
      </c>
      <c r="V4" s="523" t="s">
        <v>199</v>
      </c>
      <c r="W4" s="523" t="s">
        <v>199</v>
      </c>
      <c r="X4" s="523" t="s">
        <v>199</v>
      </c>
      <c r="Y4" s="523" t="s">
        <v>199</v>
      </c>
      <c r="Z4" s="523" t="s">
        <v>199</v>
      </c>
      <c r="AA4" s="523" t="s">
        <v>199</v>
      </c>
      <c r="AB4" s="523" t="s">
        <v>199</v>
      </c>
      <c r="AC4" s="523" t="s">
        <v>199</v>
      </c>
      <c r="AD4" s="523" t="s">
        <v>199</v>
      </c>
      <c r="AE4" s="523" t="s">
        <v>199</v>
      </c>
      <c r="AF4" s="523" t="s">
        <v>199</v>
      </c>
      <c r="AG4" s="523" t="s">
        <v>199</v>
      </c>
      <c r="AH4" s="523" t="s">
        <v>199</v>
      </c>
      <c r="AI4" s="523" t="s">
        <v>199</v>
      </c>
      <c r="AJ4" s="523" t="s">
        <v>199</v>
      </c>
    </row>
    <row r="5" spans="1:36">
      <c r="A5" s="520">
        <v>60</v>
      </c>
      <c r="B5" s="521" t="s">
        <v>1466</v>
      </c>
      <c r="C5" s="522" t="s">
        <v>366</v>
      </c>
      <c r="D5" s="521" t="s">
        <v>1466</v>
      </c>
      <c r="E5" s="523" t="s">
        <v>1921</v>
      </c>
      <c r="F5" s="523"/>
      <c r="G5" s="523"/>
      <c r="H5" s="523"/>
      <c r="I5" s="523"/>
      <c r="J5" s="523"/>
      <c r="K5" s="523"/>
      <c r="L5" s="523"/>
      <c r="M5" s="523"/>
      <c r="N5" s="523"/>
      <c r="O5" s="523"/>
      <c r="P5" s="523"/>
      <c r="Q5" s="523"/>
      <c r="R5" s="523"/>
      <c r="S5" s="523"/>
      <c r="T5" s="523"/>
      <c r="U5" s="523"/>
      <c r="V5" s="523"/>
      <c r="W5" s="523"/>
      <c r="X5" s="523"/>
      <c r="Y5" s="523"/>
      <c r="Z5" s="523"/>
      <c r="AA5" s="523"/>
      <c r="AB5" s="523"/>
      <c r="AC5" s="523"/>
      <c r="AD5" s="523"/>
      <c r="AE5" s="523"/>
      <c r="AF5" s="523"/>
      <c r="AG5" s="523"/>
      <c r="AH5" s="523"/>
      <c r="AI5" s="523"/>
      <c r="AJ5" s="523"/>
    </row>
    <row r="6" spans="1:36">
      <c r="A6" s="520">
        <v>61</v>
      </c>
      <c r="B6" s="521" t="s">
        <v>1466</v>
      </c>
      <c r="C6" s="524" t="s">
        <v>210</v>
      </c>
      <c r="D6" s="525" t="s">
        <v>1466</v>
      </c>
      <c r="E6" s="523" t="s">
        <v>1921</v>
      </c>
      <c r="F6" s="523"/>
      <c r="G6" s="523"/>
      <c r="H6" s="523"/>
      <c r="I6" s="523"/>
      <c r="J6" s="523"/>
      <c r="K6" s="526"/>
      <c r="L6" s="526"/>
      <c r="M6" s="526"/>
      <c r="N6" s="526"/>
      <c r="O6" s="526"/>
      <c r="P6" s="526"/>
      <c r="Q6" s="526"/>
      <c r="R6" s="526"/>
      <c r="S6" s="526"/>
      <c r="T6" s="526"/>
      <c r="U6" s="526"/>
      <c r="V6" s="526"/>
      <c r="W6" s="523"/>
      <c r="X6" s="523"/>
      <c r="Y6" s="523"/>
      <c r="Z6" s="523"/>
      <c r="AA6" s="523"/>
      <c r="AB6" s="523"/>
      <c r="AC6" s="523"/>
      <c r="AD6" s="523"/>
      <c r="AE6" s="523"/>
      <c r="AF6" s="523"/>
      <c r="AG6" s="523"/>
      <c r="AH6" s="523"/>
      <c r="AI6" s="523"/>
      <c r="AJ6" s="523"/>
    </row>
    <row r="7" spans="1:36">
      <c r="A7" s="527">
        <v>62</v>
      </c>
      <c r="B7" s="528" t="s">
        <v>384</v>
      </c>
      <c r="C7" s="529" t="s">
        <v>383</v>
      </c>
      <c r="D7" s="529" t="s">
        <v>385</v>
      </c>
      <c r="E7" s="530" t="s">
        <v>1921</v>
      </c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23"/>
      <c r="X7" s="530"/>
      <c r="Y7" s="530"/>
      <c r="Z7" s="530"/>
      <c r="AA7" s="530"/>
      <c r="AB7" s="530"/>
      <c r="AC7" s="530"/>
      <c r="AD7" s="530"/>
      <c r="AE7" s="530"/>
      <c r="AF7" s="530"/>
      <c r="AG7" s="530"/>
      <c r="AH7" s="530"/>
      <c r="AI7" s="530"/>
      <c r="AJ7" s="523"/>
    </row>
    <row r="8" spans="1:36">
      <c r="A8" s="527">
        <v>63</v>
      </c>
      <c r="B8" s="528" t="s">
        <v>392</v>
      </c>
      <c r="C8" s="529" t="s">
        <v>367</v>
      </c>
      <c r="D8" s="529" t="s">
        <v>367</v>
      </c>
      <c r="E8" s="530" t="s">
        <v>1921</v>
      </c>
      <c r="F8" s="530"/>
      <c r="G8" s="530"/>
      <c r="H8" s="530"/>
      <c r="I8" s="530"/>
      <c r="J8" s="530"/>
      <c r="K8" s="530"/>
      <c r="L8" s="530"/>
      <c r="M8" s="530"/>
      <c r="N8" s="530"/>
      <c r="O8" s="530"/>
      <c r="P8" s="530"/>
      <c r="Q8" s="530"/>
      <c r="R8" s="530"/>
      <c r="S8" s="530"/>
      <c r="T8" s="530"/>
      <c r="U8" s="530"/>
      <c r="V8" s="530"/>
      <c r="W8" s="523"/>
      <c r="X8" s="530"/>
      <c r="Y8" s="530"/>
      <c r="Z8" s="530"/>
      <c r="AA8" s="530"/>
      <c r="AB8" s="530"/>
      <c r="AC8" s="530"/>
      <c r="AD8" s="530"/>
      <c r="AE8" s="530"/>
      <c r="AF8" s="530"/>
      <c r="AG8" s="530"/>
      <c r="AH8" s="530"/>
      <c r="AI8" s="530"/>
      <c r="AJ8" s="523"/>
    </row>
    <row r="9" spans="1:36">
      <c r="A9" s="527"/>
      <c r="B9" s="528"/>
      <c r="C9" s="1100" t="s">
        <v>1907</v>
      </c>
      <c r="D9" s="529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0"/>
      <c r="T9" s="530"/>
      <c r="U9" s="530"/>
      <c r="V9" s="530"/>
      <c r="W9" s="523"/>
      <c r="X9" s="530"/>
      <c r="Y9" s="530"/>
      <c r="Z9" s="530"/>
      <c r="AA9" s="530"/>
      <c r="AB9" s="530"/>
      <c r="AC9" s="530"/>
      <c r="AD9" s="530"/>
      <c r="AE9" s="530"/>
      <c r="AF9" s="530"/>
      <c r="AG9" s="530"/>
      <c r="AH9" s="530"/>
      <c r="AI9" s="530"/>
      <c r="AJ9" s="523"/>
    </row>
    <row r="10" spans="1:36">
      <c r="A10" s="527"/>
      <c r="B10" s="528"/>
      <c r="C10" s="1100" t="s">
        <v>1908</v>
      </c>
      <c r="D10" s="529"/>
      <c r="E10" s="530"/>
      <c r="F10" s="530"/>
      <c r="G10" s="530"/>
      <c r="H10" s="530"/>
      <c r="I10" s="530"/>
      <c r="J10" s="530"/>
      <c r="K10" s="530"/>
      <c r="L10" s="530"/>
      <c r="M10" s="530"/>
      <c r="N10" s="530"/>
      <c r="O10" s="530"/>
      <c r="P10" s="530"/>
      <c r="Q10" s="530"/>
      <c r="R10" s="530"/>
      <c r="S10" s="530"/>
      <c r="T10" s="530"/>
      <c r="U10" s="530"/>
      <c r="V10" s="530"/>
      <c r="W10" s="523"/>
      <c r="X10" s="530"/>
      <c r="Y10" s="530"/>
      <c r="Z10" s="530"/>
      <c r="AA10" s="530"/>
      <c r="AB10" s="530"/>
      <c r="AC10" s="530"/>
      <c r="AD10" s="530"/>
      <c r="AE10" s="530"/>
      <c r="AF10" s="530"/>
      <c r="AG10" s="530"/>
      <c r="AH10" s="530"/>
      <c r="AI10" s="530"/>
      <c r="AJ10" s="523"/>
    </row>
    <row r="11" spans="1:36">
      <c r="A11" s="527">
        <v>64</v>
      </c>
      <c r="B11" s="528" t="s">
        <v>392</v>
      </c>
      <c r="C11" s="529" t="s">
        <v>374</v>
      </c>
      <c r="D11" s="529" t="s">
        <v>374</v>
      </c>
      <c r="E11" s="530" t="s">
        <v>1921</v>
      </c>
      <c r="F11" s="530"/>
      <c r="G11" s="530"/>
      <c r="H11" s="530"/>
      <c r="I11" s="530"/>
      <c r="J11" s="530"/>
      <c r="K11" s="530"/>
      <c r="L11" s="530"/>
      <c r="M11" s="530"/>
      <c r="N11" s="530"/>
      <c r="O11" s="530"/>
      <c r="P11" s="530"/>
      <c r="Q11" s="530"/>
      <c r="R11" s="530"/>
      <c r="S11" s="530"/>
      <c r="T11" s="530"/>
      <c r="U11" s="530"/>
      <c r="V11" s="530"/>
      <c r="W11" s="523"/>
      <c r="X11" s="530"/>
      <c r="Y11" s="530"/>
      <c r="Z11" s="530"/>
      <c r="AA11" s="530"/>
      <c r="AB11" s="530"/>
      <c r="AC11" s="530"/>
      <c r="AD11" s="530"/>
      <c r="AE11" s="530"/>
      <c r="AF11" s="530"/>
      <c r="AG11" s="530"/>
      <c r="AH11" s="530"/>
      <c r="AI11" s="530"/>
      <c r="AJ11" s="523"/>
    </row>
    <row r="12" spans="1:36">
      <c r="A12" s="527">
        <v>65</v>
      </c>
      <c r="B12" s="528" t="s">
        <v>392</v>
      </c>
      <c r="C12" s="529" t="s">
        <v>386</v>
      </c>
      <c r="D12" s="529" t="s">
        <v>386</v>
      </c>
      <c r="E12" s="530" t="s">
        <v>1921</v>
      </c>
      <c r="F12" s="530"/>
      <c r="G12" s="530"/>
      <c r="H12" s="530"/>
      <c r="I12" s="530"/>
      <c r="J12" s="530"/>
      <c r="K12" s="530"/>
      <c r="L12" s="530"/>
      <c r="M12" s="530"/>
      <c r="N12" s="530"/>
      <c r="O12" s="530"/>
      <c r="P12" s="530"/>
      <c r="Q12" s="530"/>
      <c r="R12" s="530"/>
      <c r="S12" s="530"/>
      <c r="T12" s="530"/>
      <c r="U12" s="530"/>
      <c r="V12" s="530"/>
      <c r="W12" s="523"/>
      <c r="X12" s="530"/>
      <c r="Y12" s="530"/>
      <c r="Z12" s="530"/>
      <c r="AA12" s="530"/>
      <c r="AB12" s="530"/>
      <c r="AC12" s="530"/>
      <c r="AD12" s="530"/>
      <c r="AE12" s="530"/>
      <c r="AF12" s="530"/>
      <c r="AG12" s="530"/>
      <c r="AH12" s="530"/>
      <c r="AI12" s="530"/>
      <c r="AJ12" s="523"/>
    </row>
    <row r="13" spans="1:36">
      <c r="A13" s="527">
        <v>66</v>
      </c>
      <c r="B13" s="528" t="s">
        <v>384</v>
      </c>
      <c r="C13" s="529" t="s">
        <v>410</v>
      </c>
      <c r="D13" s="529" t="s">
        <v>385</v>
      </c>
      <c r="E13" s="530" t="s">
        <v>1921</v>
      </c>
      <c r="F13" s="530"/>
      <c r="G13" s="530"/>
      <c r="H13" s="530"/>
      <c r="I13" s="530"/>
      <c r="J13" s="530"/>
      <c r="K13" s="530"/>
      <c r="L13" s="530"/>
      <c r="M13" s="530"/>
      <c r="N13" s="530"/>
      <c r="O13" s="530"/>
      <c r="P13" s="530"/>
      <c r="Q13" s="530"/>
      <c r="R13" s="530"/>
      <c r="S13" s="530"/>
      <c r="T13" s="530"/>
      <c r="U13" s="530"/>
      <c r="V13" s="530"/>
      <c r="W13" s="523"/>
      <c r="X13" s="530"/>
      <c r="Y13" s="530"/>
      <c r="Z13" s="530"/>
      <c r="AA13" s="530"/>
      <c r="AB13" s="530"/>
      <c r="AC13" s="530"/>
      <c r="AD13" s="530"/>
      <c r="AE13" s="530"/>
      <c r="AF13" s="530"/>
      <c r="AG13" s="530"/>
      <c r="AH13" s="530"/>
      <c r="AI13" s="530"/>
      <c r="AJ13" s="523"/>
    </row>
    <row r="14" spans="1:36">
      <c r="A14" s="527">
        <v>67</v>
      </c>
      <c r="B14" s="528" t="s">
        <v>384</v>
      </c>
      <c r="C14" s="529" t="s">
        <v>416</v>
      </c>
      <c r="D14" s="529" t="s">
        <v>385</v>
      </c>
      <c r="E14" s="530" t="s">
        <v>1921</v>
      </c>
      <c r="F14" s="530"/>
      <c r="G14" s="530"/>
      <c r="H14" s="530"/>
      <c r="I14" s="530"/>
      <c r="J14" s="530"/>
      <c r="K14" s="530"/>
      <c r="L14" s="530"/>
      <c r="M14" s="530"/>
      <c r="N14" s="530"/>
      <c r="O14" s="530"/>
      <c r="P14" s="530"/>
      <c r="Q14" s="530"/>
      <c r="R14" s="530"/>
      <c r="S14" s="530"/>
      <c r="T14" s="530"/>
      <c r="U14" s="530"/>
      <c r="V14" s="530"/>
      <c r="W14" s="523"/>
      <c r="X14" s="530"/>
      <c r="Y14" s="530"/>
      <c r="Z14" s="530"/>
      <c r="AA14" s="530"/>
      <c r="AB14" s="530"/>
      <c r="AC14" s="530"/>
      <c r="AD14" s="530"/>
      <c r="AE14" s="530"/>
      <c r="AF14" s="530"/>
      <c r="AG14" s="530"/>
      <c r="AH14" s="530"/>
      <c r="AI14" s="530"/>
      <c r="AJ14" s="523"/>
    </row>
    <row r="15" spans="1:36">
      <c r="A15" s="527">
        <v>68</v>
      </c>
      <c r="B15" s="528" t="s">
        <v>384</v>
      </c>
      <c r="C15" s="529" t="s">
        <v>423</v>
      </c>
      <c r="D15" s="529" t="s">
        <v>385</v>
      </c>
      <c r="E15" s="530" t="s">
        <v>1921</v>
      </c>
      <c r="F15" s="530"/>
      <c r="G15" s="530"/>
      <c r="H15" s="530"/>
      <c r="I15" s="530"/>
      <c r="J15" s="530"/>
      <c r="K15" s="530"/>
      <c r="L15" s="530"/>
      <c r="M15" s="530"/>
      <c r="N15" s="530"/>
      <c r="O15" s="530"/>
      <c r="P15" s="530"/>
      <c r="Q15" s="530"/>
      <c r="R15" s="530"/>
      <c r="S15" s="530"/>
      <c r="T15" s="530"/>
      <c r="U15" s="530"/>
      <c r="V15" s="530"/>
      <c r="W15" s="523"/>
      <c r="X15" s="530"/>
      <c r="Y15" s="530"/>
      <c r="Z15" s="530"/>
      <c r="AA15" s="530"/>
      <c r="AB15" s="530"/>
      <c r="AC15" s="530"/>
      <c r="AD15" s="530"/>
      <c r="AE15" s="530"/>
      <c r="AF15" s="530"/>
      <c r="AG15" s="530"/>
      <c r="AH15" s="530"/>
      <c r="AI15" s="530"/>
      <c r="AJ15" s="523"/>
    </row>
    <row r="16" spans="1:36">
      <c r="A16" s="527">
        <v>69</v>
      </c>
      <c r="B16" s="528" t="s">
        <v>384</v>
      </c>
      <c r="C16" s="529" t="s">
        <v>428</v>
      </c>
      <c r="D16" s="529" t="s">
        <v>385</v>
      </c>
      <c r="E16" s="530" t="s">
        <v>1921</v>
      </c>
      <c r="F16" s="530"/>
      <c r="G16" s="530"/>
      <c r="H16" s="530"/>
      <c r="I16" s="530"/>
      <c r="J16" s="530"/>
      <c r="K16" s="530"/>
      <c r="L16" s="530"/>
      <c r="M16" s="530"/>
      <c r="N16" s="530"/>
      <c r="O16" s="530"/>
      <c r="P16" s="530"/>
      <c r="Q16" s="530"/>
      <c r="R16" s="530"/>
      <c r="S16" s="530"/>
      <c r="T16" s="530"/>
      <c r="U16" s="530"/>
      <c r="V16" s="530"/>
      <c r="W16" s="523"/>
      <c r="X16" s="530"/>
      <c r="Y16" s="530"/>
      <c r="Z16" s="530"/>
      <c r="AA16" s="530"/>
      <c r="AB16" s="530"/>
      <c r="AC16" s="530"/>
      <c r="AD16" s="530"/>
      <c r="AE16" s="530"/>
      <c r="AF16" s="530"/>
      <c r="AG16" s="530"/>
      <c r="AH16" s="530"/>
      <c r="AI16" s="530"/>
      <c r="AJ16" s="523"/>
    </row>
    <row r="17" spans="1:36">
      <c r="A17" s="527">
        <v>70</v>
      </c>
      <c r="B17" s="528" t="s">
        <v>384</v>
      </c>
      <c r="C17" s="529" t="s">
        <v>434</v>
      </c>
      <c r="D17" s="529" t="s">
        <v>417</v>
      </c>
      <c r="E17" s="530" t="s">
        <v>1921</v>
      </c>
      <c r="F17" s="530"/>
      <c r="G17" s="530"/>
      <c r="H17" s="530"/>
      <c r="I17" s="530"/>
      <c r="J17" s="530"/>
      <c r="K17" s="530"/>
      <c r="L17" s="530"/>
      <c r="M17" s="530"/>
      <c r="N17" s="530"/>
      <c r="O17" s="530"/>
      <c r="P17" s="530"/>
      <c r="Q17" s="530"/>
      <c r="R17" s="530"/>
      <c r="S17" s="530"/>
      <c r="T17" s="530"/>
      <c r="U17" s="530"/>
      <c r="V17" s="530"/>
      <c r="W17" s="523"/>
      <c r="X17" s="530"/>
      <c r="Y17" s="530"/>
      <c r="Z17" s="530"/>
      <c r="AA17" s="530"/>
      <c r="AB17" s="530"/>
      <c r="AC17" s="530"/>
      <c r="AD17" s="530"/>
      <c r="AE17" s="530"/>
      <c r="AF17" s="530"/>
      <c r="AG17" s="530"/>
      <c r="AH17" s="530"/>
      <c r="AI17" s="530"/>
      <c r="AJ17" s="523"/>
    </row>
    <row r="18" spans="1:36">
      <c r="A18" s="527">
        <v>71</v>
      </c>
      <c r="B18" s="528" t="s">
        <v>384</v>
      </c>
      <c r="C18" s="529" t="s">
        <v>417</v>
      </c>
      <c r="D18" s="529" t="s">
        <v>417</v>
      </c>
      <c r="E18" s="530" t="s">
        <v>1921</v>
      </c>
      <c r="F18" s="530"/>
      <c r="G18" s="530"/>
      <c r="H18" s="530"/>
      <c r="I18" s="530"/>
      <c r="J18" s="530"/>
      <c r="K18" s="530"/>
      <c r="L18" s="530"/>
      <c r="M18" s="530"/>
      <c r="N18" s="530"/>
      <c r="O18" s="530"/>
      <c r="P18" s="530"/>
      <c r="Q18" s="530"/>
      <c r="R18" s="530"/>
      <c r="S18" s="530"/>
      <c r="T18" s="530"/>
      <c r="U18" s="530"/>
      <c r="V18" s="530"/>
      <c r="W18" s="523"/>
      <c r="X18" s="530"/>
      <c r="Y18" s="530"/>
      <c r="Z18" s="530"/>
      <c r="AA18" s="530"/>
      <c r="AB18" s="530"/>
      <c r="AC18" s="530"/>
      <c r="AD18" s="530"/>
      <c r="AE18" s="530"/>
      <c r="AF18" s="530"/>
      <c r="AG18" s="530"/>
      <c r="AH18" s="530"/>
      <c r="AI18" s="530"/>
      <c r="AJ18" s="523"/>
    </row>
    <row r="19" spans="1:36">
      <c r="A19" s="527">
        <v>72</v>
      </c>
      <c r="B19" s="528" t="s">
        <v>384</v>
      </c>
      <c r="C19" s="529" t="s">
        <v>424</v>
      </c>
      <c r="D19" s="529" t="s">
        <v>385</v>
      </c>
      <c r="E19" s="530" t="s">
        <v>1921</v>
      </c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0"/>
      <c r="R19" s="530"/>
      <c r="S19" s="530"/>
      <c r="T19" s="530"/>
      <c r="U19" s="530"/>
      <c r="V19" s="530"/>
      <c r="W19" s="523"/>
      <c r="X19" s="530"/>
      <c r="Y19" s="530"/>
      <c r="Z19" s="530"/>
      <c r="AA19" s="530"/>
      <c r="AB19" s="530"/>
      <c r="AC19" s="530"/>
      <c r="AD19" s="530"/>
      <c r="AE19" s="530"/>
      <c r="AF19" s="530"/>
      <c r="AG19" s="530"/>
      <c r="AH19" s="530"/>
      <c r="AI19" s="530"/>
      <c r="AJ19" s="523"/>
    </row>
    <row r="20" spans="1:36">
      <c r="A20" s="527">
        <v>73</v>
      </c>
      <c r="B20" s="528" t="s">
        <v>384</v>
      </c>
      <c r="C20" s="529" t="s">
        <v>1910</v>
      </c>
      <c r="D20" s="529" t="s">
        <v>429</v>
      </c>
      <c r="E20" s="530" t="s">
        <v>1921</v>
      </c>
      <c r="F20" s="530"/>
      <c r="G20" s="530"/>
      <c r="H20" s="530"/>
      <c r="I20" s="530"/>
      <c r="J20" s="530"/>
      <c r="K20" s="530"/>
      <c r="L20" s="530"/>
      <c r="M20" s="530"/>
      <c r="N20" s="530"/>
      <c r="O20" s="530"/>
      <c r="P20" s="530"/>
      <c r="Q20" s="530"/>
      <c r="R20" s="530"/>
      <c r="S20" s="530"/>
      <c r="T20" s="530"/>
      <c r="U20" s="530"/>
      <c r="V20" s="530"/>
      <c r="W20" s="523"/>
      <c r="X20" s="530"/>
      <c r="Y20" s="530"/>
      <c r="Z20" s="530"/>
      <c r="AA20" s="530"/>
      <c r="AB20" s="530"/>
      <c r="AC20" s="530"/>
      <c r="AD20" s="530"/>
      <c r="AE20" s="530"/>
      <c r="AF20" s="530"/>
      <c r="AG20" s="530"/>
      <c r="AH20" s="530"/>
      <c r="AI20" s="530"/>
      <c r="AJ20" s="523"/>
    </row>
    <row r="21" spans="1:36">
      <c r="A21" s="527">
        <v>74</v>
      </c>
      <c r="B21" s="528" t="s">
        <v>392</v>
      </c>
      <c r="C21" s="529" t="s">
        <v>448</v>
      </c>
      <c r="D21" s="529" t="s">
        <v>435</v>
      </c>
      <c r="E21" s="530" t="s">
        <v>1921</v>
      </c>
      <c r="F21" s="530"/>
      <c r="G21" s="530"/>
      <c r="H21" s="530"/>
      <c r="I21" s="530"/>
      <c r="J21" s="530"/>
      <c r="K21" s="530"/>
      <c r="L21" s="530"/>
      <c r="M21" s="530"/>
      <c r="N21" s="530"/>
      <c r="O21" s="530"/>
      <c r="P21" s="530"/>
      <c r="Q21" s="530"/>
      <c r="R21" s="530"/>
      <c r="S21" s="530"/>
      <c r="T21" s="530"/>
      <c r="U21" s="530"/>
      <c r="V21" s="530"/>
      <c r="W21" s="523"/>
      <c r="X21" s="530"/>
      <c r="Y21" s="530"/>
      <c r="Z21" s="530"/>
      <c r="AA21" s="530"/>
      <c r="AB21" s="530"/>
      <c r="AC21" s="530"/>
      <c r="AD21" s="530"/>
      <c r="AE21" s="530"/>
      <c r="AF21" s="530"/>
      <c r="AG21" s="530"/>
      <c r="AH21" s="530"/>
      <c r="AI21" s="530"/>
      <c r="AJ21" s="523"/>
    </row>
    <row r="22" spans="1:36">
      <c r="A22" s="532">
        <v>75</v>
      </c>
      <c r="B22" s="528" t="s">
        <v>384</v>
      </c>
      <c r="C22" s="529" t="s">
        <v>451</v>
      </c>
      <c r="D22" s="529" t="s">
        <v>435</v>
      </c>
      <c r="E22" s="530" t="s">
        <v>1921</v>
      </c>
      <c r="F22" s="530"/>
      <c r="G22" s="530"/>
      <c r="H22" s="530"/>
      <c r="I22" s="530"/>
      <c r="J22" s="530"/>
      <c r="K22" s="530"/>
      <c r="L22" s="530"/>
      <c r="M22" s="530"/>
      <c r="N22" s="530"/>
      <c r="O22" s="530"/>
      <c r="P22" s="530"/>
      <c r="Q22" s="530"/>
      <c r="R22" s="530"/>
      <c r="S22" s="530"/>
      <c r="T22" s="530"/>
      <c r="U22" s="530"/>
      <c r="V22" s="530"/>
      <c r="W22" s="523"/>
      <c r="X22" s="530"/>
      <c r="Y22" s="530"/>
      <c r="Z22" s="530"/>
      <c r="AA22" s="530"/>
      <c r="AB22" s="530"/>
      <c r="AC22" s="530"/>
      <c r="AD22" s="530"/>
      <c r="AE22" s="530"/>
      <c r="AF22" s="530"/>
      <c r="AG22" s="530"/>
      <c r="AH22" s="530"/>
      <c r="AI22" s="530"/>
      <c r="AJ22" s="523"/>
    </row>
    <row r="23" spans="1:36">
      <c r="A23" s="527">
        <v>76</v>
      </c>
      <c r="B23" s="528" t="s">
        <v>392</v>
      </c>
      <c r="C23" s="529" t="s">
        <v>393</v>
      </c>
      <c r="D23" s="529" t="s">
        <v>393</v>
      </c>
      <c r="E23" s="530" t="s">
        <v>1921</v>
      </c>
      <c r="F23" s="530"/>
      <c r="G23" s="530"/>
      <c r="H23" s="530"/>
      <c r="I23" s="530"/>
      <c r="J23" s="530"/>
      <c r="K23" s="530"/>
      <c r="L23" s="530"/>
      <c r="M23" s="530"/>
      <c r="N23" s="530"/>
      <c r="O23" s="530"/>
      <c r="P23" s="530"/>
      <c r="Q23" s="530"/>
      <c r="R23" s="530"/>
      <c r="S23" s="530"/>
      <c r="T23" s="530"/>
      <c r="U23" s="530"/>
      <c r="V23" s="530"/>
      <c r="W23" s="523"/>
      <c r="X23" s="530"/>
      <c r="Y23" s="530"/>
      <c r="Z23" s="530"/>
      <c r="AA23" s="530"/>
      <c r="AB23" s="530"/>
      <c r="AC23" s="530"/>
      <c r="AD23" s="530"/>
      <c r="AE23" s="530"/>
      <c r="AF23" s="530"/>
      <c r="AG23" s="530"/>
      <c r="AH23" s="530"/>
      <c r="AI23" s="530"/>
      <c r="AJ23" s="523"/>
    </row>
    <row r="24" spans="1:36">
      <c r="A24" s="527">
        <v>77</v>
      </c>
      <c r="B24" s="528" t="s">
        <v>384</v>
      </c>
      <c r="C24" s="529" t="s">
        <v>456</v>
      </c>
      <c r="D24" s="529" t="s">
        <v>439</v>
      </c>
      <c r="E24" s="530" t="s">
        <v>1921</v>
      </c>
      <c r="F24" s="530"/>
      <c r="G24" s="530"/>
      <c r="H24" s="530"/>
      <c r="I24" s="530"/>
      <c r="J24" s="530"/>
      <c r="K24" s="530"/>
      <c r="L24" s="530"/>
      <c r="M24" s="530"/>
      <c r="N24" s="530"/>
      <c r="O24" s="530"/>
      <c r="P24" s="530"/>
      <c r="Q24" s="530"/>
      <c r="R24" s="530"/>
      <c r="S24" s="530"/>
      <c r="T24" s="530"/>
      <c r="U24" s="530"/>
      <c r="V24" s="530"/>
      <c r="W24" s="523"/>
      <c r="X24" s="530"/>
      <c r="Y24" s="530"/>
      <c r="Z24" s="530"/>
      <c r="AA24" s="530"/>
      <c r="AB24" s="530"/>
      <c r="AC24" s="530"/>
      <c r="AD24" s="530"/>
      <c r="AE24" s="530"/>
      <c r="AF24" s="530"/>
      <c r="AG24" s="530"/>
      <c r="AH24" s="530"/>
      <c r="AI24" s="530"/>
      <c r="AJ24" s="523"/>
    </row>
    <row r="25" spans="1:36">
      <c r="A25" s="527">
        <v>78</v>
      </c>
      <c r="B25" s="528" t="s">
        <v>384</v>
      </c>
      <c r="C25" s="529" t="s">
        <v>443</v>
      </c>
      <c r="D25" s="529" t="s">
        <v>443</v>
      </c>
      <c r="E25" s="530" t="s">
        <v>1921</v>
      </c>
      <c r="F25" s="530"/>
      <c r="G25" s="530"/>
      <c r="H25" s="530"/>
      <c r="I25" s="530"/>
      <c r="J25" s="530"/>
      <c r="K25" s="530"/>
      <c r="L25" s="530"/>
      <c r="M25" s="530"/>
      <c r="N25" s="530"/>
      <c r="O25" s="530"/>
      <c r="P25" s="530"/>
      <c r="Q25" s="530"/>
      <c r="R25" s="530"/>
      <c r="S25" s="530"/>
      <c r="T25" s="530"/>
      <c r="U25" s="530"/>
      <c r="V25" s="530"/>
      <c r="W25" s="523"/>
      <c r="X25" s="530"/>
      <c r="Y25" s="530"/>
      <c r="Z25" s="530"/>
      <c r="AA25" s="530"/>
      <c r="AB25" s="530"/>
      <c r="AC25" s="530"/>
      <c r="AD25" s="530"/>
      <c r="AE25" s="530"/>
      <c r="AF25" s="530"/>
      <c r="AG25" s="530"/>
      <c r="AH25" s="530"/>
      <c r="AI25" s="530"/>
      <c r="AJ25" s="523"/>
    </row>
    <row r="26" spans="1:36">
      <c r="A26" s="527">
        <v>79</v>
      </c>
      <c r="B26" s="528" t="s">
        <v>384</v>
      </c>
      <c r="C26" s="533" t="s">
        <v>462</v>
      </c>
      <c r="D26" s="529" t="s">
        <v>439</v>
      </c>
      <c r="E26" s="530" t="s">
        <v>1921</v>
      </c>
      <c r="F26" s="530"/>
      <c r="G26" s="530"/>
      <c r="H26" s="530"/>
      <c r="I26" s="530"/>
      <c r="J26" s="530"/>
      <c r="K26" s="530"/>
      <c r="L26" s="530"/>
      <c r="M26" s="530"/>
      <c r="N26" s="530"/>
      <c r="O26" s="530"/>
      <c r="P26" s="530"/>
      <c r="Q26" s="530"/>
      <c r="R26" s="530"/>
      <c r="S26" s="530"/>
      <c r="T26" s="530"/>
      <c r="U26" s="530"/>
      <c r="V26" s="530"/>
      <c r="W26" s="523"/>
      <c r="X26" s="530"/>
      <c r="Y26" s="530"/>
      <c r="Z26" s="530"/>
      <c r="AA26" s="530"/>
      <c r="AB26" s="530"/>
      <c r="AC26" s="530"/>
      <c r="AD26" s="530"/>
      <c r="AE26" s="530"/>
      <c r="AF26" s="530"/>
      <c r="AG26" s="530"/>
      <c r="AH26" s="530"/>
      <c r="AI26" s="530"/>
      <c r="AJ26" s="523"/>
    </row>
    <row r="27" spans="1:36">
      <c r="A27" s="527">
        <v>80</v>
      </c>
      <c r="B27" s="528" t="s">
        <v>392</v>
      </c>
      <c r="C27" s="529" t="s">
        <v>465</v>
      </c>
      <c r="D27" s="529" t="s">
        <v>393</v>
      </c>
      <c r="E27" s="530" t="s">
        <v>1921</v>
      </c>
      <c r="F27" s="530"/>
      <c r="G27" s="530"/>
      <c r="H27" s="530"/>
      <c r="I27" s="530"/>
      <c r="J27" s="530"/>
      <c r="K27" s="530"/>
      <c r="L27" s="530"/>
      <c r="M27" s="530"/>
      <c r="N27" s="530"/>
      <c r="O27" s="530"/>
      <c r="P27" s="530"/>
      <c r="Q27" s="530"/>
      <c r="R27" s="530"/>
      <c r="S27" s="530"/>
      <c r="T27" s="530"/>
      <c r="U27" s="530"/>
      <c r="V27" s="530"/>
      <c r="W27" s="523"/>
      <c r="X27" s="530"/>
      <c r="Y27" s="530"/>
      <c r="Z27" s="530"/>
      <c r="AA27" s="530"/>
      <c r="AB27" s="530"/>
      <c r="AC27" s="530"/>
      <c r="AD27" s="530"/>
      <c r="AE27" s="530"/>
      <c r="AF27" s="530"/>
      <c r="AG27" s="530"/>
      <c r="AH27" s="530"/>
      <c r="AI27" s="530"/>
      <c r="AJ27" s="523"/>
    </row>
    <row r="28" spans="1:36">
      <c r="A28" s="527">
        <v>81</v>
      </c>
      <c r="B28" s="528" t="s">
        <v>384</v>
      </c>
      <c r="C28" s="529" t="s">
        <v>469</v>
      </c>
      <c r="D28" s="529" t="s">
        <v>435</v>
      </c>
      <c r="E28" s="530" t="s">
        <v>1921</v>
      </c>
      <c r="F28" s="530"/>
      <c r="G28" s="530"/>
      <c r="H28" s="530"/>
      <c r="I28" s="530"/>
      <c r="J28" s="530"/>
      <c r="K28" s="530"/>
      <c r="L28" s="530"/>
      <c r="M28" s="530"/>
      <c r="N28" s="530"/>
      <c r="O28" s="530"/>
      <c r="P28" s="530"/>
      <c r="Q28" s="530"/>
      <c r="R28" s="530"/>
      <c r="S28" s="530"/>
      <c r="T28" s="530"/>
      <c r="U28" s="530"/>
      <c r="V28" s="530"/>
      <c r="W28" s="523"/>
      <c r="X28" s="530"/>
      <c r="Y28" s="530"/>
      <c r="Z28" s="530"/>
      <c r="AA28" s="530"/>
      <c r="AB28" s="530"/>
      <c r="AC28" s="530"/>
      <c r="AD28" s="530"/>
      <c r="AE28" s="530"/>
      <c r="AF28" s="530"/>
      <c r="AG28" s="530"/>
      <c r="AH28" s="530"/>
      <c r="AI28" s="530"/>
      <c r="AJ28" s="523"/>
    </row>
    <row r="29" spans="1:36">
      <c r="A29" s="527">
        <v>82</v>
      </c>
      <c r="B29" s="528" t="s">
        <v>392</v>
      </c>
      <c r="C29" s="529" t="s">
        <v>399</v>
      </c>
      <c r="D29" s="529" t="s">
        <v>399</v>
      </c>
      <c r="E29" s="530" t="s">
        <v>1921</v>
      </c>
      <c r="F29" s="530"/>
      <c r="G29" s="530"/>
      <c r="H29" s="530"/>
      <c r="I29" s="530"/>
      <c r="J29" s="530"/>
      <c r="K29" s="530"/>
      <c r="L29" s="530"/>
      <c r="M29" s="530"/>
      <c r="N29" s="530"/>
      <c r="O29" s="530"/>
      <c r="P29" s="530"/>
      <c r="Q29" s="530"/>
      <c r="R29" s="530"/>
      <c r="S29" s="530"/>
      <c r="T29" s="530"/>
      <c r="U29" s="530"/>
      <c r="V29" s="530"/>
      <c r="W29" s="523"/>
      <c r="X29" s="530"/>
      <c r="Y29" s="530"/>
      <c r="Z29" s="530"/>
      <c r="AA29" s="530"/>
      <c r="AB29" s="530"/>
      <c r="AC29" s="530"/>
      <c r="AD29" s="530"/>
      <c r="AE29" s="530"/>
      <c r="AF29" s="530"/>
      <c r="AG29" s="530"/>
      <c r="AH29" s="530"/>
      <c r="AI29" s="530"/>
      <c r="AJ29" s="523"/>
    </row>
    <row r="30" spans="1:36">
      <c r="A30" s="527">
        <v>83</v>
      </c>
      <c r="B30" s="528" t="s">
        <v>384</v>
      </c>
      <c r="C30" s="529" t="s">
        <v>475</v>
      </c>
      <c r="D30" s="529" t="s">
        <v>439</v>
      </c>
      <c r="E30" s="530" t="s">
        <v>1921</v>
      </c>
      <c r="F30" s="530"/>
      <c r="G30" s="530"/>
      <c r="H30" s="530"/>
      <c r="I30" s="530"/>
      <c r="J30" s="530"/>
      <c r="K30" s="530"/>
      <c r="L30" s="530"/>
      <c r="M30" s="530"/>
      <c r="N30" s="530"/>
      <c r="O30" s="530"/>
      <c r="P30" s="530"/>
      <c r="Q30" s="530"/>
      <c r="R30" s="530"/>
      <c r="S30" s="530"/>
      <c r="T30" s="530"/>
      <c r="U30" s="530"/>
      <c r="V30" s="530"/>
      <c r="W30" s="523"/>
      <c r="X30" s="530"/>
      <c r="Y30" s="530"/>
      <c r="Z30" s="530"/>
      <c r="AA30" s="530"/>
      <c r="AB30" s="530"/>
      <c r="AC30" s="530"/>
      <c r="AD30" s="530"/>
      <c r="AE30" s="530"/>
      <c r="AF30" s="530"/>
      <c r="AG30" s="530"/>
      <c r="AH30" s="530"/>
      <c r="AI30" s="530"/>
      <c r="AJ30" s="523"/>
    </row>
    <row r="31" spans="1:36">
      <c r="A31" s="527">
        <v>84</v>
      </c>
      <c r="B31" s="528" t="s">
        <v>384</v>
      </c>
      <c r="C31" s="529" t="s">
        <v>439</v>
      </c>
      <c r="D31" s="529" t="s">
        <v>439</v>
      </c>
      <c r="E31" s="530" t="s">
        <v>1921</v>
      </c>
      <c r="F31" s="530"/>
      <c r="G31" s="530"/>
      <c r="H31" s="530"/>
      <c r="I31" s="530"/>
      <c r="J31" s="530"/>
      <c r="K31" s="530"/>
      <c r="L31" s="530"/>
      <c r="M31" s="530"/>
      <c r="N31" s="530"/>
      <c r="O31" s="530"/>
      <c r="P31" s="530"/>
      <c r="Q31" s="530"/>
      <c r="R31" s="530"/>
      <c r="S31" s="530"/>
      <c r="T31" s="530"/>
      <c r="U31" s="530"/>
      <c r="V31" s="530"/>
      <c r="W31" s="523"/>
      <c r="X31" s="530"/>
      <c r="Y31" s="530"/>
      <c r="Z31" s="530"/>
      <c r="AA31" s="530"/>
      <c r="AB31" s="530"/>
      <c r="AC31" s="530"/>
      <c r="AD31" s="530"/>
      <c r="AE31" s="530"/>
      <c r="AF31" s="530"/>
      <c r="AG31" s="530"/>
      <c r="AH31" s="530"/>
      <c r="AI31" s="530"/>
      <c r="AJ31" s="523"/>
    </row>
    <row r="32" spans="1:36">
      <c r="A32" s="527">
        <v>85</v>
      </c>
      <c r="B32" s="528" t="s">
        <v>384</v>
      </c>
      <c r="C32" s="529" t="s">
        <v>479</v>
      </c>
      <c r="D32" s="529" t="s">
        <v>439</v>
      </c>
      <c r="E32" s="530" t="s">
        <v>1921</v>
      </c>
      <c r="F32" s="530"/>
      <c r="G32" s="530"/>
      <c r="H32" s="530"/>
      <c r="I32" s="530"/>
      <c r="J32" s="530"/>
      <c r="K32" s="530"/>
      <c r="L32" s="530"/>
      <c r="M32" s="530"/>
      <c r="N32" s="530"/>
      <c r="O32" s="530"/>
      <c r="P32" s="530"/>
      <c r="Q32" s="530"/>
      <c r="R32" s="530"/>
      <c r="S32" s="530"/>
      <c r="T32" s="530"/>
      <c r="U32" s="530"/>
      <c r="V32" s="530"/>
      <c r="W32" s="523"/>
      <c r="X32" s="530"/>
      <c r="Y32" s="530"/>
      <c r="Z32" s="530"/>
      <c r="AA32" s="530"/>
      <c r="AB32" s="530"/>
      <c r="AC32" s="530"/>
      <c r="AD32" s="530"/>
      <c r="AE32" s="530"/>
      <c r="AF32" s="530"/>
      <c r="AG32" s="530"/>
      <c r="AH32" s="530"/>
      <c r="AI32" s="530"/>
      <c r="AJ32" s="523"/>
    </row>
    <row r="33" spans="1:36">
      <c r="A33" s="527">
        <v>86</v>
      </c>
      <c r="B33" s="528" t="s">
        <v>384</v>
      </c>
      <c r="C33" s="529" t="s">
        <v>482</v>
      </c>
      <c r="D33" s="529" t="s">
        <v>439</v>
      </c>
      <c r="E33" s="530" t="s">
        <v>1921</v>
      </c>
      <c r="F33" s="530"/>
      <c r="G33" s="530"/>
      <c r="H33" s="530"/>
      <c r="I33" s="530"/>
      <c r="J33" s="530"/>
      <c r="K33" s="530"/>
      <c r="L33" s="530"/>
      <c r="M33" s="530"/>
      <c r="N33" s="530"/>
      <c r="O33" s="530"/>
      <c r="P33" s="530"/>
      <c r="Q33" s="530"/>
      <c r="R33" s="530"/>
      <c r="S33" s="530"/>
      <c r="T33" s="530"/>
      <c r="U33" s="530"/>
      <c r="V33" s="530"/>
      <c r="W33" s="523"/>
      <c r="X33" s="530"/>
      <c r="Y33" s="530"/>
      <c r="Z33" s="530"/>
      <c r="AA33" s="530"/>
      <c r="AB33" s="530"/>
      <c r="AC33" s="530"/>
      <c r="AD33" s="530"/>
      <c r="AE33" s="530"/>
      <c r="AF33" s="530"/>
      <c r="AG33" s="530"/>
      <c r="AH33" s="530"/>
      <c r="AI33" s="530"/>
      <c r="AJ33" s="523"/>
    </row>
    <row r="34" spans="1:36">
      <c r="A34" s="520">
        <v>87</v>
      </c>
      <c r="B34" s="520"/>
      <c r="C34" s="534" t="s">
        <v>281</v>
      </c>
      <c r="D34" s="535"/>
      <c r="E34" s="523" t="s">
        <v>1921</v>
      </c>
      <c r="F34" s="523"/>
      <c r="G34" s="523"/>
      <c r="H34" s="523"/>
      <c r="I34" s="523"/>
      <c r="J34" s="523"/>
      <c r="K34" s="523"/>
      <c r="L34" s="523"/>
      <c r="M34" s="523"/>
      <c r="N34" s="523"/>
      <c r="O34" s="523"/>
      <c r="P34" s="523"/>
      <c r="Q34" s="523"/>
      <c r="R34" s="523"/>
      <c r="S34" s="523"/>
      <c r="T34" s="523"/>
      <c r="U34" s="523"/>
      <c r="V34" s="523"/>
      <c r="W34" s="523"/>
      <c r="X34" s="523"/>
      <c r="Y34" s="523"/>
      <c r="Z34" s="523"/>
      <c r="AA34" s="523"/>
      <c r="AB34" s="523"/>
      <c r="AC34" s="523"/>
      <c r="AD34" s="523"/>
      <c r="AE34" s="523"/>
      <c r="AF34" s="523"/>
      <c r="AG34" s="523"/>
      <c r="AH34" s="523"/>
      <c r="AI34" s="523"/>
      <c r="AJ34" s="523"/>
    </row>
    <row r="35" spans="1:36">
      <c r="A35" s="520">
        <v>88</v>
      </c>
      <c r="B35" s="520"/>
      <c r="C35" s="536" t="s">
        <v>1912</v>
      </c>
      <c r="D35" s="537"/>
      <c r="E35" s="523" t="s">
        <v>1921</v>
      </c>
      <c r="F35" s="523"/>
      <c r="G35" s="523"/>
      <c r="H35" s="523"/>
      <c r="I35" s="523"/>
      <c r="J35" s="523"/>
      <c r="K35" s="523"/>
      <c r="L35" s="523"/>
      <c r="M35" s="523"/>
      <c r="N35" s="523"/>
      <c r="O35" s="523"/>
      <c r="P35" s="523"/>
      <c r="Q35" s="523"/>
      <c r="R35" s="523"/>
      <c r="S35" s="523"/>
      <c r="T35" s="523"/>
      <c r="U35" s="523"/>
      <c r="V35" s="523"/>
      <c r="W35" s="523"/>
      <c r="X35" s="523"/>
      <c r="Y35" s="523"/>
      <c r="Z35" s="523"/>
      <c r="AA35" s="523"/>
      <c r="AB35" s="523"/>
      <c r="AC35" s="523"/>
      <c r="AD35" s="523"/>
      <c r="AE35" s="523"/>
      <c r="AF35" s="523"/>
      <c r="AG35" s="523"/>
      <c r="AH35" s="523"/>
      <c r="AI35" s="523"/>
      <c r="AJ35" s="523"/>
    </row>
    <row r="36" spans="1:36">
      <c r="A36" s="520">
        <v>89</v>
      </c>
      <c r="B36" s="520"/>
      <c r="C36" s="538" t="s">
        <v>1913</v>
      </c>
      <c r="D36" s="539"/>
      <c r="E36" s="523" t="s">
        <v>1921</v>
      </c>
      <c r="F36" s="523"/>
      <c r="G36" s="523"/>
      <c r="H36" s="523"/>
      <c r="I36" s="523"/>
      <c r="J36" s="523"/>
      <c r="K36" s="523"/>
      <c r="L36" s="523"/>
      <c r="M36" s="523"/>
      <c r="N36" s="523"/>
      <c r="O36" s="523"/>
      <c r="P36" s="523"/>
      <c r="Q36" s="523"/>
      <c r="R36" s="523"/>
      <c r="S36" s="523"/>
      <c r="T36" s="523"/>
      <c r="U36" s="523"/>
      <c r="V36" s="523"/>
      <c r="W36" s="523"/>
      <c r="X36" s="523"/>
      <c r="Y36" s="523"/>
      <c r="Z36" s="523"/>
      <c r="AA36" s="523"/>
      <c r="AB36" s="523"/>
      <c r="AC36" s="523"/>
      <c r="AD36" s="523"/>
      <c r="AE36" s="523"/>
      <c r="AF36" s="523"/>
      <c r="AG36" s="523"/>
      <c r="AH36" s="523"/>
      <c r="AI36" s="523"/>
      <c r="AJ36" s="523"/>
    </row>
    <row r="37" spans="1:36">
      <c r="A37" s="520">
        <v>90</v>
      </c>
      <c r="B37" s="520"/>
      <c r="C37" s="539" t="s">
        <v>1914</v>
      </c>
      <c r="D37" s="539"/>
      <c r="E37" s="523" t="s">
        <v>1921</v>
      </c>
      <c r="F37" s="523"/>
      <c r="G37" s="523"/>
      <c r="H37" s="523"/>
      <c r="I37" s="523"/>
      <c r="J37" s="523"/>
      <c r="K37" s="523"/>
      <c r="L37" s="523"/>
      <c r="M37" s="523"/>
      <c r="N37" s="523"/>
      <c r="O37" s="523"/>
      <c r="P37" s="523"/>
      <c r="Q37" s="523"/>
      <c r="R37" s="523"/>
      <c r="S37" s="523"/>
      <c r="T37" s="523"/>
      <c r="U37" s="523"/>
      <c r="V37" s="523"/>
      <c r="W37" s="523"/>
      <c r="X37" s="523"/>
      <c r="Y37" s="523"/>
      <c r="Z37" s="523"/>
      <c r="AA37" s="523"/>
      <c r="AB37" s="523"/>
      <c r="AC37" s="523"/>
      <c r="AD37" s="523"/>
      <c r="AE37" s="523"/>
      <c r="AF37" s="523"/>
      <c r="AG37" s="523"/>
      <c r="AH37" s="523"/>
      <c r="AI37" s="523"/>
      <c r="AJ37" s="523"/>
    </row>
    <row r="38" spans="1:36">
      <c r="A38" s="520">
        <v>91</v>
      </c>
      <c r="B38" s="540"/>
      <c r="C38" s="534" t="s">
        <v>1922</v>
      </c>
      <c r="D38" s="535"/>
      <c r="E38" s="523" t="s">
        <v>1921</v>
      </c>
      <c r="F38" s="523"/>
      <c r="G38" s="523"/>
      <c r="H38" s="523"/>
      <c r="I38" s="523"/>
      <c r="J38" s="523"/>
      <c r="K38" s="523"/>
      <c r="L38" s="523"/>
      <c r="M38" s="523"/>
      <c r="N38" s="523"/>
      <c r="O38" s="523"/>
      <c r="P38" s="523"/>
      <c r="Q38" s="523"/>
      <c r="R38" s="523"/>
      <c r="S38" s="523"/>
      <c r="T38" s="523"/>
      <c r="U38" s="523"/>
      <c r="V38" s="523"/>
      <c r="W38" s="523"/>
      <c r="X38" s="523"/>
      <c r="Y38" s="523"/>
      <c r="Z38" s="523"/>
      <c r="AA38" s="523"/>
      <c r="AB38" s="523"/>
      <c r="AC38" s="523"/>
      <c r="AD38" s="523"/>
      <c r="AE38" s="523"/>
      <c r="AF38" s="523"/>
      <c r="AG38" s="523"/>
      <c r="AH38" s="523"/>
      <c r="AI38" s="523"/>
      <c r="AJ38" s="523"/>
    </row>
    <row r="39" spans="1:36">
      <c r="G39" s="541"/>
      <c r="W39" s="541"/>
    </row>
  </sheetData>
  <mergeCells count="8">
    <mergeCell ref="E2:G2"/>
    <mergeCell ref="H2:J2"/>
    <mergeCell ref="K2:W2"/>
    <mergeCell ref="X2:AJ2"/>
    <mergeCell ref="A2:A3"/>
    <mergeCell ref="B2:B3"/>
    <mergeCell ref="C2:C3"/>
    <mergeCell ref="D2:D3"/>
  </mergeCells>
  <conditionalFormatting sqref="K6:V6">
    <cfRule type="cellIs" dxfId="1" priority="1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>
    <tabColor theme="2" tint="-0.249977111117893"/>
  </sheetPr>
  <dimension ref="A1:XFD34"/>
  <sheetViews>
    <sheetView workbookViewId="0">
      <selection activeCell="A1" sqref="A1:D4"/>
    </sheetView>
  </sheetViews>
  <sheetFormatPr defaultColWidth="8.725" defaultRowHeight="11.25"/>
  <cols>
    <col min="1" max="2" width="8.725" style="159"/>
    <col min="3" max="3" width="12.5416666666667" style="159" customWidth="1"/>
    <col min="4" max="4" width="8.725" style="159"/>
    <col min="5" max="5" width="15" style="159" customWidth="1"/>
    <col min="6" max="6" width="9.725" style="159" customWidth="1"/>
    <col min="7" max="7" width="9.81666666666667" style="159" customWidth="1"/>
    <col min="8" max="16384" width="8.725" style="159"/>
  </cols>
  <sheetData>
    <row r="1" spans="1:41 16381:16384">
      <c r="A1" s="202" t="s">
        <v>185</v>
      </c>
      <c r="B1" s="492"/>
      <c r="C1" s="492"/>
      <c r="D1" s="492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pans="1:41 16381:16384">
      <c r="A2" s="492"/>
      <c r="B2" s="492"/>
      <c r="C2" s="492"/>
      <c r="D2" s="492"/>
      <c r="E2" s="12"/>
      <c r="F2" s="13" t="s">
        <v>1923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pans="1:41 16381:16384">
      <c r="A3" s="492"/>
      <c r="B3" s="492"/>
      <c r="C3" s="492"/>
      <c r="D3" s="492"/>
      <c r="E3" s="12"/>
      <c r="F3" s="13" t="s">
        <v>1924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spans="1:41 16381:16384">
      <c r="A4" s="492"/>
      <c r="B4" s="492"/>
      <c r="C4" s="492"/>
      <c r="D4" s="492"/>
      <c r="E4" s="12"/>
      <c r="F4" s="13" t="s">
        <v>1408</v>
      </c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pans="1:41 16381:16384">
      <c r="A5" s="292" t="s">
        <v>1451</v>
      </c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ht="13.5" spans="1:41 16381:16384">
      <c r="A6" s="1"/>
      <c r="B6" s="1"/>
      <c r="C6" s="1"/>
      <c r="D6" s="1"/>
      <c r="E6"/>
      <c r="F6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ht="13.5" spans="1:41 16381:16384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9" spans="1:41 16381:16384">
      <c r="A9" s="377" t="s">
        <v>5</v>
      </c>
      <c r="B9" s="332" t="s">
        <v>1925</v>
      </c>
      <c r="C9" s="332" t="s">
        <v>281</v>
      </c>
      <c r="D9" s="442"/>
      <c r="E9" s="442"/>
      <c r="F9" s="442"/>
      <c r="G9" s="442"/>
      <c r="H9" s="442"/>
      <c r="I9" s="442"/>
      <c r="J9" s="442"/>
      <c r="K9" s="442"/>
      <c r="L9" s="442"/>
      <c r="M9" s="442"/>
      <c r="N9" s="442"/>
      <c r="O9" s="442"/>
    </row>
    <row r="10" spans="1:41 16381:16384">
      <c r="A10" s="377"/>
      <c r="B10" s="338"/>
      <c r="C10" s="338"/>
      <c r="D10" s="315" t="s">
        <v>304</v>
      </c>
      <c r="E10" s="315" t="s">
        <v>305</v>
      </c>
      <c r="F10" s="315" t="s">
        <v>306</v>
      </c>
      <c r="G10" s="315" t="s">
        <v>307</v>
      </c>
      <c r="H10" s="315" t="s">
        <v>308</v>
      </c>
      <c r="I10" s="315" t="s">
        <v>309</v>
      </c>
      <c r="J10" s="315" t="s">
        <v>310</v>
      </c>
      <c r="K10" s="315" t="s">
        <v>311</v>
      </c>
      <c r="L10" s="315" t="s">
        <v>312</v>
      </c>
      <c r="M10" s="315" t="s">
        <v>313</v>
      </c>
      <c r="N10" s="315" t="s">
        <v>314</v>
      </c>
      <c r="O10" s="315" t="s">
        <v>315</v>
      </c>
    </row>
    <row r="11" spans="1:41 16381:16384">
      <c r="A11" s="496" t="s">
        <v>1463</v>
      </c>
      <c r="B11" s="410">
        <v>2025</v>
      </c>
      <c r="C11" s="410" t="s">
        <v>199</v>
      </c>
      <c r="D11" s="315" t="s">
        <v>1421</v>
      </c>
      <c r="E11" s="315" t="s">
        <v>1421</v>
      </c>
      <c r="F11" s="315" t="s">
        <v>1421</v>
      </c>
      <c r="G11" s="315" t="s">
        <v>1421</v>
      </c>
      <c r="H11" s="315" t="s">
        <v>1421</v>
      </c>
      <c r="I11" s="315" t="s">
        <v>1421</v>
      </c>
      <c r="J11" s="315" t="s">
        <v>1421</v>
      </c>
      <c r="K11" s="315" t="s">
        <v>1421</v>
      </c>
      <c r="L11" s="315" t="s">
        <v>1421</v>
      </c>
      <c r="M11" s="315" t="s">
        <v>1421</v>
      </c>
      <c r="N11" s="315" t="s">
        <v>1421</v>
      </c>
      <c r="O11" s="315" t="s">
        <v>1421</v>
      </c>
    </row>
    <row r="12" customFormat="1" ht="13.5" spans="1:41 16381:16384">
      <c r="A12" s="496"/>
      <c r="B12" s="410">
        <v>2026</v>
      </c>
      <c r="C12" s="410"/>
      <c r="D12" s="410"/>
      <c r="E12" s="410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444"/>
      <c r="Q12" s="444"/>
      <c r="R12" s="444"/>
      <c r="S12" s="444"/>
      <c r="T12" s="444"/>
      <c r="U12" s="444"/>
      <c r="V12" s="444"/>
      <c r="W12" s="444"/>
      <c r="X12" s="444"/>
      <c r="Y12" s="444"/>
      <c r="Z12" s="444"/>
      <c r="AA12" s="444"/>
      <c r="AB12" s="444"/>
      <c r="AC12" s="444"/>
      <c r="AD12" s="444"/>
      <c r="AE12" s="444"/>
      <c r="AF12" s="444"/>
      <c r="AG12" s="444"/>
      <c r="AH12" s="444"/>
      <c r="AI12" s="444"/>
      <c r="AJ12" s="444"/>
      <c r="AK12" s="444"/>
      <c r="AL12" s="444"/>
      <c r="AM12" s="444"/>
      <c r="AN12" s="444"/>
      <c r="AO12" s="444"/>
      <c r="XFA12" s="159"/>
      <c r="XFB12" s="159"/>
      <c r="XFC12" s="159"/>
      <c r="XFD12" s="159"/>
    </row>
    <row r="13" customFormat="1" ht="13.5" spans="1:41 16381:16384">
      <c r="A13" s="496"/>
      <c r="B13" s="410" t="s">
        <v>287</v>
      </c>
      <c r="C13" s="410"/>
      <c r="D13" s="410"/>
      <c r="E13" s="410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444"/>
      <c r="Q13" s="444"/>
      <c r="R13" s="444"/>
      <c r="S13" s="444"/>
      <c r="T13" s="444"/>
      <c r="U13" s="444"/>
      <c r="V13" s="444"/>
      <c r="W13" s="444"/>
      <c r="X13" s="444"/>
      <c r="Y13" s="444"/>
      <c r="Z13" s="444"/>
      <c r="AA13" s="444"/>
      <c r="AB13" s="444"/>
      <c r="AC13" s="444"/>
      <c r="AD13" s="444"/>
      <c r="AE13" s="444"/>
      <c r="AF13" s="444"/>
      <c r="AG13" s="444"/>
      <c r="AH13" s="444"/>
      <c r="AI13" s="444"/>
      <c r="AJ13" s="444"/>
      <c r="AK13" s="444"/>
      <c r="AL13" s="444"/>
      <c r="AM13" s="444"/>
      <c r="AN13" s="444"/>
      <c r="AO13" s="444"/>
      <c r="XFA13" s="159"/>
      <c r="XFB13" s="159"/>
      <c r="XFC13" s="159"/>
      <c r="XFD13" s="159"/>
    </row>
    <row r="14" customFormat="1" ht="13.5" spans="1:41 16381:16384">
      <c r="A14" s="506"/>
      <c r="B14" s="446"/>
      <c r="C14" s="446"/>
      <c r="D14" s="446"/>
      <c r="E14" s="446"/>
      <c r="F14" s="444"/>
      <c r="G14" s="444"/>
      <c r="H14" s="444"/>
      <c r="I14" s="444"/>
      <c r="J14" s="444"/>
      <c r="K14" s="444"/>
      <c r="L14" s="444"/>
      <c r="M14" s="444"/>
      <c r="N14" s="444"/>
      <c r="O14" s="444"/>
      <c r="P14" s="444"/>
      <c r="Q14" s="444"/>
      <c r="R14" s="444"/>
      <c r="S14" s="444"/>
      <c r="T14" s="444"/>
      <c r="U14" s="444"/>
      <c r="V14" s="444"/>
      <c r="W14" s="444"/>
      <c r="X14" s="444"/>
      <c r="Y14" s="444"/>
      <c r="Z14" s="444"/>
      <c r="AA14" s="444"/>
      <c r="AB14" s="444"/>
      <c r="AC14" s="444"/>
      <c r="AD14" s="444"/>
      <c r="AE14" s="444"/>
      <c r="AF14" s="444"/>
      <c r="AG14" s="444"/>
      <c r="AH14" s="444"/>
      <c r="AI14" s="444"/>
      <c r="AJ14" s="444"/>
      <c r="AK14" s="444"/>
      <c r="AL14" s="444"/>
      <c r="AM14" s="444"/>
      <c r="AN14" s="444"/>
      <c r="AO14" s="444"/>
      <c r="XFA14" s="159"/>
      <c r="XFB14" s="159"/>
      <c r="XFC14" s="159"/>
      <c r="XFD14" s="159"/>
    </row>
    <row r="15" s="376" customFormat="1" spans="1:41 16381:16384">
      <c r="A15" s="375"/>
      <c r="B15" s="375"/>
      <c r="C15" s="375"/>
      <c r="D15" s="375"/>
      <c r="E15" s="375"/>
      <c r="F15" s="375"/>
      <c r="G15" s="375"/>
      <c r="H15" s="375"/>
      <c r="I15" s="375"/>
    </row>
    <row r="16" spans="1:41 16381:16384">
      <c r="A16" s="377" t="s">
        <v>5</v>
      </c>
      <c r="B16" s="400" t="s">
        <v>1926</v>
      </c>
      <c r="C16" s="400" t="s">
        <v>278</v>
      </c>
      <c r="D16" s="447" t="s">
        <v>1927</v>
      </c>
      <c r="E16" s="447" t="s">
        <v>1772</v>
      </c>
      <c r="F16" s="332" t="s">
        <v>1459</v>
      </c>
      <c r="G16" s="398" t="s">
        <v>1427</v>
      </c>
      <c r="H16" s="399"/>
      <c r="I16" s="399"/>
      <c r="J16" s="399"/>
      <c r="K16" s="399"/>
      <c r="L16" s="399"/>
      <c r="M16" s="399"/>
      <c r="N16" s="399"/>
      <c r="O16" s="399"/>
      <c r="P16" s="399"/>
      <c r="Q16" s="399"/>
      <c r="R16" s="399"/>
    </row>
    <row r="17" spans="1:18">
      <c r="A17" s="377"/>
      <c r="B17" s="462"/>
      <c r="C17" s="462"/>
      <c r="D17" s="448"/>
      <c r="E17" s="448"/>
      <c r="F17" s="338"/>
      <c r="G17" s="400" t="s">
        <v>304</v>
      </c>
      <c r="H17" s="400" t="s">
        <v>305</v>
      </c>
      <c r="I17" s="400" t="s">
        <v>306</v>
      </c>
      <c r="J17" s="400" t="s">
        <v>307</v>
      </c>
      <c r="K17" s="400" t="s">
        <v>308</v>
      </c>
      <c r="L17" s="400" t="s">
        <v>309</v>
      </c>
      <c r="M17" s="400" t="s">
        <v>310</v>
      </c>
      <c r="N17" s="400" t="s">
        <v>311</v>
      </c>
      <c r="O17" s="400" t="s">
        <v>312</v>
      </c>
      <c r="P17" s="400" t="s">
        <v>313</v>
      </c>
      <c r="Q17" s="400" t="s">
        <v>314</v>
      </c>
      <c r="R17" s="400" t="s">
        <v>315</v>
      </c>
    </row>
    <row r="18" spans="1:18">
      <c r="A18" s="496" t="s">
        <v>1463</v>
      </c>
      <c r="B18" s="496" t="s">
        <v>1463</v>
      </c>
      <c r="C18" s="496" t="s">
        <v>1465</v>
      </c>
      <c r="D18" s="496" t="s">
        <v>1465</v>
      </c>
      <c r="E18" s="496" t="s">
        <v>1465</v>
      </c>
      <c r="F18" s="410" t="s">
        <v>199</v>
      </c>
      <c r="G18" s="503" t="s">
        <v>1465</v>
      </c>
      <c r="H18" s="503" t="s">
        <v>1465</v>
      </c>
      <c r="I18" s="503" t="s">
        <v>1465</v>
      </c>
      <c r="J18" s="503" t="s">
        <v>1465</v>
      </c>
      <c r="K18" s="503" t="s">
        <v>1465</v>
      </c>
      <c r="L18" s="503" t="s">
        <v>1465</v>
      </c>
      <c r="M18" s="503" t="s">
        <v>1465</v>
      </c>
      <c r="N18" s="503" t="s">
        <v>1465</v>
      </c>
      <c r="O18" s="503" t="s">
        <v>1465</v>
      </c>
      <c r="P18" s="503" t="s">
        <v>1465</v>
      </c>
      <c r="Q18" s="503" t="s">
        <v>1465</v>
      </c>
      <c r="R18" s="503" t="s">
        <v>1465</v>
      </c>
    </row>
    <row r="19" spans="1:18">
      <c r="A19" s="451"/>
      <c r="B19" s="451" t="s">
        <v>1928</v>
      </c>
      <c r="C19" s="457" t="s">
        <v>1929</v>
      </c>
      <c r="D19" s="437">
        <v>150</v>
      </c>
      <c r="E19" s="437"/>
      <c r="F19" s="380"/>
      <c r="G19" s="381"/>
      <c r="H19" s="390"/>
      <c r="I19" s="391"/>
      <c r="J19" s="391"/>
      <c r="K19" s="391"/>
      <c r="L19" s="391"/>
      <c r="M19" s="391"/>
      <c r="N19" s="391"/>
      <c r="O19" s="391"/>
      <c r="P19" s="391"/>
      <c r="Q19" s="391"/>
      <c r="R19" s="391"/>
    </row>
    <row r="20" spans="1:18">
      <c r="A20" s="451"/>
      <c r="B20" s="451"/>
      <c r="C20" s="457" t="s">
        <v>1930</v>
      </c>
      <c r="D20" s="437">
        <v>150</v>
      </c>
      <c r="E20" s="437"/>
      <c r="F20" s="380"/>
      <c r="G20" s="381"/>
      <c r="H20" s="390"/>
      <c r="I20" s="391"/>
      <c r="J20" s="391"/>
      <c r="K20" s="391"/>
      <c r="L20" s="391"/>
      <c r="M20" s="391"/>
      <c r="N20" s="391"/>
      <c r="O20" s="391"/>
      <c r="P20" s="391"/>
      <c r="Q20" s="391"/>
      <c r="R20" s="391"/>
    </row>
    <row r="21" spans="1:18">
      <c r="A21" s="451"/>
      <c r="B21" s="451"/>
      <c r="C21" s="457" t="s">
        <v>1931</v>
      </c>
      <c r="D21" s="437"/>
      <c r="E21" s="437"/>
      <c r="F21" s="380"/>
      <c r="G21" s="381"/>
      <c r="H21" s="390"/>
      <c r="I21" s="391"/>
      <c r="J21" s="391"/>
      <c r="K21" s="391"/>
      <c r="L21" s="391"/>
      <c r="M21" s="391"/>
      <c r="N21" s="391"/>
      <c r="O21" s="391"/>
      <c r="P21" s="391"/>
      <c r="Q21" s="391"/>
      <c r="R21" s="391"/>
    </row>
    <row r="22" spans="1:18">
      <c r="A22" s="451"/>
      <c r="B22" s="451"/>
      <c r="C22" s="457" t="s">
        <v>1932</v>
      </c>
      <c r="D22" s="437"/>
      <c r="E22" s="437"/>
      <c r="F22" s="380"/>
      <c r="G22" s="381"/>
      <c r="H22" s="390"/>
      <c r="I22" s="391"/>
      <c r="J22" s="391"/>
      <c r="K22" s="391"/>
      <c r="L22" s="391"/>
      <c r="M22" s="391"/>
      <c r="N22" s="391"/>
      <c r="O22" s="391"/>
      <c r="P22" s="391"/>
      <c r="Q22" s="391"/>
      <c r="R22" s="391"/>
    </row>
    <row r="23" spans="1:18">
      <c r="A23" s="451"/>
      <c r="B23" s="451" t="s">
        <v>1933</v>
      </c>
      <c r="C23" s="457" t="s">
        <v>1534</v>
      </c>
      <c r="D23" s="437"/>
      <c r="E23" s="437"/>
      <c r="F23" s="380"/>
      <c r="G23" s="381"/>
      <c r="H23" s="390"/>
      <c r="I23" s="391"/>
      <c r="J23" s="391"/>
      <c r="K23" s="391"/>
      <c r="L23" s="391"/>
      <c r="M23" s="391"/>
      <c r="N23" s="391"/>
      <c r="O23" s="391"/>
      <c r="P23" s="391"/>
      <c r="Q23" s="391"/>
      <c r="R23" s="391"/>
    </row>
    <row r="24" spans="1:18">
      <c r="A24" s="451"/>
      <c r="B24" s="451"/>
      <c r="C24" s="457" t="s">
        <v>1534</v>
      </c>
      <c r="D24" s="437"/>
      <c r="E24" s="437"/>
      <c r="F24" s="380"/>
      <c r="G24" s="381"/>
      <c r="H24" s="390"/>
      <c r="I24" s="391"/>
      <c r="J24" s="391"/>
      <c r="K24" s="391"/>
      <c r="L24" s="391"/>
      <c r="M24" s="391"/>
      <c r="N24" s="391"/>
      <c r="O24" s="391"/>
      <c r="P24" s="391"/>
      <c r="Q24" s="391"/>
      <c r="R24" s="391"/>
    </row>
    <row r="25" spans="1:18">
      <c r="A25" s="451"/>
      <c r="B25" s="451"/>
      <c r="C25" s="457" t="s">
        <v>1534</v>
      </c>
      <c r="D25" s="437"/>
      <c r="E25" s="437"/>
      <c r="F25" s="380"/>
      <c r="G25" s="381"/>
      <c r="H25" s="390"/>
      <c r="I25" s="391"/>
      <c r="J25" s="391"/>
      <c r="K25" s="391"/>
      <c r="L25" s="391"/>
      <c r="M25" s="391"/>
      <c r="N25" s="391"/>
      <c r="O25" s="391"/>
      <c r="P25" s="391"/>
      <c r="Q25" s="391"/>
      <c r="R25" s="391"/>
    </row>
    <row r="26" spans="1:18">
      <c r="A26" s="451"/>
      <c r="B26" s="451" t="s">
        <v>1934</v>
      </c>
      <c r="C26" s="457" t="s">
        <v>1534</v>
      </c>
      <c r="D26" s="437"/>
      <c r="E26" s="437"/>
      <c r="F26" s="380"/>
      <c r="G26" s="381"/>
      <c r="H26" s="390"/>
      <c r="I26" s="391"/>
      <c r="J26" s="391"/>
      <c r="K26" s="391"/>
      <c r="L26" s="391"/>
      <c r="M26" s="391"/>
      <c r="N26" s="391"/>
      <c r="O26" s="391"/>
      <c r="P26" s="391"/>
      <c r="Q26" s="391"/>
      <c r="R26" s="391"/>
    </row>
    <row r="27" spans="1:18">
      <c r="A27" s="451"/>
      <c r="B27" s="451"/>
      <c r="C27" s="457" t="s">
        <v>1534</v>
      </c>
      <c r="D27" s="437"/>
      <c r="E27" s="437"/>
      <c r="F27" s="380"/>
      <c r="G27" s="381"/>
      <c r="H27" s="390"/>
      <c r="I27" s="391"/>
      <c r="J27" s="391"/>
      <c r="K27" s="391"/>
      <c r="L27" s="391"/>
      <c r="M27" s="391"/>
      <c r="N27" s="391"/>
      <c r="O27" s="391"/>
      <c r="P27" s="391"/>
      <c r="Q27" s="391"/>
      <c r="R27" s="391"/>
    </row>
    <row r="28" spans="1:18">
      <c r="A28" s="451"/>
      <c r="B28" s="451"/>
      <c r="C28" s="391"/>
      <c r="D28" s="437"/>
      <c r="E28" s="437"/>
      <c r="F28" s="380"/>
      <c r="G28" s="381"/>
      <c r="H28" s="390"/>
      <c r="I28" s="391"/>
      <c r="J28" s="391"/>
      <c r="K28" s="391"/>
      <c r="L28" s="391"/>
      <c r="M28" s="391"/>
      <c r="N28" s="391"/>
      <c r="O28" s="391"/>
      <c r="P28" s="391"/>
      <c r="Q28" s="391"/>
      <c r="R28" s="391"/>
    </row>
    <row r="29" spans="1:18">
      <c r="A29" s="451"/>
      <c r="B29" s="451" t="s">
        <v>1935</v>
      </c>
      <c r="C29" s="391"/>
      <c r="D29" s="437"/>
      <c r="E29" s="437"/>
      <c r="F29" s="380"/>
      <c r="G29" s="381"/>
      <c r="H29" s="390"/>
      <c r="I29" s="391"/>
      <c r="J29" s="391"/>
      <c r="K29" s="391"/>
      <c r="L29" s="391"/>
      <c r="M29" s="391"/>
      <c r="N29" s="391"/>
      <c r="O29" s="391"/>
      <c r="P29" s="391"/>
      <c r="Q29" s="391"/>
      <c r="R29" s="391"/>
    </row>
    <row r="30" spans="1:18">
      <c r="A30" s="451"/>
      <c r="B30" s="451"/>
      <c r="C30" s="457" t="s">
        <v>1534</v>
      </c>
      <c r="D30" s="437"/>
      <c r="E30" s="437"/>
      <c r="F30" s="380"/>
      <c r="G30" s="381"/>
      <c r="H30" s="390"/>
      <c r="I30" s="391"/>
      <c r="J30" s="391"/>
      <c r="K30" s="391"/>
      <c r="L30" s="391"/>
      <c r="M30" s="391"/>
      <c r="N30" s="391"/>
      <c r="O30" s="391"/>
      <c r="P30" s="391"/>
      <c r="Q30" s="391"/>
      <c r="R30" s="391"/>
    </row>
    <row r="31" spans="1:18">
      <c r="A31" s="451"/>
      <c r="B31" s="451"/>
      <c r="C31" s="457" t="s">
        <v>1534</v>
      </c>
      <c r="D31" s="437"/>
      <c r="E31" s="437"/>
      <c r="F31" s="380"/>
      <c r="G31" s="381"/>
      <c r="H31" s="390"/>
      <c r="I31" s="391"/>
      <c r="J31" s="391"/>
      <c r="K31" s="391"/>
      <c r="L31" s="391"/>
      <c r="M31" s="391"/>
      <c r="N31" s="391"/>
      <c r="O31" s="391"/>
      <c r="P31" s="391"/>
      <c r="Q31" s="391"/>
      <c r="R31" s="391"/>
    </row>
    <row r="32" spans="1:18">
      <c r="A32" s="451"/>
      <c r="B32" s="451"/>
      <c r="C32" s="457" t="s">
        <v>1534</v>
      </c>
      <c r="D32" s="437"/>
      <c r="E32" s="437"/>
      <c r="F32" s="380"/>
      <c r="G32" s="381"/>
      <c r="H32" s="390"/>
      <c r="I32" s="391"/>
      <c r="J32" s="391"/>
      <c r="K32" s="391"/>
      <c r="L32" s="391"/>
      <c r="M32" s="391"/>
      <c r="N32" s="391"/>
      <c r="O32" s="391"/>
      <c r="P32" s="391"/>
      <c r="Q32" s="391"/>
      <c r="R32" s="391"/>
    </row>
    <row r="33" spans="1:18">
      <c r="A33" s="451"/>
      <c r="B33" s="451"/>
      <c r="C33" s="457" t="s">
        <v>1534</v>
      </c>
      <c r="D33" s="437"/>
      <c r="E33" s="437"/>
      <c r="F33" s="380"/>
      <c r="G33" s="381"/>
      <c r="H33" s="390"/>
      <c r="I33" s="391"/>
      <c r="J33" s="391"/>
      <c r="K33" s="391"/>
      <c r="L33" s="391"/>
      <c r="M33" s="391"/>
      <c r="N33" s="391"/>
      <c r="O33" s="391"/>
      <c r="P33" s="391"/>
      <c r="Q33" s="391"/>
      <c r="R33" s="391"/>
    </row>
    <row r="34" spans="1:18">
      <c r="A34" s="505" t="s">
        <v>281</v>
      </c>
      <c r="B34" s="505"/>
      <c r="C34" s="494"/>
      <c r="D34" s="494"/>
      <c r="E34" s="494"/>
      <c r="F34" s="494"/>
      <c r="G34" s="494"/>
      <c r="H34" s="494"/>
      <c r="I34" s="495"/>
      <c r="J34" s="495"/>
      <c r="K34" s="495"/>
      <c r="L34" s="495"/>
      <c r="M34" s="495"/>
      <c r="N34" s="495"/>
      <c r="O34" s="495"/>
      <c r="P34" s="495"/>
      <c r="Q34" s="495"/>
      <c r="R34" s="495"/>
    </row>
  </sheetData>
  <mergeCells count="12">
    <mergeCell ref="A5:D5"/>
    <mergeCell ref="G16:R16"/>
    <mergeCell ref="A9:A10"/>
    <mergeCell ref="A16:A17"/>
    <mergeCell ref="B9:B10"/>
    <mergeCell ref="B16:B17"/>
    <mergeCell ref="C9:C10"/>
    <mergeCell ref="C16:C17"/>
    <mergeCell ref="D16:D17"/>
    <mergeCell ref="E16:E17"/>
    <mergeCell ref="F16:F17"/>
    <mergeCell ref="A1:D4"/>
  </mergeCells>
  <hyperlinks>
    <hyperlink ref="A1" location="目录!A1" display="← 返回目录"/>
  </hyperlinks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>
    <tabColor theme="2" tint="-0.249977111117893"/>
  </sheetPr>
  <dimension ref="A1:XFD33"/>
  <sheetViews>
    <sheetView workbookViewId="0">
      <selection activeCell="A1" sqref="A1:D4"/>
    </sheetView>
  </sheetViews>
  <sheetFormatPr defaultColWidth="8.725" defaultRowHeight="11.25"/>
  <cols>
    <col min="1" max="1" width="8.725" style="159"/>
    <col min="2" max="2" width="10.1833333333333" style="159" customWidth="1"/>
    <col min="3" max="3" width="15" style="159" customWidth="1"/>
    <col min="4" max="4" width="23.3666666666667" style="159" customWidth="1"/>
    <col min="5" max="5" width="9.725" style="159" customWidth="1"/>
    <col min="6" max="6" width="9.81666666666667" style="159" customWidth="1"/>
    <col min="7" max="16384" width="8.725" style="159"/>
  </cols>
  <sheetData>
    <row r="1" spans="1:41 16381:16384">
      <c r="A1" s="202" t="s">
        <v>185</v>
      </c>
      <c r="B1" s="492"/>
      <c r="C1" s="492"/>
      <c r="D1" s="492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pans="1:41 16381:16384">
      <c r="A2" s="492"/>
      <c r="B2" s="492"/>
      <c r="C2" s="492"/>
      <c r="D2" s="492"/>
      <c r="E2" s="12"/>
      <c r="F2" s="13" t="s">
        <v>1936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pans="1:41 16381:16384">
      <c r="A3" s="492"/>
      <c r="B3" s="492"/>
      <c r="C3" s="492"/>
      <c r="D3" s="492"/>
      <c r="E3" s="12"/>
      <c r="F3" s="13" t="s">
        <v>1937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spans="1:41 16381:16384">
      <c r="A4" s="492"/>
      <c r="B4" s="492"/>
      <c r="C4" s="492"/>
      <c r="D4" s="492"/>
      <c r="E4" s="12"/>
      <c r="F4" s="13" t="s">
        <v>1408</v>
      </c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pans="1:41 16381:16384">
      <c r="A5" s="292" t="s">
        <v>1451</v>
      </c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ht="13.5" spans="1:41 16381:16384">
      <c r="A6" s="1"/>
      <c r="B6" s="1"/>
      <c r="C6" s="1"/>
      <c r="D6" s="1"/>
      <c r="E6"/>
      <c r="F6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ht="13.5" spans="1:41 16381:16384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9" spans="1:41 16381:16384">
      <c r="A9" s="377" t="s">
        <v>5</v>
      </c>
      <c r="B9" s="332" t="s">
        <v>1925</v>
      </c>
      <c r="C9" s="332" t="s">
        <v>281</v>
      </c>
      <c r="D9" s="442"/>
      <c r="E9" s="442"/>
      <c r="F9" s="442"/>
      <c r="G9" s="442"/>
      <c r="H9" s="442"/>
      <c r="I9" s="442"/>
      <c r="J9" s="442"/>
      <c r="K9" s="442"/>
      <c r="L9" s="442"/>
      <c r="M9" s="442"/>
      <c r="N9" s="442"/>
      <c r="O9" s="442"/>
    </row>
    <row r="10" spans="1:41 16381:16384">
      <c r="A10" s="377"/>
      <c r="B10" s="338"/>
      <c r="C10" s="338"/>
      <c r="D10" s="315" t="s">
        <v>304</v>
      </c>
      <c r="E10" s="315" t="s">
        <v>305</v>
      </c>
      <c r="F10" s="315" t="s">
        <v>306</v>
      </c>
      <c r="G10" s="315" t="s">
        <v>307</v>
      </c>
      <c r="H10" s="315" t="s">
        <v>308</v>
      </c>
      <c r="I10" s="315" t="s">
        <v>309</v>
      </c>
      <c r="J10" s="315" t="s">
        <v>310</v>
      </c>
      <c r="K10" s="315" t="s">
        <v>311</v>
      </c>
      <c r="L10" s="315" t="s">
        <v>312</v>
      </c>
      <c r="M10" s="315" t="s">
        <v>313</v>
      </c>
      <c r="N10" s="315" t="s">
        <v>314</v>
      </c>
      <c r="O10" s="315" t="s">
        <v>315</v>
      </c>
    </row>
    <row r="11" spans="1:41 16381:16384">
      <c r="A11" s="496" t="s">
        <v>1463</v>
      </c>
      <c r="B11" s="410">
        <v>2025</v>
      </c>
      <c r="C11" s="410" t="s">
        <v>199</v>
      </c>
      <c r="D11" s="315" t="s">
        <v>1421</v>
      </c>
      <c r="E11" s="315" t="s">
        <v>1421</v>
      </c>
      <c r="F11" s="315" t="s">
        <v>1421</v>
      </c>
      <c r="G11" s="315" t="s">
        <v>1421</v>
      </c>
      <c r="H11" s="315" t="s">
        <v>1421</v>
      </c>
      <c r="I11" s="315" t="s">
        <v>1421</v>
      </c>
      <c r="J11" s="315" t="s">
        <v>1421</v>
      </c>
      <c r="K11" s="315" t="s">
        <v>1421</v>
      </c>
      <c r="L11" s="315" t="s">
        <v>1421</v>
      </c>
      <c r="M11" s="315" t="s">
        <v>1421</v>
      </c>
      <c r="N11" s="315" t="s">
        <v>1421</v>
      </c>
      <c r="O11" s="315" t="s">
        <v>1421</v>
      </c>
    </row>
    <row r="12" customFormat="1" ht="13.5" spans="1:41 16381:16384">
      <c r="A12" s="496"/>
      <c r="B12" s="410">
        <v>2026</v>
      </c>
      <c r="C12" s="410"/>
      <c r="D12" s="410"/>
      <c r="E12" s="410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444"/>
      <c r="Q12" s="444"/>
      <c r="R12" s="444"/>
      <c r="S12" s="444"/>
      <c r="T12" s="444"/>
      <c r="U12" s="444"/>
      <c r="V12" s="444"/>
      <c r="W12" s="444"/>
      <c r="X12" s="444"/>
      <c r="Y12" s="444"/>
      <c r="Z12" s="444"/>
      <c r="AA12" s="444"/>
      <c r="AB12" s="444"/>
      <c r="AC12" s="444"/>
      <c r="AD12" s="444"/>
      <c r="AE12" s="444"/>
      <c r="AF12" s="444"/>
      <c r="AG12" s="444"/>
      <c r="AH12" s="444"/>
      <c r="AI12" s="444"/>
      <c r="AJ12" s="444"/>
      <c r="AK12" s="444"/>
      <c r="AL12" s="444"/>
      <c r="AM12" s="444"/>
      <c r="AN12" s="444"/>
      <c r="AO12" s="444"/>
      <c r="XFA12" s="159"/>
      <c r="XFB12" s="159"/>
      <c r="XFC12" s="159"/>
      <c r="XFD12" s="159"/>
    </row>
    <row r="13" customFormat="1" ht="13.5" spans="1:41 16381:16384">
      <c r="A13" s="496"/>
      <c r="B13" s="410" t="s">
        <v>287</v>
      </c>
      <c r="C13" s="410"/>
      <c r="D13" s="410"/>
      <c r="E13" s="410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444"/>
      <c r="Q13" s="444"/>
      <c r="R13" s="444"/>
      <c r="S13" s="444"/>
      <c r="T13" s="444"/>
      <c r="U13" s="444"/>
      <c r="V13" s="444"/>
      <c r="W13" s="444"/>
      <c r="X13" s="444"/>
      <c r="Y13" s="444"/>
      <c r="Z13" s="444"/>
      <c r="AA13" s="444"/>
      <c r="AB13" s="444"/>
      <c r="AC13" s="444"/>
      <c r="AD13" s="444"/>
      <c r="AE13" s="444"/>
      <c r="AF13" s="444"/>
      <c r="AG13" s="444"/>
      <c r="AH13" s="444"/>
      <c r="AI13" s="444"/>
      <c r="AJ13" s="444"/>
      <c r="AK13" s="444"/>
      <c r="AL13" s="444"/>
      <c r="AM13" s="444"/>
      <c r="AN13" s="444"/>
      <c r="AO13" s="444"/>
      <c r="XFA13" s="159"/>
      <c r="XFB13" s="159"/>
      <c r="XFC13" s="159"/>
      <c r="XFD13" s="159"/>
    </row>
    <row r="14" s="376" customFormat="1" spans="1:41 16381:16384">
      <c r="A14" s="375"/>
      <c r="B14" s="375"/>
      <c r="C14" s="375"/>
      <c r="D14" s="375"/>
      <c r="E14" s="375"/>
      <c r="F14" s="375"/>
      <c r="G14" s="375"/>
      <c r="H14" s="375"/>
    </row>
    <row r="15" spans="1:41 16381:16384">
      <c r="A15" s="377" t="s">
        <v>5</v>
      </c>
      <c r="B15" s="447" t="s">
        <v>1926</v>
      </c>
      <c r="C15" s="447" t="s">
        <v>278</v>
      </c>
      <c r="D15" s="447" t="s">
        <v>1772</v>
      </c>
      <c r="E15" s="332" t="s">
        <v>1459</v>
      </c>
      <c r="F15" s="461" t="s">
        <v>1427</v>
      </c>
      <c r="G15" s="461"/>
      <c r="H15" s="461"/>
      <c r="I15" s="461"/>
      <c r="J15" s="461"/>
      <c r="K15" s="461"/>
      <c r="L15" s="461"/>
      <c r="M15" s="461"/>
      <c r="N15" s="461"/>
      <c r="O15" s="461"/>
      <c r="P15" s="461"/>
      <c r="Q15" s="461"/>
    </row>
    <row r="16" spans="1:41 16381:16384">
      <c r="A16" s="377"/>
      <c r="B16" s="448"/>
      <c r="C16" s="448"/>
      <c r="D16" s="448"/>
      <c r="E16" s="338"/>
      <c r="F16" s="400" t="s">
        <v>304</v>
      </c>
      <c r="G16" s="400" t="s">
        <v>305</v>
      </c>
      <c r="H16" s="400" t="s">
        <v>306</v>
      </c>
      <c r="I16" s="400" t="s">
        <v>307</v>
      </c>
      <c r="J16" s="400" t="s">
        <v>308</v>
      </c>
      <c r="K16" s="400" t="s">
        <v>309</v>
      </c>
      <c r="L16" s="400" t="s">
        <v>310</v>
      </c>
      <c r="M16" s="400" t="s">
        <v>311</v>
      </c>
      <c r="N16" s="400" t="s">
        <v>312</v>
      </c>
      <c r="O16" s="400" t="s">
        <v>313</v>
      </c>
      <c r="P16" s="400" t="s">
        <v>314</v>
      </c>
      <c r="Q16" s="400" t="s">
        <v>315</v>
      </c>
    </row>
    <row r="17" spans="1:17">
      <c r="A17" s="496" t="s">
        <v>1463</v>
      </c>
      <c r="B17" s="496" t="s">
        <v>1463</v>
      </c>
      <c r="C17" s="496" t="s">
        <v>1465</v>
      </c>
      <c r="D17" s="496" t="s">
        <v>1465</v>
      </c>
      <c r="E17" s="410" t="s">
        <v>199</v>
      </c>
      <c r="F17" s="503" t="s">
        <v>1465</v>
      </c>
      <c r="G17" s="503" t="s">
        <v>1465</v>
      </c>
      <c r="H17" s="503" t="s">
        <v>1465</v>
      </c>
      <c r="I17" s="503" t="s">
        <v>1465</v>
      </c>
      <c r="J17" s="503" t="s">
        <v>1465</v>
      </c>
      <c r="K17" s="503" t="s">
        <v>1465</v>
      </c>
      <c r="L17" s="503" t="s">
        <v>1465</v>
      </c>
      <c r="M17" s="503" t="s">
        <v>1465</v>
      </c>
      <c r="N17" s="503" t="s">
        <v>1465</v>
      </c>
      <c r="O17" s="503" t="s">
        <v>1465</v>
      </c>
      <c r="P17" s="503" t="s">
        <v>1465</v>
      </c>
      <c r="Q17" s="503" t="s">
        <v>1465</v>
      </c>
    </row>
    <row r="18" spans="1:17">
      <c r="A18" s="451"/>
      <c r="B18" s="437" t="s">
        <v>1938</v>
      </c>
      <c r="C18" s="437" t="s">
        <v>1939</v>
      </c>
      <c r="D18" s="437"/>
      <c r="E18" s="380"/>
      <c r="F18" s="381"/>
      <c r="G18" s="390"/>
      <c r="H18" s="391"/>
      <c r="I18" s="391"/>
      <c r="J18" s="391"/>
      <c r="K18" s="391"/>
      <c r="L18" s="391"/>
      <c r="M18" s="391"/>
      <c r="N18" s="391"/>
      <c r="O18" s="391"/>
      <c r="P18" s="391"/>
      <c r="Q18" s="391"/>
    </row>
    <row r="19" spans="1:17">
      <c r="A19" s="451"/>
      <c r="B19" s="437"/>
      <c r="C19" s="437" t="s">
        <v>1940</v>
      </c>
      <c r="D19" s="437"/>
      <c r="E19" s="380"/>
      <c r="F19" s="381"/>
      <c r="G19" s="390"/>
      <c r="H19" s="391"/>
      <c r="I19" s="391"/>
      <c r="J19" s="391"/>
      <c r="K19" s="391"/>
      <c r="L19" s="391"/>
      <c r="M19" s="391"/>
      <c r="N19" s="391"/>
      <c r="O19" s="391"/>
      <c r="P19" s="391"/>
      <c r="Q19" s="391"/>
    </row>
    <row r="20" spans="1:17">
      <c r="A20" s="451"/>
      <c r="B20" s="437"/>
      <c r="C20" s="437" t="s">
        <v>1941</v>
      </c>
      <c r="D20" s="437"/>
      <c r="E20" s="380"/>
      <c r="F20" s="381"/>
      <c r="G20" s="390"/>
      <c r="H20" s="391"/>
      <c r="I20" s="391"/>
      <c r="J20" s="391"/>
      <c r="K20" s="391"/>
      <c r="L20" s="391"/>
      <c r="M20" s="391"/>
      <c r="N20" s="391"/>
      <c r="O20" s="391"/>
      <c r="P20" s="391"/>
      <c r="Q20" s="391"/>
    </row>
    <row r="21" spans="1:17">
      <c r="A21" s="451"/>
      <c r="B21" s="437"/>
      <c r="C21" s="437" t="s">
        <v>1942</v>
      </c>
      <c r="D21" s="437"/>
      <c r="E21" s="380"/>
      <c r="F21" s="381"/>
      <c r="G21" s="390"/>
      <c r="H21" s="391"/>
      <c r="I21" s="391"/>
      <c r="J21" s="391"/>
      <c r="K21" s="391"/>
      <c r="L21" s="391"/>
      <c r="M21" s="391"/>
      <c r="N21" s="391"/>
      <c r="O21" s="391"/>
      <c r="P21" s="391"/>
      <c r="Q21" s="391"/>
    </row>
    <row r="22" spans="1:17">
      <c r="A22" s="451"/>
      <c r="B22" s="437" t="s">
        <v>1943</v>
      </c>
      <c r="C22" s="437" t="s">
        <v>1944</v>
      </c>
      <c r="D22" s="437"/>
      <c r="E22" s="380"/>
      <c r="F22" s="381"/>
      <c r="G22" s="390"/>
      <c r="H22" s="391"/>
      <c r="I22" s="391"/>
      <c r="J22" s="391"/>
      <c r="K22" s="391"/>
      <c r="L22" s="391"/>
      <c r="M22" s="391"/>
      <c r="N22" s="391"/>
      <c r="O22" s="391"/>
      <c r="P22" s="391"/>
      <c r="Q22" s="391"/>
    </row>
    <row r="23" spans="1:17">
      <c r="A23" s="451"/>
      <c r="B23" s="437"/>
      <c r="C23" s="437" t="s">
        <v>1945</v>
      </c>
      <c r="D23" s="437"/>
      <c r="E23" s="380"/>
      <c r="F23" s="381"/>
      <c r="G23" s="390"/>
      <c r="H23" s="391"/>
      <c r="I23" s="391"/>
      <c r="J23" s="391"/>
      <c r="K23" s="391"/>
      <c r="L23" s="391"/>
      <c r="M23" s="391"/>
      <c r="N23" s="391"/>
      <c r="O23" s="391"/>
      <c r="P23" s="391"/>
      <c r="Q23" s="391"/>
    </row>
    <row r="24" spans="1:17">
      <c r="A24" s="451"/>
      <c r="B24" s="437" t="s">
        <v>1946</v>
      </c>
      <c r="C24" s="437" t="s">
        <v>1947</v>
      </c>
      <c r="D24" s="437"/>
      <c r="E24" s="380"/>
      <c r="F24" s="381"/>
      <c r="G24" s="390"/>
      <c r="H24" s="391"/>
      <c r="I24" s="391"/>
      <c r="J24" s="391"/>
      <c r="K24" s="391"/>
      <c r="L24" s="391"/>
      <c r="M24" s="391"/>
      <c r="N24" s="391"/>
      <c r="O24" s="391"/>
      <c r="P24" s="391"/>
      <c r="Q24" s="391"/>
    </row>
    <row r="25" spans="1:17">
      <c r="A25" s="451"/>
      <c r="B25" s="437"/>
      <c r="C25" s="437"/>
      <c r="D25" s="437"/>
      <c r="E25" s="380"/>
      <c r="F25" s="381"/>
      <c r="G25" s="390"/>
      <c r="H25" s="391"/>
      <c r="I25" s="391"/>
      <c r="J25" s="391"/>
      <c r="K25" s="391"/>
      <c r="L25" s="391"/>
      <c r="M25" s="391"/>
      <c r="N25" s="391"/>
      <c r="O25" s="391"/>
      <c r="P25" s="391"/>
      <c r="Q25" s="391"/>
    </row>
    <row r="26" spans="1:17">
      <c r="A26" s="451"/>
      <c r="B26" s="437"/>
      <c r="C26" s="437"/>
      <c r="D26" s="437"/>
      <c r="E26" s="380"/>
      <c r="F26" s="381"/>
      <c r="G26" s="390"/>
      <c r="H26" s="391"/>
      <c r="I26" s="391"/>
      <c r="J26" s="391"/>
      <c r="K26" s="391"/>
      <c r="L26" s="391"/>
      <c r="M26" s="391"/>
      <c r="N26" s="391"/>
      <c r="O26" s="391"/>
      <c r="P26" s="391"/>
      <c r="Q26" s="391"/>
    </row>
    <row r="27" spans="1:17">
      <c r="A27" s="451"/>
      <c r="B27" s="437"/>
      <c r="C27" s="437"/>
      <c r="D27" s="437"/>
      <c r="E27" s="380"/>
      <c r="F27" s="381"/>
      <c r="G27" s="390"/>
      <c r="H27" s="391"/>
      <c r="I27" s="391"/>
      <c r="J27" s="391"/>
      <c r="K27" s="391"/>
      <c r="L27" s="391"/>
      <c r="M27" s="391"/>
      <c r="N27" s="391"/>
      <c r="O27" s="391"/>
      <c r="P27" s="391"/>
      <c r="Q27" s="391"/>
    </row>
    <row r="28" spans="1:17">
      <c r="A28" s="451"/>
      <c r="B28" s="437"/>
      <c r="C28" s="437"/>
      <c r="D28" s="437"/>
      <c r="E28" s="380"/>
      <c r="F28" s="381"/>
      <c r="G28" s="390"/>
      <c r="H28" s="391"/>
      <c r="I28" s="391"/>
      <c r="J28" s="391"/>
      <c r="K28" s="391"/>
      <c r="L28" s="391"/>
      <c r="M28" s="391"/>
      <c r="N28" s="391"/>
      <c r="O28" s="391"/>
      <c r="P28" s="391"/>
      <c r="Q28" s="391"/>
    </row>
    <row r="29" spans="1:17">
      <c r="A29" s="451"/>
      <c r="B29" s="437"/>
      <c r="C29" s="437"/>
      <c r="D29" s="437"/>
      <c r="E29" s="380"/>
      <c r="F29" s="381"/>
      <c r="G29" s="390"/>
      <c r="H29" s="391"/>
      <c r="I29" s="391"/>
      <c r="J29" s="391"/>
      <c r="K29" s="391"/>
      <c r="L29" s="391"/>
      <c r="M29" s="391"/>
      <c r="N29" s="391"/>
      <c r="O29" s="391"/>
      <c r="P29" s="391"/>
      <c r="Q29" s="391"/>
    </row>
    <row r="30" spans="1:17">
      <c r="A30" s="451"/>
      <c r="B30" s="437"/>
      <c r="C30" s="437"/>
      <c r="D30" s="437"/>
      <c r="E30" s="380"/>
      <c r="F30" s="381"/>
      <c r="G30" s="390"/>
      <c r="H30" s="391"/>
      <c r="I30" s="391"/>
      <c r="J30" s="391"/>
      <c r="K30" s="391"/>
      <c r="L30" s="391"/>
      <c r="M30" s="391"/>
      <c r="N30" s="391"/>
      <c r="O30" s="391"/>
      <c r="P30" s="391"/>
      <c r="Q30" s="391"/>
    </row>
    <row r="31" spans="1:17">
      <c r="A31" s="451"/>
      <c r="B31" s="437"/>
      <c r="C31" s="437"/>
      <c r="D31" s="437"/>
      <c r="E31" s="380"/>
      <c r="F31" s="381"/>
      <c r="G31" s="390"/>
      <c r="H31" s="391"/>
      <c r="I31" s="391"/>
      <c r="J31" s="391"/>
      <c r="K31" s="391"/>
      <c r="L31" s="391"/>
      <c r="M31" s="391"/>
      <c r="N31" s="391"/>
      <c r="O31" s="391"/>
      <c r="P31" s="391"/>
      <c r="Q31" s="391"/>
    </row>
    <row r="32" spans="1:17">
      <c r="A32" s="451"/>
      <c r="B32" s="437"/>
      <c r="C32" s="437"/>
      <c r="D32" s="437"/>
      <c r="E32" s="380"/>
      <c r="F32" s="381"/>
      <c r="G32" s="390"/>
      <c r="H32" s="391"/>
      <c r="I32" s="391"/>
      <c r="J32" s="391"/>
      <c r="K32" s="391"/>
      <c r="L32" s="391"/>
      <c r="M32" s="391"/>
      <c r="N32" s="391"/>
      <c r="O32" s="391"/>
      <c r="P32" s="391"/>
      <c r="Q32" s="391"/>
    </row>
    <row r="33" spans="1:17">
      <c r="A33" s="505" t="s">
        <v>281</v>
      </c>
      <c r="B33" s="494"/>
      <c r="C33" s="494"/>
      <c r="D33" s="494"/>
      <c r="E33" s="494"/>
      <c r="F33" s="494"/>
      <c r="G33" s="494"/>
      <c r="H33" s="495"/>
      <c r="I33" s="495"/>
      <c r="J33" s="495"/>
      <c r="K33" s="495"/>
      <c r="L33" s="495"/>
      <c r="M33" s="495"/>
      <c r="N33" s="495"/>
      <c r="O33" s="495"/>
      <c r="P33" s="495"/>
      <c r="Q33" s="495"/>
    </row>
  </sheetData>
  <mergeCells count="11">
    <mergeCell ref="A5:D5"/>
    <mergeCell ref="F15:Q15"/>
    <mergeCell ref="A9:A10"/>
    <mergeCell ref="A15:A16"/>
    <mergeCell ref="B9:B10"/>
    <mergeCell ref="B15:B16"/>
    <mergeCell ref="C9:C10"/>
    <mergeCell ref="C15:C16"/>
    <mergeCell ref="D15:D16"/>
    <mergeCell ref="E15:E16"/>
    <mergeCell ref="A1:D4"/>
  </mergeCells>
  <hyperlinks>
    <hyperlink ref="A1" location="目录!A1" display="← 返回目录"/>
  </hyperlinks>
  <pageMargins left="0.7" right="0.7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>
    <tabColor theme="2" tint="-0.249977111117893"/>
  </sheetPr>
  <dimension ref="A1:XFD34"/>
  <sheetViews>
    <sheetView workbookViewId="0">
      <selection activeCell="A1" sqref="A1:D4"/>
    </sheetView>
  </sheetViews>
  <sheetFormatPr defaultColWidth="8.725" defaultRowHeight="11.25"/>
  <cols>
    <col min="1" max="1" width="8.725" style="159"/>
    <col min="2" max="2" width="11.9083333333333" style="159" customWidth="1"/>
    <col min="3" max="3" width="12.5416666666667" style="159" customWidth="1"/>
    <col min="4" max="4" width="20.2666666666667" style="159" customWidth="1"/>
    <col min="5" max="5" width="9.725" style="159" customWidth="1"/>
    <col min="6" max="6" width="9.81666666666667" style="159" customWidth="1"/>
    <col min="7" max="8" width="8.725" style="159"/>
    <col min="9" max="9" width="9.26666666666667" style="159" customWidth="1"/>
    <col min="10" max="16384" width="8.725" style="159"/>
  </cols>
  <sheetData>
    <row r="1" spans="1:41 16381:16384">
      <c r="A1" s="202" t="s">
        <v>185</v>
      </c>
      <c r="B1" s="492"/>
      <c r="C1" s="492"/>
      <c r="D1" s="492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pans="1:41 16381:16384">
      <c r="A2" s="492"/>
      <c r="B2" s="492"/>
      <c r="C2" s="492"/>
      <c r="D2" s="492"/>
      <c r="E2" s="12"/>
      <c r="F2" s="13" t="s">
        <v>1948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pans="1:41 16381:16384">
      <c r="A3" s="492"/>
      <c r="B3" s="492"/>
      <c r="C3" s="492"/>
      <c r="D3" s="492"/>
      <c r="E3" s="12"/>
      <c r="F3" s="13" t="s">
        <v>1949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spans="1:41 16381:16384">
      <c r="A4" s="492"/>
      <c r="B4" s="492"/>
      <c r="C4" s="492"/>
      <c r="D4" s="492"/>
      <c r="E4" s="12"/>
      <c r="F4" s="13" t="s">
        <v>1408</v>
      </c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pans="1:41 16381:16384">
      <c r="A5" s="292" t="s">
        <v>1451</v>
      </c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ht="13.5" spans="1:41 16381:16384">
      <c r="A6" s="1"/>
      <c r="B6" s="1"/>
      <c r="C6" s="1"/>
      <c r="D6" s="1"/>
      <c r="E6"/>
      <c r="F6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ht="13.5" spans="1:41 16381:16384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9" spans="1:41 16381:16384">
      <c r="A9" s="377" t="s">
        <v>5</v>
      </c>
      <c r="B9" s="332" t="s">
        <v>1925</v>
      </c>
      <c r="C9" s="332" t="s">
        <v>281</v>
      </c>
      <c r="D9" s="442"/>
      <c r="E9" s="442"/>
      <c r="F9" s="442"/>
      <c r="G9" s="442"/>
      <c r="H9" s="442"/>
      <c r="I9" s="442"/>
      <c r="J9" s="442"/>
      <c r="K9" s="442"/>
      <c r="L9" s="442"/>
      <c r="M9" s="442"/>
      <c r="N9" s="442"/>
      <c r="O9" s="442"/>
    </row>
    <row r="10" spans="1:41 16381:16384">
      <c r="A10" s="377"/>
      <c r="B10" s="338"/>
      <c r="C10" s="338"/>
      <c r="D10" s="315" t="s">
        <v>304</v>
      </c>
      <c r="E10" s="315" t="s">
        <v>305</v>
      </c>
      <c r="F10" s="315" t="s">
        <v>306</v>
      </c>
      <c r="G10" s="315" t="s">
        <v>307</v>
      </c>
      <c r="H10" s="315" t="s">
        <v>308</v>
      </c>
      <c r="I10" s="315" t="s">
        <v>309</v>
      </c>
      <c r="J10" s="315" t="s">
        <v>310</v>
      </c>
      <c r="K10" s="315" t="s">
        <v>311</v>
      </c>
      <c r="L10" s="315" t="s">
        <v>312</v>
      </c>
      <c r="M10" s="315" t="s">
        <v>313</v>
      </c>
      <c r="N10" s="315" t="s">
        <v>314</v>
      </c>
      <c r="O10" s="315" t="s">
        <v>315</v>
      </c>
    </row>
    <row r="11" spans="1:41 16381:16384">
      <c r="A11" s="496" t="s">
        <v>1463</v>
      </c>
      <c r="B11" s="410">
        <v>2025</v>
      </c>
      <c r="C11" s="410" t="s">
        <v>199</v>
      </c>
      <c r="D11" s="315" t="s">
        <v>1421</v>
      </c>
      <c r="E11" s="315" t="s">
        <v>1421</v>
      </c>
      <c r="F11" s="315" t="s">
        <v>1421</v>
      </c>
      <c r="G11" s="315" t="s">
        <v>1421</v>
      </c>
      <c r="H11" s="315" t="s">
        <v>1421</v>
      </c>
      <c r="I11" s="315" t="s">
        <v>1421</v>
      </c>
      <c r="J11" s="315" t="s">
        <v>1421</v>
      </c>
      <c r="K11" s="315" t="s">
        <v>1421</v>
      </c>
      <c r="L11" s="315" t="s">
        <v>1421</v>
      </c>
      <c r="M11" s="315" t="s">
        <v>1421</v>
      </c>
      <c r="N11" s="315" t="s">
        <v>1421</v>
      </c>
      <c r="O11" s="315" t="s">
        <v>1421</v>
      </c>
    </row>
    <row r="12" customFormat="1" ht="13.5" spans="1:41 16381:16384">
      <c r="A12" s="496"/>
      <c r="B12" s="410">
        <v>2026</v>
      </c>
      <c r="C12" s="410"/>
      <c r="D12" s="410"/>
      <c r="E12" s="410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444"/>
      <c r="Q12" s="444"/>
      <c r="R12" s="444"/>
      <c r="S12" s="444"/>
      <c r="T12" s="444"/>
      <c r="U12" s="444"/>
      <c r="V12" s="444"/>
      <c r="W12" s="444"/>
      <c r="X12" s="444"/>
      <c r="Y12" s="444"/>
      <c r="Z12" s="444"/>
      <c r="AA12" s="444"/>
      <c r="AB12" s="444"/>
      <c r="AC12" s="444"/>
      <c r="AD12" s="444"/>
      <c r="AE12" s="444"/>
      <c r="AF12" s="444"/>
      <c r="AG12" s="444"/>
      <c r="AH12" s="444"/>
      <c r="AI12" s="444"/>
      <c r="AJ12" s="444"/>
      <c r="AK12" s="444"/>
      <c r="AL12" s="444"/>
      <c r="AM12" s="444"/>
      <c r="AN12" s="444"/>
      <c r="AO12" s="444"/>
      <c r="XFA12" s="159"/>
      <c r="XFB12" s="159"/>
      <c r="XFC12" s="159"/>
      <c r="XFD12" s="159"/>
    </row>
    <row r="13" customFormat="1" ht="13.5" spans="1:41 16381:16384">
      <c r="A13" s="496"/>
      <c r="B13" s="410" t="s">
        <v>287</v>
      </c>
      <c r="C13" s="410"/>
      <c r="D13" s="410"/>
      <c r="E13" s="410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444"/>
      <c r="Q13" s="444"/>
      <c r="R13" s="444"/>
      <c r="S13" s="444"/>
      <c r="T13" s="444"/>
      <c r="U13" s="444"/>
      <c r="V13" s="444"/>
      <c r="W13" s="444"/>
      <c r="X13" s="444"/>
      <c r="Y13" s="444"/>
      <c r="Z13" s="444"/>
      <c r="AA13" s="444"/>
      <c r="AB13" s="444"/>
      <c r="AC13" s="444"/>
      <c r="AD13" s="444"/>
      <c r="AE13" s="444"/>
      <c r="AF13" s="444"/>
      <c r="AG13" s="444"/>
      <c r="AH13" s="444"/>
      <c r="AI13" s="444"/>
      <c r="AJ13" s="444"/>
      <c r="AK13" s="444"/>
      <c r="AL13" s="444"/>
      <c r="AM13" s="444"/>
      <c r="AN13" s="444"/>
      <c r="AO13" s="444"/>
      <c r="XFA13" s="159"/>
      <c r="XFB13" s="159"/>
      <c r="XFC13" s="159"/>
      <c r="XFD13" s="159"/>
    </row>
    <row r="14" customFormat="1" ht="13.5" spans="1:41 16381:16384">
      <c r="A14" s="506"/>
      <c r="B14" s="446"/>
      <c r="C14" s="446"/>
      <c r="D14" s="446"/>
      <c r="E14" s="446"/>
      <c r="F14" s="444"/>
      <c r="G14" s="444"/>
      <c r="H14" s="444"/>
      <c r="I14" s="444"/>
      <c r="J14" s="444"/>
      <c r="K14" s="444"/>
      <c r="L14" s="444"/>
      <c r="M14" s="444"/>
      <c r="N14" s="444"/>
      <c r="O14" s="444"/>
      <c r="P14" s="444"/>
      <c r="Q14" s="444"/>
      <c r="R14" s="444"/>
      <c r="S14" s="444"/>
      <c r="T14" s="444"/>
      <c r="U14" s="444"/>
      <c r="V14" s="444"/>
      <c r="W14" s="444"/>
      <c r="X14" s="444"/>
      <c r="Y14" s="444"/>
      <c r="Z14" s="444"/>
      <c r="AA14" s="444"/>
      <c r="AB14" s="444"/>
      <c r="AC14" s="444"/>
      <c r="AD14" s="444"/>
      <c r="AE14" s="444"/>
      <c r="AF14" s="444"/>
      <c r="AG14" s="444"/>
      <c r="AH14" s="444"/>
      <c r="AI14" s="444"/>
      <c r="AJ14" s="444"/>
      <c r="AK14" s="444"/>
      <c r="AL14" s="444"/>
      <c r="AM14" s="444"/>
      <c r="AN14" s="444"/>
      <c r="AO14" s="444"/>
      <c r="XFA14" s="159"/>
      <c r="XFB14" s="159"/>
      <c r="XFC14" s="159"/>
      <c r="XFD14" s="159"/>
    </row>
    <row r="15" s="376" customFormat="1" spans="1:41 16381:16384">
      <c r="A15" s="375"/>
      <c r="C15" s="375"/>
      <c r="D15" s="375"/>
      <c r="E15" s="375"/>
      <c r="F15" s="375"/>
      <c r="G15" s="375"/>
      <c r="H15" s="375"/>
      <c r="I15" s="375"/>
    </row>
    <row r="16" spans="1:41 16381:16384">
      <c r="A16" s="378" t="s">
        <v>5</v>
      </c>
      <c r="B16" s="377" t="s">
        <v>1950</v>
      </c>
      <c r="C16" s="455" t="s">
        <v>1769</v>
      </c>
      <c r="D16" s="447" t="s">
        <v>1951</v>
      </c>
      <c r="E16" s="332" t="s">
        <v>1459</v>
      </c>
      <c r="F16" s="398" t="s">
        <v>1427</v>
      </c>
      <c r="G16" s="399"/>
      <c r="H16" s="399"/>
      <c r="I16" s="399"/>
      <c r="J16" s="399"/>
      <c r="K16" s="399"/>
      <c r="L16" s="399"/>
      <c r="M16" s="399"/>
      <c r="N16" s="399"/>
      <c r="O16" s="399"/>
      <c r="P16" s="399"/>
      <c r="Q16" s="399"/>
    </row>
    <row r="17" spans="1:17">
      <c r="A17" s="378"/>
      <c r="B17" s="377"/>
      <c r="C17" s="456"/>
      <c r="D17" s="448"/>
      <c r="E17" s="338"/>
      <c r="F17" s="400" t="s">
        <v>304</v>
      </c>
      <c r="G17" s="400" t="s">
        <v>305</v>
      </c>
      <c r="H17" s="400" t="s">
        <v>306</v>
      </c>
      <c r="I17" s="400" t="s">
        <v>307</v>
      </c>
      <c r="J17" s="400" t="s">
        <v>308</v>
      </c>
      <c r="K17" s="400" t="s">
        <v>309</v>
      </c>
      <c r="L17" s="400" t="s">
        <v>310</v>
      </c>
      <c r="M17" s="400" t="s">
        <v>311</v>
      </c>
      <c r="N17" s="400" t="s">
        <v>312</v>
      </c>
      <c r="O17" s="400" t="s">
        <v>313</v>
      </c>
      <c r="P17" s="400" t="s">
        <v>314</v>
      </c>
      <c r="Q17" s="400" t="s">
        <v>315</v>
      </c>
    </row>
    <row r="18" spans="1:17">
      <c r="A18" s="410" t="s">
        <v>1421</v>
      </c>
      <c r="B18" s="496" t="s">
        <v>1465</v>
      </c>
      <c r="C18" s="410" t="s">
        <v>1421</v>
      </c>
      <c r="D18" s="496" t="s">
        <v>1465</v>
      </c>
      <c r="E18" s="410" t="s">
        <v>199</v>
      </c>
      <c r="F18" s="503" t="s">
        <v>1465</v>
      </c>
      <c r="G18" s="503" t="s">
        <v>1465</v>
      </c>
      <c r="H18" s="503" t="s">
        <v>1465</v>
      </c>
      <c r="I18" s="503" t="s">
        <v>1465</v>
      </c>
      <c r="J18" s="503" t="s">
        <v>1465</v>
      </c>
      <c r="K18" s="503" t="s">
        <v>1465</v>
      </c>
      <c r="L18" s="503" t="s">
        <v>1465</v>
      </c>
      <c r="M18" s="503" t="s">
        <v>1465</v>
      </c>
      <c r="N18" s="503" t="s">
        <v>1465</v>
      </c>
      <c r="O18" s="503" t="s">
        <v>1465</v>
      </c>
      <c r="P18" s="503" t="s">
        <v>1465</v>
      </c>
      <c r="Q18" s="503" t="s">
        <v>1465</v>
      </c>
    </row>
    <row r="19" spans="1:17">
      <c r="A19" s="451"/>
      <c r="B19" s="451"/>
      <c r="C19" s="457" t="s">
        <v>1952</v>
      </c>
      <c r="D19" s="437"/>
      <c r="E19" s="380"/>
      <c r="F19" s="381"/>
      <c r="G19" s="390"/>
      <c r="H19" s="391"/>
      <c r="I19" s="391"/>
      <c r="J19" s="391"/>
      <c r="K19" s="391"/>
      <c r="L19" s="391"/>
      <c r="M19" s="391"/>
      <c r="N19" s="391"/>
      <c r="O19" s="391"/>
      <c r="P19" s="391"/>
      <c r="Q19" s="391"/>
    </row>
    <row r="20" spans="1:17">
      <c r="A20" s="451"/>
      <c r="B20" s="451"/>
      <c r="C20" s="457" t="s">
        <v>1953</v>
      </c>
      <c r="D20" s="437"/>
      <c r="E20" s="380"/>
      <c r="F20" s="381"/>
      <c r="G20" s="390"/>
      <c r="H20" s="391"/>
      <c r="I20" s="391"/>
      <c r="J20" s="391"/>
      <c r="K20" s="391"/>
      <c r="L20" s="391"/>
      <c r="M20" s="391"/>
      <c r="N20" s="391"/>
      <c r="O20" s="391"/>
      <c r="P20" s="391"/>
      <c r="Q20" s="391"/>
    </row>
    <row r="21" spans="1:17">
      <c r="A21" s="451"/>
      <c r="B21" s="451"/>
      <c r="C21" s="457" t="s">
        <v>1534</v>
      </c>
      <c r="D21" s="437"/>
      <c r="E21" s="380"/>
      <c r="F21" s="381"/>
      <c r="G21" s="390"/>
      <c r="H21" s="391"/>
      <c r="I21" s="391"/>
      <c r="J21" s="391"/>
      <c r="K21" s="391"/>
      <c r="L21" s="391"/>
      <c r="M21" s="391"/>
      <c r="N21" s="391"/>
      <c r="O21" s="391"/>
      <c r="P21" s="391"/>
      <c r="Q21" s="391"/>
    </row>
    <row r="22" spans="1:17">
      <c r="A22" s="451"/>
      <c r="B22" s="451"/>
      <c r="C22" s="457" t="s">
        <v>1534</v>
      </c>
      <c r="D22" s="437"/>
      <c r="E22" s="380"/>
      <c r="F22" s="381"/>
      <c r="G22" s="390"/>
      <c r="H22" s="391"/>
      <c r="I22" s="391"/>
      <c r="J22" s="391"/>
      <c r="K22" s="391"/>
      <c r="L22" s="391"/>
      <c r="M22" s="391"/>
      <c r="N22" s="391"/>
      <c r="O22" s="391"/>
      <c r="P22" s="391"/>
      <c r="Q22" s="391"/>
    </row>
    <row r="23" spans="1:17">
      <c r="A23" s="451"/>
      <c r="B23" s="451"/>
      <c r="C23" s="457" t="s">
        <v>1534</v>
      </c>
      <c r="D23" s="437"/>
      <c r="E23" s="380"/>
      <c r="F23" s="381"/>
      <c r="G23" s="390"/>
      <c r="H23" s="391"/>
      <c r="I23" s="391"/>
      <c r="J23" s="391"/>
      <c r="K23" s="391"/>
      <c r="L23" s="391"/>
      <c r="M23" s="391"/>
      <c r="N23" s="391"/>
      <c r="O23" s="391"/>
      <c r="P23" s="391"/>
      <c r="Q23" s="391"/>
    </row>
    <row r="24" spans="1:17">
      <c r="A24" s="451"/>
      <c r="B24" s="451"/>
      <c r="C24" s="457" t="s">
        <v>1534</v>
      </c>
      <c r="D24" s="437"/>
      <c r="E24" s="380"/>
      <c r="F24" s="381"/>
      <c r="G24" s="390"/>
      <c r="H24" s="391"/>
      <c r="I24" s="391"/>
      <c r="J24" s="391"/>
      <c r="K24" s="391"/>
      <c r="L24" s="391"/>
      <c r="M24" s="391"/>
      <c r="N24" s="391"/>
      <c r="O24" s="391"/>
      <c r="P24" s="391"/>
      <c r="Q24" s="391"/>
    </row>
    <row r="25" spans="1:17">
      <c r="A25" s="451"/>
      <c r="B25" s="451"/>
      <c r="C25" s="457" t="s">
        <v>1534</v>
      </c>
      <c r="D25" s="437"/>
      <c r="E25" s="380"/>
      <c r="F25" s="381"/>
      <c r="G25" s="390"/>
      <c r="H25" s="391"/>
      <c r="I25" s="391"/>
      <c r="J25" s="391"/>
      <c r="K25" s="391"/>
      <c r="L25" s="391"/>
      <c r="M25" s="391"/>
      <c r="N25" s="391"/>
      <c r="O25" s="391"/>
      <c r="P25" s="391"/>
      <c r="Q25" s="391"/>
    </row>
    <row r="26" spans="1:17">
      <c r="A26" s="451"/>
      <c r="B26" s="451"/>
      <c r="C26" s="457" t="s">
        <v>1534</v>
      </c>
      <c r="D26" s="437"/>
      <c r="E26" s="380"/>
      <c r="F26" s="381"/>
      <c r="G26" s="390"/>
      <c r="H26" s="391"/>
      <c r="I26" s="391"/>
      <c r="J26" s="391"/>
      <c r="K26" s="391"/>
      <c r="L26" s="391"/>
      <c r="M26" s="391"/>
      <c r="N26" s="391"/>
      <c r="O26" s="391"/>
      <c r="P26" s="391"/>
      <c r="Q26" s="391"/>
    </row>
    <row r="27" spans="1:17">
      <c r="A27" s="451"/>
      <c r="B27" s="451"/>
      <c r="C27" s="457" t="s">
        <v>1534</v>
      </c>
      <c r="D27" s="437"/>
      <c r="E27" s="380"/>
      <c r="F27" s="381"/>
      <c r="G27" s="390"/>
      <c r="H27" s="391"/>
      <c r="I27" s="391"/>
      <c r="J27" s="391"/>
      <c r="K27" s="391"/>
      <c r="L27" s="391"/>
      <c r="M27" s="391"/>
      <c r="N27" s="391"/>
      <c r="O27" s="391"/>
      <c r="P27" s="391"/>
      <c r="Q27" s="391"/>
    </row>
    <row r="28" spans="1:17">
      <c r="A28" s="451"/>
      <c r="B28" s="451"/>
      <c r="C28" s="391"/>
      <c r="D28" s="437"/>
      <c r="E28" s="380"/>
      <c r="F28" s="381"/>
      <c r="G28" s="390"/>
      <c r="H28" s="391"/>
      <c r="I28" s="391"/>
      <c r="J28" s="391"/>
      <c r="K28" s="391"/>
      <c r="L28" s="391"/>
      <c r="M28" s="391"/>
      <c r="N28" s="391"/>
      <c r="O28" s="391"/>
      <c r="P28" s="391"/>
      <c r="Q28" s="391"/>
    </row>
    <row r="29" spans="1:17">
      <c r="A29" s="451"/>
      <c r="B29" s="451"/>
      <c r="C29" s="391"/>
      <c r="D29" s="437"/>
      <c r="E29" s="380"/>
      <c r="F29" s="381"/>
      <c r="G29" s="390"/>
      <c r="H29" s="391"/>
      <c r="I29" s="391"/>
      <c r="J29" s="391"/>
      <c r="K29" s="391"/>
      <c r="L29" s="391"/>
      <c r="M29" s="391"/>
      <c r="N29" s="391"/>
      <c r="O29" s="391"/>
      <c r="P29" s="391"/>
      <c r="Q29" s="391"/>
    </row>
    <row r="30" spans="1:17">
      <c r="A30" s="451"/>
      <c r="B30" s="451"/>
      <c r="C30" s="457" t="s">
        <v>1534</v>
      </c>
      <c r="D30" s="437"/>
      <c r="E30" s="380"/>
      <c r="F30" s="381"/>
      <c r="G30" s="390"/>
      <c r="H30" s="391"/>
      <c r="I30" s="391"/>
      <c r="J30" s="391"/>
      <c r="K30" s="391"/>
      <c r="L30" s="391"/>
      <c r="M30" s="391"/>
      <c r="N30" s="391"/>
      <c r="O30" s="391"/>
      <c r="P30" s="391"/>
      <c r="Q30" s="391"/>
    </row>
    <row r="31" spans="1:17">
      <c r="A31" s="451"/>
      <c r="B31" s="451"/>
      <c r="C31" s="457" t="s">
        <v>1534</v>
      </c>
      <c r="D31" s="437"/>
      <c r="E31" s="380"/>
      <c r="F31" s="381"/>
      <c r="G31" s="390"/>
      <c r="H31" s="391"/>
      <c r="I31" s="391"/>
      <c r="J31" s="391"/>
      <c r="K31" s="391"/>
      <c r="L31" s="391"/>
      <c r="M31" s="391"/>
      <c r="N31" s="391"/>
      <c r="O31" s="391"/>
      <c r="P31" s="391"/>
      <c r="Q31" s="391"/>
    </row>
    <row r="32" spans="1:17">
      <c r="A32" s="451"/>
      <c r="B32" s="451"/>
      <c r="C32" s="457" t="s">
        <v>1534</v>
      </c>
      <c r="D32" s="437"/>
      <c r="E32" s="380"/>
      <c r="F32" s="381"/>
      <c r="G32" s="390"/>
      <c r="H32" s="391"/>
      <c r="I32" s="391"/>
      <c r="J32" s="391"/>
      <c r="K32" s="391"/>
      <c r="L32" s="391"/>
      <c r="M32" s="391"/>
      <c r="N32" s="391"/>
      <c r="O32" s="391"/>
      <c r="P32" s="391"/>
      <c r="Q32" s="391"/>
    </row>
    <row r="33" spans="1:17">
      <c r="A33" s="451"/>
      <c r="B33" s="451"/>
      <c r="C33" s="457" t="s">
        <v>1534</v>
      </c>
      <c r="D33" s="437"/>
      <c r="E33" s="380"/>
      <c r="F33" s="381"/>
      <c r="G33" s="390"/>
      <c r="H33" s="391"/>
      <c r="I33" s="391"/>
      <c r="J33" s="391"/>
      <c r="K33" s="391"/>
      <c r="L33" s="391"/>
      <c r="M33" s="391"/>
      <c r="N33" s="391"/>
      <c r="O33" s="391"/>
      <c r="P33" s="391"/>
      <c r="Q33" s="391"/>
    </row>
    <row r="34" spans="1:17">
      <c r="A34" s="505" t="s">
        <v>281</v>
      </c>
      <c r="B34" s="505"/>
      <c r="C34" s="494"/>
      <c r="D34" s="494"/>
      <c r="E34" s="494"/>
      <c r="F34" s="494"/>
      <c r="G34" s="494"/>
      <c r="H34" s="495"/>
      <c r="I34" s="495"/>
      <c r="J34" s="495"/>
      <c r="K34" s="495"/>
      <c r="L34" s="495"/>
      <c r="M34" s="495"/>
      <c r="N34" s="495"/>
      <c r="O34" s="495"/>
      <c r="P34" s="495"/>
      <c r="Q34" s="495"/>
    </row>
  </sheetData>
  <mergeCells count="11">
    <mergeCell ref="A5:D5"/>
    <mergeCell ref="F16:Q16"/>
    <mergeCell ref="A9:A10"/>
    <mergeCell ref="A16:A17"/>
    <mergeCell ref="B9:B10"/>
    <mergeCell ref="B16:B17"/>
    <mergeCell ref="C9:C10"/>
    <mergeCell ref="C16:C17"/>
    <mergeCell ref="D16:D17"/>
    <mergeCell ref="E16:E17"/>
    <mergeCell ref="A1:D4"/>
  </mergeCells>
  <hyperlinks>
    <hyperlink ref="A1" location="目录!A1" display="← 返回目录"/>
  </hyperlinks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>
    <tabColor theme="2" tint="-0.249977111117893"/>
  </sheetPr>
  <dimension ref="A1:XFD34"/>
  <sheetViews>
    <sheetView workbookViewId="0">
      <selection activeCell="A1" sqref="A1:D4"/>
    </sheetView>
  </sheetViews>
  <sheetFormatPr defaultColWidth="8.725" defaultRowHeight="11.25"/>
  <cols>
    <col min="1" max="1" width="8.725" style="159"/>
    <col min="2" max="2" width="10.1833333333333" style="159" customWidth="1"/>
    <col min="3" max="3" width="15" style="159" customWidth="1"/>
    <col min="4" max="4" width="14.875" style="159" customWidth="1"/>
    <col min="5" max="6" width="12.45" style="159" customWidth="1"/>
    <col min="7" max="7" width="9.725" style="159" customWidth="1"/>
    <col min="8" max="8" width="9.81666666666667" style="159" customWidth="1"/>
    <col min="9" max="16384" width="8.725" style="159"/>
  </cols>
  <sheetData>
    <row r="1" ht="12" customHeight="1" spans="1:41 16381:16384">
      <c r="A1" s="202" t="s">
        <v>185</v>
      </c>
      <c r="B1" s="492"/>
      <c r="C1" s="492"/>
      <c r="D1" s="492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ht="12" customHeight="1" spans="1:41 16381:16384">
      <c r="A2" s="492"/>
      <c r="B2" s="492"/>
      <c r="C2" s="492"/>
      <c r="D2" s="492"/>
      <c r="E2" s="12"/>
      <c r="F2" s="13" t="s">
        <v>1954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ht="12" customHeight="1" spans="1:41 16381:16384">
      <c r="A3" s="492"/>
      <c r="B3" s="492"/>
      <c r="C3" s="492"/>
      <c r="D3" s="492"/>
      <c r="E3" s="12"/>
      <c r="F3" s="13" t="s">
        <v>1955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ht="12" customHeight="1" spans="1:41 16381:16384">
      <c r="A4" s="492"/>
      <c r="B4" s="492"/>
      <c r="C4" s="492"/>
      <c r="D4" s="492"/>
      <c r="E4" s="12"/>
      <c r="F4" s="13" t="s">
        <v>1408</v>
      </c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pans="1:41 16381:16384">
      <c r="A5" s="292" t="s">
        <v>1451</v>
      </c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ht="13.5" spans="1:41 16381:16384">
      <c r="A6" s="1"/>
      <c r="B6" s="1"/>
      <c r="C6" s="1"/>
      <c r="D6" s="1"/>
      <c r="E6"/>
      <c r="F6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ht="13.5" spans="1:41 16381:16384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9" spans="1:41 16381:16384">
      <c r="A9" s="377" t="s">
        <v>5</v>
      </c>
      <c r="B9" s="332" t="s">
        <v>1925</v>
      </c>
      <c r="C9" s="332" t="s">
        <v>281</v>
      </c>
      <c r="D9" s="442"/>
      <c r="E9" s="442"/>
      <c r="F9" s="442"/>
      <c r="G9" s="442"/>
      <c r="H9" s="442"/>
      <c r="I9" s="442"/>
      <c r="J9" s="442"/>
      <c r="K9" s="442"/>
      <c r="L9" s="442"/>
      <c r="M9" s="442"/>
      <c r="N9" s="442"/>
      <c r="O9" s="442"/>
    </row>
    <row r="10" spans="1:41 16381:16384">
      <c r="A10" s="377"/>
      <c r="B10" s="338"/>
      <c r="C10" s="338"/>
      <c r="D10" s="315" t="s">
        <v>304</v>
      </c>
      <c r="E10" s="315" t="s">
        <v>305</v>
      </c>
      <c r="F10" s="315" t="s">
        <v>306</v>
      </c>
      <c r="G10" s="315" t="s">
        <v>307</v>
      </c>
      <c r="H10" s="315" t="s">
        <v>308</v>
      </c>
      <c r="I10" s="315" t="s">
        <v>309</v>
      </c>
      <c r="J10" s="315" t="s">
        <v>310</v>
      </c>
      <c r="K10" s="315" t="s">
        <v>311</v>
      </c>
      <c r="L10" s="315" t="s">
        <v>312</v>
      </c>
      <c r="M10" s="315" t="s">
        <v>313</v>
      </c>
      <c r="N10" s="315" t="s">
        <v>314</v>
      </c>
      <c r="O10" s="315" t="s">
        <v>315</v>
      </c>
    </row>
    <row r="11" spans="1:41 16381:16384">
      <c r="A11" s="496" t="s">
        <v>1463</v>
      </c>
      <c r="B11" s="410">
        <v>2025</v>
      </c>
      <c r="C11" s="410" t="s">
        <v>199</v>
      </c>
      <c r="D11" s="315" t="s">
        <v>1421</v>
      </c>
      <c r="E11" s="315" t="s">
        <v>1421</v>
      </c>
      <c r="F11" s="315" t="s">
        <v>1421</v>
      </c>
      <c r="G11" s="315" t="s">
        <v>1421</v>
      </c>
      <c r="H11" s="315" t="s">
        <v>1421</v>
      </c>
      <c r="I11" s="315" t="s">
        <v>1421</v>
      </c>
      <c r="J11" s="315" t="s">
        <v>1421</v>
      </c>
      <c r="K11" s="315" t="s">
        <v>1421</v>
      </c>
      <c r="L11" s="315" t="s">
        <v>1421</v>
      </c>
      <c r="M11" s="315" t="s">
        <v>1421</v>
      </c>
      <c r="N11" s="315" t="s">
        <v>1421</v>
      </c>
      <c r="O11" s="315" t="s">
        <v>1421</v>
      </c>
    </row>
    <row r="12" customFormat="1" ht="13.5" spans="1:41 16381:16384">
      <c r="A12" s="496"/>
      <c r="B12" s="410">
        <v>2026</v>
      </c>
      <c r="C12" s="410"/>
      <c r="D12" s="315" t="s">
        <v>1956</v>
      </c>
      <c r="E12" s="410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444"/>
      <c r="Q12" s="444"/>
      <c r="R12" s="444"/>
      <c r="S12" s="444"/>
      <c r="T12" s="444"/>
      <c r="U12" s="444"/>
      <c r="V12" s="444"/>
      <c r="W12" s="444"/>
      <c r="X12" s="444"/>
      <c r="Y12" s="444"/>
      <c r="Z12" s="444"/>
      <c r="AA12" s="444"/>
      <c r="AB12" s="444"/>
      <c r="AC12" s="444"/>
      <c r="AD12" s="444"/>
      <c r="AE12" s="444"/>
      <c r="AF12" s="444"/>
      <c r="AG12" s="444"/>
      <c r="AH12" s="444"/>
      <c r="AI12" s="444"/>
      <c r="AJ12" s="444"/>
      <c r="AK12" s="444"/>
      <c r="AL12" s="444"/>
      <c r="AM12" s="444"/>
      <c r="AN12" s="444"/>
      <c r="AO12" s="444"/>
      <c r="XFA12" s="159"/>
      <c r="XFB12" s="159"/>
      <c r="XFC12" s="159"/>
      <c r="XFD12" s="159"/>
    </row>
    <row r="13" customFormat="1" ht="13.5" spans="1:41 16381:16384">
      <c r="A13" s="496"/>
      <c r="B13" s="410" t="s">
        <v>287</v>
      </c>
      <c r="C13" s="410"/>
      <c r="D13" s="410"/>
      <c r="E13" s="410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444"/>
      <c r="Q13" s="444"/>
      <c r="R13" s="444"/>
      <c r="S13" s="444"/>
      <c r="T13" s="444"/>
      <c r="U13" s="444"/>
      <c r="V13" s="444"/>
      <c r="W13" s="444"/>
      <c r="X13" s="444"/>
      <c r="Y13" s="444"/>
      <c r="Z13" s="444"/>
      <c r="AA13" s="444"/>
      <c r="AB13" s="444"/>
      <c r="AC13" s="444"/>
      <c r="AD13" s="444"/>
      <c r="AE13" s="444"/>
      <c r="AF13" s="444"/>
      <c r="AG13" s="444"/>
      <c r="AH13" s="444"/>
      <c r="AI13" s="444"/>
      <c r="AJ13" s="444"/>
      <c r="AK13" s="444"/>
      <c r="AL13" s="444"/>
      <c r="AM13" s="444"/>
      <c r="AN13" s="444"/>
      <c r="AO13" s="444"/>
      <c r="XFA13" s="159"/>
      <c r="XFB13" s="159"/>
      <c r="XFC13" s="159"/>
      <c r="XFD13" s="159"/>
    </row>
    <row r="14" s="376" customFormat="1" spans="1:41 16381:16384">
      <c r="A14" s="375"/>
      <c r="B14" s="375"/>
      <c r="C14" s="375"/>
      <c r="D14" s="375"/>
      <c r="E14" s="375"/>
      <c r="F14" s="375"/>
      <c r="G14" s="375"/>
      <c r="H14" s="375" t="s">
        <v>1957</v>
      </c>
      <c r="I14" s="375"/>
      <c r="J14" s="375"/>
      <c r="Q14" s="497" t="s">
        <v>1958</v>
      </c>
    </row>
    <row r="15" spans="1:41 16381:16384">
      <c r="A15" s="377" t="s">
        <v>5</v>
      </c>
      <c r="B15" s="447" t="s">
        <v>1926</v>
      </c>
      <c r="C15" s="447" t="s">
        <v>278</v>
      </c>
      <c r="D15" s="447" t="s">
        <v>1772</v>
      </c>
      <c r="E15" s="332" t="s">
        <v>1459</v>
      </c>
      <c r="F15" s="461" t="s">
        <v>1959</v>
      </c>
      <c r="G15" s="461"/>
      <c r="H15" s="461"/>
      <c r="I15" s="461"/>
      <c r="J15" s="461"/>
      <c r="K15" s="461"/>
      <c r="L15" s="461"/>
      <c r="M15" s="461"/>
      <c r="N15" s="461"/>
      <c r="O15" s="461"/>
      <c r="P15" s="461"/>
      <c r="Q15" s="461"/>
    </row>
    <row r="16" spans="1:41 16381:16384">
      <c r="A16" s="377"/>
      <c r="B16" s="448"/>
      <c r="C16" s="448"/>
      <c r="D16" s="448"/>
      <c r="E16" s="338"/>
      <c r="F16" s="400" t="s">
        <v>304</v>
      </c>
      <c r="G16" s="400" t="s">
        <v>305</v>
      </c>
      <c r="H16" s="400" t="s">
        <v>306</v>
      </c>
      <c r="I16" s="400" t="s">
        <v>307</v>
      </c>
      <c r="J16" s="400" t="s">
        <v>308</v>
      </c>
      <c r="K16" s="400" t="s">
        <v>309</v>
      </c>
      <c r="L16" s="400" t="s">
        <v>310</v>
      </c>
      <c r="M16" s="400" t="s">
        <v>311</v>
      </c>
      <c r="N16" s="400" t="s">
        <v>312</v>
      </c>
      <c r="O16" s="400" t="s">
        <v>313</v>
      </c>
      <c r="P16" s="400" t="s">
        <v>314</v>
      </c>
      <c r="Q16" s="400" t="s">
        <v>315</v>
      </c>
    </row>
    <row r="17" spans="1:17">
      <c r="A17" s="496" t="s">
        <v>1463</v>
      </c>
      <c r="B17" s="496" t="s">
        <v>1463</v>
      </c>
      <c r="C17" s="496" t="s">
        <v>1465</v>
      </c>
      <c r="D17" s="496" t="s">
        <v>1465</v>
      </c>
      <c r="E17" s="410" t="s">
        <v>199</v>
      </c>
      <c r="F17" s="503" t="s">
        <v>1465</v>
      </c>
      <c r="G17" s="503" t="s">
        <v>1465</v>
      </c>
      <c r="H17" s="503" t="s">
        <v>1465</v>
      </c>
      <c r="I17" s="503" t="s">
        <v>1465</v>
      </c>
      <c r="J17" s="503" t="s">
        <v>1465</v>
      </c>
      <c r="K17" s="503" t="s">
        <v>1465</v>
      </c>
      <c r="L17" s="503" t="s">
        <v>1465</v>
      </c>
      <c r="M17" s="503" t="s">
        <v>1465</v>
      </c>
      <c r="N17" s="503" t="s">
        <v>1465</v>
      </c>
      <c r="O17" s="503" t="s">
        <v>1465</v>
      </c>
      <c r="P17" s="503" t="s">
        <v>1465</v>
      </c>
      <c r="Q17" s="503" t="s">
        <v>1465</v>
      </c>
    </row>
    <row r="18" spans="1:17">
      <c r="A18" s="451"/>
      <c r="B18" s="437" t="s">
        <v>1960</v>
      </c>
      <c r="C18" s="437" t="s">
        <v>1961</v>
      </c>
      <c r="D18" s="437"/>
      <c r="E18" s="380"/>
      <c r="F18" s="381"/>
      <c r="G18" s="390"/>
      <c r="H18" s="391"/>
      <c r="I18" s="391"/>
      <c r="J18" s="391"/>
      <c r="K18" s="391"/>
      <c r="L18" s="391"/>
      <c r="M18" s="391"/>
      <c r="N18" s="391"/>
      <c r="O18" s="391"/>
      <c r="P18" s="391"/>
      <c r="Q18" s="391"/>
    </row>
    <row r="19" spans="1:17">
      <c r="A19" s="451"/>
      <c r="B19" s="437"/>
      <c r="C19" s="437" t="s">
        <v>1962</v>
      </c>
      <c r="D19" s="437"/>
      <c r="E19" s="380"/>
      <c r="F19" s="381"/>
      <c r="G19" s="390"/>
      <c r="H19" s="391"/>
      <c r="I19" s="391"/>
      <c r="J19" s="391"/>
      <c r="K19" s="391"/>
      <c r="L19" s="391"/>
      <c r="M19" s="391"/>
      <c r="N19" s="391"/>
      <c r="O19" s="391"/>
      <c r="P19" s="391"/>
      <c r="Q19" s="391"/>
    </row>
    <row r="20" spans="1:17">
      <c r="A20" s="451"/>
      <c r="B20" s="437"/>
      <c r="C20" s="437" t="s">
        <v>1932</v>
      </c>
      <c r="D20" s="437"/>
      <c r="E20" s="380"/>
      <c r="F20" s="381"/>
      <c r="G20" s="390"/>
      <c r="H20" s="391"/>
      <c r="I20" s="391"/>
      <c r="J20" s="391"/>
      <c r="K20" s="391"/>
      <c r="L20" s="391"/>
      <c r="M20" s="391"/>
      <c r="N20" s="391"/>
      <c r="O20" s="391"/>
      <c r="P20" s="391"/>
      <c r="Q20" s="391"/>
    </row>
    <row r="21" spans="1:17">
      <c r="A21" s="451"/>
      <c r="B21" s="437" t="s">
        <v>1963</v>
      </c>
      <c r="C21" s="437" t="s">
        <v>1964</v>
      </c>
      <c r="D21" s="437"/>
      <c r="E21" s="380"/>
      <c r="F21" s="381"/>
      <c r="G21" s="390"/>
      <c r="H21" s="391"/>
      <c r="I21" s="391"/>
      <c r="J21" s="391"/>
      <c r="K21" s="391"/>
      <c r="L21" s="391"/>
      <c r="M21" s="391"/>
      <c r="N21" s="391"/>
      <c r="O21" s="391"/>
      <c r="P21" s="391"/>
      <c r="Q21" s="391"/>
    </row>
    <row r="22" spans="1:17">
      <c r="A22" s="451"/>
      <c r="B22" s="437"/>
      <c r="C22" s="437" t="s">
        <v>1965</v>
      </c>
      <c r="D22" s="437"/>
      <c r="E22" s="380"/>
      <c r="F22" s="381"/>
      <c r="G22" s="390"/>
      <c r="H22" s="391"/>
      <c r="I22" s="391"/>
      <c r="J22" s="391"/>
      <c r="K22" s="391"/>
      <c r="L22" s="391"/>
      <c r="M22" s="391"/>
      <c r="N22" s="391"/>
      <c r="O22" s="391"/>
      <c r="P22" s="391"/>
      <c r="Q22" s="391"/>
    </row>
    <row r="23" spans="1:17">
      <c r="A23" s="451"/>
      <c r="B23" s="437"/>
      <c r="C23" s="437" t="s">
        <v>1932</v>
      </c>
      <c r="D23" s="437"/>
      <c r="E23" s="380"/>
      <c r="F23" s="381"/>
      <c r="G23" s="390"/>
      <c r="H23" s="391"/>
      <c r="I23" s="391"/>
      <c r="J23" s="391"/>
      <c r="K23" s="391"/>
      <c r="L23" s="391"/>
      <c r="M23" s="391"/>
      <c r="N23" s="391"/>
      <c r="O23" s="391"/>
      <c r="P23" s="391"/>
      <c r="Q23" s="391"/>
    </row>
    <row r="24" spans="1:17">
      <c r="A24" s="451"/>
      <c r="B24" s="437" t="s">
        <v>1928</v>
      </c>
      <c r="C24" s="437" t="s">
        <v>1929</v>
      </c>
      <c r="D24" s="437"/>
      <c r="E24" s="380"/>
      <c r="F24" s="381"/>
      <c r="G24" s="390"/>
      <c r="H24" s="391"/>
      <c r="I24" s="391"/>
      <c r="J24" s="391"/>
      <c r="K24" s="391"/>
      <c r="L24" s="391"/>
      <c r="M24" s="391"/>
      <c r="N24" s="391"/>
      <c r="O24" s="391"/>
      <c r="P24" s="391"/>
      <c r="Q24" s="391"/>
    </row>
    <row r="25" spans="1:17">
      <c r="A25" s="451"/>
      <c r="B25" s="437"/>
      <c r="C25" s="437" t="s">
        <v>1932</v>
      </c>
      <c r="D25" s="437"/>
      <c r="E25" s="380"/>
      <c r="F25" s="381"/>
      <c r="G25" s="390"/>
      <c r="H25" s="391"/>
      <c r="I25" s="391"/>
      <c r="J25" s="391"/>
      <c r="K25" s="391"/>
      <c r="L25" s="391"/>
      <c r="M25" s="391"/>
      <c r="N25" s="391"/>
      <c r="O25" s="391"/>
      <c r="P25" s="391"/>
      <c r="Q25" s="391"/>
    </row>
    <row r="26" spans="1:17">
      <c r="A26" s="451"/>
      <c r="B26" s="437" t="s">
        <v>462</v>
      </c>
      <c r="C26" s="437" t="s">
        <v>1932</v>
      </c>
      <c r="D26" s="437"/>
      <c r="E26" s="380"/>
      <c r="F26" s="381"/>
      <c r="G26" s="390"/>
      <c r="H26" s="391"/>
      <c r="I26" s="391"/>
      <c r="J26" s="391"/>
      <c r="K26" s="391"/>
      <c r="L26" s="391"/>
      <c r="M26" s="391"/>
      <c r="N26" s="391"/>
      <c r="O26" s="391"/>
      <c r="P26" s="391"/>
      <c r="Q26" s="391"/>
    </row>
    <row r="27" spans="1:17">
      <c r="A27" s="451"/>
      <c r="B27" s="437"/>
      <c r="C27" s="437"/>
      <c r="D27" s="437"/>
      <c r="E27" s="380"/>
      <c r="F27" s="381"/>
      <c r="G27" s="390"/>
      <c r="H27" s="391"/>
      <c r="I27" s="391"/>
      <c r="J27" s="391"/>
      <c r="K27" s="391"/>
      <c r="L27" s="391"/>
      <c r="M27" s="391"/>
      <c r="N27" s="391"/>
      <c r="O27" s="391"/>
      <c r="P27" s="391"/>
      <c r="Q27" s="391"/>
    </row>
    <row r="28" spans="1:17">
      <c r="A28" s="451"/>
      <c r="B28" s="437"/>
      <c r="C28" s="437"/>
      <c r="D28" s="437"/>
      <c r="E28" s="380"/>
      <c r="F28" s="381"/>
      <c r="G28" s="390"/>
      <c r="H28" s="391"/>
      <c r="I28" s="391"/>
      <c r="J28" s="391"/>
      <c r="K28" s="391"/>
      <c r="L28" s="391"/>
      <c r="M28" s="391"/>
      <c r="N28" s="391"/>
      <c r="O28" s="391"/>
      <c r="P28" s="391"/>
      <c r="Q28" s="391"/>
    </row>
    <row r="29" spans="1:17">
      <c r="A29" s="451"/>
      <c r="B29" s="437"/>
      <c r="C29" s="437"/>
      <c r="D29" s="437"/>
      <c r="E29" s="380"/>
      <c r="F29" s="381"/>
      <c r="G29" s="390"/>
      <c r="H29" s="391"/>
      <c r="I29" s="391"/>
      <c r="J29" s="391"/>
      <c r="K29" s="391"/>
      <c r="L29" s="391"/>
      <c r="M29" s="391"/>
      <c r="N29" s="391"/>
      <c r="O29" s="391"/>
      <c r="P29" s="391"/>
      <c r="Q29" s="391"/>
    </row>
    <row r="30" spans="1:17">
      <c r="A30" s="451"/>
      <c r="B30" s="437"/>
      <c r="C30" s="437"/>
      <c r="D30" s="437"/>
      <c r="E30" s="380"/>
      <c r="F30" s="381"/>
      <c r="G30" s="390"/>
      <c r="H30" s="391"/>
      <c r="I30" s="391"/>
      <c r="J30" s="391"/>
      <c r="K30" s="391"/>
      <c r="L30" s="391"/>
      <c r="M30" s="391"/>
      <c r="N30" s="391"/>
      <c r="O30" s="391"/>
      <c r="P30" s="391"/>
      <c r="Q30" s="391"/>
    </row>
    <row r="31" spans="1:17">
      <c r="A31" s="451"/>
      <c r="B31" s="437"/>
      <c r="C31" s="437"/>
      <c r="D31" s="437"/>
      <c r="E31" s="380"/>
      <c r="F31" s="381"/>
      <c r="G31" s="390"/>
      <c r="H31" s="391"/>
      <c r="I31" s="391"/>
      <c r="J31" s="391"/>
      <c r="K31" s="391"/>
      <c r="L31" s="391"/>
      <c r="M31" s="391"/>
      <c r="N31" s="391"/>
      <c r="O31" s="391"/>
      <c r="P31" s="391"/>
      <c r="Q31" s="391"/>
    </row>
    <row r="32" spans="1:17">
      <c r="A32" s="451"/>
      <c r="B32" s="437"/>
      <c r="C32" s="437"/>
      <c r="D32" s="437"/>
      <c r="E32" s="380"/>
      <c r="F32" s="381"/>
      <c r="G32" s="390"/>
      <c r="H32" s="391"/>
      <c r="I32" s="391"/>
      <c r="J32" s="391"/>
      <c r="K32" s="391"/>
      <c r="L32" s="391"/>
      <c r="M32" s="391"/>
      <c r="N32" s="391"/>
      <c r="O32" s="391"/>
      <c r="P32" s="391"/>
      <c r="Q32" s="391"/>
    </row>
    <row r="33" spans="1:17">
      <c r="A33" s="451"/>
      <c r="B33" s="437"/>
      <c r="C33" s="437"/>
      <c r="D33" s="437"/>
      <c r="E33" s="380"/>
      <c r="F33" s="381"/>
      <c r="G33" s="390"/>
      <c r="H33" s="391"/>
      <c r="I33" s="391"/>
      <c r="J33" s="391"/>
      <c r="K33" s="391"/>
      <c r="L33" s="391"/>
      <c r="M33" s="391"/>
      <c r="N33" s="391"/>
      <c r="O33" s="391"/>
      <c r="P33" s="391"/>
      <c r="Q33" s="391"/>
    </row>
    <row r="34" spans="1:17">
      <c r="A34" s="505" t="s">
        <v>281</v>
      </c>
      <c r="B34" s="494"/>
      <c r="C34" s="494"/>
      <c r="D34" s="494"/>
      <c r="E34" s="494"/>
      <c r="F34" s="494"/>
      <c r="G34" s="494"/>
      <c r="H34" s="495"/>
      <c r="I34" s="495"/>
      <c r="J34" s="495"/>
      <c r="K34" s="495"/>
      <c r="L34" s="495"/>
      <c r="M34" s="495"/>
      <c r="N34" s="495"/>
      <c r="O34" s="495"/>
      <c r="P34" s="495"/>
      <c r="Q34" s="495"/>
    </row>
  </sheetData>
  <mergeCells count="11">
    <mergeCell ref="A5:D5"/>
    <mergeCell ref="F15:Q15"/>
    <mergeCell ref="A9:A10"/>
    <mergeCell ref="A15:A16"/>
    <mergeCell ref="B9:B10"/>
    <mergeCell ref="B15:B16"/>
    <mergeCell ref="C9:C10"/>
    <mergeCell ref="C15:C16"/>
    <mergeCell ref="D15:D16"/>
    <mergeCell ref="E15:E16"/>
    <mergeCell ref="A1:D4"/>
  </mergeCells>
  <hyperlinks>
    <hyperlink ref="A1" location="目录!A1" display="← 返回目录"/>
  </hyperlinks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>
    <tabColor theme="2" tint="-0.249977111117893"/>
  </sheetPr>
  <dimension ref="A1:XFD34"/>
  <sheetViews>
    <sheetView workbookViewId="0">
      <selection activeCell="A1" sqref="A1:D4"/>
    </sheetView>
  </sheetViews>
  <sheetFormatPr defaultColWidth="8.725" defaultRowHeight="11.25"/>
  <cols>
    <col min="1" max="1" width="8.725" style="159"/>
    <col min="2" max="2" width="18.0916666666667" style="159" customWidth="1"/>
    <col min="3" max="3" width="25.3666666666667" style="159" customWidth="1"/>
    <col min="4" max="4" width="12.725" style="159" customWidth="1"/>
    <col min="5" max="5" width="9.725" style="159" customWidth="1"/>
    <col min="6" max="6" width="9.81666666666667" style="159" customWidth="1"/>
    <col min="7" max="16384" width="8.725" style="159"/>
  </cols>
  <sheetData>
    <row r="1" spans="1:45 16381:16384">
      <c r="A1" s="202" t="s">
        <v>185</v>
      </c>
      <c r="B1" s="492"/>
      <c r="C1" s="492"/>
      <c r="D1" s="492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pans="1:45 16381:16384">
      <c r="A2" s="492"/>
      <c r="B2" s="492"/>
      <c r="C2" s="492"/>
      <c r="D2" s="492"/>
      <c r="E2" s="12"/>
      <c r="F2" s="13" t="s">
        <v>1966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pans="1:45 16381:16384">
      <c r="A3" s="492"/>
      <c r="B3" s="492"/>
      <c r="C3" s="492"/>
      <c r="D3" s="492"/>
      <c r="E3" s="12"/>
      <c r="F3" s="13" t="s">
        <v>1967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spans="1:45 16381:16384">
      <c r="A4" s="492"/>
      <c r="B4" s="492"/>
      <c r="C4" s="492"/>
      <c r="D4" s="492"/>
      <c r="E4" s="12"/>
      <c r="F4" s="13" t="s">
        <v>1408</v>
      </c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pans="1:45 16381:16384">
      <c r="A5" s="292" t="s">
        <v>1451</v>
      </c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ht="13.5" spans="1:45 16381:16384">
      <c r="A6" s="1"/>
      <c r="B6" s="1"/>
      <c r="C6" s="1"/>
      <c r="D6" s="1"/>
      <c r="E6"/>
      <c r="F6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ht="13.5" spans="1:45 16381:16384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9" spans="1:45 16381:16384">
      <c r="A9" s="377" t="s">
        <v>5</v>
      </c>
      <c r="B9" s="332" t="s">
        <v>1925</v>
      </c>
      <c r="C9" s="332" t="s">
        <v>281</v>
      </c>
      <c r="D9" s="442"/>
      <c r="E9" s="442"/>
      <c r="F9" s="442"/>
      <c r="G9" s="442"/>
      <c r="H9" s="442"/>
      <c r="I9" s="442"/>
      <c r="J9" s="442"/>
      <c r="K9" s="442"/>
      <c r="L9" s="442"/>
      <c r="M9" s="442"/>
      <c r="N9" s="442"/>
      <c r="O9" s="442"/>
    </row>
    <row r="10" spans="1:45 16381:16384">
      <c r="A10" s="377"/>
      <c r="B10" s="338"/>
      <c r="C10" s="338"/>
      <c r="D10" s="315" t="s">
        <v>304</v>
      </c>
      <c r="E10" s="315" t="s">
        <v>305</v>
      </c>
      <c r="F10" s="315" t="s">
        <v>306</v>
      </c>
      <c r="G10" s="315" t="s">
        <v>307</v>
      </c>
      <c r="H10" s="315" t="s">
        <v>308</v>
      </c>
      <c r="I10" s="315" t="s">
        <v>309</v>
      </c>
      <c r="J10" s="315" t="s">
        <v>310</v>
      </c>
      <c r="K10" s="315" t="s">
        <v>311</v>
      </c>
      <c r="L10" s="315" t="s">
        <v>312</v>
      </c>
      <c r="M10" s="315" t="s">
        <v>313</v>
      </c>
      <c r="N10" s="315" t="s">
        <v>314</v>
      </c>
      <c r="O10" s="315" t="s">
        <v>315</v>
      </c>
    </row>
    <row r="11" spans="1:45 16381:16384">
      <c r="A11" s="496" t="s">
        <v>1463</v>
      </c>
      <c r="B11" s="410">
        <v>2025</v>
      </c>
      <c r="C11" s="410" t="s">
        <v>199</v>
      </c>
      <c r="D11" s="315" t="s">
        <v>1421</v>
      </c>
      <c r="E11" s="315" t="s">
        <v>1421</v>
      </c>
      <c r="F11" s="315" t="s">
        <v>1421</v>
      </c>
      <c r="G11" s="315" t="s">
        <v>1421</v>
      </c>
      <c r="H11" s="315" t="s">
        <v>1421</v>
      </c>
      <c r="I11" s="315" t="s">
        <v>1421</v>
      </c>
      <c r="J11" s="315" t="s">
        <v>1421</v>
      </c>
      <c r="K11" s="315" t="s">
        <v>1421</v>
      </c>
      <c r="L11" s="315" t="s">
        <v>1421</v>
      </c>
      <c r="M11" s="315" t="s">
        <v>1421</v>
      </c>
      <c r="N11" s="315" t="s">
        <v>1421</v>
      </c>
      <c r="O11" s="315" t="s">
        <v>1421</v>
      </c>
    </row>
    <row r="12" customFormat="1" ht="13.5" spans="1:45 16381:16384">
      <c r="A12" s="496"/>
      <c r="B12" s="410">
        <v>2026</v>
      </c>
      <c r="C12" s="410"/>
      <c r="D12" s="315" t="s">
        <v>1956</v>
      </c>
      <c r="E12" s="410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444"/>
      <c r="Q12" s="444"/>
      <c r="R12" s="444"/>
      <c r="S12" s="444"/>
      <c r="T12" s="444"/>
      <c r="U12" s="444"/>
      <c r="V12" s="444"/>
      <c r="W12" s="444"/>
      <c r="X12" s="444"/>
      <c r="Y12" s="444"/>
      <c r="Z12" s="444"/>
      <c r="AA12" s="444"/>
      <c r="AB12" s="444"/>
      <c r="AC12" s="444"/>
      <c r="AD12" s="444"/>
      <c r="AE12" s="444"/>
      <c r="AF12" s="444"/>
      <c r="AG12" s="444"/>
      <c r="AH12" s="444"/>
      <c r="AI12" s="444"/>
      <c r="AJ12" s="444"/>
      <c r="AK12" s="444"/>
      <c r="AL12" s="444"/>
      <c r="AM12" s="444"/>
      <c r="AN12" s="444"/>
      <c r="AO12" s="444"/>
      <c r="XFA12" s="159"/>
      <c r="XFB12" s="159"/>
      <c r="XFC12" s="159"/>
      <c r="XFD12" s="159"/>
    </row>
    <row r="13" customFormat="1" ht="13.5" spans="1:45 16381:16384">
      <c r="A13" s="496"/>
      <c r="B13" s="410" t="s">
        <v>287</v>
      </c>
      <c r="C13" s="410"/>
      <c r="D13" s="410"/>
      <c r="E13" s="410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444"/>
      <c r="Q13" s="444"/>
      <c r="R13" s="444"/>
      <c r="S13" s="444"/>
      <c r="T13" s="444"/>
      <c r="U13" s="444"/>
      <c r="V13" s="444"/>
      <c r="W13" s="444"/>
      <c r="X13" s="444"/>
      <c r="Y13" s="444"/>
      <c r="Z13" s="444"/>
      <c r="AA13" s="444"/>
      <c r="AB13" s="444"/>
      <c r="AC13" s="444"/>
      <c r="AD13" s="444"/>
      <c r="AE13" s="444"/>
      <c r="AF13" s="444"/>
      <c r="AG13" s="444"/>
      <c r="AH13" s="444"/>
      <c r="AI13" s="444"/>
      <c r="AJ13" s="444"/>
      <c r="AK13" s="444"/>
      <c r="AL13" s="444"/>
      <c r="AM13" s="444"/>
      <c r="AN13" s="444"/>
      <c r="AO13" s="444"/>
      <c r="XFA13" s="159"/>
      <c r="XFB13" s="159"/>
      <c r="XFC13" s="159"/>
      <c r="XFD13" s="159"/>
    </row>
    <row r="14" s="376" customFormat="1" spans="1:45 16381:16384">
      <c r="A14" s="375"/>
      <c r="B14" s="375"/>
      <c r="C14" s="375"/>
      <c r="D14" s="497"/>
      <c r="E14" s="375"/>
      <c r="F14" s="375"/>
      <c r="G14" s="375"/>
      <c r="H14" s="375"/>
    </row>
    <row r="15" ht="14" customHeight="1" spans="1:45 16381:16384">
      <c r="A15" s="447" t="s">
        <v>5</v>
      </c>
      <c r="B15" s="447" t="s">
        <v>1968</v>
      </c>
      <c r="C15" s="447" t="s">
        <v>1772</v>
      </c>
      <c r="D15" s="447" t="s">
        <v>1927</v>
      </c>
      <c r="E15" s="332" t="s">
        <v>1969</v>
      </c>
      <c r="F15" s="461" t="s">
        <v>1427</v>
      </c>
      <c r="G15" s="461"/>
      <c r="H15" s="461"/>
      <c r="I15" s="461"/>
      <c r="J15" s="461"/>
      <c r="K15" s="461"/>
      <c r="L15" s="461"/>
      <c r="M15" s="461"/>
      <c r="N15" s="461"/>
      <c r="O15" s="461"/>
      <c r="P15" s="461"/>
      <c r="Q15" s="461"/>
      <c r="R15" s="461"/>
      <c r="S15" s="461"/>
      <c r="T15" s="461"/>
      <c r="U15" s="461"/>
      <c r="V15" s="461"/>
      <c r="W15" s="461"/>
      <c r="X15" s="461"/>
      <c r="Y15" s="461"/>
      <c r="Z15" s="461"/>
      <c r="AA15" s="461"/>
      <c r="AB15" s="461"/>
      <c r="AC15" s="461"/>
      <c r="AD15" s="461"/>
      <c r="AE15" s="461"/>
      <c r="AF15" s="461"/>
      <c r="AG15" s="461"/>
      <c r="AH15" s="461"/>
      <c r="AI15" s="461"/>
      <c r="AJ15" s="461"/>
      <c r="AK15" s="461"/>
      <c r="AL15" s="461"/>
      <c r="AM15" s="461"/>
      <c r="AN15" s="461"/>
      <c r="AO15" s="461"/>
      <c r="AP15" s="461"/>
      <c r="AQ15" s="461"/>
      <c r="AR15" s="461"/>
      <c r="AS15" s="461"/>
    </row>
    <row r="16" ht="14" customHeight="1" spans="1:45 16381:16384">
      <c r="A16" s="498"/>
      <c r="B16" s="498"/>
      <c r="C16" s="498"/>
      <c r="D16" s="498"/>
      <c r="E16" s="499"/>
      <c r="F16" s="500" t="s">
        <v>304</v>
      </c>
      <c r="G16" s="501"/>
      <c r="H16" s="502"/>
      <c r="I16" s="500" t="s">
        <v>305</v>
      </c>
      <c r="J16" s="501"/>
      <c r="K16" s="502"/>
      <c r="L16" s="500" t="s">
        <v>306</v>
      </c>
      <c r="M16" s="501"/>
      <c r="N16" s="502"/>
      <c r="O16" s="500" t="s">
        <v>307</v>
      </c>
      <c r="P16" s="501"/>
      <c r="Q16" s="502"/>
      <c r="R16" s="500" t="s">
        <v>308</v>
      </c>
      <c r="S16" s="501"/>
      <c r="T16" s="502"/>
      <c r="U16" s="500" t="s">
        <v>309</v>
      </c>
      <c r="V16" s="501"/>
      <c r="W16" s="502"/>
      <c r="X16" s="500" t="s">
        <v>310</v>
      </c>
      <c r="Y16" s="501"/>
      <c r="Z16" s="502"/>
      <c r="AA16" s="500" t="s">
        <v>311</v>
      </c>
      <c r="AB16" s="501"/>
      <c r="AC16" s="502"/>
      <c r="AD16" s="500" t="s">
        <v>312</v>
      </c>
      <c r="AE16" s="501"/>
      <c r="AF16" s="502"/>
      <c r="AG16" s="500" t="s">
        <v>313</v>
      </c>
      <c r="AH16" s="501"/>
      <c r="AI16" s="502"/>
      <c r="AJ16" s="500" t="s">
        <v>314</v>
      </c>
      <c r="AK16" s="501"/>
      <c r="AL16" s="502"/>
      <c r="AM16" s="500" t="s">
        <v>315</v>
      </c>
      <c r="AN16" s="501"/>
      <c r="AO16" s="502"/>
      <c r="AP16" s="461" t="s">
        <v>281</v>
      </c>
      <c r="AQ16" s="461"/>
      <c r="AR16" s="461"/>
      <c r="AS16" s="461"/>
    </row>
    <row r="17" spans="1:45">
      <c r="A17" s="448"/>
      <c r="B17" s="448"/>
      <c r="C17" s="448"/>
      <c r="D17" s="448"/>
      <c r="E17" s="338"/>
      <c r="F17" s="400" t="s">
        <v>1970</v>
      </c>
      <c r="G17" s="400" t="s">
        <v>301</v>
      </c>
      <c r="H17" s="400" t="s">
        <v>1971</v>
      </c>
      <c r="I17" s="400" t="s">
        <v>1970</v>
      </c>
      <c r="J17" s="400" t="s">
        <v>301</v>
      </c>
      <c r="K17" s="400" t="s">
        <v>1971</v>
      </c>
      <c r="L17" s="400" t="s">
        <v>1970</v>
      </c>
      <c r="M17" s="400" t="s">
        <v>301</v>
      </c>
      <c r="N17" s="400" t="s">
        <v>1971</v>
      </c>
      <c r="O17" s="400" t="s">
        <v>1970</v>
      </c>
      <c r="P17" s="400" t="s">
        <v>301</v>
      </c>
      <c r="Q17" s="400" t="s">
        <v>1971</v>
      </c>
      <c r="R17" s="400" t="s">
        <v>1970</v>
      </c>
      <c r="S17" s="400" t="s">
        <v>301</v>
      </c>
      <c r="T17" s="400" t="s">
        <v>1971</v>
      </c>
      <c r="U17" s="400" t="s">
        <v>1970</v>
      </c>
      <c r="V17" s="400" t="s">
        <v>301</v>
      </c>
      <c r="W17" s="400" t="s">
        <v>1971</v>
      </c>
      <c r="X17" s="400" t="s">
        <v>1970</v>
      </c>
      <c r="Y17" s="400" t="s">
        <v>301</v>
      </c>
      <c r="Z17" s="400" t="s">
        <v>1971</v>
      </c>
      <c r="AA17" s="400" t="s">
        <v>1970</v>
      </c>
      <c r="AB17" s="400" t="s">
        <v>301</v>
      </c>
      <c r="AC17" s="400" t="s">
        <v>1971</v>
      </c>
      <c r="AD17" s="400" t="s">
        <v>1970</v>
      </c>
      <c r="AE17" s="400" t="s">
        <v>301</v>
      </c>
      <c r="AF17" s="400" t="s">
        <v>1971</v>
      </c>
      <c r="AG17" s="400" t="s">
        <v>1970</v>
      </c>
      <c r="AH17" s="400" t="s">
        <v>301</v>
      </c>
      <c r="AI17" s="400" t="s">
        <v>1971</v>
      </c>
      <c r="AJ17" s="400" t="s">
        <v>1970</v>
      </c>
      <c r="AK17" s="400" t="s">
        <v>301</v>
      </c>
      <c r="AL17" s="400" t="s">
        <v>1971</v>
      </c>
      <c r="AM17" s="400" t="s">
        <v>1970</v>
      </c>
      <c r="AN17" s="400" t="s">
        <v>301</v>
      </c>
      <c r="AO17" s="400" t="s">
        <v>1971</v>
      </c>
      <c r="AP17" s="400" t="s">
        <v>1970</v>
      </c>
      <c r="AQ17" s="400" t="s">
        <v>301</v>
      </c>
      <c r="AR17" s="400" t="s">
        <v>1971</v>
      </c>
      <c r="AS17" s="400" t="s">
        <v>1972</v>
      </c>
    </row>
    <row r="18" spans="1:45">
      <c r="A18" s="496" t="s">
        <v>1463</v>
      </c>
      <c r="B18" s="496" t="s">
        <v>1463</v>
      </c>
      <c r="C18" s="496" t="s">
        <v>1465</v>
      </c>
      <c r="D18" s="496" t="s">
        <v>1465</v>
      </c>
      <c r="E18" s="410" t="s">
        <v>199</v>
      </c>
      <c r="F18" s="503" t="s">
        <v>1465</v>
      </c>
      <c r="G18" s="503" t="s">
        <v>1465</v>
      </c>
      <c r="H18" s="503" t="s">
        <v>1465</v>
      </c>
      <c r="I18" s="503" t="s">
        <v>1465</v>
      </c>
      <c r="J18" s="503" t="s">
        <v>1465</v>
      </c>
      <c r="K18" s="503" t="s">
        <v>1465</v>
      </c>
      <c r="L18" s="503" t="s">
        <v>1465</v>
      </c>
      <c r="M18" s="503" t="s">
        <v>1465</v>
      </c>
      <c r="N18" s="503" t="s">
        <v>1465</v>
      </c>
      <c r="O18" s="503" t="s">
        <v>1465</v>
      </c>
      <c r="P18" s="503" t="s">
        <v>1465</v>
      </c>
      <c r="Q18" s="503" t="s">
        <v>1465</v>
      </c>
      <c r="R18" s="503" t="s">
        <v>1465</v>
      </c>
      <c r="S18" s="503" t="s">
        <v>1465</v>
      </c>
      <c r="T18" s="503" t="s">
        <v>1465</v>
      </c>
      <c r="U18" s="503" t="s">
        <v>1465</v>
      </c>
      <c r="V18" s="503" t="s">
        <v>1465</v>
      </c>
      <c r="W18" s="503" t="s">
        <v>1465</v>
      </c>
      <c r="X18" s="503" t="s">
        <v>1465</v>
      </c>
      <c r="Y18" s="503" t="s">
        <v>1465</v>
      </c>
      <c r="Z18" s="503" t="s">
        <v>1465</v>
      </c>
      <c r="AA18" s="503" t="s">
        <v>1465</v>
      </c>
      <c r="AB18" s="503" t="s">
        <v>1465</v>
      </c>
      <c r="AC18" s="503" t="s">
        <v>1465</v>
      </c>
      <c r="AD18" s="503" t="s">
        <v>1465</v>
      </c>
      <c r="AE18" s="503" t="s">
        <v>1465</v>
      </c>
      <c r="AF18" s="503" t="s">
        <v>1465</v>
      </c>
      <c r="AG18" s="503" t="s">
        <v>1465</v>
      </c>
      <c r="AH18" s="503" t="s">
        <v>1465</v>
      </c>
      <c r="AI18" s="503" t="s">
        <v>1465</v>
      </c>
      <c r="AJ18" s="503" t="s">
        <v>1465</v>
      </c>
      <c r="AK18" s="503" t="s">
        <v>1465</v>
      </c>
      <c r="AL18" s="503" t="s">
        <v>1465</v>
      </c>
      <c r="AM18" s="503" t="s">
        <v>1465</v>
      </c>
      <c r="AN18" s="503" t="s">
        <v>1465</v>
      </c>
      <c r="AO18" s="503" t="s">
        <v>1465</v>
      </c>
      <c r="AP18" s="503" t="s">
        <v>199</v>
      </c>
      <c r="AQ18" s="503" t="s">
        <v>199</v>
      </c>
      <c r="AR18" s="503" t="s">
        <v>199</v>
      </c>
      <c r="AS18" s="503" t="s">
        <v>199</v>
      </c>
    </row>
    <row r="19" spans="1:45">
      <c r="A19" s="451"/>
      <c r="B19" s="437" t="s">
        <v>1973</v>
      </c>
      <c r="C19" s="437"/>
      <c r="D19" s="437"/>
      <c r="E19" s="380"/>
      <c r="F19" s="381"/>
      <c r="G19" s="381"/>
      <c r="H19" s="381"/>
      <c r="I19" s="390"/>
      <c r="J19" s="390"/>
      <c r="K19" s="390"/>
      <c r="L19" s="391"/>
      <c r="M19" s="391"/>
      <c r="N19" s="391"/>
      <c r="O19" s="391"/>
      <c r="P19" s="391"/>
      <c r="Q19" s="391"/>
      <c r="R19" s="391"/>
      <c r="S19" s="391"/>
      <c r="T19" s="391"/>
      <c r="U19" s="391"/>
      <c r="V19" s="391"/>
      <c r="W19" s="391"/>
      <c r="X19" s="391"/>
      <c r="Y19" s="391"/>
      <c r="Z19" s="391"/>
      <c r="AA19" s="391"/>
      <c r="AB19" s="391"/>
      <c r="AC19" s="391"/>
      <c r="AD19" s="391"/>
      <c r="AE19" s="391"/>
      <c r="AF19" s="391"/>
      <c r="AG19" s="391"/>
      <c r="AH19" s="391"/>
      <c r="AI19" s="391"/>
      <c r="AJ19" s="391"/>
      <c r="AK19" s="391"/>
      <c r="AL19" s="391"/>
      <c r="AM19" s="391"/>
      <c r="AN19" s="391"/>
      <c r="AO19" s="391"/>
      <c r="AP19" s="504"/>
      <c r="AQ19" s="504"/>
      <c r="AR19" s="504"/>
      <c r="AS19" s="504"/>
    </row>
    <row r="20" spans="1:45">
      <c r="A20" s="451"/>
      <c r="B20" s="437" t="s">
        <v>1974</v>
      </c>
      <c r="C20" s="437"/>
      <c r="D20" s="437"/>
      <c r="E20" s="380"/>
      <c r="F20" s="381"/>
      <c r="G20" s="381"/>
      <c r="H20" s="381"/>
      <c r="I20" s="390"/>
      <c r="J20" s="390"/>
      <c r="K20" s="390"/>
      <c r="L20" s="391"/>
      <c r="M20" s="391"/>
      <c r="N20" s="391"/>
      <c r="O20" s="391"/>
      <c r="P20" s="391"/>
      <c r="Q20" s="391"/>
      <c r="R20" s="391"/>
      <c r="S20" s="391"/>
      <c r="T20" s="391"/>
      <c r="U20" s="391"/>
      <c r="V20" s="391"/>
      <c r="W20" s="391"/>
      <c r="X20" s="391"/>
      <c r="Y20" s="391"/>
      <c r="Z20" s="391"/>
      <c r="AA20" s="391"/>
      <c r="AB20" s="391"/>
      <c r="AC20" s="391"/>
      <c r="AD20" s="391"/>
      <c r="AE20" s="391"/>
      <c r="AF20" s="391"/>
      <c r="AG20" s="391"/>
      <c r="AH20" s="391"/>
      <c r="AI20" s="391"/>
      <c r="AJ20" s="391"/>
      <c r="AK20" s="391"/>
      <c r="AL20" s="391"/>
      <c r="AM20" s="391"/>
      <c r="AN20" s="391"/>
      <c r="AO20" s="391"/>
      <c r="AP20" s="504"/>
      <c r="AQ20" s="504"/>
      <c r="AR20" s="504"/>
      <c r="AS20" s="504"/>
    </row>
    <row r="21" spans="1:45">
      <c r="A21" s="451"/>
      <c r="B21" s="437" t="s">
        <v>1975</v>
      </c>
      <c r="C21" s="437"/>
      <c r="D21" s="437"/>
      <c r="E21" s="380"/>
      <c r="F21" s="381"/>
      <c r="G21" s="381"/>
      <c r="H21" s="381"/>
      <c r="I21" s="390"/>
      <c r="J21" s="390"/>
      <c r="K21" s="390"/>
      <c r="L21" s="391"/>
      <c r="M21" s="391"/>
      <c r="N21" s="391"/>
      <c r="O21" s="391"/>
      <c r="P21" s="391"/>
      <c r="Q21" s="391"/>
      <c r="R21" s="391"/>
      <c r="S21" s="391"/>
      <c r="T21" s="391"/>
      <c r="U21" s="391"/>
      <c r="V21" s="391"/>
      <c r="W21" s="391"/>
      <c r="X21" s="391"/>
      <c r="Y21" s="391"/>
      <c r="Z21" s="391"/>
      <c r="AA21" s="391"/>
      <c r="AB21" s="391"/>
      <c r="AC21" s="391"/>
      <c r="AD21" s="391"/>
      <c r="AE21" s="391"/>
      <c r="AF21" s="391"/>
      <c r="AG21" s="391"/>
      <c r="AH21" s="391"/>
      <c r="AI21" s="391"/>
      <c r="AJ21" s="391"/>
      <c r="AK21" s="391"/>
      <c r="AL21" s="391"/>
      <c r="AM21" s="391"/>
      <c r="AN21" s="391"/>
      <c r="AO21" s="391"/>
      <c r="AP21" s="504"/>
      <c r="AQ21" s="504"/>
      <c r="AR21" s="504"/>
      <c r="AS21" s="504"/>
    </row>
    <row r="22" spans="1:45">
      <c r="A22" s="451"/>
      <c r="B22" s="437" t="s">
        <v>1976</v>
      </c>
      <c r="C22" s="437"/>
      <c r="D22" s="437"/>
      <c r="E22" s="380"/>
      <c r="F22" s="381"/>
      <c r="G22" s="381"/>
      <c r="H22" s="381"/>
      <c r="I22" s="390"/>
      <c r="J22" s="390"/>
      <c r="K22" s="390"/>
      <c r="L22" s="391"/>
      <c r="M22" s="391"/>
      <c r="N22" s="391"/>
      <c r="O22" s="391"/>
      <c r="P22" s="391"/>
      <c r="Q22" s="391"/>
      <c r="R22" s="391"/>
      <c r="S22" s="391"/>
      <c r="T22" s="391"/>
      <c r="U22" s="391"/>
      <c r="V22" s="391"/>
      <c r="W22" s="391"/>
      <c r="X22" s="391"/>
      <c r="Y22" s="391"/>
      <c r="Z22" s="391"/>
      <c r="AA22" s="391"/>
      <c r="AB22" s="391"/>
      <c r="AC22" s="391"/>
      <c r="AD22" s="391"/>
      <c r="AE22" s="391"/>
      <c r="AF22" s="391"/>
      <c r="AG22" s="391"/>
      <c r="AH22" s="391"/>
      <c r="AI22" s="391"/>
      <c r="AJ22" s="391"/>
      <c r="AK22" s="391"/>
      <c r="AL22" s="391"/>
      <c r="AM22" s="391"/>
      <c r="AN22" s="391"/>
      <c r="AO22" s="391"/>
      <c r="AP22" s="504"/>
      <c r="AQ22" s="504"/>
      <c r="AR22" s="504"/>
      <c r="AS22" s="504"/>
    </row>
    <row r="23" spans="1:45">
      <c r="A23" s="451"/>
      <c r="B23" s="437" t="s">
        <v>1977</v>
      </c>
      <c r="C23" s="437"/>
      <c r="D23" s="437"/>
      <c r="E23" s="380"/>
      <c r="F23" s="381"/>
      <c r="G23" s="381"/>
      <c r="H23" s="381"/>
      <c r="I23" s="390"/>
      <c r="J23" s="390"/>
      <c r="K23" s="390"/>
      <c r="L23" s="391"/>
      <c r="M23" s="391"/>
      <c r="N23" s="391"/>
      <c r="O23" s="391"/>
      <c r="P23" s="391"/>
      <c r="Q23" s="391"/>
      <c r="R23" s="391"/>
      <c r="S23" s="391"/>
      <c r="T23" s="391"/>
      <c r="U23" s="391"/>
      <c r="V23" s="391"/>
      <c r="W23" s="391"/>
      <c r="X23" s="391"/>
      <c r="Y23" s="391"/>
      <c r="Z23" s="391"/>
      <c r="AA23" s="391"/>
      <c r="AB23" s="391"/>
      <c r="AC23" s="391"/>
      <c r="AD23" s="391"/>
      <c r="AE23" s="391"/>
      <c r="AF23" s="391"/>
      <c r="AG23" s="391"/>
      <c r="AH23" s="391"/>
      <c r="AI23" s="391"/>
      <c r="AJ23" s="391"/>
      <c r="AK23" s="391"/>
      <c r="AL23" s="391"/>
      <c r="AM23" s="391"/>
      <c r="AN23" s="391"/>
      <c r="AO23" s="391"/>
      <c r="AP23" s="504"/>
      <c r="AQ23" s="504"/>
      <c r="AR23" s="504"/>
      <c r="AS23" s="504"/>
    </row>
    <row r="24" spans="1:45">
      <c r="A24" s="451"/>
      <c r="B24" s="437"/>
      <c r="C24" s="437"/>
      <c r="D24" s="437"/>
      <c r="E24" s="380"/>
      <c r="F24" s="381"/>
      <c r="G24" s="381"/>
      <c r="H24" s="381"/>
      <c r="I24" s="390"/>
      <c r="J24" s="390"/>
      <c r="K24" s="390"/>
      <c r="L24" s="391"/>
      <c r="M24" s="391"/>
      <c r="N24" s="391"/>
      <c r="O24" s="391"/>
      <c r="P24" s="391"/>
      <c r="Q24" s="391"/>
      <c r="R24" s="391"/>
      <c r="S24" s="391"/>
      <c r="T24" s="391"/>
      <c r="U24" s="391"/>
      <c r="V24" s="391"/>
      <c r="W24" s="391"/>
      <c r="X24" s="391"/>
      <c r="Y24" s="391"/>
      <c r="Z24" s="391"/>
      <c r="AA24" s="391"/>
      <c r="AB24" s="391"/>
      <c r="AC24" s="391"/>
      <c r="AD24" s="391"/>
      <c r="AE24" s="391"/>
      <c r="AF24" s="391"/>
      <c r="AG24" s="391"/>
      <c r="AH24" s="391"/>
      <c r="AI24" s="391"/>
      <c r="AJ24" s="391"/>
      <c r="AK24" s="391"/>
      <c r="AL24" s="391"/>
      <c r="AM24" s="391"/>
      <c r="AN24" s="391"/>
      <c r="AO24" s="391"/>
      <c r="AP24" s="504"/>
      <c r="AQ24" s="504"/>
      <c r="AR24" s="504"/>
      <c r="AS24" s="504"/>
    </row>
    <row r="25" spans="1:45">
      <c r="A25" s="451"/>
      <c r="B25" s="437"/>
      <c r="C25" s="437"/>
      <c r="D25" s="437"/>
      <c r="E25" s="380"/>
      <c r="F25" s="381"/>
      <c r="G25" s="381"/>
      <c r="H25" s="381"/>
      <c r="I25" s="390"/>
      <c r="J25" s="390"/>
      <c r="K25" s="390"/>
      <c r="L25" s="391"/>
      <c r="M25" s="391"/>
      <c r="N25" s="391"/>
      <c r="O25" s="391"/>
      <c r="P25" s="391"/>
      <c r="Q25" s="391"/>
      <c r="R25" s="391"/>
      <c r="S25" s="391"/>
      <c r="T25" s="391"/>
      <c r="U25" s="391"/>
      <c r="V25" s="391"/>
      <c r="W25" s="391"/>
      <c r="X25" s="391"/>
      <c r="Y25" s="391"/>
      <c r="Z25" s="391"/>
      <c r="AA25" s="391"/>
      <c r="AB25" s="391"/>
      <c r="AC25" s="391"/>
      <c r="AD25" s="391"/>
      <c r="AE25" s="391"/>
      <c r="AF25" s="391"/>
      <c r="AG25" s="391"/>
      <c r="AH25" s="391"/>
      <c r="AI25" s="391"/>
      <c r="AJ25" s="391"/>
      <c r="AK25" s="391"/>
      <c r="AL25" s="391"/>
      <c r="AM25" s="391"/>
      <c r="AN25" s="391"/>
      <c r="AO25" s="391"/>
      <c r="AP25" s="504"/>
      <c r="AQ25" s="504"/>
      <c r="AR25" s="504"/>
      <c r="AS25" s="504"/>
    </row>
    <row r="26" spans="1:45">
      <c r="A26" s="451"/>
      <c r="B26" s="437"/>
      <c r="C26" s="437"/>
      <c r="D26" s="437"/>
      <c r="E26" s="380"/>
      <c r="F26" s="381"/>
      <c r="G26" s="381"/>
      <c r="H26" s="381"/>
      <c r="I26" s="390"/>
      <c r="J26" s="390"/>
      <c r="K26" s="390"/>
      <c r="L26" s="391"/>
      <c r="M26" s="391"/>
      <c r="N26" s="391"/>
      <c r="O26" s="391"/>
      <c r="P26" s="391"/>
      <c r="Q26" s="391"/>
      <c r="R26" s="391"/>
      <c r="S26" s="391"/>
      <c r="T26" s="391"/>
      <c r="U26" s="391"/>
      <c r="V26" s="391"/>
      <c r="W26" s="391"/>
      <c r="X26" s="391"/>
      <c r="Y26" s="391"/>
      <c r="Z26" s="391"/>
      <c r="AA26" s="391"/>
      <c r="AB26" s="391"/>
      <c r="AC26" s="391"/>
      <c r="AD26" s="391"/>
      <c r="AE26" s="391"/>
      <c r="AF26" s="391"/>
      <c r="AG26" s="391"/>
      <c r="AH26" s="391"/>
      <c r="AI26" s="391"/>
      <c r="AJ26" s="391"/>
      <c r="AK26" s="391"/>
      <c r="AL26" s="391"/>
      <c r="AM26" s="391"/>
      <c r="AN26" s="391"/>
      <c r="AO26" s="391"/>
      <c r="AP26" s="504"/>
      <c r="AQ26" s="504"/>
      <c r="AR26" s="504"/>
      <c r="AS26" s="504"/>
    </row>
    <row r="27" spans="1:45">
      <c r="A27" s="451"/>
      <c r="B27" s="437"/>
      <c r="C27" s="437"/>
      <c r="D27" s="437"/>
      <c r="E27" s="380"/>
      <c r="F27" s="381"/>
      <c r="G27" s="381"/>
      <c r="H27" s="381"/>
      <c r="I27" s="390"/>
      <c r="J27" s="390"/>
      <c r="K27" s="390"/>
      <c r="L27" s="391"/>
      <c r="M27" s="391"/>
      <c r="N27" s="391"/>
      <c r="O27" s="391"/>
      <c r="P27" s="391"/>
      <c r="Q27" s="391"/>
      <c r="R27" s="391"/>
      <c r="S27" s="391"/>
      <c r="T27" s="391"/>
      <c r="U27" s="391"/>
      <c r="V27" s="391"/>
      <c r="W27" s="391"/>
      <c r="X27" s="391"/>
      <c r="Y27" s="391"/>
      <c r="Z27" s="391"/>
      <c r="AA27" s="391"/>
      <c r="AB27" s="391"/>
      <c r="AC27" s="391"/>
      <c r="AD27" s="391"/>
      <c r="AE27" s="391"/>
      <c r="AF27" s="391"/>
      <c r="AG27" s="391"/>
      <c r="AH27" s="391"/>
      <c r="AI27" s="391"/>
      <c r="AJ27" s="391"/>
      <c r="AK27" s="391"/>
      <c r="AL27" s="391"/>
      <c r="AM27" s="391"/>
      <c r="AN27" s="391"/>
      <c r="AO27" s="391"/>
      <c r="AP27" s="504"/>
      <c r="AQ27" s="504"/>
      <c r="AR27" s="504"/>
      <c r="AS27" s="504"/>
    </row>
    <row r="28" spans="1:45">
      <c r="A28" s="451"/>
      <c r="B28" s="437"/>
      <c r="C28" s="437"/>
      <c r="D28" s="437"/>
      <c r="E28" s="380"/>
      <c r="F28" s="381"/>
      <c r="G28" s="381"/>
      <c r="H28" s="381"/>
      <c r="I28" s="390"/>
      <c r="J28" s="390"/>
      <c r="K28" s="390"/>
      <c r="L28" s="391"/>
      <c r="M28" s="391"/>
      <c r="N28" s="391"/>
      <c r="O28" s="391"/>
      <c r="P28" s="391"/>
      <c r="Q28" s="391"/>
      <c r="R28" s="391"/>
      <c r="S28" s="391"/>
      <c r="T28" s="391"/>
      <c r="U28" s="391"/>
      <c r="V28" s="391"/>
      <c r="W28" s="391"/>
      <c r="X28" s="391"/>
      <c r="Y28" s="391"/>
      <c r="Z28" s="391"/>
      <c r="AA28" s="391"/>
      <c r="AB28" s="391"/>
      <c r="AC28" s="391"/>
      <c r="AD28" s="391"/>
      <c r="AE28" s="391"/>
      <c r="AF28" s="391"/>
      <c r="AG28" s="391"/>
      <c r="AH28" s="391"/>
      <c r="AI28" s="391"/>
      <c r="AJ28" s="391"/>
      <c r="AK28" s="391"/>
      <c r="AL28" s="391"/>
      <c r="AM28" s="391"/>
      <c r="AN28" s="391"/>
      <c r="AO28" s="391"/>
      <c r="AP28" s="504"/>
      <c r="AQ28" s="504"/>
      <c r="AR28" s="504"/>
      <c r="AS28" s="504"/>
    </row>
    <row r="29" spans="1:45">
      <c r="A29" s="451"/>
      <c r="B29" s="437"/>
      <c r="C29" s="437"/>
      <c r="D29" s="437"/>
      <c r="E29" s="380"/>
      <c r="F29" s="381"/>
      <c r="G29" s="381"/>
      <c r="H29" s="381"/>
      <c r="I29" s="390"/>
      <c r="J29" s="390"/>
      <c r="K29" s="390"/>
      <c r="L29" s="391"/>
      <c r="M29" s="391"/>
      <c r="N29" s="391"/>
      <c r="O29" s="391"/>
      <c r="P29" s="391"/>
      <c r="Q29" s="391"/>
      <c r="R29" s="391"/>
      <c r="S29" s="391"/>
      <c r="T29" s="391"/>
      <c r="U29" s="391"/>
      <c r="V29" s="391"/>
      <c r="W29" s="391"/>
      <c r="X29" s="391"/>
      <c r="Y29" s="391"/>
      <c r="Z29" s="391"/>
      <c r="AA29" s="391"/>
      <c r="AB29" s="391"/>
      <c r="AC29" s="391"/>
      <c r="AD29" s="391"/>
      <c r="AE29" s="391"/>
      <c r="AF29" s="391"/>
      <c r="AG29" s="391"/>
      <c r="AH29" s="391"/>
      <c r="AI29" s="391"/>
      <c r="AJ29" s="391"/>
      <c r="AK29" s="391"/>
      <c r="AL29" s="391"/>
      <c r="AM29" s="391"/>
      <c r="AN29" s="391"/>
      <c r="AO29" s="391"/>
      <c r="AP29" s="504"/>
      <c r="AQ29" s="504"/>
      <c r="AR29" s="504"/>
      <c r="AS29" s="504"/>
    </row>
    <row r="30" spans="1:45">
      <c r="A30" s="451"/>
      <c r="B30" s="437"/>
      <c r="C30" s="437"/>
      <c r="D30" s="437"/>
      <c r="E30" s="380"/>
      <c r="F30" s="381"/>
      <c r="G30" s="381"/>
      <c r="H30" s="381"/>
      <c r="I30" s="390"/>
      <c r="J30" s="390"/>
      <c r="K30" s="390"/>
      <c r="L30" s="391"/>
      <c r="M30" s="391"/>
      <c r="N30" s="391"/>
      <c r="O30" s="391"/>
      <c r="P30" s="391"/>
      <c r="Q30" s="391"/>
      <c r="R30" s="391"/>
      <c r="S30" s="391"/>
      <c r="T30" s="391"/>
      <c r="U30" s="391"/>
      <c r="V30" s="391"/>
      <c r="W30" s="391"/>
      <c r="X30" s="391"/>
      <c r="Y30" s="391"/>
      <c r="Z30" s="391"/>
      <c r="AA30" s="391"/>
      <c r="AB30" s="391"/>
      <c r="AC30" s="391"/>
      <c r="AD30" s="391"/>
      <c r="AE30" s="391"/>
      <c r="AF30" s="391"/>
      <c r="AG30" s="391"/>
      <c r="AH30" s="391"/>
      <c r="AI30" s="391"/>
      <c r="AJ30" s="391"/>
      <c r="AK30" s="391"/>
      <c r="AL30" s="391"/>
      <c r="AM30" s="391"/>
      <c r="AN30" s="391"/>
      <c r="AO30" s="391"/>
      <c r="AP30" s="504"/>
      <c r="AQ30" s="504"/>
      <c r="AR30" s="504"/>
      <c r="AS30" s="504"/>
    </row>
    <row r="31" spans="1:45">
      <c r="A31" s="451"/>
      <c r="B31" s="437"/>
      <c r="C31" s="437"/>
      <c r="D31" s="437"/>
      <c r="E31" s="380"/>
      <c r="F31" s="381"/>
      <c r="G31" s="381"/>
      <c r="H31" s="381"/>
      <c r="I31" s="390"/>
      <c r="J31" s="390"/>
      <c r="K31" s="390"/>
      <c r="L31" s="391"/>
      <c r="M31" s="391"/>
      <c r="N31" s="391"/>
      <c r="O31" s="391"/>
      <c r="P31" s="391"/>
      <c r="Q31" s="391"/>
      <c r="R31" s="391"/>
      <c r="S31" s="391"/>
      <c r="T31" s="391"/>
      <c r="U31" s="391"/>
      <c r="V31" s="391"/>
      <c r="W31" s="391"/>
      <c r="X31" s="391"/>
      <c r="Y31" s="391"/>
      <c r="Z31" s="391"/>
      <c r="AA31" s="391"/>
      <c r="AB31" s="391"/>
      <c r="AC31" s="391"/>
      <c r="AD31" s="391"/>
      <c r="AE31" s="391"/>
      <c r="AF31" s="391"/>
      <c r="AG31" s="391"/>
      <c r="AH31" s="391"/>
      <c r="AI31" s="391"/>
      <c r="AJ31" s="391"/>
      <c r="AK31" s="391"/>
      <c r="AL31" s="391"/>
      <c r="AM31" s="391"/>
      <c r="AN31" s="391"/>
      <c r="AO31" s="391"/>
      <c r="AP31" s="504"/>
      <c r="AQ31" s="504"/>
      <c r="AR31" s="504"/>
      <c r="AS31" s="504"/>
    </row>
    <row r="32" spans="1:45">
      <c r="A32" s="451"/>
      <c r="B32" s="437"/>
      <c r="C32" s="437"/>
      <c r="D32" s="437"/>
      <c r="E32" s="380"/>
      <c r="F32" s="381"/>
      <c r="G32" s="381"/>
      <c r="H32" s="381"/>
      <c r="I32" s="390"/>
      <c r="J32" s="390"/>
      <c r="K32" s="390"/>
      <c r="L32" s="391"/>
      <c r="M32" s="391"/>
      <c r="N32" s="391"/>
      <c r="O32" s="391"/>
      <c r="P32" s="391"/>
      <c r="Q32" s="391"/>
      <c r="R32" s="391"/>
      <c r="S32" s="391"/>
      <c r="T32" s="391"/>
      <c r="U32" s="391"/>
      <c r="V32" s="391"/>
      <c r="W32" s="391"/>
      <c r="X32" s="391"/>
      <c r="Y32" s="391"/>
      <c r="Z32" s="391"/>
      <c r="AA32" s="391"/>
      <c r="AB32" s="391"/>
      <c r="AC32" s="391"/>
      <c r="AD32" s="391"/>
      <c r="AE32" s="391"/>
      <c r="AF32" s="391"/>
      <c r="AG32" s="391"/>
      <c r="AH32" s="391"/>
      <c r="AI32" s="391"/>
      <c r="AJ32" s="391"/>
      <c r="AK32" s="391"/>
      <c r="AL32" s="391"/>
      <c r="AM32" s="391"/>
      <c r="AN32" s="391"/>
      <c r="AO32" s="391"/>
      <c r="AP32" s="504"/>
      <c r="AQ32" s="504"/>
      <c r="AR32" s="504"/>
      <c r="AS32" s="504"/>
    </row>
    <row r="33" spans="1:45">
      <c r="A33" s="451"/>
      <c r="B33" s="437"/>
      <c r="C33" s="437"/>
      <c r="D33" s="437"/>
      <c r="E33" s="380"/>
      <c r="F33" s="381"/>
      <c r="G33" s="381"/>
      <c r="H33" s="381"/>
      <c r="I33" s="390"/>
      <c r="J33" s="390"/>
      <c r="K33" s="390"/>
      <c r="L33" s="391"/>
      <c r="M33" s="391"/>
      <c r="N33" s="391"/>
      <c r="O33" s="391"/>
      <c r="P33" s="391"/>
      <c r="Q33" s="391"/>
      <c r="R33" s="391"/>
      <c r="S33" s="391"/>
      <c r="T33" s="391"/>
      <c r="U33" s="391"/>
      <c r="V33" s="391"/>
      <c r="W33" s="391"/>
      <c r="X33" s="391"/>
      <c r="Y33" s="391"/>
      <c r="Z33" s="391"/>
      <c r="AA33" s="391"/>
      <c r="AB33" s="391"/>
      <c r="AC33" s="391"/>
      <c r="AD33" s="391"/>
      <c r="AE33" s="391"/>
      <c r="AF33" s="391"/>
      <c r="AG33" s="391"/>
      <c r="AH33" s="391"/>
      <c r="AI33" s="391"/>
      <c r="AJ33" s="391"/>
      <c r="AK33" s="391"/>
      <c r="AL33" s="391"/>
      <c r="AM33" s="391"/>
      <c r="AN33" s="391"/>
      <c r="AO33" s="391"/>
      <c r="AP33" s="504"/>
      <c r="AQ33" s="504"/>
      <c r="AR33" s="504"/>
      <c r="AS33" s="504"/>
    </row>
    <row r="34" spans="1:45">
      <c r="A34" s="505" t="s">
        <v>281</v>
      </c>
      <c r="B34" s="494"/>
      <c r="C34" s="494"/>
      <c r="D34" s="494"/>
      <c r="E34" s="494"/>
      <c r="F34" s="494"/>
      <c r="G34" s="494"/>
      <c r="H34" s="494"/>
      <c r="I34" s="494"/>
      <c r="J34" s="494"/>
      <c r="K34" s="494"/>
      <c r="L34" s="495"/>
      <c r="M34" s="495"/>
      <c r="N34" s="495"/>
      <c r="O34" s="495"/>
      <c r="P34" s="495"/>
      <c r="Q34" s="495"/>
      <c r="R34" s="495"/>
      <c r="S34" s="495"/>
      <c r="T34" s="495"/>
      <c r="U34" s="495"/>
      <c r="V34" s="495"/>
      <c r="W34" s="495"/>
      <c r="X34" s="495"/>
      <c r="Y34" s="495"/>
      <c r="Z34" s="495"/>
      <c r="AA34" s="495"/>
      <c r="AB34" s="495"/>
      <c r="AC34" s="495"/>
      <c r="AD34" s="495"/>
      <c r="AE34" s="495"/>
      <c r="AF34" s="495"/>
      <c r="AG34" s="495"/>
      <c r="AH34" s="495"/>
      <c r="AI34" s="495"/>
      <c r="AJ34" s="495"/>
      <c r="AK34" s="495"/>
      <c r="AL34" s="495"/>
      <c r="AM34" s="495"/>
      <c r="AN34" s="495"/>
      <c r="AO34" s="495"/>
      <c r="AP34" s="495"/>
      <c r="AQ34" s="495"/>
      <c r="AR34" s="495"/>
      <c r="AS34" s="495"/>
    </row>
  </sheetData>
  <mergeCells count="24">
    <mergeCell ref="A5:D5"/>
    <mergeCell ref="F15:AS15"/>
    <mergeCell ref="F16:H16"/>
    <mergeCell ref="I16:K16"/>
    <mergeCell ref="L16:N16"/>
    <mergeCell ref="O16:Q16"/>
    <mergeCell ref="R16:T16"/>
    <mergeCell ref="U16:W16"/>
    <mergeCell ref="X16:Z16"/>
    <mergeCell ref="AA16:AC16"/>
    <mergeCell ref="AD16:AF16"/>
    <mergeCell ref="AG16:AI16"/>
    <mergeCell ref="AJ16:AL16"/>
    <mergeCell ref="AM16:AO16"/>
    <mergeCell ref="AP16:AS16"/>
    <mergeCell ref="A9:A10"/>
    <mergeCell ref="A15:A17"/>
    <mergeCell ref="B9:B10"/>
    <mergeCell ref="B15:B17"/>
    <mergeCell ref="C9:C10"/>
    <mergeCell ref="C15:C17"/>
    <mergeCell ref="D15:D17"/>
    <mergeCell ref="E15:E17"/>
    <mergeCell ref="A1:D4"/>
  </mergeCells>
  <hyperlinks>
    <hyperlink ref="A1" location="目录!A1" display="← 返回目录"/>
  </hyperlinks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>
    <tabColor theme="2" tint="-0.249977111117893"/>
  </sheetPr>
  <dimension ref="A1:Q27"/>
  <sheetViews>
    <sheetView workbookViewId="0">
      <selection activeCell="A1" sqref="A1:D4"/>
    </sheetView>
  </sheetViews>
  <sheetFormatPr defaultColWidth="8.725" defaultRowHeight="11.25"/>
  <cols>
    <col min="1" max="1" width="19.725" style="159" customWidth="1"/>
    <col min="2" max="2" width="16.75" style="159" customWidth="1"/>
    <col min="3" max="3" width="9.725" style="159" customWidth="1"/>
    <col min="4" max="4" width="9.81666666666667" style="159" customWidth="1"/>
    <col min="5" max="16384" width="8.725" style="159"/>
  </cols>
  <sheetData>
    <row r="1" spans="1:17">
      <c r="A1" s="202" t="s">
        <v>185</v>
      </c>
      <c r="B1" s="492"/>
      <c r="C1" s="492"/>
      <c r="D1" s="492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pans="1:17">
      <c r="A2" s="492"/>
      <c r="B2" s="492"/>
      <c r="C2" s="492"/>
      <c r="D2" s="492"/>
      <c r="E2" s="12"/>
      <c r="F2" s="13" t="s">
        <v>1659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pans="1:17">
      <c r="A3" s="492"/>
      <c r="B3" s="492"/>
      <c r="C3" s="492"/>
      <c r="D3" s="492"/>
      <c r="E3" s="12"/>
      <c r="F3" s="13" t="s">
        <v>1660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spans="1:17">
      <c r="A4" s="492"/>
      <c r="B4" s="492"/>
      <c r="C4" s="492"/>
      <c r="D4" s="492"/>
      <c r="E4" s="12"/>
      <c r="F4" s="13"/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pans="1:17">
      <c r="A5" s="292" t="s">
        <v>1978</v>
      </c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ht="13.5" spans="1:17">
      <c r="A6" s="1"/>
      <c r="B6" s="1"/>
      <c r="C6" s="1"/>
      <c r="D6" s="1"/>
      <c r="E6"/>
      <c r="F6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ht="13.5" spans="1:17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9" s="376" customFormat="1" spans="1:17">
      <c r="A9" s="375"/>
      <c r="B9" s="375"/>
      <c r="C9" s="375"/>
      <c r="D9" s="375"/>
      <c r="E9" s="375"/>
      <c r="F9" s="375"/>
    </row>
    <row r="10" spans="1:17">
      <c r="A10" s="410" t="s">
        <v>333</v>
      </c>
      <c r="B10" s="377" t="s">
        <v>1772</v>
      </c>
      <c r="C10" s="378" t="s">
        <v>1925</v>
      </c>
      <c r="D10" s="378" t="s">
        <v>281</v>
      </c>
      <c r="E10" s="315"/>
      <c r="F10" s="315"/>
      <c r="G10" s="315"/>
      <c r="H10" s="315"/>
      <c r="I10" s="315"/>
      <c r="J10" s="315"/>
      <c r="K10" s="315"/>
      <c r="L10" s="315"/>
      <c r="M10" s="315"/>
      <c r="N10" s="315"/>
      <c r="O10" s="315"/>
      <c r="P10" s="315"/>
    </row>
    <row r="11" spans="1:17">
      <c r="A11" s="410"/>
      <c r="B11" s="377"/>
      <c r="C11" s="378"/>
      <c r="D11" s="378"/>
      <c r="E11" s="315" t="s">
        <v>304</v>
      </c>
      <c r="F11" s="315" t="s">
        <v>305</v>
      </c>
      <c r="G11" s="315" t="s">
        <v>306</v>
      </c>
      <c r="H11" s="315" t="s">
        <v>307</v>
      </c>
      <c r="I11" s="315" t="s">
        <v>308</v>
      </c>
      <c r="J11" s="315" t="s">
        <v>309</v>
      </c>
      <c r="K11" s="315" t="s">
        <v>310</v>
      </c>
      <c r="L11" s="315" t="s">
        <v>311</v>
      </c>
      <c r="M11" s="315" t="s">
        <v>312</v>
      </c>
      <c r="N11" s="315" t="s">
        <v>313</v>
      </c>
      <c r="O11" s="315" t="s">
        <v>314</v>
      </c>
      <c r="P11" s="315" t="s">
        <v>315</v>
      </c>
    </row>
    <row r="12" spans="1:17">
      <c r="A12" s="437" t="s">
        <v>393</v>
      </c>
      <c r="B12" s="437"/>
      <c r="C12" s="380">
        <v>2025</v>
      </c>
      <c r="D12" s="380"/>
      <c r="E12" s="381" t="s">
        <v>1421</v>
      </c>
      <c r="F12" s="381" t="s">
        <v>1421</v>
      </c>
      <c r="G12" s="381" t="s">
        <v>1421</v>
      </c>
      <c r="H12" s="381" t="s">
        <v>1421</v>
      </c>
      <c r="I12" s="381" t="s">
        <v>1421</v>
      </c>
      <c r="J12" s="381" t="s">
        <v>1421</v>
      </c>
      <c r="K12" s="381" t="s">
        <v>1421</v>
      </c>
      <c r="L12" s="381" t="s">
        <v>1421</v>
      </c>
      <c r="M12" s="381" t="s">
        <v>1421</v>
      </c>
      <c r="N12" s="381" t="s">
        <v>1421</v>
      </c>
      <c r="O12" s="381" t="s">
        <v>1421</v>
      </c>
      <c r="P12" s="381" t="s">
        <v>1421</v>
      </c>
    </row>
    <row r="13" spans="1:17">
      <c r="A13" s="437"/>
      <c r="B13" s="437"/>
      <c r="C13" s="380">
        <v>2026</v>
      </c>
      <c r="D13" s="380"/>
      <c r="E13" s="493" t="s">
        <v>1465</v>
      </c>
      <c r="F13" s="493" t="s">
        <v>1465</v>
      </c>
      <c r="G13" s="493" t="s">
        <v>1465</v>
      </c>
      <c r="H13" s="493" t="s">
        <v>1465</v>
      </c>
      <c r="I13" s="493" t="s">
        <v>1465</v>
      </c>
      <c r="J13" s="493" t="s">
        <v>1465</v>
      </c>
      <c r="K13" s="493" t="s">
        <v>1465</v>
      </c>
      <c r="L13" s="493" t="s">
        <v>1465</v>
      </c>
      <c r="M13" s="493" t="s">
        <v>1465</v>
      </c>
      <c r="N13" s="493" t="s">
        <v>1465</v>
      </c>
      <c r="O13" s="493" t="s">
        <v>1465</v>
      </c>
      <c r="P13" s="493" t="s">
        <v>1465</v>
      </c>
    </row>
    <row r="14" spans="1:17">
      <c r="A14" s="437"/>
      <c r="B14" s="437"/>
      <c r="C14" s="380" t="s">
        <v>287</v>
      </c>
      <c r="D14" s="380"/>
      <c r="E14" s="381" t="s">
        <v>199</v>
      </c>
      <c r="F14" s="381" t="s">
        <v>199</v>
      </c>
      <c r="G14" s="381" t="s">
        <v>199</v>
      </c>
      <c r="H14" s="381" t="s">
        <v>199</v>
      </c>
      <c r="I14" s="381" t="s">
        <v>199</v>
      </c>
      <c r="J14" s="381" t="s">
        <v>199</v>
      </c>
      <c r="K14" s="381" t="s">
        <v>199</v>
      </c>
      <c r="L14" s="381" t="s">
        <v>199</v>
      </c>
      <c r="M14" s="381" t="s">
        <v>199</v>
      </c>
      <c r="N14" s="381" t="s">
        <v>199</v>
      </c>
      <c r="O14" s="381" t="s">
        <v>199</v>
      </c>
      <c r="P14" s="381" t="s">
        <v>199</v>
      </c>
    </row>
    <row r="15" spans="1:17">
      <c r="A15" s="437" t="s">
        <v>456</v>
      </c>
      <c r="B15" s="437"/>
      <c r="C15" s="380">
        <v>2025</v>
      </c>
      <c r="D15" s="380"/>
      <c r="E15" s="381" t="s">
        <v>1421</v>
      </c>
      <c r="F15" s="381" t="s">
        <v>1421</v>
      </c>
      <c r="G15" s="381" t="s">
        <v>1421</v>
      </c>
      <c r="H15" s="381" t="s">
        <v>1421</v>
      </c>
      <c r="I15" s="381" t="s">
        <v>1421</v>
      </c>
      <c r="J15" s="381" t="s">
        <v>1421</v>
      </c>
      <c r="K15" s="381" t="s">
        <v>1421</v>
      </c>
      <c r="L15" s="381" t="s">
        <v>1421</v>
      </c>
      <c r="M15" s="381" t="s">
        <v>1421</v>
      </c>
      <c r="N15" s="381" t="s">
        <v>1421</v>
      </c>
      <c r="O15" s="381" t="s">
        <v>1421</v>
      </c>
      <c r="P15" s="381" t="s">
        <v>1421</v>
      </c>
    </row>
    <row r="16" spans="1:17">
      <c r="A16" s="437"/>
      <c r="B16" s="437"/>
      <c r="C16" s="380">
        <v>2026</v>
      </c>
      <c r="D16" s="380"/>
      <c r="E16" s="493" t="s">
        <v>1465</v>
      </c>
      <c r="F16" s="493" t="s">
        <v>1465</v>
      </c>
      <c r="G16" s="493" t="s">
        <v>1465</v>
      </c>
      <c r="H16" s="493" t="s">
        <v>1465</v>
      </c>
      <c r="I16" s="493" t="s">
        <v>1465</v>
      </c>
      <c r="J16" s="493" t="s">
        <v>1465</v>
      </c>
      <c r="K16" s="493" t="s">
        <v>1465</v>
      </c>
      <c r="L16" s="493" t="s">
        <v>1465</v>
      </c>
      <c r="M16" s="493" t="s">
        <v>1465</v>
      </c>
      <c r="N16" s="493" t="s">
        <v>1465</v>
      </c>
      <c r="O16" s="493" t="s">
        <v>1465</v>
      </c>
      <c r="P16" s="493" t="s">
        <v>1465</v>
      </c>
    </row>
    <row r="17" spans="1:16">
      <c r="A17" s="437"/>
      <c r="B17" s="437"/>
      <c r="C17" s="380" t="s">
        <v>287</v>
      </c>
      <c r="D17" s="380"/>
      <c r="E17" s="381" t="s">
        <v>199</v>
      </c>
      <c r="F17" s="381" t="s">
        <v>199</v>
      </c>
      <c r="G17" s="381" t="s">
        <v>199</v>
      </c>
      <c r="H17" s="381" t="s">
        <v>199</v>
      </c>
      <c r="I17" s="381" t="s">
        <v>199</v>
      </c>
      <c r="J17" s="381" t="s">
        <v>199</v>
      </c>
      <c r="K17" s="381" t="s">
        <v>199</v>
      </c>
      <c r="L17" s="381" t="s">
        <v>199</v>
      </c>
      <c r="M17" s="381" t="s">
        <v>199</v>
      </c>
      <c r="N17" s="381" t="s">
        <v>199</v>
      </c>
      <c r="O17" s="381" t="s">
        <v>199</v>
      </c>
      <c r="P17" s="381" t="s">
        <v>199</v>
      </c>
    </row>
    <row r="18" spans="1:16">
      <c r="A18" s="437" t="s">
        <v>443</v>
      </c>
      <c r="B18" s="437"/>
      <c r="C18" s="380"/>
      <c r="D18" s="380"/>
      <c r="E18" s="381"/>
      <c r="F18" s="390"/>
      <c r="G18" s="391"/>
      <c r="H18" s="391"/>
      <c r="I18" s="391"/>
      <c r="J18" s="391"/>
      <c r="K18" s="391"/>
      <c r="L18" s="391"/>
      <c r="M18" s="391"/>
      <c r="N18" s="391"/>
      <c r="O18" s="391"/>
      <c r="P18" s="391"/>
    </row>
    <row r="19" spans="1:16">
      <c r="A19" s="437" t="s">
        <v>462</v>
      </c>
      <c r="B19" s="437"/>
      <c r="C19" s="380"/>
      <c r="D19" s="380"/>
      <c r="E19" s="381"/>
      <c r="F19" s="390"/>
      <c r="G19" s="391"/>
      <c r="H19" s="391"/>
      <c r="I19" s="391"/>
      <c r="J19" s="391"/>
      <c r="K19" s="391"/>
      <c r="L19" s="391"/>
      <c r="M19" s="391"/>
      <c r="N19" s="391"/>
      <c r="O19" s="391"/>
      <c r="P19" s="391"/>
    </row>
    <row r="20" spans="1:16">
      <c r="A20" s="437" t="s">
        <v>465</v>
      </c>
      <c r="B20" s="437"/>
      <c r="C20" s="380"/>
      <c r="D20" s="380"/>
      <c r="E20" s="381"/>
      <c r="F20" s="390"/>
      <c r="G20" s="391"/>
      <c r="H20" s="391"/>
      <c r="I20" s="391"/>
      <c r="J20" s="391"/>
      <c r="K20" s="391"/>
      <c r="L20" s="391"/>
      <c r="M20" s="391"/>
      <c r="N20" s="391"/>
      <c r="O20" s="391"/>
      <c r="P20" s="391"/>
    </row>
    <row r="21" spans="1:16">
      <c r="A21" s="437" t="s">
        <v>469</v>
      </c>
      <c r="B21" s="437"/>
      <c r="C21" s="380"/>
      <c r="D21" s="380"/>
      <c r="E21" s="381"/>
      <c r="F21" s="390"/>
      <c r="G21" s="391"/>
      <c r="H21" s="391"/>
      <c r="I21" s="391"/>
      <c r="J21" s="391"/>
      <c r="K21" s="391"/>
      <c r="L21" s="391"/>
      <c r="M21" s="391"/>
      <c r="N21" s="391"/>
      <c r="O21" s="391"/>
      <c r="P21" s="391"/>
    </row>
    <row r="22" spans="1:16">
      <c r="A22" s="437" t="s">
        <v>399</v>
      </c>
      <c r="B22" s="437"/>
      <c r="C22" s="380"/>
      <c r="D22" s="380"/>
      <c r="E22" s="381"/>
      <c r="F22" s="390"/>
      <c r="G22" s="391"/>
      <c r="H22" s="391"/>
      <c r="I22" s="391"/>
      <c r="J22" s="391"/>
      <c r="K22" s="391"/>
      <c r="L22" s="391"/>
      <c r="M22" s="391"/>
      <c r="N22" s="391"/>
      <c r="O22" s="391"/>
      <c r="P22" s="391"/>
    </row>
    <row r="23" spans="1:16">
      <c r="A23" s="437" t="s">
        <v>475</v>
      </c>
      <c r="B23" s="437"/>
      <c r="C23" s="380"/>
      <c r="D23" s="380"/>
      <c r="E23" s="381"/>
      <c r="F23" s="390"/>
      <c r="G23" s="391"/>
      <c r="H23" s="391"/>
      <c r="I23" s="391"/>
      <c r="J23" s="391"/>
      <c r="K23" s="391"/>
      <c r="L23" s="391"/>
      <c r="M23" s="391"/>
      <c r="N23" s="391"/>
      <c r="O23" s="391"/>
      <c r="P23" s="391"/>
    </row>
    <row r="24" spans="1:16">
      <c r="A24" s="437" t="s">
        <v>439</v>
      </c>
      <c r="B24" s="437"/>
      <c r="C24" s="380"/>
      <c r="D24" s="380"/>
      <c r="E24" s="381"/>
      <c r="F24" s="390"/>
      <c r="G24" s="391"/>
      <c r="H24" s="391"/>
      <c r="I24" s="391"/>
      <c r="J24" s="391"/>
      <c r="K24" s="391"/>
      <c r="L24" s="391"/>
      <c r="M24" s="391"/>
      <c r="N24" s="391"/>
      <c r="O24" s="391"/>
      <c r="P24" s="391"/>
    </row>
    <row r="25" spans="1:16">
      <c r="A25" s="437" t="s">
        <v>479</v>
      </c>
      <c r="B25" s="437"/>
      <c r="C25" s="380"/>
      <c r="D25" s="380"/>
      <c r="E25" s="381"/>
      <c r="F25" s="390"/>
      <c r="G25" s="391"/>
      <c r="H25" s="391"/>
      <c r="I25" s="391"/>
      <c r="J25" s="391"/>
      <c r="K25" s="391"/>
      <c r="L25" s="391"/>
      <c r="M25" s="391"/>
      <c r="N25" s="391"/>
      <c r="O25" s="391"/>
      <c r="P25" s="391"/>
    </row>
    <row r="26" spans="1:16">
      <c r="A26" s="437" t="s">
        <v>482</v>
      </c>
      <c r="B26" s="437"/>
      <c r="C26" s="380"/>
      <c r="D26" s="380"/>
      <c r="E26" s="381"/>
      <c r="F26" s="390"/>
      <c r="G26" s="391"/>
      <c r="H26" s="391"/>
      <c r="I26" s="391"/>
      <c r="J26" s="391"/>
      <c r="K26" s="391"/>
      <c r="L26" s="391"/>
      <c r="M26" s="391"/>
      <c r="N26" s="391"/>
      <c r="O26" s="391"/>
      <c r="P26" s="391"/>
    </row>
    <row r="27" spans="1:16">
      <c r="A27" s="494" t="s">
        <v>281</v>
      </c>
      <c r="B27" s="494"/>
      <c r="C27" s="494"/>
      <c r="D27" s="494"/>
      <c r="E27" s="494"/>
      <c r="F27" s="494"/>
      <c r="G27" s="495"/>
      <c r="H27" s="495"/>
      <c r="I27" s="495"/>
      <c r="J27" s="495"/>
      <c r="K27" s="495"/>
      <c r="L27" s="495"/>
      <c r="M27" s="495"/>
      <c r="N27" s="495"/>
      <c r="O27" s="495"/>
      <c r="P27" s="495"/>
    </row>
  </sheetData>
  <mergeCells count="9">
    <mergeCell ref="A5:D5"/>
    <mergeCell ref="E10:P10"/>
    <mergeCell ref="A10:A11"/>
    <mergeCell ref="A12:A14"/>
    <mergeCell ref="A15:A17"/>
    <mergeCell ref="B10:B11"/>
    <mergeCell ref="C10:C11"/>
    <mergeCell ref="D10:D11"/>
    <mergeCell ref="A1:D4"/>
  </mergeCells>
  <hyperlinks>
    <hyperlink ref="A1" location="目录!A1" display="← 返回目录"/>
  </hyperlinks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9">
    <tabColor theme="8" tint="0.399975585192419"/>
  </sheetPr>
  <dimension ref="A1:AP34"/>
  <sheetViews>
    <sheetView topLeftCell="A24" workbookViewId="0">
      <selection activeCell="A1" sqref="A1:D4"/>
    </sheetView>
  </sheetViews>
  <sheetFormatPr defaultColWidth="8.90833333333333" defaultRowHeight="13.5"/>
  <cols>
    <col min="1" max="1" width="21.9083333333333" customWidth="1"/>
    <col min="2" max="2" width="6.63333333333333" customWidth="1"/>
    <col min="3" max="3" width="27.45" customWidth="1"/>
  </cols>
  <sheetData>
    <row r="1" s="159" customFormat="1" ht="11.25" spans="1:42">
      <c r="A1" s="162" t="s">
        <v>185</v>
      </c>
      <c r="B1" s="291"/>
      <c r="C1" s="291"/>
      <c r="D1" s="291"/>
      <c r="E1" s="7" t="s">
        <v>1404</v>
      </c>
      <c r="F1" s="8" t="s">
        <v>1405</v>
      </c>
      <c r="G1" s="8"/>
      <c r="H1" s="8"/>
      <c r="U1" s="8"/>
      <c r="V1" s="8"/>
      <c r="W1" s="8"/>
      <c r="X1" s="8"/>
      <c r="Y1" s="8"/>
      <c r="Z1" s="8"/>
      <c r="AA1" s="8"/>
      <c r="AB1" s="8"/>
      <c r="AC1" s="70"/>
    </row>
    <row r="2" s="159" customFormat="1" ht="11.25" spans="1:42">
      <c r="A2" s="291"/>
      <c r="B2" s="291"/>
      <c r="C2" s="291"/>
      <c r="D2" s="291"/>
      <c r="E2" s="12"/>
      <c r="F2" s="13" t="s">
        <v>1659</v>
      </c>
      <c r="G2" s="13"/>
      <c r="H2" s="13"/>
      <c r="U2" s="13"/>
      <c r="V2" s="13"/>
      <c r="W2" s="13"/>
      <c r="X2" s="13"/>
      <c r="Y2" s="14"/>
      <c r="Z2" s="14"/>
      <c r="AA2" s="14"/>
      <c r="AB2" s="14"/>
      <c r="AC2" s="71"/>
    </row>
    <row r="3" s="159" customFormat="1" ht="11.25" spans="1:42">
      <c r="A3" s="291"/>
      <c r="B3" s="291"/>
      <c r="C3" s="291"/>
      <c r="D3" s="291"/>
      <c r="E3" s="12"/>
      <c r="F3" s="13" t="s">
        <v>1660</v>
      </c>
      <c r="G3" s="13"/>
      <c r="H3" s="13"/>
      <c r="U3" s="13"/>
      <c r="V3" s="13"/>
      <c r="W3" s="13"/>
      <c r="X3" s="13"/>
      <c r="Y3" s="15"/>
      <c r="Z3" s="15"/>
      <c r="AA3" s="15"/>
      <c r="AB3" s="14"/>
      <c r="AC3" s="71"/>
    </row>
    <row r="4" s="159" customFormat="1" ht="11.25" spans="1:42">
      <c r="A4" s="291"/>
      <c r="B4" s="291"/>
      <c r="C4" s="291"/>
      <c r="D4" s="291"/>
      <c r="E4" s="12"/>
      <c r="F4" s="13"/>
      <c r="G4" s="13"/>
      <c r="H4" s="13"/>
      <c r="U4" s="13"/>
      <c r="V4" s="13"/>
      <c r="W4" s="13"/>
      <c r="X4" s="13"/>
      <c r="Y4" s="15"/>
      <c r="Z4" s="15"/>
      <c r="AA4" s="15"/>
      <c r="AB4" s="14"/>
      <c r="AC4" s="71"/>
    </row>
    <row r="5" s="159" customFormat="1" ht="11.25" spans="1:42">
      <c r="A5" s="292" t="s">
        <v>1618</v>
      </c>
      <c r="B5" s="292"/>
      <c r="C5" s="292"/>
      <c r="D5" s="292"/>
      <c r="E5" s="26" t="s">
        <v>1567</v>
      </c>
      <c r="F5" s="27"/>
      <c r="G5" s="27"/>
      <c r="H5" s="28"/>
      <c r="U5" s="28"/>
      <c r="V5" s="28"/>
      <c r="W5" s="28"/>
      <c r="X5" s="28"/>
      <c r="Y5" s="29"/>
      <c r="Z5" s="29"/>
      <c r="AA5" s="29"/>
      <c r="AB5" s="30"/>
      <c r="AC5" s="325"/>
    </row>
    <row r="6" s="159" customFormat="1" spans="1:42">
      <c r="A6" s="1"/>
      <c r="B6" s="1"/>
      <c r="C6" s="1"/>
      <c r="D6" s="1"/>
      <c r="E6"/>
      <c r="F6"/>
      <c r="G6" s="32"/>
      <c r="H6" s="1"/>
      <c r="U6" s="1"/>
      <c r="V6" s="1"/>
      <c r="W6" s="1"/>
      <c r="X6" s="1"/>
      <c r="Y6" s="1"/>
      <c r="Z6" s="1"/>
      <c r="AA6" s="1"/>
      <c r="AB6" s="1"/>
      <c r="AC6" s="1"/>
    </row>
    <row r="7" s="159" customFormat="1" spans="1:42">
      <c r="A7" s="36" t="s">
        <v>1411</v>
      </c>
      <c r="B7" s="37" t="s">
        <v>1412</v>
      </c>
      <c r="C7" s="36" t="s">
        <v>187</v>
      </c>
      <c r="D7" s="37" t="s">
        <v>1413</v>
      </c>
      <c r="E7" s="36" t="s">
        <v>188</v>
      </c>
      <c r="F7" s="37" t="s">
        <v>1396</v>
      </c>
      <c r="G7" s="36" t="s">
        <v>5</v>
      </c>
      <c r="H7" s="37" t="s">
        <v>1413</v>
      </c>
      <c r="I7" s="36" t="s">
        <v>1364</v>
      </c>
      <c r="J7" s="37" t="s">
        <v>1396</v>
      </c>
      <c r="K7" s="36" t="s">
        <v>1414</v>
      </c>
      <c r="L7" s="38" t="s">
        <v>1359</v>
      </c>
      <c r="U7" s="36" t="s">
        <v>1414</v>
      </c>
      <c r="V7" s="38" t="s">
        <v>1359</v>
      </c>
      <c r="W7" s="1"/>
      <c r="X7" s="1"/>
      <c r="Y7" s="1"/>
      <c r="Z7" s="1"/>
      <c r="AA7" s="1"/>
      <c r="AB7"/>
      <c r="AC7"/>
    </row>
    <row r="8" s="159" customFormat="1" ht="11.25"/>
    <row r="9" s="158" customFormat="1" ht="26" customHeight="1" spans="1:42">
      <c r="A9" s="354" t="s">
        <v>1979</v>
      </c>
      <c r="B9" s="173"/>
      <c r="C9" s="173"/>
      <c r="D9" s="173"/>
      <c r="E9" s="173"/>
      <c r="F9" s="173"/>
      <c r="G9" s="173"/>
      <c r="H9" s="173"/>
      <c r="U9" s="173"/>
      <c r="V9" s="173"/>
      <c r="W9" s="173"/>
      <c r="X9" s="173"/>
      <c r="Y9" s="173"/>
      <c r="Z9" s="173"/>
      <c r="AA9" s="173"/>
    </row>
    <row r="10" s="158" customFormat="1" spans="1:42">
      <c r="A10" s="355" t="s">
        <v>1899</v>
      </c>
      <c r="B10" s="332" t="s">
        <v>1458</v>
      </c>
      <c r="C10" s="332" t="s">
        <v>1459</v>
      </c>
      <c r="D10" s="332" t="s">
        <v>222</v>
      </c>
      <c r="E10" s="332" t="s">
        <v>223</v>
      </c>
      <c r="F10" s="332" t="s">
        <v>1972</v>
      </c>
      <c r="G10" s="398" t="s">
        <v>1427</v>
      </c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466" t="s">
        <v>1980</v>
      </c>
      <c r="T10" s="467"/>
      <c r="U10" s="467"/>
      <c r="V10" s="467"/>
      <c r="W10" s="467"/>
      <c r="X10" s="467"/>
      <c r="Y10" s="467"/>
      <c r="Z10" s="467"/>
      <c r="AA10" s="467"/>
      <c r="AB10" s="467"/>
      <c r="AC10" s="467"/>
      <c r="AD10" s="467"/>
      <c r="AE10" s="315" t="s">
        <v>287</v>
      </c>
      <c r="AF10" s="315"/>
      <c r="AG10" s="315"/>
      <c r="AH10" s="315"/>
      <c r="AI10" s="315"/>
      <c r="AJ10" s="315"/>
      <c r="AK10" s="315"/>
      <c r="AL10" s="315"/>
      <c r="AM10" s="315"/>
      <c r="AN10" s="315"/>
      <c r="AO10" s="315"/>
      <c r="AP10" s="315"/>
    </row>
    <row r="11" s="158" customFormat="1" spans="1:42">
      <c r="A11" s="355"/>
      <c r="B11" s="338"/>
      <c r="C11" s="338"/>
      <c r="D11" s="338"/>
      <c r="E11" s="338"/>
      <c r="F11" s="338"/>
      <c r="G11" s="400" t="s">
        <v>304</v>
      </c>
      <c r="H11" s="400" t="s">
        <v>305</v>
      </c>
      <c r="I11" s="400" t="s">
        <v>306</v>
      </c>
      <c r="J11" s="400" t="s">
        <v>307</v>
      </c>
      <c r="K11" s="400" t="s">
        <v>308</v>
      </c>
      <c r="L11" s="400" t="s">
        <v>309</v>
      </c>
      <c r="M11" s="400" t="s">
        <v>310</v>
      </c>
      <c r="N11" s="400" t="s">
        <v>311</v>
      </c>
      <c r="O11" s="400" t="s">
        <v>312</v>
      </c>
      <c r="P11" s="400" t="s">
        <v>313</v>
      </c>
      <c r="Q11" s="400" t="s">
        <v>314</v>
      </c>
      <c r="R11" s="400" t="s">
        <v>315</v>
      </c>
      <c r="S11" s="468" t="s">
        <v>304</v>
      </c>
      <c r="T11" s="468" t="s">
        <v>305</v>
      </c>
      <c r="U11" s="468" t="s">
        <v>306</v>
      </c>
      <c r="V11" s="468" t="s">
        <v>307</v>
      </c>
      <c r="W11" s="468" t="s">
        <v>308</v>
      </c>
      <c r="X11" s="468" t="s">
        <v>309</v>
      </c>
      <c r="Y11" s="468" t="s">
        <v>310</v>
      </c>
      <c r="Z11" s="468" t="s">
        <v>311</v>
      </c>
      <c r="AA11" s="468" t="s">
        <v>312</v>
      </c>
      <c r="AB11" s="468" t="s">
        <v>313</v>
      </c>
      <c r="AC11" s="468" t="s">
        <v>314</v>
      </c>
      <c r="AD11" s="468" t="s">
        <v>315</v>
      </c>
      <c r="AE11" s="468" t="s">
        <v>304</v>
      </c>
      <c r="AF11" s="468" t="s">
        <v>305</v>
      </c>
      <c r="AG11" s="468" t="s">
        <v>306</v>
      </c>
      <c r="AH11" s="468" t="s">
        <v>307</v>
      </c>
      <c r="AI11" s="468" t="s">
        <v>308</v>
      </c>
      <c r="AJ11" s="468" t="s">
        <v>309</v>
      </c>
      <c r="AK11" s="468" t="s">
        <v>310</v>
      </c>
      <c r="AL11" s="468" t="s">
        <v>311</v>
      </c>
      <c r="AM11" s="468" t="s">
        <v>312</v>
      </c>
      <c r="AN11" s="468" t="s">
        <v>313</v>
      </c>
      <c r="AO11" s="468" t="s">
        <v>314</v>
      </c>
      <c r="AP11" s="468" t="s">
        <v>315</v>
      </c>
    </row>
    <row r="12" s="351" customFormat="1" ht="19" customHeight="1" spans="1:42">
      <c r="A12" s="470" t="s">
        <v>1906</v>
      </c>
      <c r="B12" s="410" t="s">
        <v>1421</v>
      </c>
      <c r="C12" s="410" t="s">
        <v>199</v>
      </c>
      <c r="D12" s="471" t="s">
        <v>199</v>
      </c>
      <c r="E12" s="471" t="s">
        <v>199</v>
      </c>
      <c r="F12" s="471" t="s">
        <v>199</v>
      </c>
      <c r="G12" s="402" t="s">
        <v>1465</v>
      </c>
      <c r="H12" s="402" t="s">
        <v>1465</v>
      </c>
      <c r="I12" s="402" t="s">
        <v>1465</v>
      </c>
      <c r="J12" s="402" t="s">
        <v>1465</v>
      </c>
      <c r="K12" s="402" t="s">
        <v>1465</v>
      </c>
      <c r="L12" s="402" t="s">
        <v>1465</v>
      </c>
      <c r="M12" s="402" t="s">
        <v>1465</v>
      </c>
      <c r="N12" s="402" t="s">
        <v>1465</v>
      </c>
      <c r="O12" s="402" t="s">
        <v>1465</v>
      </c>
      <c r="P12" s="402" t="s">
        <v>1465</v>
      </c>
      <c r="Q12" s="402" t="s">
        <v>1465</v>
      </c>
      <c r="R12" s="402" t="s">
        <v>1465</v>
      </c>
      <c r="S12" s="468" t="s">
        <v>1421</v>
      </c>
      <c r="T12" s="468" t="s">
        <v>1421</v>
      </c>
      <c r="U12" s="468" t="s">
        <v>1421</v>
      </c>
      <c r="V12" s="468" t="s">
        <v>1421</v>
      </c>
      <c r="W12" s="468" t="s">
        <v>1421</v>
      </c>
      <c r="X12" s="468" t="s">
        <v>1421</v>
      </c>
      <c r="Y12" s="468" t="s">
        <v>1421</v>
      </c>
      <c r="Z12" s="468" t="s">
        <v>1421</v>
      </c>
      <c r="AA12" s="468" t="s">
        <v>1421</v>
      </c>
      <c r="AB12" s="468" t="s">
        <v>1421</v>
      </c>
      <c r="AC12" s="468" t="s">
        <v>1421</v>
      </c>
      <c r="AD12" s="468" t="s">
        <v>1421</v>
      </c>
      <c r="AE12" s="468" t="s">
        <v>1421</v>
      </c>
      <c r="AF12" s="468" t="s">
        <v>1421</v>
      </c>
      <c r="AG12" s="468" t="s">
        <v>1421</v>
      </c>
      <c r="AH12" s="468" t="s">
        <v>1421</v>
      </c>
      <c r="AI12" s="468" t="s">
        <v>1421</v>
      </c>
      <c r="AJ12" s="468" t="s">
        <v>1421</v>
      </c>
      <c r="AK12" s="468" t="s">
        <v>1421</v>
      </c>
      <c r="AL12" s="468" t="s">
        <v>1421</v>
      </c>
      <c r="AM12" s="468" t="s">
        <v>1421</v>
      </c>
      <c r="AN12" s="468" t="s">
        <v>1421</v>
      </c>
      <c r="AO12" s="468" t="s">
        <v>1421</v>
      </c>
      <c r="AP12" s="468" t="s">
        <v>1421</v>
      </c>
    </row>
    <row r="13" s="351" customFormat="1" ht="19" customHeight="1" spans="1:42">
      <c r="A13" s="407" t="s">
        <v>386</v>
      </c>
      <c r="B13" s="472"/>
      <c r="C13" s="473"/>
      <c r="D13" s="473"/>
      <c r="E13" s="473"/>
      <c r="F13" s="474"/>
      <c r="G13" s="469"/>
      <c r="H13" s="469"/>
      <c r="I13" s="469"/>
      <c r="J13" s="469"/>
      <c r="K13" s="469"/>
      <c r="L13" s="469"/>
      <c r="M13" s="469"/>
      <c r="N13" s="469"/>
      <c r="O13" s="469"/>
      <c r="P13" s="469"/>
      <c r="Q13" s="469"/>
      <c r="R13" s="469"/>
      <c r="S13" s="475"/>
      <c r="T13" s="475"/>
      <c r="U13" s="476"/>
      <c r="V13" s="475"/>
      <c r="W13" s="475"/>
      <c r="X13" s="475"/>
      <c r="Y13" s="475"/>
      <c r="Z13" s="475"/>
      <c r="AA13" s="475"/>
      <c r="AB13" s="469"/>
      <c r="AC13" s="469"/>
      <c r="AD13" s="469"/>
      <c r="AE13" s="469"/>
      <c r="AF13" s="469"/>
      <c r="AG13" s="469"/>
      <c r="AH13" s="469"/>
      <c r="AI13" s="469"/>
      <c r="AJ13" s="469"/>
      <c r="AK13" s="469"/>
      <c r="AL13" s="469"/>
      <c r="AM13" s="469"/>
      <c r="AN13" s="469"/>
      <c r="AO13" s="469"/>
      <c r="AP13" s="469"/>
    </row>
    <row r="14" s="351" customFormat="1" ht="19" customHeight="1" spans="1:42">
      <c r="A14" s="407" t="s">
        <v>466</v>
      </c>
      <c r="B14" s="359"/>
      <c r="C14" s="360"/>
      <c r="D14" s="360"/>
      <c r="E14" s="360"/>
      <c r="F14" s="477"/>
      <c r="G14" s="469"/>
      <c r="H14" s="469"/>
      <c r="I14" s="469"/>
      <c r="J14" s="469"/>
      <c r="K14" s="469"/>
      <c r="L14" s="469"/>
      <c r="M14" s="469"/>
      <c r="N14" s="469"/>
      <c r="O14" s="469"/>
      <c r="P14" s="469"/>
      <c r="Q14" s="469"/>
      <c r="R14" s="469"/>
      <c r="S14" s="478"/>
      <c r="T14" s="478"/>
      <c r="U14" s="479"/>
      <c r="V14" s="478"/>
      <c r="W14" s="478"/>
      <c r="X14" s="478"/>
      <c r="Y14" s="478"/>
      <c r="Z14" s="478"/>
      <c r="AA14" s="478"/>
      <c r="AB14" s="469"/>
      <c r="AC14" s="469"/>
      <c r="AD14" s="469"/>
      <c r="AE14" s="469"/>
      <c r="AF14" s="469"/>
      <c r="AG14" s="469"/>
      <c r="AH14" s="469"/>
      <c r="AI14" s="469"/>
      <c r="AJ14" s="469"/>
      <c r="AK14" s="469"/>
      <c r="AL14" s="469"/>
      <c r="AM14" s="469"/>
      <c r="AN14" s="469"/>
      <c r="AO14" s="469"/>
      <c r="AP14" s="469"/>
    </row>
    <row r="15" s="397" customFormat="1" ht="16" customHeight="1" spans="1:42">
      <c r="A15" s="470" t="s">
        <v>1909</v>
      </c>
      <c r="B15" s="480"/>
      <c r="C15" s="480"/>
      <c r="D15" s="480"/>
      <c r="E15" s="480"/>
      <c r="F15" s="481"/>
      <c r="G15" s="409"/>
      <c r="H15" s="409"/>
      <c r="I15" s="409"/>
      <c r="J15" s="409"/>
      <c r="K15" s="409"/>
      <c r="L15" s="409"/>
      <c r="M15" s="409"/>
      <c r="N15" s="409"/>
      <c r="O15" s="409"/>
      <c r="P15" s="409"/>
      <c r="Q15" s="409"/>
      <c r="R15" s="409"/>
      <c r="S15" s="480"/>
      <c r="T15" s="480"/>
      <c r="U15" s="480"/>
      <c r="V15" s="480"/>
      <c r="W15" s="480"/>
      <c r="X15" s="480"/>
      <c r="Y15" s="480"/>
      <c r="Z15" s="480"/>
      <c r="AA15" s="480"/>
      <c r="AB15" s="409"/>
      <c r="AC15" s="409"/>
      <c r="AD15" s="409"/>
      <c r="AE15" s="409"/>
      <c r="AF15" s="409"/>
      <c r="AG15" s="409"/>
      <c r="AH15" s="409"/>
      <c r="AI15" s="409"/>
      <c r="AJ15" s="409"/>
      <c r="AK15" s="409"/>
      <c r="AL15" s="409"/>
      <c r="AM15" s="409"/>
      <c r="AN15" s="409"/>
      <c r="AO15" s="409"/>
      <c r="AP15" s="409"/>
    </row>
    <row r="16" s="397" customFormat="1" ht="12.75" spans="1:42">
      <c r="A16" s="482" t="s">
        <v>359</v>
      </c>
      <c r="B16" s="483"/>
      <c r="C16" s="483"/>
      <c r="D16" s="483"/>
      <c r="E16" s="484"/>
      <c r="F16" s="485"/>
      <c r="G16" s="409"/>
      <c r="H16" s="409"/>
      <c r="I16" s="409"/>
      <c r="J16" s="409"/>
      <c r="K16" s="409"/>
      <c r="L16" s="409"/>
      <c r="M16" s="409"/>
      <c r="N16" s="409"/>
      <c r="O16" s="409"/>
      <c r="P16" s="409"/>
      <c r="Q16" s="409"/>
      <c r="R16" s="409"/>
      <c r="S16" s="483"/>
      <c r="T16" s="483"/>
      <c r="U16" s="483"/>
      <c r="V16" s="483"/>
      <c r="W16" s="483"/>
      <c r="X16" s="483"/>
      <c r="Y16" s="483"/>
      <c r="Z16" s="483"/>
      <c r="AA16" s="483"/>
      <c r="AB16" s="409"/>
      <c r="AC16" s="409"/>
      <c r="AD16" s="409"/>
      <c r="AE16" s="409"/>
      <c r="AF16" s="409"/>
      <c r="AG16" s="409"/>
      <c r="AH16" s="409"/>
      <c r="AI16" s="409"/>
      <c r="AJ16" s="409"/>
      <c r="AK16" s="409"/>
      <c r="AL16" s="409"/>
      <c r="AM16" s="409"/>
      <c r="AN16" s="409"/>
      <c r="AO16" s="409"/>
      <c r="AP16" s="409"/>
    </row>
    <row r="17" s="397" customFormat="1" ht="12.75" spans="1:42">
      <c r="A17" s="407" t="s">
        <v>429</v>
      </c>
      <c r="B17" s="408"/>
      <c r="C17" s="408"/>
      <c r="D17" s="408"/>
      <c r="E17" s="486"/>
      <c r="F17" s="487"/>
      <c r="G17" s="409"/>
      <c r="H17" s="409"/>
      <c r="I17" s="409"/>
      <c r="J17" s="409"/>
      <c r="K17" s="409"/>
      <c r="L17" s="409"/>
      <c r="M17" s="409"/>
      <c r="N17" s="409"/>
      <c r="O17" s="409"/>
      <c r="P17" s="409"/>
      <c r="Q17" s="409"/>
      <c r="R17" s="409"/>
      <c r="S17" s="408"/>
      <c r="T17" s="408"/>
      <c r="U17" s="408"/>
      <c r="V17" s="408"/>
      <c r="W17" s="408"/>
      <c r="X17" s="408"/>
      <c r="Y17" s="408"/>
      <c r="Z17" s="408"/>
      <c r="AA17" s="408"/>
      <c r="AB17" s="409"/>
      <c r="AC17" s="409"/>
      <c r="AD17" s="409"/>
      <c r="AE17" s="409"/>
      <c r="AF17" s="409"/>
      <c r="AG17" s="409"/>
      <c r="AH17" s="409"/>
      <c r="AI17" s="409"/>
      <c r="AJ17" s="409"/>
      <c r="AK17" s="409"/>
      <c r="AL17" s="409"/>
      <c r="AM17" s="409"/>
      <c r="AN17" s="409"/>
      <c r="AO17" s="409"/>
      <c r="AP17" s="409"/>
    </row>
    <row r="18" s="397" customFormat="1" ht="12.75" spans="1:42">
      <c r="A18" s="407" t="s">
        <v>437</v>
      </c>
      <c r="B18" s="408"/>
      <c r="C18" s="408"/>
      <c r="D18" s="408"/>
      <c r="E18" s="486"/>
      <c r="F18" s="487"/>
      <c r="G18" s="409"/>
      <c r="H18" s="409"/>
      <c r="I18" s="409"/>
      <c r="J18" s="409"/>
      <c r="K18" s="409"/>
      <c r="L18" s="409"/>
      <c r="M18" s="409"/>
      <c r="N18" s="409"/>
      <c r="O18" s="409"/>
      <c r="P18" s="409"/>
      <c r="Q18" s="409"/>
      <c r="R18" s="409"/>
      <c r="S18" s="408"/>
      <c r="T18" s="408"/>
      <c r="U18" s="408"/>
      <c r="V18" s="408"/>
      <c r="W18" s="408"/>
      <c r="X18" s="408"/>
      <c r="Y18" s="408"/>
      <c r="Z18" s="408"/>
      <c r="AA18" s="408"/>
      <c r="AB18" s="409"/>
      <c r="AC18" s="409"/>
      <c r="AD18" s="409"/>
      <c r="AE18" s="409"/>
      <c r="AF18" s="409"/>
      <c r="AG18" s="409"/>
      <c r="AH18" s="409"/>
      <c r="AI18" s="409"/>
      <c r="AJ18" s="409"/>
      <c r="AK18" s="409"/>
      <c r="AL18" s="409"/>
      <c r="AM18" s="409"/>
      <c r="AN18" s="409"/>
      <c r="AO18" s="409"/>
      <c r="AP18" s="409"/>
    </row>
    <row r="19" s="397" customFormat="1" ht="12.75" spans="1:42">
      <c r="A19" s="407" t="s">
        <v>480</v>
      </c>
      <c r="B19" s="408"/>
      <c r="C19" s="408"/>
      <c r="D19" s="408"/>
      <c r="E19" s="486"/>
      <c r="F19" s="487"/>
      <c r="G19" s="409"/>
      <c r="H19" s="409"/>
      <c r="I19" s="409"/>
      <c r="J19" s="409"/>
      <c r="K19" s="409"/>
      <c r="L19" s="409"/>
      <c r="M19" s="409"/>
      <c r="N19" s="409"/>
      <c r="O19" s="409"/>
      <c r="P19" s="409"/>
      <c r="Q19" s="409"/>
      <c r="R19" s="409"/>
      <c r="S19" s="408"/>
      <c r="T19" s="408"/>
      <c r="U19" s="408"/>
      <c r="V19" s="408"/>
      <c r="W19" s="408"/>
      <c r="X19" s="408"/>
      <c r="Y19" s="408"/>
      <c r="Z19" s="408"/>
      <c r="AA19" s="408"/>
      <c r="AB19" s="409"/>
      <c r="AC19" s="409"/>
      <c r="AD19" s="409"/>
      <c r="AE19" s="409"/>
      <c r="AF19" s="409"/>
      <c r="AG19" s="409"/>
      <c r="AH19" s="409"/>
      <c r="AI19" s="409"/>
      <c r="AJ19" s="409"/>
      <c r="AK19" s="409"/>
      <c r="AL19" s="409"/>
      <c r="AM19" s="409"/>
      <c r="AN19" s="409"/>
      <c r="AO19" s="409"/>
      <c r="AP19" s="409"/>
    </row>
    <row r="20" s="397" customFormat="1" ht="12.75" spans="1:42">
      <c r="A20" s="407" t="s">
        <v>483</v>
      </c>
      <c r="B20" s="408"/>
      <c r="C20" s="408"/>
      <c r="D20" s="408"/>
      <c r="E20" s="486"/>
      <c r="F20" s="487"/>
      <c r="G20" s="409"/>
      <c r="H20" s="409"/>
      <c r="I20" s="409"/>
      <c r="J20" s="409"/>
      <c r="K20" s="409"/>
      <c r="L20" s="409"/>
      <c r="M20" s="409"/>
      <c r="N20" s="409"/>
      <c r="O20" s="409"/>
      <c r="P20" s="409"/>
      <c r="Q20" s="409"/>
      <c r="R20" s="409"/>
      <c r="S20" s="408"/>
      <c r="T20" s="408"/>
      <c r="U20" s="408"/>
      <c r="V20" s="408"/>
      <c r="W20" s="408"/>
      <c r="X20" s="408"/>
      <c r="Y20" s="408"/>
      <c r="Z20" s="408"/>
      <c r="AA20" s="408"/>
      <c r="AB20" s="409"/>
      <c r="AC20" s="409"/>
      <c r="AD20" s="409"/>
      <c r="AE20" s="409"/>
      <c r="AF20" s="409"/>
      <c r="AG20" s="409"/>
      <c r="AH20" s="409"/>
      <c r="AI20" s="409"/>
      <c r="AJ20" s="409"/>
      <c r="AK20" s="409"/>
      <c r="AL20" s="409"/>
      <c r="AM20" s="409"/>
      <c r="AN20" s="409"/>
      <c r="AO20" s="409"/>
      <c r="AP20" s="409"/>
    </row>
    <row r="21" s="397" customFormat="1" ht="12.75" spans="1:42">
      <c r="A21" s="407" t="s">
        <v>462</v>
      </c>
      <c r="B21" s="408"/>
      <c r="C21" s="408"/>
      <c r="D21" s="408"/>
      <c r="E21" s="486"/>
      <c r="F21" s="487"/>
      <c r="G21" s="409"/>
      <c r="H21" s="409"/>
      <c r="I21" s="409"/>
      <c r="J21" s="409"/>
      <c r="K21" s="409"/>
      <c r="L21" s="409"/>
      <c r="M21" s="409"/>
      <c r="N21" s="409"/>
      <c r="O21" s="409"/>
      <c r="P21" s="409"/>
      <c r="Q21" s="409"/>
      <c r="R21" s="409"/>
      <c r="S21" s="408"/>
      <c r="T21" s="408"/>
      <c r="U21" s="408"/>
      <c r="V21" s="408"/>
      <c r="W21" s="408"/>
      <c r="X21" s="408"/>
      <c r="Y21" s="408"/>
      <c r="Z21" s="408"/>
      <c r="AA21" s="408"/>
      <c r="AB21" s="409"/>
      <c r="AC21" s="409"/>
      <c r="AD21" s="409"/>
      <c r="AE21" s="409"/>
      <c r="AF21" s="409"/>
      <c r="AG21" s="409"/>
      <c r="AH21" s="409"/>
      <c r="AI21" s="409"/>
      <c r="AJ21" s="409"/>
      <c r="AK21" s="409"/>
      <c r="AL21" s="409"/>
      <c r="AM21" s="409"/>
      <c r="AN21" s="409"/>
      <c r="AO21" s="409"/>
      <c r="AP21" s="409"/>
    </row>
    <row r="22" s="397" customFormat="1" ht="12.75" spans="1:42">
      <c r="A22" s="407" t="s">
        <v>166</v>
      </c>
      <c r="B22" s="408"/>
      <c r="C22" s="408"/>
      <c r="D22" s="408"/>
      <c r="E22" s="486"/>
      <c r="F22" s="487"/>
      <c r="G22" s="409"/>
      <c r="H22" s="409"/>
      <c r="I22" s="409"/>
      <c r="J22" s="409"/>
      <c r="K22" s="409"/>
      <c r="L22" s="409"/>
      <c r="M22" s="409"/>
      <c r="N22" s="409"/>
      <c r="O22" s="409"/>
      <c r="P22" s="409"/>
      <c r="Q22" s="409"/>
      <c r="R22" s="409"/>
      <c r="S22" s="408"/>
      <c r="T22" s="408"/>
      <c r="U22" s="408"/>
      <c r="V22" s="408"/>
      <c r="W22" s="408"/>
      <c r="X22" s="408"/>
      <c r="Y22" s="408"/>
      <c r="Z22" s="408"/>
      <c r="AA22" s="408"/>
      <c r="AB22" s="409"/>
      <c r="AC22" s="409"/>
      <c r="AD22" s="409"/>
      <c r="AE22" s="409"/>
      <c r="AF22" s="409"/>
      <c r="AG22" s="409"/>
      <c r="AH22" s="409"/>
      <c r="AI22" s="409"/>
      <c r="AJ22" s="409"/>
      <c r="AK22" s="409"/>
      <c r="AL22" s="409"/>
      <c r="AM22" s="409"/>
      <c r="AN22" s="409"/>
      <c r="AO22" s="409"/>
      <c r="AP22" s="409"/>
    </row>
    <row r="23" s="397" customFormat="1" ht="12.75" spans="1:42">
      <c r="A23" s="407" t="s">
        <v>1981</v>
      </c>
      <c r="B23" s="408"/>
      <c r="C23" s="408"/>
      <c r="D23" s="408"/>
      <c r="E23" s="486"/>
      <c r="F23" s="487"/>
      <c r="G23" s="409"/>
      <c r="H23" s="409"/>
      <c r="I23" s="409"/>
      <c r="J23" s="409"/>
      <c r="K23" s="409"/>
      <c r="L23" s="409"/>
      <c r="M23" s="409"/>
      <c r="N23" s="409"/>
      <c r="O23" s="409"/>
      <c r="P23" s="409"/>
      <c r="Q23" s="409"/>
      <c r="R23" s="409"/>
      <c r="S23" s="408"/>
      <c r="T23" s="408"/>
      <c r="U23" s="408"/>
      <c r="V23" s="408"/>
      <c r="W23" s="408"/>
      <c r="X23" s="408"/>
      <c r="Y23" s="408"/>
      <c r="Z23" s="408"/>
      <c r="AA23" s="408"/>
      <c r="AB23" s="409"/>
      <c r="AC23" s="409"/>
      <c r="AD23" s="409"/>
      <c r="AE23" s="409"/>
      <c r="AF23" s="409"/>
      <c r="AG23" s="409"/>
      <c r="AH23" s="409"/>
      <c r="AI23" s="409"/>
      <c r="AJ23" s="409"/>
      <c r="AK23" s="409"/>
      <c r="AL23" s="409"/>
      <c r="AM23" s="409"/>
      <c r="AN23" s="409"/>
      <c r="AO23" s="409"/>
      <c r="AP23" s="409"/>
    </row>
    <row r="24" s="397" customFormat="1" ht="12.75" spans="1:42">
      <c r="A24" s="407" t="s">
        <v>1982</v>
      </c>
      <c r="B24" s="408"/>
      <c r="C24" s="408"/>
      <c r="D24" s="408"/>
      <c r="E24" s="486"/>
      <c r="F24" s="487"/>
      <c r="G24" s="409"/>
      <c r="H24" s="409"/>
      <c r="I24" s="409"/>
      <c r="J24" s="409"/>
      <c r="K24" s="409"/>
      <c r="L24" s="409"/>
      <c r="M24" s="409"/>
      <c r="N24" s="409"/>
      <c r="O24" s="409"/>
      <c r="P24" s="409"/>
      <c r="Q24" s="409"/>
      <c r="R24" s="409"/>
      <c r="S24" s="408"/>
      <c r="T24" s="408"/>
      <c r="U24" s="408"/>
      <c r="V24" s="408"/>
      <c r="W24" s="408"/>
      <c r="X24" s="408"/>
      <c r="Y24" s="408"/>
      <c r="Z24" s="408"/>
      <c r="AA24" s="408"/>
      <c r="AB24" s="409"/>
      <c r="AC24" s="409"/>
      <c r="AD24" s="409"/>
      <c r="AE24" s="409"/>
      <c r="AF24" s="409"/>
      <c r="AG24" s="409"/>
      <c r="AH24" s="409"/>
      <c r="AI24" s="409"/>
      <c r="AJ24" s="409"/>
      <c r="AK24" s="409"/>
      <c r="AL24" s="409"/>
      <c r="AM24" s="409"/>
      <c r="AN24" s="409"/>
      <c r="AO24" s="409"/>
      <c r="AP24" s="409"/>
    </row>
    <row r="25" s="397" customFormat="1" ht="12.75" spans="1:42">
      <c r="A25" s="407" t="s">
        <v>1983</v>
      </c>
      <c r="B25" s="408"/>
      <c r="C25" s="408"/>
      <c r="D25" s="408"/>
      <c r="E25" s="486"/>
      <c r="F25" s="487"/>
      <c r="G25" s="409"/>
      <c r="H25" s="409"/>
      <c r="I25" s="409"/>
      <c r="J25" s="409"/>
      <c r="K25" s="409"/>
      <c r="L25" s="409"/>
      <c r="M25" s="409"/>
      <c r="N25" s="409"/>
      <c r="O25" s="409"/>
      <c r="P25" s="409"/>
      <c r="Q25" s="409"/>
      <c r="R25" s="409"/>
      <c r="S25" s="408"/>
      <c r="T25" s="408"/>
      <c r="U25" s="408"/>
      <c r="V25" s="408"/>
      <c r="W25" s="408"/>
      <c r="X25" s="408"/>
      <c r="Y25" s="408"/>
      <c r="Z25" s="408"/>
      <c r="AA25" s="408"/>
      <c r="AB25" s="409"/>
      <c r="AC25" s="409"/>
      <c r="AD25" s="409"/>
      <c r="AE25" s="409"/>
      <c r="AF25" s="409"/>
      <c r="AG25" s="409"/>
      <c r="AH25" s="409"/>
      <c r="AI25" s="409"/>
      <c r="AJ25" s="409"/>
      <c r="AK25" s="409"/>
      <c r="AL25" s="409"/>
      <c r="AM25" s="409"/>
      <c r="AN25" s="409"/>
      <c r="AO25" s="409"/>
      <c r="AP25" s="409"/>
    </row>
    <row r="26" s="397" customFormat="1" ht="12.75" spans="1:42">
      <c r="A26" s="407" t="s">
        <v>451</v>
      </c>
      <c r="B26" s="408"/>
      <c r="C26" s="408"/>
      <c r="D26" s="408"/>
      <c r="E26" s="486"/>
      <c r="F26" s="487"/>
      <c r="G26" s="409"/>
      <c r="H26" s="409"/>
      <c r="I26" s="409"/>
      <c r="J26" s="409"/>
      <c r="K26" s="409"/>
      <c r="L26" s="409"/>
      <c r="M26" s="409"/>
      <c r="N26" s="409"/>
      <c r="O26" s="409"/>
      <c r="P26" s="409"/>
      <c r="Q26" s="409"/>
      <c r="R26" s="409"/>
      <c r="S26" s="408"/>
      <c r="T26" s="408"/>
      <c r="U26" s="408"/>
      <c r="V26" s="408"/>
      <c r="W26" s="408"/>
      <c r="X26" s="408"/>
      <c r="Y26" s="408"/>
      <c r="Z26" s="408"/>
      <c r="AA26" s="408"/>
      <c r="AB26" s="409"/>
      <c r="AC26" s="409"/>
      <c r="AD26" s="409"/>
      <c r="AE26" s="409"/>
      <c r="AF26" s="409"/>
      <c r="AG26" s="409"/>
      <c r="AH26" s="409"/>
      <c r="AI26" s="409"/>
      <c r="AJ26" s="409"/>
      <c r="AK26" s="409"/>
      <c r="AL26" s="409"/>
      <c r="AM26" s="409"/>
      <c r="AN26" s="409"/>
      <c r="AO26" s="409"/>
      <c r="AP26" s="409"/>
    </row>
    <row r="27" s="397" customFormat="1" ht="12.75" spans="1:42">
      <c r="A27" s="488" t="s">
        <v>1984</v>
      </c>
      <c r="B27" s="408"/>
      <c r="C27" s="408"/>
      <c r="D27" s="408"/>
      <c r="E27" s="486"/>
      <c r="F27" s="487"/>
      <c r="G27" s="409"/>
      <c r="H27" s="409"/>
      <c r="I27" s="409"/>
      <c r="J27" s="409"/>
      <c r="K27" s="409"/>
      <c r="L27" s="409"/>
      <c r="M27" s="409"/>
      <c r="N27" s="409"/>
      <c r="O27" s="409"/>
      <c r="P27" s="409"/>
      <c r="Q27" s="409"/>
      <c r="R27" s="409"/>
      <c r="S27" s="408"/>
      <c r="T27" s="408"/>
      <c r="U27" s="408"/>
      <c r="V27" s="408"/>
      <c r="W27" s="408"/>
      <c r="X27" s="408"/>
      <c r="Y27" s="408"/>
      <c r="Z27" s="408"/>
      <c r="AA27" s="408"/>
      <c r="AB27" s="409"/>
      <c r="AC27" s="409"/>
      <c r="AD27" s="409"/>
      <c r="AE27" s="409"/>
      <c r="AF27" s="409"/>
      <c r="AG27" s="409"/>
      <c r="AH27" s="409"/>
      <c r="AI27" s="409"/>
      <c r="AJ27" s="409"/>
      <c r="AK27" s="409"/>
      <c r="AL27" s="409"/>
      <c r="AM27" s="409"/>
      <c r="AN27" s="409"/>
      <c r="AO27" s="409"/>
      <c r="AP27" s="409"/>
    </row>
    <row r="28" s="397" customFormat="1" ht="12.75" spans="1:42">
      <c r="A28" s="407" t="s">
        <v>1985</v>
      </c>
      <c r="B28" s="408"/>
      <c r="C28" s="408"/>
      <c r="D28" s="408"/>
      <c r="E28" s="486"/>
      <c r="F28" s="487"/>
      <c r="G28" s="409"/>
      <c r="H28" s="409"/>
      <c r="I28" s="409"/>
      <c r="J28" s="409"/>
      <c r="K28" s="409"/>
      <c r="L28" s="409"/>
      <c r="M28" s="409"/>
      <c r="N28" s="409"/>
      <c r="O28" s="409"/>
      <c r="P28" s="409"/>
      <c r="Q28" s="409"/>
      <c r="R28" s="409"/>
      <c r="S28" s="408"/>
      <c r="T28" s="408"/>
      <c r="U28" s="408"/>
      <c r="V28" s="408"/>
      <c r="W28" s="408"/>
      <c r="X28" s="408"/>
      <c r="Y28" s="408"/>
      <c r="Z28" s="408"/>
      <c r="AA28" s="408"/>
      <c r="AB28" s="409"/>
      <c r="AC28" s="409"/>
      <c r="AD28" s="409"/>
      <c r="AE28" s="409"/>
      <c r="AF28" s="409"/>
      <c r="AG28" s="409"/>
      <c r="AH28" s="409"/>
      <c r="AI28" s="409"/>
      <c r="AJ28" s="409"/>
      <c r="AK28" s="409"/>
      <c r="AL28" s="409"/>
      <c r="AM28" s="409"/>
      <c r="AN28" s="409"/>
      <c r="AO28" s="409"/>
      <c r="AP28" s="409"/>
    </row>
    <row r="29" s="397" customFormat="1" ht="12.75" spans="1:42">
      <c r="A29" s="489" t="s">
        <v>1986</v>
      </c>
      <c r="B29" s="480"/>
      <c r="C29" s="480"/>
      <c r="D29" s="480"/>
      <c r="E29" s="480"/>
      <c r="F29" s="481"/>
      <c r="G29" s="409"/>
      <c r="H29" s="409"/>
      <c r="I29" s="409"/>
      <c r="J29" s="409"/>
      <c r="K29" s="409"/>
      <c r="L29" s="409"/>
      <c r="M29" s="409"/>
      <c r="N29" s="409"/>
      <c r="O29" s="409"/>
      <c r="P29" s="409"/>
      <c r="Q29" s="409"/>
      <c r="R29" s="409"/>
      <c r="S29" s="480"/>
      <c r="T29" s="480"/>
      <c r="U29" s="480"/>
      <c r="V29" s="480"/>
      <c r="W29" s="480"/>
      <c r="X29" s="480"/>
      <c r="Y29" s="480"/>
      <c r="Z29" s="480"/>
      <c r="AA29" s="480"/>
      <c r="AB29" s="409"/>
      <c r="AC29" s="409"/>
      <c r="AD29" s="409"/>
      <c r="AE29" s="409"/>
      <c r="AF29" s="409"/>
      <c r="AG29" s="409"/>
      <c r="AH29" s="409"/>
      <c r="AI29" s="409"/>
      <c r="AJ29" s="409"/>
      <c r="AK29" s="409"/>
      <c r="AL29" s="409"/>
      <c r="AM29" s="409"/>
      <c r="AN29" s="409"/>
      <c r="AO29" s="409"/>
      <c r="AP29" s="409"/>
    </row>
    <row r="30" spans="1:42">
      <c r="A30" s="490" t="s">
        <v>1987</v>
      </c>
      <c r="B30" s="127"/>
      <c r="C30" s="127"/>
      <c r="D30" s="127"/>
      <c r="E30" s="127"/>
      <c r="F30" s="491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7"/>
    </row>
    <row r="31" spans="1:42">
      <c r="A31" s="490" t="s">
        <v>1988</v>
      </c>
      <c r="B31" s="127"/>
      <c r="C31" s="127"/>
      <c r="D31" s="127"/>
      <c r="E31" s="127"/>
      <c r="F31" s="491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</row>
    <row r="32" spans="1:42">
      <c r="A32" s="489" t="s">
        <v>1989</v>
      </c>
      <c r="B32" s="127"/>
      <c r="C32" s="127"/>
      <c r="D32" s="127"/>
      <c r="E32" s="127"/>
      <c r="F32" s="491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7"/>
    </row>
    <row r="33" ht="16.5" spans="1:42">
      <c r="A33" s="411" t="s">
        <v>1990</v>
      </c>
      <c r="B33" s="127"/>
      <c r="C33" s="127"/>
      <c r="D33" s="127"/>
      <c r="E33" s="127"/>
      <c r="F33" s="491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7"/>
    </row>
    <row r="34" ht="16.5" spans="1:42">
      <c r="A34" s="411" t="s">
        <v>216</v>
      </c>
      <c r="B34" s="127"/>
      <c r="C34" s="127"/>
      <c r="D34" s="127"/>
      <c r="E34" s="127"/>
      <c r="F34" s="491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</row>
  </sheetData>
  <autoFilter xmlns:etc="http://www.wps.cn/officeDocument/2017/etCustomData" ref="A9:AA34" etc:filterBottomFollowUsedRange="0">
    <extLst/>
  </autoFilter>
  <mergeCells count="11">
    <mergeCell ref="A5:D5"/>
    <mergeCell ref="G10:R10"/>
    <mergeCell ref="S10:AD10"/>
    <mergeCell ref="AE10:AP10"/>
    <mergeCell ref="A10:A11"/>
    <mergeCell ref="B10:B11"/>
    <mergeCell ref="C10:C11"/>
    <mergeCell ref="D10:D11"/>
    <mergeCell ref="E10:E11"/>
    <mergeCell ref="F10:F11"/>
    <mergeCell ref="A1:D4"/>
  </mergeCells>
  <conditionalFormatting sqref="B15:F29 S15:AA29">
    <cfRule type="cellIs" dxfId="1" priority="1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0">
    <tabColor theme="8" tint="0.399975585192419"/>
  </sheetPr>
  <dimension ref="A1:AS34"/>
  <sheetViews>
    <sheetView workbookViewId="0">
      <selection activeCell="A1" sqref="A1:D4"/>
    </sheetView>
  </sheetViews>
  <sheetFormatPr defaultColWidth="8.90833333333333" defaultRowHeight="13.5"/>
  <cols>
    <col min="1" max="1" width="16.45" customWidth="1"/>
    <col min="2" max="2" width="6.63333333333333" customWidth="1"/>
    <col min="3" max="3" width="7.54166666666667" customWidth="1"/>
    <col min="4" max="4" width="25.725" customWidth="1"/>
  </cols>
  <sheetData>
    <row r="1" s="159" customFormat="1" ht="11.25" spans="1:45">
      <c r="A1" s="162" t="s">
        <v>185</v>
      </c>
      <c r="B1" s="291"/>
      <c r="C1" s="291"/>
      <c r="D1" s="291"/>
      <c r="E1" s="7" t="s">
        <v>1404</v>
      </c>
      <c r="F1" s="8" t="s">
        <v>1405</v>
      </c>
      <c r="G1" s="8"/>
      <c r="H1" s="8"/>
      <c r="U1" s="8"/>
      <c r="V1" s="8"/>
      <c r="W1" s="8"/>
      <c r="X1" s="8"/>
      <c r="Y1" s="8"/>
      <c r="Z1" s="8"/>
      <c r="AA1" s="8"/>
      <c r="AB1" s="8"/>
      <c r="AC1" s="70"/>
    </row>
    <row r="2" s="159" customFormat="1" ht="11.25" spans="1:45">
      <c r="A2" s="291"/>
      <c r="B2" s="291"/>
      <c r="C2" s="291"/>
      <c r="D2" s="291"/>
      <c r="E2" s="12"/>
      <c r="F2" s="13" t="s">
        <v>1659</v>
      </c>
      <c r="G2" s="13"/>
      <c r="H2" s="13"/>
      <c r="U2" s="13"/>
      <c r="V2" s="13"/>
      <c r="W2" s="13"/>
      <c r="X2" s="13"/>
      <c r="Y2" s="14"/>
      <c r="Z2" s="14"/>
      <c r="AA2" s="14"/>
      <c r="AB2" s="14"/>
      <c r="AC2" s="71"/>
    </row>
    <row r="3" s="159" customFormat="1" ht="11.25" spans="1:45">
      <c r="A3" s="291"/>
      <c r="B3" s="291"/>
      <c r="C3" s="291"/>
      <c r="D3" s="291"/>
      <c r="E3" s="12"/>
      <c r="F3" s="13" t="s">
        <v>1660</v>
      </c>
      <c r="G3" s="13"/>
      <c r="H3" s="13"/>
      <c r="U3" s="13"/>
      <c r="V3" s="13"/>
      <c r="W3" s="13"/>
      <c r="X3" s="13"/>
      <c r="Y3" s="15"/>
      <c r="Z3" s="15"/>
      <c r="AA3" s="15"/>
      <c r="AB3" s="14"/>
      <c r="AC3" s="71"/>
    </row>
    <row r="4" s="159" customFormat="1" ht="11.25" spans="1:45">
      <c r="A4" s="291"/>
      <c r="B4" s="291"/>
      <c r="C4" s="291"/>
      <c r="D4" s="291"/>
      <c r="E4" s="12"/>
      <c r="F4" s="13"/>
      <c r="G4" s="13"/>
      <c r="H4" s="13"/>
      <c r="U4" s="13"/>
      <c r="V4" s="13"/>
      <c r="W4" s="13"/>
      <c r="X4" s="13"/>
      <c r="Y4" s="15"/>
      <c r="Z4" s="15"/>
      <c r="AA4" s="15"/>
      <c r="AB4" s="14"/>
      <c r="AC4" s="71"/>
    </row>
    <row r="5" s="159" customFormat="1" ht="11.25" spans="1:45">
      <c r="A5" s="292" t="s">
        <v>1618</v>
      </c>
      <c r="B5" s="292"/>
      <c r="C5" s="292"/>
      <c r="D5" s="292"/>
      <c r="E5" s="26" t="s">
        <v>1567</v>
      </c>
      <c r="F5" s="27"/>
      <c r="G5" s="27"/>
      <c r="H5" s="28"/>
      <c r="U5" s="28"/>
      <c r="V5" s="28"/>
      <c r="W5" s="28"/>
      <c r="X5" s="28"/>
      <c r="Y5" s="29"/>
      <c r="Z5" s="29"/>
      <c r="AA5" s="29"/>
      <c r="AB5" s="30"/>
      <c r="AC5" s="325"/>
    </row>
    <row r="6" s="159" customFormat="1" spans="1:45">
      <c r="A6" s="1"/>
      <c r="B6" s="1"/>
      <c r="C6" s="1"/>
      <c r="D6" s="1"/>
      <c r="E6"/>
      <c r="F6"/>
      <c r="G6" s="32"/>
      <c r="H6" s="1"/>
      <c r="U6" s="1"/>
      <c r="V6" s="1"/>
      <c r="W6" s="1"/>
      <c r="X6" s="1"/>
      <c r="Y6" s="1"/>
      <c r="Z6" s="1"/>
      <c r="AA6" s="1"/>
      <c r="AB6" s="1"/>
      <c r="AC6" s="1"/>
    </row>
    <row r="7" s="159" customFormat="1" spans="1:45">
      <c r="A7" s="36" t="s">
        <v>1411</v>
      </c>
      <c r="B7" s="37" t="s">
        <v>1412</v>
      </c>
      <c r="C7" s="36" t="s">
        <v>187</v>
      </c>
      <c r="D7" s="37" t="s">
        <v>1413</v>
      </c>
      <c r="E7" s="36" t="s">
        <v>188</v>
      </c>
      <c r="F7" s="37" t="s">
        <v>1396</v>
      </c>
      <c r="G7" s="36" t="s">
        <v>5</v>
      </c>
      <c r="H7" s="37" t="s">
        <v>1413</v>
      </c>
      <c r="I7" s="36" t="s">
        <v>1364</v>
      </c>
      <c r="J7" s="37" t="s">
        <v>1396</v>
      </c>
      <c r="K7" s="36" t="s">
        <v>1414</v>
      </c>
      <c r="L7" s="38" t="s">
        <v>1359</v>
      </c>
      <c r="U7" s="36" t="s">
        <v>1414</v>
      </c>
      <c r="V7" s="38" t="s">
        <v>1359</v>
      </c>
      <c r="W7" s="1"/>
      <c r="X7" s="1"/>
      <c r="Y7" s="1"/>
      <c r="Z7" s="1"/>
      <c r="AA7" s="1"/>
      <c r="AB7"/>
      <c r="AC7"/>
    </row>
    <row r="8" s="159" customFormat="1" ht="11.25"/>
    <row r="9" s="158" customFormat="1" ht="26" customHeight="1" spans="1:45">
      <c r="A9" s="354" t="s">
        <v>1979</v>
      </c>
      <c r="B9" s="173"/>
      <c r="C9" s="173"/>
      <c r="D9" s="173"/>
      <c r="E9" s="173"/>
      <c r="F9" s="173"/>
      <c r="G9" s="173"/>
      <c r="H9" s="173"/>
      <c r="U9" s="173"/>
      <c r="V9" s="173"/>
      <c r="W9" s="173"/>
      <c r="X9" s="173"/>
      <c r="Y9" s="173"/>
      <c r="Z9" s="173"/>
      <c r="AA9" s="173"/>
    </row>
    <row r="10" s="158" customFormat="1" spans="1:45">
      <c r="A10" s="355" t="s">
        <v>187</v>
      </c>
      <c r="B10" s="355" t="s">
        <v>188</v>
      </c>
      <c r="C10" s="355" t="s">
        <v>5</v>
      </c>
      <c r="D10" s="355" t="s">
        <v>1899</v>
      </c>
      <c r="E10" s="332" t="s">
        <v>1458</v>
      </c>
      <c r="F10" s="332" t="s">
        <v>1459</v>
      </c>
      <c r="G10" s="332" t="s">
        <v>222</v>
      </c>
      <c r="H10" s="332" t="s">
        <v>223</v>
      </c>
      <c r="I10" s="332" t="s">
        <v>1972</v>
      </c>
      <c r="J10" s="398" t="s">
        <v>1427</v>
      </c>
      <c r="K10" s="399"/>
      <c r="L10" s="399"/>
      <c r="M10" s="399"/>
      <c r="N10" s="399"/>
      <c r="O10" s="399"/>
      <c r="P10" s="399"/>
      <c r="Q10" s="399"/>
      <c r="R10" s="399"/>
      <c r="S10" s="399"/>
      <c r="T10" s="399"/>
      <c r="U10" s="399"/>
      <c r="V10" s="466" t="s">
        <v>1980</v>
      </c>
      <c r="W10" s="467"/>
      <c r="X10" s="467"/>
      <c r="Y10" s="467"/>
      <c r="Z10" s="467"/>
      <c r="AA10" s="467"/>
      <c r="AB10" s="467"/>
      <c r="AC10" s="467"/>
      <c r="AD10" s="467"/>
      <c r="AE10" s="467"/>
      <c r="AF10" s="467"/>
      <c r="AG10" s="467"/>
      <c r="AH10" s="315" t="s">
        <v>287</v>
      </c>
      <c r="AI10" s="315"/>
      <c r="AJ10" s="315"/>
      <c r="AK10" s="315"/>
      <c r="AL10" s="315"/>
      <c r="AM10" s="315"/>
      <c r="AN10" s="315"/>
      <c r="AO10" s="315"/>
      <c r="AP10" s="315"/>
      <c r="AQ10" s="315"/>
      <c r="AR10" s="315"/>
      <c r="AS10" s="315"/>
    </row>
    <row r="11" s="158" customFormat="1" spans="1:45">
      <c r="A11" s="355"/>
      <c r="B11" s="355"/>
      <c r="C11" s="355"/>
      <c r="D11" s="355"/>
      <c r="E11" s="338"/>
      <c r="F11" s="338"/>
      <c r="G11" s="338"/>
      <c r="H11" s="338"/>
      <c r="I11" s="338"/>
      <c r="J11" s="400" t="s">
        <v>304</v>
      </c>
      <c r="K11" s="400" t="s">
        <v>305</v>
      </c>
      <c r="L11" s="400" t="s">
        <v>306</v>
      </c>
      <c r="M11" s="400" t="s">
        <v>307</v>
      </c>
      <c r="N11" s="400" t="s">
        <v>308</v>
      </c>
      <c r="O11" s="400" t="s">
        <v>309</v>
      </c>
      <c r="P11" s="400" t="s">
        <v>310</v>
      </c>
      <c r="Q11" s="400" t="s">
        <v>311</v>
      </c>
      <c r="R11" s="400" t="s">
        <v>312</v>
      </c>
      <c r="S11" s="400" t="s">
        <v>313</v>
      </c>
      <c r="T11" s="400" t="s">
        <v>314</v>
      </c>
      <c r="U11" s="400" t="s">
        <v>315</v>
      </c>
      <c r="V11" s="468" t="s">
        <v>304</v>
      </c>
      <c r="W11" s="468" t="s">
        <v>305</v>
      </c>
      <c r="X11" s="468" t="s">
        <v>306</v>
      </c>
      <c r="Y11" s="468" t="s">
        <v>307</v>
      </c>
      <c r="Z11" s="468" t="s">
        <v>308</v>
      </c>
      <c r="AA11" s="468" t="s">
        <v>309</v>
      </c>
      <c r="AB11" s="468" t="s">
        <v>310</v>
      </c>
      <c r="AC11" s="468" t="s">
        <v>311</v>
      </c>
      <c r="AD11" s="468" t="s">
        <v>312</v>
      </c>
      <c r="AE11" s="468" t="s">
        <v>313</v>
      </c>
      <c r="AF11" s="468" t="s">
        <v>314</v>
      </c>
      <c r="AG11" s="468" t="s">
        <v>315</v>
      </c>
      <c r="AH11" s="468" t="s">
        <v>304</v>
      </c>
      <c r="AI11" s="468" t="s">
        <v>305</v>
      </c>
      <c r="AJ11" s="468" t="s">
        <v>306</v>
      </c>
      <c r="AK11" s="468" t="s">
        <v>307</v>
      </c>
      <c r="AL11" s="468" t="s">
        <v>308</v>
      </c>
      <c r="AM11" s="468" t="s">
        <v>309</v>
      </c>
      <c r="AN11" s="468" t="s">
        <v>310</v>
      </c>
      <c r="AO11" s="468" t="s">
        <v>311</v>
      </c>
      <c r="AP11" s="468" t="s">
        <v>312</v>
      </c>
      <c r="AQ11" s="468" t="s">
        <v>313</v>
      </c>
      <c r="AR11" s="468" t="s">
        <v>314</v>
      </c>
      <c r="AS11" s="468" t="s">
        <v>315</v>
      </c>
    </row>
    <row r="12" s="351" customFormat="1" ht="19" customHeight="1" spans="1:45">
      <c r="A12" s="469"/>
      <c r="B12" s="469"/>
      <c r="C12" s="469"/>
      <c r="D12" s="470" t="s">
        <v>1906</v>
      </c>
      <c r="E12" s="410" t="s">
        <v>1421</v>
      </c>
      <c r="F12" s="410" t="s">
        <v>199</v>
      </c>
      <c r="G12" s="471" t="s">
        <v>199</v>
      </c>
      <c r="H12" s="471" t="s">
        <v>199</v>
      </c>
      <c r="I12" s="471" t="s">
        <v>199</v>
      </c>
      <c r="J12" s="402" t="s">
        <v>1465</v>
      </c>
      <c r="K12" s="402" t="s">
        <v>1465</v>
      </c>
      <c r="L12" s="402" t="s">
        <v>1465</v>
      </c>
      <c r="M12" s="402" t="s">
        <v>1465</v>
      </c>
      <c r="N12" s="402" t="s">
        <v>1465</v>
      </c>
      <c r="O12" s="402" t="s">
        <v>1465</v>
      </c>
      <c r="P12" s="402" t="s">
        <v>1465</v>
      </c>
      <c r="Q12" s="402" t="s">
        <v>1465</v>
      </c>
      <c r="R12" s="402" t="s">
        <v>1465</v>
      </c>
      <c r="S12" s="402" t="s">
        <v>1465</v>
      </c>
      <c r="T12" s="402" t="s">
        <v>1465</v>
      </c>
      <c r="U12" s="402" t="s">
        <v>1465</v>
      </c>
      <c r="V12" s="468" t="s">
        <v>1421</v>
      </c>
      <c r="W12" s="468" t="s">
        <v>1421</v>
      </c>
      <c r="X12" s="468" t="s">
        <v>1421</v>
      </c>
      <c r="Y12" s="468" t="s">
        <v>1421</v>
      </c>
      <c r="Z12" s="468" t="s">
        <v>1421</v>
      </c>
      <c r="AA12" s="468" t="s">
        <v>1421</v>
      </c>
      <c r="AB12" s="468" t="s">
        <v>1421</v>
      </c>
      <c r="AC12" s="468" t="s">
        <v>1421</v>
      </c>
      <c r="AD12" s="468" t="s">
        <v>1421</v>
      </c>
      <c r="AE12" s="468" t="s">
        <v>1421</v>
      </c>
      <c r="AF12" s="468" t="s">
        <v>1421</v>
      </c>
      <c r="AG12" s="468" t="s">
        <v>1421</v>
      </c>
      <c r="AH12" s="468" t="s">
        <v>1421</v>
      </c>
      <c r="AI12" s="468" t="s">
        <v>1421</v>
      </c>
      <c r="AJ12" s="468" t="s">
        <v>1421</v>
      </c>
      <c r="AK12" s="468" t="s">
        <v>1421</v>
      </c>
      <c r="AL12" s="468" t="s">
        <v>1421</v>
      </c>
      <c r="AM12" s="468" t="s">
        <v>1421</v>
      </c>
      <c r="AN12" s="468" t="s">
        <v>1421</v>
      </c>
      <c r="AO12" s="468" t="s">
        <v>1421</v>
      </c>
      <c r="AP12" s="468" t="s">
        <v>1421</v>
      </c>
      <c r="AQ12" s="468" t="s">
        <v>1421</v>
      </c>
      <c r="AR12" s="468" t="s">
        <v>1421</v>
      </c>
      <c r="AS12" s="468" t="s">
        <v>1421</v>
      </c>
    </row>
    <row r="13" s="351" customFormat="1" ht="19" customHeight="1" spans="1:45">
      <c r="A13" s="469"/>
      <c r="B13" s="469"/>
      <c r="C13" s="469"/>
      <c r="D13" s="407" t="s">
        <v>386</v>
      </c>
      <c r="E13" s="472"/>
      <c r="F13" s="473"/>
      <c r="G13" s="473"/>
      <c r="H13" s="473"/>
      <c r="I13" s="474"/>
      <c r="J13" s="469"/>
      <c r="K13" s="469"/>
      <c r="L13" s="469"/>
      <c r="M13" s="469"/>
      <c r="N13" s="469"/>
      <c r="O13" s="469"/>
      <c r="P13" s="469"/>
      <c r="Q13" s="469"/>
      <c r="R13" s="469"/>
      <c r="S13" s="469"/>
      <c r="T13" s="469"/>
      <c r="U13" s="469"/>
      <c r="V13" s="475"/>
      <c r="W13" s="475"/>
      <c r="X13" s="476"/>
      <c r="Y13" s="475"/>
      <c r="Z13" s="475"/>
      <c r="AA13" s="475"/>
      <c r="AB13" s="475"/>
      <c r="AC13" s="475"/>
      <c r="AD13" s="475"/>
      <c r="AE13" s="469"/>
      <c r="AF13" s="469"/>
      <c r="AG13" s="469"/>
      <c r="AH13" s="469"/>
      <c r="AI13" s="469"/>
      <c r="AJ13" s="469"/>
      <c r="AK13" s="469"/>
      <c r="AL13" s="469"/>
      <c r="AM13" s="469"/>
      <c r="AN13" s="469"/>
      <c r="AO13" s="469"/>
      <c r="AP13" s="469"/>
      <c r="AQ13" s="469"/>
      <c r="AR13" s="469"/>
      <c r="AS13" s="469"/>
    </row>
    <row r="14" s="351" customFormat="1" ht="19" customHeight="1" spans="1:45">
      <c r="A14" s="469"/>
      <c r="B14" s="469"/>
      <c r="C14" s="469"/>
      <c r="D14" s="407" t="s">
        <v>466</v>
      </c>
      <c r="E14" s="359"/>
      <c r="F14" s="360"/>
      <c r="G14" s="360"/>
      <c r="H14" s="360"/>
      <c r="I14" s="477"/>
      <c r="J14" s="469"/>
      <c r="K14" s="469"/>
      <c r="L14" s="469"/>
      <c r="M14" s="469"/>
      <c r="N14" s="469"/>
      <c r="O14" s="469"/>
      <c r="P14" s="469"/>
      <c r="Q14" s="469"/>
      <c r="R14" s="469"/>
      <c r="S14" s="469"/>
      <c r="T14" s="469"/>
      <c r="U14" s="469"/>
      <c r="V14" s="478"/>
      <c r="W14" s="478"/>
      <c r="X14" s="479"/>
      <c r="Y14" s="478"/>
      <c r="Z14" s="478"/>
      <c r="AA14" s="478"/>
      <c r="AB14" s="478"/>
      <c r="AC14" s="478"/>
      <c r="AD14" s="478"/>
      <c r="AE14" s="469"/>
      <c r="AF14" s="469"/>
      <c r="AG14" s="469"/>
      <c r="AH14" s="469"/>
      <c r="AI14" s="469"/>
      <c r="AJ14" s="469"/>
      <c r="AK14" s="469"/>
      <c r="AL14" s="469"/>
      <c r="AM14" s="469"/>
      <c r="AN14" s="469"/>
      <c r="AO14" s="469"/>
      <c r="AP14" s="469"/>
      <c r="AQ14" s="469"/>
      <c r="AR14" s="469"/>
      <c r="AS14" s="469"/>
    </row>
    <row r="15" s="397" customFormat="1" ht="16" customHeight="1" spans="1:45">
      <c r="A15" s="409"/>
      <c r="B15" s="409"/>
      <c r="C15" s="409"/>
      <c r="D15" s="470" t="s">
        <v>1909</v>
      </c>
      <c r="E15" s="480"/>
      <c r="F15" s="480"/>
      <c r="G15" s="480"/>
      <c r="H15" s="480"/>
      <c r="I15" s="481"/>
      <c r="J15" s="409"/>
      <c r="K15" s="409"/>
      <c r="L15" s="409"/>
      <c r="M15" s="409"/>
      <c r="N15" s="409"/>
      <c r="O15" s="409"/>
      <c r="P15" s="409"/>
      <c r="Q15" s="409"/>
      <c r="R15" s="409"/>
      <c r="S15" s="409"/>
      <c r="T15" s="409"/>
      <c r="U15" s="409"/>
      <c r="V15" s="480"/>
      <c r="W15" s="480"/>
      <c r="X15" s="480"/>
      <c r="Y15" s="480"/>
      <c r="Z15" s="480"/>
      <c r="AA15" s="480"/>
      <c r="AB15" s="480"/>
      <c r="AC15" s="480"/>
      <c r="AD15" s="480"/>
      <c r="AE15" s="409"/>
      <c r="AF15" s="409"/>
      <c r="AG15" s="409"/>
      <c r="AH15" s="409"/>
      <c r="AI15" s="409"/>
      <c r="AJ15" s="409"/>
      <c r="AK15" s="409"/>
      <c r="AL15" s="409"/>
      <c r="AM15" s="409"/>
      <c r="AN15" s="409"/>
      <c r="AO15" s="409"/>
      <c r="AP15" s="409"/>
      <c r="AQ15" s="409"/>
      <c r="AR15" s="409"/>
      <c r="AS15" s="409"/>
    </row>
    <row r="16" s="397" customFormat="1" ht="12.75" spans="1:45">
      <c r="A16" s="409"/>
      <c r="B16" s="409"/>
      <c r="C16" s="409"/>
      <c r="D16" s="482" t="s">
        <v>359</v>
      </c>
      <c r="E16" s="483"/>
      <c r="F16" s="483"/>
      <c r="G16" s="483"/>
      <c r="H16" s="484"/>
      <c r="I16" s="485"/>
      <c r="J16" s="409"/>
      <c r="K16" s="409"/>
      <c r="L16" s="409"/>
      <c r="M16" s="409"/>
      <c r="N16" s="409"/>
      <c r="O16" s="409"/>
      <c r="P16" s="409"/>
      <c r="Q16" s="409"/>
      <c r="R16" s="409"/>
      <c r="S16" s="409"/>
      <c r="T16" s="409"/>
      <c r="U16" s="409"/>
      <c r="V16" s="483"/>
      <c r="W16" s="483"/>
      <c r="X16" s="483"/>
      <c r="Y16" s="483"/>
      <c r="Z16" s="483"/>
      <c r="AA16" s="483"/>
      <c r="AB16" s="483"/>
      <c r="AC16" s="483"/>
      <c r="AD16" s="483"/>
      <c r="AE16" s="409"/>
      <c r="AF16" s="409"/>
      <c r="AG16" s="409"/>
      <c r="AH16" s="409"/>
      <c r="AI16" s="409"/>
      <c r="AJ16" s="409"/>
      <c r="AK16" s="409"/>
      <c r="AL16" s="409"/>
      <c r="AM16" s="409"/>
      <c r="AN16" s="409"/>
      <c r="AO16" s="409"/>
      <c r="AP16" s="409"/>
      <c r="AQ16" s="409"/>
      <c r="AR16" s="409"/>
      <c r="AS16" s="409"/>
    </row>
    <row r="17" s="397" customFormat="1" ht="12.75" spans="1:45">
      <c r="A17" s="409"/>
      <c r="B17" s="409"/>
      <c r="C17" s="409"/>
      <c r="D17" s="407" t="s">
        <v>429</v>
      </c>
      <c r="E17" s="408"/>
      <c r="F17" s="408"/>
      <c r="G17" s="408"/>
      <c r="H17" s="486"/>
      <c r="I17" s="487"/>
      <c r="J17" s="409"/>
      <c r="K17" s="409"/>
      <c r="L17" s="409"/>
      <c r="M17" s="409"/>
      <c r="N17" s="409"/>
      <c r="O17" s="409"/>
      <c r="P17" s="409"/>
      <c r="Q17" s="409"/>
      <c r="R17" s="409"/>
      <c r="S17" s="409"/>
      <c r="T17" s="409"/>
      <c r="U17" s="409"/>
      <c r="V17" s="408"/>
      <c r="W17" s="408"/>
      <c r="X17" s="408"/>
      <c r="Y17" s="408"/>
      <c r="Z17" s="408"/>
      <c r="AA17" s="408"/>
      <c r="AB17" s="408"/>
      <c r="AC17" s="408"/>
      <c r="AD17" s="408"/>
      <c r="AE17" s="409"/>
      <c r="AF17" s="409"/>
      <c r="AG17" s="409"/>
      <c r="AH17" s="409"/>
      <c r="AI17" s="409"/>
      <c r="AJ17" s="409"/>
      <c r="AK17" s="409"/>
      <c r="AL17" s="409"/>
      <c r="AM17" s="409"/>
      <c r="AN17" s="409"/>
      <c r="AO17" s="409"/>
      <c r="AP17" s="409"/>
      <c r="AQ17" s="409"/>
      <c r="AR17" s="409"/>
      <c r="AS17" s="409"/>
    </row>
    <row r="18" s="397" customFormat="1" ht="12.75" spans="1:45">
      <c r="A18" s="409"/>
      <c r="B18" s="409"/>
      <c r="C18" s="409"/>
      <c r="D18" s="407" t="s">
        <v>437</v>
      </c>
      <c r="E18" s="408"/>
      <c r="F18" s="408"/>
      <c r="G18" s="408"/>
      <c r="H18" s="486"/>
      <c r="I18" s="487"/>
      <c r="J18" s="409"/>
      <c r="K18" s="409"/>
      <c r="L18" s="409"/>
      <c r="M18" s="409"/>
      <c r="N18" s="409"/>
      <c r="O18" s="409"/>
      <c r="P18" s="409"/>
      <c r="Q18" s="409"/>
      <c r="R18" s="409"/>
      <c r="S18" s="409"/>
      <c r="T18" s="409"/>
      <c r="U18" s="409"/>
      <c r="V18" s="408"/>
      <c r="W18" s="408"/>
      <c r="X18" s="408"/>
      <c r="Y18" s="408"/>
      <c r="Z18" s="408"/>
      <c r="AA18" s="408"/>
      <c r="AB18" s="408"/>
      <c r="AC18" s="408"/>
      <c r="AD18" s="408"/>
      <c r="AE18" s="409"/>
      <c r="AF18" s="409"/>
      <c r="AG18" s="409"/>
      <c r="AH18" s="409"/>
      <c r="AI18" s="409"/>
      <c r="AJ18" s="409"/>
      <c r="AK18" s="409"/>
      <c r="AL18" s="409"/>
      <c r="AM18" s="409"/>
      <c r="AN18" s="409"/>
      <c r="AO18" s="409"/>
      <c r="AP18" s="409"/>
      <c r="AQ18" s="409"/>
      <c r="AR18" s="409"/>
      <c r="AS18" s="409"/>
    </row>
    <row r="19" s="397" customFormat="1" ht="12.75" spans="1:45">
      <c r="A19" s="409"/>
      <c r="B19" s="409"/>
      <c r="C19" s="409"/>
      <c r="D19" s="407" t="s">
        <v>480</v>
      </c>
      <c r="E19" s="408"/>
      <c r="F19" s="408"/>
      <c r="G19" s="408"/>
      <c r="H19" s="486"/>
      <c r="I19" s="487"/>
      <c r="J19" s="409"/>
      <c r="K19" s="409"/>
      <c r="L19" s="409"/>
      <c r="M19" s="409"/>
      <c r="N19" s="409"/>
      <c r="O19" s="409"/>
      <c r="P19" s="409"/>
      <c r="Q19" s="409"/>
      <c r="R19" s="409"/>
      <c r="S19" s="409"/>
      <c r="T19" s="409"/>
      <c r="U19" s="409"/>
      <c r="V19" s="408"/>
      <c r="W19" s="408"/>
      <c r="X19" s="408"/>
      <c r="Y19" s="408"/>
      <c r="Z19" s="408"/>
      <c r="AA19" s="408"/>
      <c r="AB19" s="408"/>
      <c r="AC19" s="408"/>
      <c r="AD19" s="408"/>
      <c r="AE19" s="409"/>
      <c r="AF19" s="409"/>
      <c r="AG19" s="409"/>
      <c r="AH19" s="409"/>
      <c r="AI19" s="409"/>
      <c r="AJ19" s="409"/>
      <c r="AK19" s="409"/>
      <c r="AL19" s="409"/>
      <c r="AM19" s="409"/>
      <c r="AN19" s="409"/>
      <c r="AO19" s="409"/>
      <c r="AP19" s="409"/>
      <c r="AQ19" s="409"/>
      <c r="AR19" s="409"/>
      <c r="AS19" s="409"/>
    </row>
    <row r="20" s="397" customFormat="1" ht="12.75" spans="1:45">
      <c r="A20" s="409"/>
      <c r="B20" s="409"/>
      <c r="C20" s="409"/>
      <c r="D20" s="407" t="s">
        <v>483</v>
      </c>
      <c r="E20" s="408"/>
      <c r="F20" s="408"/>
      <c r="G20" s="408"/>
      <c r="H20" s="486"/>
      <c r="I20" s="487"/>
      <c r="J20" s="409"/>
      <c r="K20" s="409"/>
      <c r="L20" s="409"/>
      <c r="M20" s="409"/>
      <c r="N20" s="409"/>
      <c r="O20" s="409"/>
      <c r="P20" s="409"/>
      <c r="Q20" s="409"/>
      <c r="R20" s="409"/>
      <c r="S20" s="409"/>
      <c r="T20" s="409"/>
      <c r="U20" s="409"/>
      <c r="V20" s="408"/>
      <c r="W20" s="408"/>
      <c r="X20" s="408"/>
      <c r="Y20" s="408"/>
      <c r="Z20" s="408"/>
      <c r="AA20" s="408"/>
      <c r="AB20" s="408"/>
      <c r="AC20" s="408"/>
      <c r="AD20" s="408"/>
      <c r="AE20" s="409"/>
      <c r="AF20" s="409"/>
      <c r="AG20" s="409"/>
      <c r="AH20" s="409"/>
      <c r="AI20" s="409"/>
      <c r="AJ20" s="409"/>
      <c r="AK20" s="409"/>
      <c r="AL20" s="409"/>
      <c r="AM20" s="409"/>
      <c r="AN20" s="409"/>
      <c r="AO20" s="409"/>
      <c r="AP20" s="409"/>
      <c r="AQ20" s="409"/>
      <c r="AR20" s="409"/>
      <c r="AS20" s="409"/>
    </row>
    <row r="21" s="397" customFormat="1" ht="12.75" spans="1:45">
      <c r="A21" s="409"/>
      <c r="B21" s="409"/>
      <c r="C21" s="409"/>
      <c r="D21" s="407" t="s">
        <v>462</v>
      </c>
      <c r="E21" s="408"/>
      <c r="F21" s="408"/>
      <c r="G21" s="408"/>
      <c r="H21" s="486"/>
      <c r="I21" s="487"/>
      <c r="J21" s="409"/>
      <c r="K21" s="409"/>
      <c r="L21" s="409"/>
      <c r="M21" s="409"/>
      <c r="N21" s="409"/>
      <c r="O21" s="409"/>
      <c r="P21" s="409"/>
      <c r="Q21" s="409"/>
      <c r="R21" s="409"/>
      <c r="S21" s="409"/>
      <c r="T21" s="409"/>
      <c r="U21" s="409"/>
      <c r="V21" s="408"/>
      <c r="W21" s="408"/>
      <c r="X21" s="408"/>
      <c r="Y21" s="408"/>
      <c r="Z21" s="408"/>
      <c r="AA21" s="408"/>
      <c r="AB21" s="408"/>
      <c r="AC21" s="408"/>
      <c r="AD21" s="408"/>
      <c r="AE21" s="409"/>
      <c r="AF21" s="409"/>
      <c r="AG21" s="409"/>
      <c r="AH21" s="409"/>
      <c r="AI21" s="409"/>
      <c r="AJ21" s="409"/>
      <c r="AK21" s="409"/>
      <c r="AL21" s="409"/>
      <c r="AM21" s="409"/>
      <c r="AN21" s="409"/>
      <c r="AO21" s="409"/>
      <c r="AP21" s="409"/>
      <c r="AQ21" s="409"/>
      <c r="AR21" s="409"/>
      <c r="AS21" s="409"/>
    </row>
    <row r="22" s="397" customFormat="1" ht="12.75" spans="1:45">
      <c r="A22" s="409"/>
      <c r="B22" s="409"/>
      <c r="C22" s="409"/>
      <c r="D22" s="407" t="s">
        <v>166</v>
      </c>
      <c r="E22" s="408"/>
      <c r="F22" s="408"/>
      <c r="G22" s="408"/>
      <c r="H22" s="486"/>
      <c r="I22" s="487"/>
      <c r="J22" s="409"/>
      <c r="K22" s="409"/>
      <c r="L22" s="409"/>
      <c r="M22" s="409"/>
      <c r="N22" s="409"/>
      <c r="O22" s="409"/>
      <c r="P22" s="409"/>
      <c r="Q22" s="409"/>
      <c r="R22" s="409"/>
      <c r="S22" s="409"/>
      <c r="T22" s="409"/>
      <c r="U22" s="409"/>
      <c r="V22" s="408"/>
      <c r="W22" s="408"/>
      <c r="X22" s="408"/>
      <c r="Y22" s="408"/>
      <c r="Z22" s="408"/>
      <c r="AA22" s="408"/>
      <c r="AB22" s="408"/>
      <c r="AC22" s="408"/>
      <c r="AD22" s="408"/>
      <c r="AE22" s="409"/>
      <c r="AF22" s="409"/>
      <c r="AG22" s="409"/>
      <c r="AH22" s="409"/>
      <c r="AI22" s="409"/>
      <c r="AJ22" s="409"/>
      <c r="AK22" s="409"/>
      <c r="AL22" s="409"/>
      <c r="AM22" s="409"/>
      <c r="AN22" s="409"/>
      <c r="AO22" s="409"/>
      <c r="AP22" s="409"/>
      <c r="AQ22" s="409"/>
      <c r="AR22" s="409"/>
      <c r="AS22" s="409"/>
    </row>
    <row r="23" s="397" customFormat="1" ht="12.75" spans="1:45">
      <c r="A23" s="409"/>
      <c r="B23" s="409"/>
      <c r="C23" s="409"/>
      <c r="D23" s="407" t="s">
        <v>1981</v>
      </c>
      <c r="E23" s="408"/>
      <c r="F23" s="408"/>
      <c r="G23" s="408"/>
      <c r="H23" s="486"/>
      <c r="I23" s="487"/>
      <c r="J23" s="409"/>
      <c r="K23" s="409"/>
      <c r="L23" s="409"/>
      <c r="M23" s="409"/>
      <c r="N23" s="409"/>
      <c r="O23" s="409"/>
      <c r="P23" s="409"/>
      <c r="Q23" s="409"/>
      <c r="R23" s="409"/>
      <c r="S23" s="409"/>
      <c r="T23" s="409"/>
      <c r="U23" s="409"/>
      <c r="V23" s="408"/>
      <c r="W23" s="408"/>
      <c r="X23" s="408"/>
      <c r="Y23" s="408"/>
      <c r="Z23" s="408"/>
      <c r="AA23" s="408"/>
      <c r="AB23" s="408"/>
      <c r="AC23" s="408"/>
      <c r="AD23" s="408"/>
      <c r="AE23" s="409"/>
      <c r="AF23" s="409"/>
      <c r="AG23" s="409"/>
      <c r="AH23" s="409"/>
      <c r="AI23" s="409"/>
      <c r="AJ23" s="409"/>
      <c r="AK23" s="409"/>
      <c r="AL23" s="409"/>
      <c r="AM23" s="409"/>
      <c r="AN23" s="409"/>
      <c r="AO23" s="409"/>
      <c r="AP23" s="409"/>
      <c r="AQ23" s="409"/>
      <c r="AR23" s="409"/>
      <c r="AS23" s="409"/>
    </row>
    <row r="24" s="397" customFormat="1" ht="12.75" spans="1:45">
      <c r="A24" s="409"/>
      <c r="B24" s="409"/>
      <c r="C24" s="409"/>
      <c r="D24" s="407" t="s">
        <v>1982</v>
      </c>
      <c r="E24" s="408"/>
      <c r="F24" s="408"/>
      <c r="G24" s="408"/>
      <c r="H24" s="486"/>
      <c r="I24" s="487"/>
      <c r="J24" s="409"/>
      <c r="K24" s="409"/>
      <c r="L24" s="409"/>
      <c r="M24" s="409"/>
      <c r="N24" s="409"/>
      <c r="O24" s="409"/>
      <c r="P24" s="409"/>
      <c r="Q24" s="409"/>
      <c r="R24" s="409"/>
      <c r="S24" s="409"/>
      <c r="T24" s="409"/>
      <c r="U24" s="409"/>
      <c r="V24" s="408"/>
      <c r="W24" s="408"/>
      <c r="X24" s="408"/>
      <c r="Y24" s="408"/>
      <c r="Z24" s="408"/>
      <c r="AA24" s="408"/>
      <c r="AB24" s="408"/>
      <c r="AC24" s="408"/>
      <c r="AD24" s="408"/>
      <c r="AE24" s="409"/>
      <c r="AF24" s="409"/>
      <c r="AG24" s="409"/>
      <c r="AH24" s="409"/>
      <c r="AI24" s="409"/>
      <c r="AJ24" s="409"/>
      <c r="AK24" s="409"/>
      <c r="AL24" s="409"/>
      <c r="AM24" s="409"/>
      <c r="AN24" s="409"/>
      <c r="AO24" s="409"/>
      <c r="AP24" s="409"/>
      <c r="AQ24" s="409"/>
      <c r="AR24" s="409"/>
      <c r="AS24" s="409"/>
    </row>
    <row r="25" s="397" customFormat="1" ht="12.75" spans="1:45">
      <c r="A25" s="409"/>
      <c r="B25" s="409"/>
      <c r="C25" s="409"/>
      <c r="D25" s="407" t="s">
        <v>1983</v>
      </c>
      <c r="E25" s="408"/>
      <c r="F25" s="408"/>
      <c r="G25" s="408"/>
      <c r="H25" s="486"/>
      <c r="I25" s="487"/>
      <c r="J25" s="409"/>
      <c r="K25" s="409"/>
      <c r="L25" s="409"/>
      <c r="M25" s="409"/>
      <c r="N25" s="409"/>
      <c r="O25" s="409"/>
      <c r="P25" s="409"/>
      <c r="Q25" s="409"/>
      <c r="R25" s="409"/>
      <c r="S25" s="409"/>
      <c r="T25" s="409"/>
      <c r="U25" s="409"/>
      <c r="V25" s="408"/>
      <c r="W25" s="408"/>
      <c r="X25" s="408"/>
      <c r="Y25" s="408"/>
      <c r="Z25" s="408"/>
      <c r="AA25" s="408"/>
      <c r="AB25" s="408"/>
      <c r="AC25" s="408"/>
      <c r="AD25" s="408"/>
      <c r="AE25" s="409"/>
      <c r="AF25" s="409"/>
      <c r="AG25" s="409"/>
      <c r="AH25" s="409"/>
      <c r="AI25" s="409"/>
      <c r="AJ25" s="409"/>
      <c r="AK25" s="409"/>
      <c r="AL25" s="409"/>
      <c r="AM25" s="409"/>
      <c r="AN25" s="409"/>
      <c r="AO25" s="409"/>
      <c r="AP25" s="409"/>
      <c r="AQ25" s="409"/>
      <c r="AR25" s="409"/>
      <c r="AS25" s="409"/>
    </row>
    <row r="26" s="397" customFormat="1" ht="12.75" spans="1:45">
      <c r="A26" s="409"/>
      <c r="B26" s="409"/>
      <c r="C26" s="409"/>
      <c r="D26" s="407" t="s">
        <v>451</v>
      </c>
      <c r="E26" s="408"/>
      <c r="F26" s="408"/>
      <c r="G26" s="408"/>
      <c r="H26" s="486"/>
      <c r="I26" s="487"/>
      <c r="J26" s="409"/>
      <c r="K26" s="409"/>
      <c r="L26" s="409"/>
      <c r="M26" s="409"/>
      <c r="N26" s="409"/>
      <c r="O26" s="409"/>
      <c r="P26" s="409"/>
      <c r="Q26" s="409"/>
      <c r="R26" s="409"/>
      <c r="S26" s="409"/>
      <c r="T26" s="409"/>
      <c r="U26" s="409"/>
      <c r="V26" s="408"/>
      <c r="W26" s="408"/>
      <c r="X26" s="408"/>
      <c r="Y26" s="408"/>
      <c r="Z26" s="408"/>
      <c r="AA26" s="408"/>
      <c r="AB26" s="408"/>
      <c r="AC26" s="408"/>
      <c r="AD26" s="408"/>
      <c r="AE26" s="409"/>
      <c r="AF26" s="409"/>
      <c r="AG26" s="409"/>
      <c r="AH26" s="409"/>
      <c r="AI26" s="409"/>
      <c r="AJ26" s="409"/>
      <c r="AK26" s="409"/>
      <c r="AL26" s="409"/>
      <c r="AM26" s="409"/>
      <c r="AN26" s="409"/>
      <c r="AO26" s="409"/>
      <c r="AP26" s="409"/>
      <c r="AQ26" s="409"/>
      <c r="AR26" s="409"/>
      <c r="AS26" s="409"/>
    </row>
    <row r="27" s="397" customFormat="1" ht="12.75" spans="1:45">
      <c r="A27" s="409"/>
      <c r="B27" s="409"/>
      <c r="C27" s="409"/>
      <c r="D27" s="488" t="s">
        <v>1984</v>
      </c>
      <c r="E27" s="408"/>
      <c r="F27" s="408"/>
      <c r="G27" s="408"/>
      <c r="H27" s="486"/>
      <c r="I27" s="487"/>
      <c r="J27" s="409"/>
      <c r="K27" s="409"/>
      <c r="L27" s="409"/>
      <c r="M27" s="409"/>
      <c r="N27" s="409"/>
      <c r="O27" s="409"/>
      <c r="P27" s="409"/>
      <c r="Q27" s="409"/>
      <c r="R27" s="409"/>
      <c r="S27" s="409"/>
      <c r="T27" s="409"/>
      <c r="U27" s="409"/>
      <c r="V27" s="408"/>
      <c r="W27" s="408"/>
      <c r="X27" s="408"/>
      <c r="Y27" s="408"/>
      <c r="Z27" s="408"/>
      <c r="AA27" s="408"/>
      <c r="AB27" s="408"/>
      <c r="AC27" s="408"/>
      <c r="AD27" s="408"/>
      <c r="AE27" s="409"/>
      <c r="AF27" s="409"/>
      <c r="AG27" s="409"/>
      <c r="AH27" s="409"/>
      <c r="AI27" s="409"/>
      <c r="AJ27" s="409"/>
      <c r="AK27" s="409"/>
      <c r="AL27" s="409"/>
      <c r="AM27" s="409"/>
      <c r="AN27" s="409"/>
      <c r="AO27" s="409"/>
      <c r="AP27" s="409"/>
      <c r="AQ27" s="409"/>
      <c r="AR27" s="409"/>
      <c r="AS27" s="409"/>
    </row>
    <row r="28" s="397" customFormat="1" ht="12.75" spans="1:45">
      <c r="A28" s="409"/>
      <c r="B28" s="409"/>
      <c r="C28" s="409"/>
      <c r="D28" s="407" t="s">
        <v>1985</v>
      </c>
      <c r="E28" s="408"/>
      <c r="F28" s="408"/>
      <c r="G28" s="408"/>
      <c r="H28" s="486"/>
      <c r="I28" s="487"/>
      <c r="J28" s="409"/>
      <c r="K28" s="409"/>
      <c r="L28" s="409"/>
      <c r="M28" s="409"/>
      <c r="N28" s="409"/>
      <c r="O28" s="409"/>
      <c r="P28" s="409"/>
      <c r="Q28" s="409"/>
      <c r="R28" s="409"/>
      <c r="S28" s="409"/>
      <c r="T28" s="409"/>
      <c r="U28" s="409"/>
      <c r="V28" s="408"/>
      <c r="W28" s="408"/>
      <c r="X28" s="408"/>
      <c r="Y28" s="408"/>
      <c r="Z28" s="408"/>
      <c r="AA28" s="408"/>
      <c r="AB28" s="408"/>
      <c r="AC28" s="408"/>
      <c r="AD28" s="408"/>
      <c r="AE28" s="409"/>
      <c r="AF28" s="409"/>
      <c r="AG28" s="409"/>
      <c r="AH28" s="409"/>
      <c r="AI28" s="409"/>
      <c r="AJ28" s="409"/>
      <c r="AK28" s="409"/>
      <c r="AL28" s="409"/>
      <c r="AM28" s="409"/>
      <c r="AN28" s="409"/>
      <c r="AO28" s="409"/>
      <c r="AP28" s="409"/>
      <c r="AQ28" s="409"/>
      <c r="AR28" s="409"/>
      <c r="AS28" s="409"/>
    </row>
    <row r="29" s="397" customFormat="1" ht="12.75" spans="1:45">
      <c r="A29" s="409"/>
      <c r="B29" s="409"/>
      <c r="C29" s="409"/>
      <c r="D29" s="489" t="s">
        <v>1986</v>
      </c>
      <c r="E29" s="480"/>
      <c r="F29" s="480"/>
      <c r="G29" s="480"/>
      <c r="H29" s="480"/>
      <c r="I29" s="481"/>
      <c r="J29" s="409"/>
      <c r="K29" s="409"/>
      <c r="L29" s="409"/>
      <c r="M29" s="409"/>
      <c r="N29" s="409"/>
      <c r="O29" s="409"/>
      <c r="P29" s="409"/>
      <c r="Q29" s="409"/>
      <c r="R29" s="409"/>
      <c r="S29" s="409"/>
      <c r="T29" s="409"/>
      <c r="U29" s="409"/>
      <c r="V29" s="480"/>
      <c r="W29" s="480"/>
      <c r="X29" s="480"/>
      <c r="Y29" s="480"/>
      <c r="Z29" s="480"/>
      <c r="AA29" s="480"/>
      <c r="AB29" s="480"/>
      <c r="AC29" s="480"/>
      <c r="AD29" s="480"/>
      <c r="AE29" s="409"/>
      <c r="AF29" s="409"/>
      <c r="AG29" s="409"/>
      <c r="AH29" s="409"/>
      <c r="AI29" s="409"/>
      <c r="AJ29" s="409"/>
      <c r="AK29" s="409"/>
      <c r="AL29" s="409"/>
      <c r="AM29" s="409"/>
      <c r="AN29" s="409"/>
      <c r="AO29" s="409"/>
      <c r="AP29" s="409"/>
      <c r="AQ29" s="409"/>
      <c r="AR29" s="409"/>
      <c r="AS29" s="409"/>
    </row>
    <row r="30" spans="1:45">
      <c r="A30" s="127"/>
      <c r="B30" s="127"/>
      <c r="C30" s="127"/>
      <c r="D30" s="490" t="s">
        <v>1987</v>
      </c>
      <c r="E30" s="127"/>
      <c r="F30" s="127"/>
      <c r="G30" s="127"/>
      <c r="H30" s="127"/>
      <c r="I30" s="491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7"/>
      <c r="AQ30" s="127"/>
      <c r="AR30" s="127"/>
      <c r="AS30" s="127"/>
    </row>
    <row r="31" spans="1:45">
      <c r="A31" s="127"/>
      <c r="B31" s="127"/>
      <c r="C31" s="127"/>
      <c r="D31" s="490" t="s">
        <v>1988</v>
      </c>
      <c r="E31" s="127"/>
      <c r="F31" s="127"/>
      <c r="G31" s="127"/>
      <c r="H31" s="127"/>
      <c r="I31" s="491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</row>
    <row r="32" spans="1:45">
      <c r="A32" s="127"/>
      <c r="B32" s="127"/>
      <c r="C32" s="127"/>
      <c r="D32" s="489" t="s">
        <v>1989</v>
      </c>
      <c r="E32" s="127"/>
      <c r="F32" s="127"/>
      <c r="G32" s="127"/>
      <c r="H32" s="127"/>
      <c r="I32" s="491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</row>
    <row r="33" ht="16.5" spans="1:45">
      <c r="A33" s="127"/>
      <c r="B33" s="127"/>
      <c r="C33" s="127"/>
      <c r="D33" s="411" t="s">
        <v>1990</v>
      </c>
      <c r="E33" s="127"/>
      <c r="F33" s="127"/>
      <c r="G33" s="127"/>
      <c r="H33" s="127"/>
      <c r="I33" s="491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7"/>
    </row>
    <row r="34" ht="16.5" spans="1:45">
      <c r="A34" s="127"/>
      <c r="B34" s="127"/>
      <c r="C34" s="127"/>
      <c r="D34" s="411" t="s">
        <v>216</v>
      </c>
      <c r="E34" s="127"/>
      <c r="F34" s="127"/>
      <c r="G34" s="127"/>
      <c r="H34" s="127"/>
      <c r="I34" s="491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</row>
  </sheetData>
  <mergeCells count="14">
    <mergeCell ref="A5:D5"/>
    <mergeCell ref="J10:U10"/>
    <mergeCell ref="V10:AG10"/>
    <mergeCell ref="AH10:AS10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A1:D4"/>
  </mergeCells>
  <conditionalFormatting sqref="E15:I29 V15:AD29">
    <cfRule type="cellIs" dxfId="1" priority="1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1">
    <tabColor theme="8" tint="0.399975585192419"/>
  </sheetPr>
  <dimension ref="A1:XET33"/>
  <sheetViews>
    <sheetView workbookViewId="0">
      <selection activeCell="A1" sqref="A1:D4"/>
    </sheetView>
  </sheetViews>
  <sheetFormatPr defaultColWidth="9" defaultRowHeight="11.25"/>
  <cols>
    <col min="1" max="2" width="8.725" style="159"/>
    <col min="3" max="3" width="12.5416666666667" style="159" customWidth="1"/>
    <col min="4" max="4" width="8.725" style="159"/>
    <col min="5" max="5" width="6.45" style="159" customWidth="1"/>
    <col min="6" max="6" width="5.725" style="159" customWidth="1"/>
    <col min="7" max="7" width="9.725" style="159" customWidth="1"/>
    <col min="8" max="8" width="9.81666666666667" style="159" customWidth="1"/>
    <col min="9" max="10" width="8.725" style="159"/>
    <col min="11" max="11" width="9.26666666666667" style="159" customWidth="1"/>
    <col min="12" max="16375" width="8.725" style="159"/>
    <col min="16376" max="16384" width="9" style="159"/>
  </cols>
  <sheetData>
    <row r="1" spans="1:31 16371:16374">
      <c r="A1" s="162" t="s">
        <v>185</v>
      </c>
      <c r="B1" s="291"/>
      <c r="C1" s="291"/>
      <c r="D1" s="291"/>
      <c r="E1" s="7" t="s">
        <v>1404</v>
      </c>
      <c r="F1" s="8" t="s">
        <v>1405</v>
      </c>
      <c r="G1" s="8"/>
      <c r="H1" s="8"/>
    </row>
    <row r="2" spans="1:31 16371:16374">
      <c r="A2" s="291"/>
      <c r="B2" s="291"/>
      <c r="C2" s="291"/>
      <c r="D2" s="291"/>
      <c r="E2" s="12"/>
      <c r="F2" s="13" t="s">
        <v>1991</v>
      </c>
      <c r="G2" s="13"/>
      <c r="H2" s="13"/>
    </row>
    <row r="3" spans="1:31 16371:16374">
      <c r="A3" s="291"/>
      <c r="B3" s="291"/>
      <c r="C3" s="291"/>
      <c r="D3" s="291"/>
      <c r="E3" s="12"/>
      <c r="F3" s="13" t="s">
        <v>1660</v>
      </c>
      <c r="G3" s="13"/>
      <c r="H3" s="13"/>
    </row>
    <row r="4" spans="1:31 16371:16374">
      <c r="A4" s="291"/>
      <c r="B4" s="291"/>
      <c r="C4" s="291"/>
      <c r="D4" s="291"/>
      <c r="E4" s="12"/>
      <c r="G4" s="13"/>
      <c r="H4" s="13"/>
    </row>
    <row r="5" spans="1:31 16371:16374">
      <c r="A5" s="292" t="s">
        <v>1992</v>
      </c>
      <c r="B5" s="292"/>
      <c r="C5" s="292"/>
      <c r="D5" s="292"/>
      <c r="E5" s="26" t="s">
        <v>1567</v>
      </c>
      <c r="F5" s="27"/>
      <c r="G5" s="27"/>
      <c r="H5" s="28"/>
    </row>
    <row r="6" ht="13.5" spans="1:31 16371:16374">
      <c r="A6" s="1"/>
      <c r="B6" s="1"/>
      <c r="C6" s="1"/>
      <c r="D6" s="1"/>
      <c r="E6"/>
      <c r="F6"/>
      <c r="G6" s="32"/>
      <c r="H6" s="1"/>
    </row>
    <row r="7" spans="1:31 16371:16374">
      <c r="A7" s="36" t="s">
        <v>1411</v>
      </c>
      <c r="B7" s="37" t="s">
        <v>1412</v>
      </c>
      <c r="C7" s="36" t="s">
        <v>187</v>
      </c>
      <c r="D7" s="37" t="s">
        <v>1413</v>
      </c>
      <c r="E7" s="36" t="s">
        <v>188</v>
      </c>
      <c r="F7" s="37" t="s">
        <v>1396</v>
      </c>
      <c r="G7" s="36" t="s">
        <v>5</v>
      </c>
      <c r="H7" s="37" t="s">
        <v>1413</v>
      </c>
      <c r="I7" s="36" t="s">
        <v>1364</v>
      </c>
      <c r="J7" s="37" t="s">
        <v>1396</v>
      </c>
      <c r="K7" s="36" t="s">
        <v>1414</v>
      </c>
      <c r="L7" s="38" t="s">
        <v>1359</v>
      </c>
    </row>
    <row r="9" spans="1:31 16371:16374">
      <c r="A9" s="441" t="s">
        <v>5</v>
      </c>
      <c r="B9" s="332" t="s">
        <v>1925</v>
      </c>
      <c r="C9" s="332" t="s">
        <v>281</v>
      </c>
      <c r="D9" s="442"/>
      <c r="E9" s="442"/>
      <c r="F9" s="442"/>
      <c r="G9" s="442"/>
      <c r="H9" s="442"/>
      <c r="I9" s="442"/>
      <c r="J9" s="442"/>
      <c r="K9" s="442"/>
      <c r="L9" s="442"/>
      <c r="M9" s="442"/>
      <c r="N9" s="442"/>
      <c r="O9" s="442"/>
    </row>
    <row r="10" spans="1:31 16371:16374">
      <c r="A10" s="377"/>
      <c r="B10" s="338"/>
      <c r="C10" s="338"/>
      <c r="D10" s="315" t="s">
        <v>304</v>
      </c>
      <c r="E10" s="315" t="s">
        <v>305</v>
      </c>
      <c r="F10" s="315" t="s">
        <v>306</v>
      </c>
      <c r="G10" s="315" t="s">
        <v>307</v>
      </c>
      <c r="H10" s="315" t="s">
        <v>308</v>
      </c>
      <c r="I10" s="315" t="s">
        <v>309</v>
      </c>
      <c r="J10" s="315" t="s">
        <v>310</v>
      </c>
      <c r="K10" s="315" t="s">
        <v>311</v>
      </c>
      <c r="L10" s="315" t="s">
        <v>312</v>
      </c>
      <c r="M10" s="315" t="s">
        <v>313</v>
      </c>
      <c r="N10" s="315" t="s">
        <v>314</v>
      </c>
      <c r="O10" s="315" t="s">
        <v>315</v>
      </c>
    </row>
    <row r="11" spans="1:31 16371:16374">
      <c r="A11" s="443" t="s">
        <v>1463</v>
      </c>
      <c r="B11" s="410">
        <v>2025</v>
      </c>
      <c r="C11" s="410" t="s">
        <v>199</v>
      </c>
      <c r="D11" s="315" t="s">
        <v>1421</v>
      </c>
      <c r="E11" s="315" t="s">
        <v>1421</v>
      </c>
      <c r="F11" s="315" t="s">
        <v>1421</v>
      </c>
      <c r="G11" s="315" t="s">
        <v>1421</v>
      </c>
      <c r="H11" s="315" t="s">
        <v>1421</v>
      </c>
      <c r="I11" s="315" t="s">
        <v>1421</v>
      </c>
      <c r="J11" s="315" t="s">
        <v>1421</v>
      </c>
      <c r="K11" s="315" t="s">
        <v>1421</v>
      </c>
      <c r="L11" s="315" t="s">
        <v>1421</v>
      </c>
      <c r="M11" s="315" t="s">
        <v>1421</v>
      </c>
      <c r="N11" s="315" t="s">
        <v>1421</v>
      </c>
      <c r="O11" s="315" t="s">
        <v>1421</v>
      </c>
    </row>
    <row r="12" customFormat="1" ht="13.5" spans="1:31 16371:16374">
      <c r="A12" s="443"/>
      <c r="B12" s="410">
        <v>2026</v>
      </c>
      <c r="C12" s="410"/>
      <c r="D12" s="315" t="s">
        <v>199</v>
      </c>
      <c r="E12" s="410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444"/>
      <c r="Q12" s="444"/>
      <c r="R12" s="444"/>
      <c r="S12" s="444"/>
      <c r="T12" s="444"/>
      <c r="U12" s="444"/>
      <c r="V12" s="444"/>
      <c r="W12" s="444"/>
      <c r="X12" s="444"/>
      <c r="Y12" s="444"/>
      <c r="Z12" s="444"/>
      <c r="AA12" s="444"/>
      <c r="AB12" s="444"/>
      <c r="AC12" s="444"/>
      <c r="AD12" s="444"/>
      <c r="AE12" s="444"/>
      <c r="XEQ12" s="159"/>
      <c r="XER12" s="159"/>
      <c r="XES12" s="159"/>
      <c r="XET12" s="159"/>
    </row>
    <row r="13" customFormat="1" ht="13.5" spans="1:31 16371:16374">
      <c r="A13" s="443"/>
      <c r="B13" s="410" t="s">
        <v>287</v>
      </c>
      <c r="C13" s="410"/>
      <c r="D13" s="315" t="s">
        <v>199</v>
      </c>
      <c r="E13" s="410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444"/>
      <c r="Q13" s="444"/>
      <c r="R13" s="444"/>
      <c r="S13" s="444"/>
      <c r="T13" s="444"/>
      <c r="U13" s="444"/>
      <c r="V13" s="444"/>
      <c r="W13" s="444"/>
      <c r="X13" s="444"/>
      <c r="Y13" s="444"/>
      <c r="Z13" s="444"/>
      <c r="AA13" s="444"/>
      <c r="AB13" s="444"/>
      <c r="AC13" s="444"/>
      <c r="AD13" s="444"/>
      <c r="AE13" s="444"/>
      <c r="XEQ13" s="159"/>
      <c r="XER13" s="159"/>
      <c r="XES13" s="159"/>
      <c r="XET13" s="159"/>
    </row>
    <row r="15" s="376" customFormat="1" spans="1:31 16371:16374">
      <c r="A15" s="375"/>
      <c r="B15" s="375"/>
      <c r="C15" s="375"/>
      <c r="D15" s="375"/>
      <c r="E15" s="375"/>
      <c r="F15" s="375"/>
      <c r="G15" s="375"/>
      <c r="H15" s="375"/>
      <c r="I15" s="375"/>
      <c r="J15" s="375"/>
      <c r="K15" s="375"/>
    </row>
    <row r="16" spans="1:31 16371:16374">
      <c r="A16" s="377" t="s">
        <v>5</v>
      </c>
      <c r="B16" s="461" t="s">
        <v>1926</v>
      </c>
      <c r="C16" s="400" t="s">
        <v>278</v>
      </c>
      <c r="D16" s="332" t="s">
        <v>1927</v>
      </c>
      <c r="E16" s="447" t="s">
        <v>1772</v>
      </c>
      <c r="F16" s="447" t="s">
        <v>301</v>
      </c>
      <c r="G16" s="378" t="s">
        <v>281</v>
      </c>
      <c r="H16" s="315"/>
      <c r="I16" s="315"/>
      <c r="J16" s="315"/>
      <c r="K16" s="315"/>
      <c r="L16" s="315"/>
      <c r="M16" s="315"/>
      <c r="N16" s="315"/>
      <c r="O16" s="315"/>
      <c r="P16" s="315"/>
      <c r="Q16" s="315"/>
      <c r="R16" s="315"/>
      <c r="S16" s="315"/>
    </row>
    <row r="17" spans="1:19">
      <c r="A17" s="377"/>
      <c r="B17" s="461"/>
      <c r="C17" s="462"/>
      <c r="D17" s="338"/>
      <c r="E17" s="448"/>
      <c r="F17" s="448"/>
      <c r="G17" s="378"/>
      <c r="H17" s="315" t="s">
        <v>304</v>
      </c>
      <c r="I17" s="315" t="s">
        <v>305</v>
      </c>
      <c r="J17" s="315" t="s">
        <v>306</v>
      </c>
      <c r="K17" s="315" t="s">
        <v>307</v>
      </c>
      <c r="L17" s="315" t="s">
        <v>308</v>
      </c>
      <c r="M17" s="315" t="s">
        <v>309</v>
      </c>
      <c r="N17" s="315" t="s">
        <v>310</v>
      </c>
      <c r="O17" s="315" t="s">
        <v>311</v>
      </c>
      <c r="P17" s="315" t="s">
        <v>312</v>
      </c>
      <c r="Q17" s="315" t="s">
        <v>313</v>
      </c>
      <c r="R17" s="315" t="s">
        <v>314</v>
      </c>
      <c r="S17" s="315" t="s">
        <v>315</v>
      </c>
    </row>
    <row r="18" spans="1:19">
      <c r="A18" s="391"/>
      <c r="B18" s="463" t="s">
        <v>1928</v>
      </c>
      <c r="C18" s="464" t="s">
        <v>1929</v>
      </c>
      <c r="D18" s="465">
        <v>150</v>
      </c>
      <c r="E18" s="465"/>
      <c r="F18" s="465"/>
      <c r="G18" s="380"/>
      <c r="H18" s="386" t="s">
        <v>1465</v>
      </c>
      <c r="I18" s="386" t="s">
        <v>1465</v>
      </c>
      <c r="J18" s="386" t="s">
        <v>1465</v>
      </c>
      <c r="K18" s="386" t="s">
        <v>1465</v>
      </c>
      <c r="L18" s="386" t="s">
        <v>1465</v>
      </c>
      <c r="M18" s="386" t="s">
        <v>1465</v>
      </c>
      <c r="N18" s="386" t="s">
        <v>1465</v>
      </c>
      <c r="O18" s="386" t="s">
        <v>1465</v>
      </c>
      <c r="P18" s="386" t="s">
        <v>1465</v>
      </c>
      <c r="Q18" s="386" t="s">
        <v>1465</v>
      </c>
      <c r="R18" s="386" t="s">
        <v>1465</v>
      </c>
      <c r="S18" s="386" t="s">
        <v>1465</v>
      </c>
    </row>
    <row r="19" spans="1:19">
      <c r="A19" s="391"/>
      <c r="B19" s="451"/>
      <c r="C19" s="457" t="s">
        <v>1930</v>
      </c>
      <c r="D19" s="437">
        <v>150</v>
      </c>
      <c r="E19" s="437"/>
      <c r="F19" s="458"/>
      <c r="G19" s="391"/>
      <c r="H19" s="391"/>
      <c r="I19" s="391"/>
      <c r="J19" s="391"/>
      <c r="K19" s="391"/>
      <c r="L19" s="391"/>
      <c r="M19" s="391"/>
      <c r="N19" s="391"/>
      <c r="O19" s="391"/>
      <c r="P19" s="391"/>
      <c r="Q19" s="391"/>
      <c r="R19" s="391"/>
      <c r="S19" s="391"/>
    </row>
    <row r="20" spans="1:19">
      <c r="A20" s="391"/>
      <c r="B20" s="451"/>
      <c r="C20" s="457" t="s">
        <v>1931</v>
      </c>
      <c r="D20" s="437"/>
      <c r="E20" s="437"/>
      <c r="F20" s="458"/>
      <c r="G20" s="391"/>
      <c r="H20" s="391"/>
      <c r="I20" s="391"/>
      <c r="J20" s="391"/>
      <c r="K20" s="391"/>
      <c r="L20" s="391"/>
      <c r="M20" s="391"/>
      <c r="N20" s="391"/>
      <c r="O20" s="391"/>
      <c r="P20" s="391"/>
      <c r="Q20" s="391"/>
      <c r="R20" s="391"/>
      <c r="S20" s="391"/>
    </row>
    <row r="21" spans="1:19">
      <c r="A21" s="391"/>
      <c r="B21" s="451"/>
      <c r="C21" s="457" t="s">
        <v>1932</v>
      </c>
      <c r="D21" s="437"/>
      <c r="E21" s="437"/>
      <c r="F21" s="458"/>
      <c r="G21" s="391"/>
      <c r="H21" s="391"/>
      <c r="I21" s="391"/>
      <c r="J21" s="391"/>
      <c r="K21" s="391"/>
      <c r="L21" s="391"/>
      <c r="M21" s="391"/>
      <c r="N21" s="391"/>
      <c r="O21" s="391"/>
      <c r="P21" s="391"/>
      <c r="Q21" s="391"/>
      <c r="R21" s="391"/>
      <c r="S21" s="391"/>
    </row>
    <row r="22" spans="1:19">
      <c r="A22" s="391"/>
      <c r="B22" s="451" t="s">
        <v>1933</v>
      </c>
      <c r="C22" s="464" t="s">
        <v>1534</v>
      </c>
      <c r="D22" s="437"/>
      <c r="E22" s="437"/>
      <c r="F22" s="458"/>
      <c r="G22" s="391"/>
      <c r="H22" s="391"/>
      <c r="I22" s="391"/>
      <c r="J22" s="391"/>
      <c r="K22" s="391"/>
      <c r="L22" s="391"/>
      <c r="M22" s="391"/>
      <c r="N22" s="391"/>
      <c r="O22" s="391"/>
      <c r="P22" s="391"/>
      <c r="Q22" s="391"/>
      <c r="R22" s="391"/>
      <c r="S22" s="391"/>
    </row>
    <row r="23" spans="1:19">
      <c r="A23" s="391"/>
      <c r="B23" s="451"/>
      <c r="C23" s="464"/>
      <c r="D23" s="437"/>
      <c r="E23" s="437"/>
      <c r="F23" s="458"/>
      <c r="G23" s="391"/>
      <c r="H23" s="391"/>
      <c r="I23" s="391"/>
      <c r="J23" s="391"/>
      <c r="K23" s="391"/>
      <c r="L23" s="391"/>
      <c r="M23" s="391"/>
      <c r="N23" s="391"/>
      <c r="O23" s="391"/>
      <c r="P23" s="391"/>
      <c r="Q23" s="391"/>
      <c r="R23" s="391"/>
      <c r="S23" s="391"/>
    </row>
    <row r="24" spans="1:19">
      <c r="A24" s="391"/>
      <c r="B24" s="451"/>
      <c r="C24" s="464"/>
      <c r="D24" s="437"/>
      <c r="E24" s="437"/>
      <c r="F24" s="458"/>
      <c r="G24" s="391"/>
      <c r="H24" s="391"/>
      <c r="I24" s="391"/>
      <c r="J24" s="391"/>
      <c r="K24" s="391"/>
      <c r="L24" s="391"/>
      <c r="M24" s="391"/>
      <c r="N24" s="391"/>
      <c r="O24" s="391"/>
      <c r="P24" s="391"/>
      <c r="Q24" s="391"/>
      <c r="R24" s="391"/>
      <c r="S24" s="391"/>
    </row>
    <row r="25" spans="1:19">
      <c r="A25" s="391"/>
      <c r="B25" s="451" t="s">
        <v>1934</v>
      </c>
      <c r="C25" s="464"/>
      <c r="D25" s="437"/>
      <c r="E25" s="437"/>
      <c r="F25" s="458"/>
      <c r="G25" s="391"/>
      <c r="H25" s="391"/>
      <c r="I25" s="391"/>
      <c r="J25" s="391"/>
      <c r="K25" s="391"/>
      <c r="L25" s="391"/>
      <c r="M25" s="391"/>
      <c r="N25" s="391"/>
      <c r="O25" s="391"/>
      <c r="P25" s="391"/>
      <c r="Q25" s="391"/>
      <c r="R25" s="391"/>
      <c r="S25" s="391"/>
    </row>
    <row r="26" spans="1:19">
      <c r="A26" s="391"/>
      <c r="B26" s="451"/>
      <c r="C26" s="464"/>
      <c r="D26" s="437"/>
      <c r="E26" s="437"/>
      <c r="F26" s="458"/>
      <c r="G26" s="391"/>
      <c r="H26" s="391"/>
      <c r="I26" s="391"/>
      <c r="J26" s="391"/>
      <c r="K26" s="391"/>
      <c r="L26" s="391"/>
      <c r="M26" s="391"/>
      <c r="N26" s="391"/>
      <c r="O26" s="391"/>
      <c r="P26" s="391"/>
      <c r="Q26" s="391"/>
      <c r="R26" s="391"/>
      <c r="S26" s="391"/>
    </row>
    <row r="27" spans="1:19">
      <c r="A27" s="391"/>
      <c r="B27" s="451"/>
      <c r="C27" s="391"/>
      <c r="D27" s="437"/>
      <c r="E27" s="437"/>
      <c r="F27" s="458"/>
      <c r="G27" s="391"/>
      <c r="H27" s="391"/>
      <c r="I27" s="391"/>
      <c r="J27" s="391"/>
      <c r="K27" s="391"/>
      <c r="L27" s="391"/>
      <c r="M27" s="391"/>
      <c r="N27" s="391"/>
      <c r="O27" s="391"/>
      <c r="P27" s="391"/>
      <c r="Q27" s="391"/>
      <c r="R27" s="391"/>
      <c r="S27" s="391"/>
    </row>
    <row r="28" spans="1:19">
      <c r="A28" s="391"/>
      <c r="B28" s="451" t="s">
        <v>1935</v>
      </c>
      <c r="C28" s="391"/>
      <c r="D28" s="437"/>
      <c r="E28" s="437"/>
      <c r="F28" s="458"/>
      <c r="G28" s="391"/>
      <c r="H28" s="391"/>
      <c r="I28" s="391"/>
      <c r="J28" s="391"/>
      <c r="K28" s="391"/>
      <c r="L28" s="391"/>
      <c r="M28" s="391"/>
      <c r="N28" s="391"/>
      <c r="O28" s="391"/>
      <c r="P28" s="391"/>
      <c r="Q28" s="391"/>
      <c r="R28" s="391"/>
      <c r="S28" s="391"/>
    </row>
    <row r="29" spans="1:19">
      <c r="A29" s="391"/>
      <c r="B29" s="451"/>
      <c r="C29" s="457" t="s">
        <v>1534</v>
      </c>
      <c r="D29" s="437"/>
      <c r="E29" s="437"/>
      <c r="F29" s="458"/>
      <c r="G29" s="391"/>
      <c r="H29" s="391"/>
      <c r="I29" s="391"/>
      <c r="J29" s="391"/>
      <c r="K29" s="391"/>
      <c r="L29" s="391"/>
      <c r="M29" s="391"/>
      <c r="N29" s="391"/>
      <c r="O29" s="391"/>
      <c r="P29" s="391"/>
      <c r="Q29" s="391"/>
      <c r="R29" s="391"/>
      <c r="S29" s="391"/>
    </row>
    <row r="30" spans="1:19">
      <c r="A30" s="391"/>
      <c r="B30" s="451"/>
      <c r="C30" s="457" t="s">
        <v>1534</v>
      </c>
      <c r="D30" s="437"/>
      <c r="E30" s="437"/>
      <c r="F30" s="458"/>
      <c r="G30" s="391"/>
      <c r="H30" s="391"/>
      <c r="I30" s="391"/>
      <c r="J30" s="391"/>
      <c r="K30" s="391"/>
      <c r="L30" s="391"/>
      <c r="M30" s="391"/>
      <c r="N30" s="391"/>
      <c r="O30" s="391"/>
      <c r="P30" s="391"/>
      <c r="Q30" s="391"/>
      <c r="R30" s="391"/>
      <c r="S30" s="391"/>
    </row>
    <row r="31" spans="1:19">
      <c r="A31" s="391"/>
      <c r="B31" s="451"/>
      <c r="C31" s="457" t="s">
        <v>1534</v>
      </c>
      <c r="D31" s="437"/>
      <c r="E31" s="437"/>
      <c r="F31" s="458"/>
      <c r="G31" s="391"/>
      <c r="H31" s="391"/>
      <c r="I31" s="391"/>
      <c r="J31" s="391"/>
      <c r="K31" s="391"/>
      <c r="L31" s="391"/>
      <c r="M31" s="391"/>
      <c r="N31" s="391"/>
      <c r="O31" s="391"/>
      <c r="P31" s="391"/>
      <c r="Q31" s="391"/>
      <c r="R31" s="391"/>
      <c r="S31" s="391"/>
    </row>
    <row r="32" spans="1:19">
      <c r="A32" s="391"/>
      <c r="B32" s="451"/>
      <c r="C32" s="457" t="s">
        <v>1534</v>
      </c>
      <c r="D32" s="437"/>
      <c r="E32" s="437"/>
      <c r="F32" s="458"/>
      <c r="G32" s="391"/>
      <c r="H32" s="391"/>
      <c r="I32" s="391"/>
      <c r="J32" s="391"/>
      <c r="K32" s="391"/>
      <c r="L32" s="391"/>
      <c r="M32" s="391"/>
      <c r="N32" s="391"/>
      <c r="O32" s="391"/>
      <c r="P32" s="391"/>
      <c r="Q32" s="391"/>
      <c r="R32" s="391"/>
      <c r="S32" s="391"/>
    </row>
    <row r="33" spans="1:19">
      <c r="A33" s="459" t="s">
        <v>281</v>
      </c>
      <c r="B33" s="459"/>
      <c r="C33" s="439"/>
      <c r="D33" s="439"/>
      <c r="E33" s="439"/>
      <c r="F33" s="460"/>
      <c r="G33" s="391"/>
      <c r="H33" s="391"/>
      <c r="I33" s="391"/>
      <c r="J33" s="391"/>
      <c r="K33" s="391"/>
      <c r="L33" s="391"/>
      <c r="M33" s="391"/>
      <c r="N33" s="391"/>
      <c r="O33" s="391"/>
      <c r="P33" s="391"/>
      <c r="Q33" s="391"/>
      <c r="R33" s="391"/>
      <c r="S33" s="391"/>
    </row>
  </sheetData>
  <mergeCells count="13">
    <mergeCell ref="A5:D5"/>
    <mergeCell ref="H16:S16"/>
    <mergeCell ref="A9:A10"/>
    <mergeCell ref="A16:A17"/>
    <mergeCell ref="B9:B10"/>
    <mergeCell ref="B16:B17"/>
    <mergeCell ref="C9:C10"/>
    <mergeCell ref="C16:C17"/>
    <mergeCell ref="D16:D17"/>
    <mergeCell ref="E16:E17"/>
    <mergeCell ref="F16:F17"/>
    <mergeCell ref="G16:G17"/>
    <mergeCell ref="A1:D4"/>
  </mergeCells>
  <hyperlinks>
    <hyperlink ref="A1" location="目录!A1" display="← 返回目录"/>
  </hyperlinks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2">
    <tabColor theme="8" tint="0.399975585192419"/>
  </sheetPr>
  <dimension ref="A1:XET33"/>
  <sheetViews>
    <sheetView workbookViewId="0">
      <selection activeCell="A1" sqref="A1:D4"/>
    </sheetView>
  </sheetViews>
  <sheetFormatPr defaultColWidth="9" defaultRowHeight="11.25"/>
  <cols>
    <col min="1" max="2" width="8.725" style="159"/>
    <col min="3" max="3" width="12.5416666666667" style="159" customWidth="1"/>
    <col min="4" max="4" width="8.725" style="159"/>
    <col min="5" max="5" width="6.45" style="159" customWidth="1"/>
    <col min="6" max="6" width="5.725" style="159" customWidth="1"/>
    <col min="7" max="7" width="9.725" style="159" customWidth="1"/>
    <col min="8" max="8" width="9.81666666666667" style="159" customWidth="1"/>
    <col min="9" max="10" width="8.725" style="159"/>
    <col min="11" max="11" width="9.26666666666667" style="159" customWidth="1"/>
    <col min="12" max="16375" width="8.725" style="159"/>
    <col min="16376" max="16384" width="9" style="159"/>
  </cols>
  <sheetData>
    <row r="1" spans="1:31 16371:16374">
      <c r="A1" s="202" t="s">
        <v>185</v>
      </c>
      <c r="B1" s="291"/>
      <c r="C1" s="291"/>
      <c r="D1" s="291"/>
      <c r="E1" s="7" t="s">
        <v>1404</v>
      </c>
      <c r="F1" s="8" t="s">
        <v>1405</v>
      </c>
      <c r="G1" s="8"/>
      <c r="H1" s="8"/>
    </row>
    <row r="2" spans="1:31 16371:16374">
      <c r="A2" s="291"/>
      <c r="B2" s="291"/>
      <c r="C2" s="291"/>
      <c r="D2" s="291"/>
      <c r="E2" s="12"/>
      <c r="F2" s="13" t="s">
        <v>1991</v>
      </c>
      <c r="G2" s="13"/>
      <c r="H2" s="13"/>
    </row>
    <row r="3" spans="1:31 16371:16374">
      <c r="A3" s="291"/>
      <c r="B3" s="291"/>
      <c r="C3" s="291"/>
      <c r="D3" s="291"/>
      <c r="E3" s="12"/>
      <c r="F3" s="13" t="s">
        <v>1660</v>
      </c>
      <c r="G3" s="13"/>
      <c r="H3" s="13"/>
    </row>
    <row r="4" spans="1:31 16371:16374">
      <c r="A4" s="291"/>
      <c r="B4" s="291"/>
      <c r="C4" s="291"/>
      <c r="D4" s="291"/>
      <c r="E4" s="12"/>
      <c r="G4" s="13"/>
      <c r="H4" s="13"/>
    </row>
    <row r="5" spans="1:31 16371:16374">
      <c r="A5" s="292" t="s">
        <v>1993</v>
      </c>
      <c r="B5" s="292"/>
      <c r="C5" s="292"/>
      <c r="D5" s="292"/>
      <c r="E5" s="26" t="s">
        <v>1567</v>
      </c>
      <c r="F5" s="27"/>
      <c r="G5" s="27"/>
      <c r="H5" s="28"/>
    </row>
    <row r="6" ht="13.5" spans="1:31 16371:16374">
      <c r="A6" s="1"/>
      <c r="B6" s="1"/>
      <c r="C6" s="1"/>
      <c r="D6" s="1"/>
      <c r="E6"/>
      <c r="F6"/>
      <c r="G6" s="32"/>
      <c r="H6" s="1"/>
    </row>
    <row r="7" spans="1:31 16371:16374">
      <c r="A7" s="36" t="s">
        <v>1411</v>
      </c>
      <c r="B7" s="37" t="s">
        <v>1412</v>
      </c>
      <c r="C7" s="36" t="s">
        <v>187</v>
      </c>
      <c r="D7" s="37" t="s">
        <v>1413</v>
      </c>
      <c r="E7" s="36" t="s">
        <v>188</v>
      </c>
      <c r="F7" s="37" t="s">
        <v>1396</v>
      </c>
      <c r="G7" s="36" t="s">
        <v>5</v>
      </c>
      <c r="H7" s="37" t="s">
        <v>1413</v>
      </c>
      <c r="I7" s="36" t="s">
        <v>1364</v>
      </c>
      <c r="J7" s="37" t="s">
        <v>1396</v>
      </c>
      <c r="K7" s="36" t="s">
        <v>1414</v>
      </c>
      <c r="L7" s="38" t="s">
        <v>1359</v>
      </c>
    </row>
    <row r="9" spans="1:31 16371:16374">
      <c r="A9" s="441" t="s">
        <v>5</v>
      </c>
      <c r="B9" s="332" t="s">
        <v>1925</v>
      </c>
      <c r="C9" s="332" t="s">
        <v>281</v>
      </c>
      <c r="D9" s="442"/>
      <c r="E9" s="442"/>
      <c r="F9" s="442"/>
      <c r="G9" s="442"/>
      <c r="H9" s="442"/>
      <c r="I9" s="442"/>
      <c r="J9" s="442"/>
      <c r="K9" s="442"/>
      <c r="L9" s="442"/>
      <c r="M9" s="442"/>
      <c r="N9" s="442"/>
      <c r="O9" s="442"/>
    </row>
    <row r="10" spans="1:31 16371:16374">
      <c r="A10" s="377"/>
      <c r="B10" s="338"/>
      <c r="C10" s="338"/>
      <c r="D10" s="315" t="s">
        <v>304</v>
      </c>
      <c r="E10" s="315" t="s">
        <v>305</v>
      </c>
      <c r="F10" s="315" t="s">
        <v>306</v>
      </c>
      <c r="G10" s="315" t="s">
        <v>307</v>
      </c>
      <c r="H10" s="315" t="s">
        <v>308</v>
      </c>
      <c r="I10" s="315" t="s">
        <v>309</v>
      </c>
      <c r="J10" s="315" t="s">
        <v>310</v>
      </c>
      <c r="K10" s="315" t="s">
        <v>311</v>
      </c>
      <c r="L10" s="315" t="s">
        <v>312</v>
      </c>
      <c r="M10" s="315" t="s">
        <v>313</v>
      </c>
      <c r="N10" s="315" t="s">
        <v>314</v>
      </c>
      <c r="O10" s="315" t="s">
        <v>315</v>
      </c>
    </row>
    <row r="11" spans="1:31 16371:16374">
      <c r="A11" s="443" t="s">
        <v>1463</v>
      </c>
      <c r="B11" s="410">
        <v>2025</v>
      </c>
      <c r="C11" s="410" t="s">
        <v>199</v>
      </c>
      <c r="D11" s="315" t="s">
        <v>1421</v>
      </c>
      <c r="E11" s="315" t="s">
        <v>1421</v>
      </c>
      <c r="F11" s="315" t="s">
        <v>1421</v>
      </c>
      <c r="G11" s="315" t="s">
        <v>1421</v>
      </c>
      <c r="H11" s="315" t="s">
        <v>1421</v>
      </c>
      <c r="I11" s="315" t="s">
        <v>1421</v>
      </c>
      <c r="J11" s="315" t="s">
        <v>1421</v>
      </c>
      <c r="K11" s="315" t="s">
        <v>1421</v>
      </c>
      <c r="L11" s="315" t="s">
        <v>1421</v>
      </c>
      <c r="M11" s="315" t="s">
        <v>1421</v>
      </c>
      <c r="N11" s="315" t="s">
        <v>1421</v>
      </c>
      <c r="O11" s="315" t="s">
        <v>1421</v>
      </c>
    </row>
    <row r="12" customFormat="1" ht="13.5" spans="1:31 16371:16374">
      <c r="A12" s="443"/>
      <c r="B12" s="410">
        <v>2026</v>
      </c>
      <c r="C12" s="410"/>
      <c r="D12" s="315" t="s">
        <v>199</v>
      </c>
      <c r="E12" s="410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444"/>
      <c r="Q12" s="444"/>
      <c r="R12" s="444"/>
      <c r="S12" s="444"/>
      <c r="T12" s="444"/>
      <c r="U12" s="444"/>
      <c r="V12" s="444"/>
      <c r="W12" s="444"/>
      <c r="X12" s="444"/>
      <c r="Y12" s="444"/>
      <c r="Z12" s="444"/>
      <c r="AA12" s="444"/>
      <c r="AB12" s="444"/>
      <c r="AC12" s="444"/>
      <c r="AD12" s="444"/>
      <c r="AE12" s="444"/>
      <c r="XEQ12" s="159"/>
      <c r="XER12" s="159"/>
      <c r="XES12" s="159"/>
      <c r="XET12" s="159"/>
    </row>
    <row r="13" customFormat="1" ht="13.5" spans="1:31 16371:16374">
      <c r="A13" s="443"/>
      <c r="B13" s="410" t="s">
        <v>287</v>
      </c>
      <c r="C13" s="410"/>
      <c r="D13" s="315" t="s">
        <v>199</v>
      </c>
      <c r="E13" s="410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444"/>
      <c r="Q13" s="444"/>
      <c r="R13" s="444"/>
      <c r="S13" s="444"/>
      <c r="T13" s="444"/>
      <c r="U13" s="444"/>
      <c r="V13" s="444"/>
      <c r="W13" s="444"/>
      <c r="X13" s="444"/>
      <c r="Y13" s="444"/>
      <c r="Z13" s="444"/>
      <c r="AA13" s="444"/>
      <c r="AB13" s="444"/>
      <c r="AC13" s="444"/>
      <c r="AD13" s="444"/>
      <c r="AE13" s="444"/>
      <c r="XEQ13" s="159"/>
      <c r="XER13" s="159"/>
      <c r="XES13" s="159"/>
      <c r="XET13" s="159"/>
    </row>
    <row r="15" s="376" customFormat="1" spans="1:31 16371:16374">
      <c r="A15" s="375"/>
      <c r="B15" s="375"/>
      <c r="C15" s="375"/>
      <c r="D15" s="375"/>
      <c r="E15" s="375"/>
      <c r="F15" s="375"/>
      <c r="G15" s="375"/>
      <c r="H15" s="375"/>
      <c r="I15" s="375"/>
      <c r="J15" s="375"/>
      <c r="K15" s="375"/>
    </row>
    <row r="16" spans="1:31 16371:16374">
      <c r="A16" s="377" t="s">
        <v>5</v>
      </c>
      <c r="B16" s="447" t="s">
        <v>1994</v>
      </c>
      <c r="C16" s="447" t="s">
        <v>1772</v>
      </c>
      <c r="D16" s="378" t="s">
        <v>281</v>
      </c>
      <c r="E16" s="315"/>
      <c r="F16" s="315"/>
      <c r="G16" s="315"/>
      <c r="H16" s="315"/>
      <c r="I16" s="315"/>
      <c r="J16" s="315"/>
      <c r="K16" s="315"/>
      <c r="L16" s="315"/>
      <c r="M16" s="315"/>
      <c r="N16" s="315"/>
      <c r="O16" s="315"/>
      <c r="P16" s="315"/>
    </row>
    <row r="17" spans="1:16">
      <c r="A17" s="377"/>
      <c r="B17" s="448"/>
      <c r="C17" s="448"/>
      <c r="D17" s="378"/>
      <c r="E17" s="315" t="s">
        <v>304</v>
      </c>
      <c r="F17" s="315" t="s">
        <v>305</v>
      </c>
      <c r="G17" s="315" t="s">
        <v>306</v>
      </c>
      <c r="H17" s="315" t="s">
        <v>307</v>
      </c>
      <c r="I17" s="315" t="s">
        <v>308</v>
      </c>
      <c r="J17" s="315" t="s">
        <v>309</v>
      </c>
      <c r="K17" s="315" t="s">
        <v>310</v>
      </c>
      <c r="L17" s="315" t="s">
        <v>311</v>
      </c>
      <c r="M17" s="315" t="s">
        <v>312</v>
      </c>
      <c r="N17" s="315" t="s">
        <v>313</v>
      </c>
      <c r="O17" s="315" t="s">
        <v>314</v>
      </c>
      <c r="P17" s="315" t="s">
        <v>315</v>
      </c>
    </row>
    <row r="18" spans="1:16">
      <c r="A18" s="391"/>
      <c r="B18" s="386" t="s">
        <v>1465</v>
      </c>
      <c r="C18" s="386" t="s">
        <v>1465</v>
      </c>
      <c r="D18" s="380" t="s">
        <v>199</v>
      </c>
      <c r="E18" s="386" t="s">
        <v>1465</v>
      </c>
      <c r="F18" s="386" t="s">
        <v>1465</v>
      </c>
      <c r="G18" s="386" t="s">
        <v>1465</v>
      </c>
      <c r="H18" s="386" t="s">
        <v>1465</v>
      </c>
      <c r="I18" s="386" t="s">
        <v>1465</v>
      </c>
      <c r="J18" s="386" t="s">
        <v>1465</v>
      </c>
      <c r="K18" s="386" t="s">
        <v>1465</v>
      </c>
      <c r="L18" s="386" t="s">
        <v>1465</v>
      </c>
      <c r="M18" s="386" t="s">
        <v>1465</v>
      </c>
      <c r="N18" s="386" t="s">
        <v>1465</v>
      </c>
      <c r="O18" s="386" t="s">
        <v>1465</v>
      </c>
      <c r="P18" s="386" t="s">
        <v>1465</v>
      </c>
    </row>
    <row r="19" spans="1:16">
      <c r="A19" s="391"/>
      <c r="B19" s="437"/>
      <c r="C19" s="458"/>
      <c r="D19" s="391"/>
      <c r="E19" s="391"/>
      <c r="F19" s="391"/>
      <c r="G19" s="391"/>
      <c r="H19" s="391"/>
      <c r="I19" s="391"/>
      <c r="J19" s="391"/>
      <c r="K19" s="391"/>
      <c r="L19" s="391"/>
      <c r="M19" s="391"/>
      <c r="N19" s="391"/>
      <c r="O19" s="391"/>
      <c r="P19" s="391"/>
    </row>
    <row r="20" spans="1:16">
      <c r="A20" s="391"/>
      <c r="B20" s="437"/>
      <c r="C20" s="458"/>
      <c r="D20" s="391"/>
      <c r="E20" s="391"/>
      <c r="F20" s="391"/>
      <c r="G20" s="391"/>
      <c r="H20" s="391"/>
      <c r="I20" s="391"/>
      <c r="J20" s="391"/>
      <c r="K20" s="391"/>
      <c r="L20" s="391"/>
      <c r="M20" s="391"/>
      <c r="N20" s="391"/>
      <c r="O20" s="391"/>
      <c r="P20" s="391"/>
    </row>
    <row r="21" spans="1:16">
      <c r="A21" s="391"/>
      <c r="B21" s="437"/>
      <c r="C21" s="458"/>
      <c r="D21" s="391"/>
      <c r="E21" s="391"/>
      <c r="F21" s="391"/>
      <c r="G21" s="391"/>
      <c r="H21" s="391"/>
      <c r="I21" s="391"/>
      <c r="J21" s="391"/>
      <c r="K21" s="391"/>
      <c r="L21" s="391"/>
      <c r="M21" s="391"/>
      <c r="N21" s="391"/>
      <c r="O21" s="391"/>
      <c r="P21" s="391"/>
    </row>
    <row r="22" spans="1:16">
      <c r="A22" s="391"/>
      <c r="B22" s="437"/>
      <c r="C22" s="458"/>
      <c r="D22" s="391"/>
      <c r="E22" s="391"/>
      <c r="F22" s="391"/>
      <c r="G22" s="391"/>
      <c r="H22" s="391"/>
      <c r="I22" s="391"/>
      <c r="J22" s="391"/>
      <c r="K22" s="391"/>
      <c r="L22" s="391"/>
      <c r="M22" s="391"/>
      <c r="N22" s="391"/>
      <c r="O22" s="391"/>
      <c r="P22" s="391"/>
    </row>
    <row r="23" spans="1:16">
      <c r="A23" s="391"/>
      <c r="B23" s="437"/>
      <c r="C23" s="458"/>
      <c r="D23" s="391"/>
      <c r="E23" s="391"/>
      <c r="F23" s="391"/>
      <c r="G23" s="391"/>
      <c r="H23" s="391"/>
      <c r="I23" s="391"/>
      <c r="J23" s="391"/>
      <c r="K23" s="391"/>
      <c r="L23" s="391"/>
      <c r="M23" s="391"/>
      <c r="N23" s="391"/>
      <c r="O23" s="391"/>
      <c r="P23" s="391"/>
    </row>
    <row r="24" spans="1:16">
      <c r="A24" s="391"/>
      <c r="B24" s="437"/>
      <c r="C24" s="458"/>
      <c r="D24" s="391"/>
      <c r="E24" s="391"/>
      <c r="F24" s="391"/>
      <c r="G24" s="391"/>
      <c r="H24" s="391"/>
      <c r="I24" s="391"/>
      <c r="J24" s="391"/>
      <c r="K24" s="391"/>
      <c r="L24" s="391"/>
      <c r="M24" s="391"/>
      <c r="N24" s="391"/>
      <c r="O24" s="391"/>
      <c r="P24" s="391"/>
    </row>
    <row r="25" spans="1:16">
      <c r="A25" s="391"/>
      <c r="B25" s="437"/>
      <c r="C25" s="458"/>
      <c r="D25" s="391"/>
      <c r="E25" s="391"/>
      <c r="F25" s="391"/>
      <c r="G25" s="391"/>
      <c r="H25" s="391"/>
      <c r="I25" s="391"/>
      <c r="J25" s="391"/>
      <c r="K25" s="391"/>
      <c r="L25" s="391"/>
      <c r="M25" s="391"/>
      <c r="N25" s="391"/>
      <c r="O25" s="391"/>
      <c r="P25" s="391"/>
    </row>
    <row r="26" spans="1:16">
      <c r="A26" s="391"/>
      <c r="B26" s="437"/>
      <c r="C26" s="458"/>
      <c r="D26" s="391"/>
      <c r="E26" s="391"/>
      <c r="F26" s="391"/>
      <c r="G26" s="391"/>
      <c r="H26" s="391"/>
      <c r="I26" s="391"/>
      <c r="J26" s="391"/>
      <c r="K26" s="391"/>
      <c r="L26" s="391"/>
      <c r="M26" s="391"/>
      <c r="N26" s="391"/>
      <c r="O26" s="391"/>
      <c r="P26" s="391"/>
    </row>
    <row r="27" spans="1:16">
      <c r="A27" s="391"/>
      <c r="B27" s="437"/>
      <c r="C27" s="458"/>
      <c r="D27" s="391"/>
      <c r="E27" s="391"/>
      <c r="F27" s="391"/>
      <c r="G27" s="391"/>
      <c r="H27" s="391"/>
      <c r="I27" s="391"/>
      <c r="J27" s="391"/>
      <c r="K27" s="391"/>
      <c r="L27" s="391"/>
      <c r="M27" s="391"/>
      <c r="N27" s="391"/>
      <c r="O27" s="391"/>
      <c r="P27" s="391"/>
    </row>
    <row r="28" spans="1:16">
      <c r="A28" s="391"/>
      <c r="B28" s="437"/>
      <c r="C28" s="458"/>
      <c r="D28" s="391"/>
      <c r="E28" s="391"/>
      <c r="F28" s="391"/>
      <c r="G28" s="391"/>
      <c r="H28" s="391"/>
      <c r="I28" s="391"/>
      <c r="J28" s="391"/>
      <c r="K28" s="391"/>
      <c r="L28" s="391"/>
      <c r="M28" s="391"/>
      <c r="N28" s="391"/>
      <c r="O28" s="391"/>
      <c r="P28" s="391"/>
    </row>
    <row r="29" spans="1:16">
      <c r="A29" s="391"/>
      <c r="B29" s="437"/>
      <c r="C29" s="458"/>
      <c r="D29" s="391"/>
      <c r="E29" s="391"/>
      <c r="F29" s="391"/>
      <c r="G29" s="391"/>
      <c r="H29" s="391"/>
      <c r="I29" s="391"/>
      <c r="J29" s="391"/>
      <c r="K29" s="391"/>
      <c r="L29" s="391"/>
      <c r="M29" s="391"/>
      <c r="N29" s="391"/>
      <c r="O29" s="391"/>
      <c r="P29" s="391"/>
    </row>
    <row r="30" spans="1:16">
      <c r="A30" s="391"/>
      <c r="B30" s="437"/>
      <c r="C30" s="458"/>
      <c r="D30" s="391"/>
      <c r="E30" s="391"/>
      <c r="F30" s="391"/>
      <c r="G30" s="391"/>
      <c r="H30" s="391"/>
      <c r="I30" s="391"/>
      <c r="J30" s="391"/>
      <c r="K30" s="391"/>
      <c r="L30" s="391"/>
      <c r="M30" s="391"/>
      <c r="N30" s="391"/>
      <c r="O30" s="391"/>
      <c r="P30" s="391"/>
    </row>
    <row r="31" spans="1:16">
      <c r="A31" s="391"/>
      <c r="B31" s="437"/>
      <c r="C31" s="458"/>
      <c r="D31" s="391"/>
      <c r="E31" s="391"/>
      <c r="F31" s="391"/>
      <c r="G31" s="391"/>
      <c r="H31" s="391"/>
      <c r="I31" s="391"/>
      <c r="J31" s="391"/>
      <c r="K31" s="391"/>
      <c r="L31" s="391"/>
      <c r="M31" s="391"/>
      <c r="N31" s="391"/>
      <c r="O31" s="391"/>
      <c r="P31" s="391"/>
    </row>
    <row r="32" spans="1:16">
      <c r="A32" s="391"/>
      <c r="B32" s="437"/>
      <c r="C32" s="458"/>
      <c r="D32" s="391"/>
      <c r="E32" s="391"/>
      <c r="F32" s="391"/>
      <c r="G32" s="391"/>
      <c r="H32" s="391"/>
      <c r="I32" s="391"/>
      <c r="J32" s="391"/>
      <c r="K32" s="391"/>
      <c r="L32" s="391"/>
      <c r="M32" s="391"/>
      <c r="N32" s="391"/>
      <c r="O32" s="391"/>
      <c r="P32" s="391"/>
    </row>
    <row r="33" spans="1:16">
      <c r="A33" s="459" t="s">
        <v>281</v>
      </c>
      <c r="B33" s="439"/>
      <c r="C33" s="460"/>
      <c r="D33" s="391"/>
      <c r="E33" s="391"/>
      <c r="F33" s="391"/>
      <c r="G33" s="391"/>
      <c r="H33" s="391"/>
      <c r="I33" s="391"/>
      <c r="J33" s="391"/>
      <c r="K33" s="391"/>
      <c r="L33" s="391"/>
      <c r="M33" s="391"/>
      <c r="N33" s="391"/>
      <c r="O33" s="391"/>
      <c r="P33" s="391"/>
    </row>
  </sheetData>
  <mergeCells count="10">
    <mergeCell ref="A5:D5"/>
    <mergeCell ref="E16:P16"/>
    <mergeCell ref="A9:A10"/>
    <mergeCell ref="A16:A17"/>
    <mergeCell ref="B9:B10"/>
    <mergeCell ref="B16:B17"/>
    <mergeCell ref="C9:C10"/>
    <mergeCell ref="C16:C17"/>
    <mergeCell ref="D16:D17"/>
    <mergeCell ref="A1:D4"/>
  </mergeCells>
  <hyperlinks>
    <hyperlink ref="A1" location="目录!A1" display="← 返回目录"/>
  </hyperlinks>
  <pageMargins left="0.7" right="0.7" top="0.75" bottom="0.75" header="0.3" footer="0.3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3">
    <tabColor theme="8" tint="0.399975585192419"/>
  </sheetPr>
  <dimension ref="A1:XFD34"/>
  <sheetViews>
    <sheetView zoomScale="110" zoomScaleNormal="110" workbookViewId="0">
      <selection activeCell="A1" sqref="A1:D4"/>
    </sheetView>
  </sheetViews>
  <sheetFormatPr defaultColWidth="8.725" defaultRowHeight="11.25"/>
  <cols>
    <col min="1" max="1" width="8.725" style="159"/>
    <col min="2" max="2" width="7.26666666666667" style="159" customWidth="1"/>
    <col min="3" max="3" width="12.5416666666667" style="159" customWidth="1"/>
    <col min="4" max="4" width="8.725" style="159"/>
    <col min="5" max="5" width="7.90833333333333" style="159" customWidth="1"/>
    <col min="6" max="7" width="8.725" style="159"/>
    <col min="8" max="8" width="9.725" style="159" customWidth="1"/>
    <col min="9" max="9" width="9.81666666666667" style="159" customWidth="1"/>
    <col min="10" max="11" width="8.725" style="159"/>
    <col min="12" max="12" width="9.26666666666667" style="159" customWidth="1"/>
    <col min="13" max="16384" width="8.725" style="159"/>
  </cols>
  <sheetData>
    <row r="1" spans="1:41 16381:16384">
      <c r="A1" s="162" t="s">
        <v>185</v>
      </c>
      <c r="B1" s="291"/>
      <c r="C1" s="291"/>
      <c r="D1" s="291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pans="1:41 16381:16384">
      <c r="A2" s="291"/>
      <c r="B2" s="291"/>
      <c r="C2" s="291"/>
      <c r="D2" s="291"/>
      <c r="E2" s="12"/>
      <c r="F2" s="13" t="s">
        <v>1991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pans="1:41 16381:16384">
      <c r="A3" s="291"/>
      <c r="B3" s="291"/>
      <c r="C3" s="291"/>
      <c r="D3" s="291"/>
      <c r="E3" s="12"/>
      <c r="F3" s="13" t="s">
        <v>1660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spans="1:41 16381:16384">
      <c r="A4" s="291"/>
      <c r="B4" s="291"/>
      <c r="C4" s="291"/>
      <c r="D4" s="291"/>
      <c r="E4" s="12"/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pans="1:41 16381:16384">
      <c r="A5" s="292" t="s">
        <v>1993</v>
      </c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ht="13.5" spans="1:41 16381:16384">
      <c r="A6" s="1"/>
      <c r="B6" s="1"/>
      <c r="C6" s="1"/>
      <c r="D6" s="1"/>
      <c r="E6"/>
      <c r="F6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ht="13.5" spans="1:41 16381:16384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9" spans="1:41 16381:16384">
      <c r="A9" s="441" t="s">
        <v>5</v>
      </c>
      <c r="B9" s="332" t="s">
        <v>1925</v>
      </c>
      <c r="C9" s="332" t="s">
        <v>281</v>
      </c>
      <c r="D9" s="442"/>
      <c r="E9" s="442"/>
      <c r="F9" s="442"/>
      <c r="G9" s="442"/>
      <c r="H9" s="442"/>
      <c r="I9" s="442"/>
      <c r="J9" s="442"/>
      <c r="K9" s="442"/>
      <c r="L9" s="442"/>
      <c r="M9" s="442"/>
      <c r="N9" s="442"/>
      <c r="O9" s="442"/>
    </row>
    <row r="10" spans="1:41 16381:16384">
      <c r="A10" s="377"/>
      <c r="B10" s="338"/>
      <c r="C10" s="338"/>
      <c r="D10" s="315" t="s">
        <v>304</v>
      </c>
      <c r="E10" s="315" t="s">
        <v>305</v>
      </c>
      <c r="F10" s="315" t="s">
        <v>306</v>
      </c>
      <c r="G10" s="315" t="s">
        <v>307</v>
      </c>
      <c r="H10" s="315" t="s">
        <v>308</v>
      </c>
      <c r="I10" s="315" t="s">
        <v>309</v>
      </c>
      <c r="J10" s="315" t="s">
        <v>310</v>
      </c>
      <c r="K10" s="315" t="s">
        <v>311</v>
      </c>
      <c r="L10" s="315" t="s">
        <v>312</v>
      </c>
      <c r="M10" s="315" t="s">
        <v>313</v>
      </c>
      <c r="N10" s="315" t="s">
        <v>314</v>
      </c>
      <c r="O10" s="315" t="s">
        <v>315</v>
      </c>
    </row>
    <row r="11" spans="1:41 16381:16384">
      <c r="A11" s="443" t="s">
        <v>1463</v>
      </c>
      <c r="B11" s="410">
        <v>2025</v>
      </c>
      <c r="C11" s="410" t="s">
        <v>199</v>
      </c>
      <c r="D11" s="315" t="s">
        <v>1421</v>
      </c>
      <c r="E11" s="315" t="s">
        <v>1421</v>
      </c>
      <c r="F11" s="315" t="s">
        <v>1421</v>
      </c>
      <c r="G11" s="315" t="s">
        <v>1421</v>
      </c>
      <c r="H11" s="315" t="s">
        <v>1421</v>
      </c>
      <c r="I11" s="315" t="s">
        <v>1421</v>
      </c>
      <c r="J11" s="315" t="s">
        <v>1421</v>
      </c>
      <c r="K11" s="315" t="s">
        <v>1421</v>
      </c>
      <c r="L11" s="315" t="s">
        <v>1421</v>
      </c>
      <c r="M11" s="315" t="s">
        <v>1421</v>
      </c>
      <c r="N11" s="315" t="s">
        <v>1421</v>
      </c>
      <c r="O11" s="315" t="s">
        <v>1421</v>
      </c>
    </row>
    <row r="12" customFormat="1" ht="13.5" spans="1:41 16381:16384">
      <c r="A12" s="443"/>
      <c r="B12" s="410">
        <v>2026</v>
      </c>
      <c r="C12" s="410"/>
      <c r="D12" s="410"/>
      <c r="E12" s="410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444"/>
      <c r="Q12" s="444"/>
      <c r="R12" s="444"/>
      <c r="S12" s="444"/>
      <c r="T12" s="444"/>
      <c r="U12" s="444"/>
      <c r="V12" s="444"/>
      <c r="W12" s="444"/>
      <c r="X12" s="444"/>
      <c r="Y12" s="444"/>
      <c r="Z12" s="444"/>
      <c r="AA12" s="444"/>
      <c r="AB12" s="444"/>
      <c r="AC12" s="444"/>
      <c r="AD12" s="444"/>
      <c r="AE12" s="444"/>
      <c r="AF12" s="444"/>
      <c r="AG12" s="444"/>
      <c r="AH12" s="444"/>
      <c r="AI12" s="444"/>
      <c r="AJ12" s="444"/>
      <c r="AK12" s="444"/>
      <c r="AL12" s="444"/>
      <c r="AM12" s="444"/>
      <c r="AN12" s="444"/>
      <c r="AO12" s="444"/>
      <c r="XFA12" s="159"/>
      <c r="XFB12" s="159"/>
      <c r="XFC12" s="159"/>
      <c r="XFD12" s="159"/>
    </row>
    <row r="13" customFormat="1" ht="13.5" spans="1:41 16381:16384">
      <c r="A13" s="443"/>
      <c r="B13" s="410" t="s">
        <v>287</v>
      </c>
      <c r="C13" s="410"/>
      <c r="D13" s="410"/>
      <c r="E13" s="410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444"/>
      <c r="Q13" s="444"/>
      <c r="R13" s="444"/>
      <c r="S13" s="444"/>
      <c r="T13" s="444"/>
      <c r="U13" s="444"/>
      <c r="V13" s="444"/>
      <c r="W13" s="444"/>
      <c r="X13" s="444"/>
      <c r="Y13" s="444"/>
      <c r="Z13" s="444"/>
      <c r="AA13" s="444"/>
      <c r="AB13" s="444"/>
      <c r="AC13" s="444"/>
      <c r="AD13" s="444"/>
      <c r="AE13" s="444"/>
      <c r="AF13" s="444"/>
      <c r="AG13" s="444"/>
      <c r="AH13" s="444"/>
      <c r="AI13" s="444"/>
      <c r="AJ13" s="444"/>
      <c r="AK13" s="444"/>
      <c r="AL13" s="444"/>
      <c r="AM13" s="444"/>
      <c r="AN13" s="444"/>
      <c r="AO13" s="444"/>
      <c r="XFA13" s="159"/>
      <c r="XFB13" s="159"/>
      <c r="XFC13" s="159"/>
      <c r="XFD13" s="159"/>
    </row>
    <row r="14" customFormat="1" ht="13.5" spans="1:41 16381:16384">
      <c r="A14" s="445"/>
      <c r="B14" s="446"/>
      <c r="C14" s="446"/>
      <c r="D14" s="446"/>
      <c r="E14" s="446"/>
      <c r="F14" s="444"/>
      <c r="G14" s="444"/>
      <c r="H14" s="444"/>
      <c r="I14" s="444"/>
      <c r="J14" s="444"/>
      <c r="K14" s="444"/>
      <c r="L14" s="444"/>
      <c r="M14" s="444"/>
      <c r="N14" s="444"/>
      <c r="O14" s="444"/>
      <c r="P14" s="444"/>
      <c r="Q14" s="444"/>
      <c r="R14" s="444"/>
      <c r="S14" s="444"/>
      <c r="T14" s="444"/>
      <c r="U14" s="444"/>
      <c r="V14" s="444"/>
      <c r="W14" s="444"/>
      <c r="X14" s="444"/>
      <c r="Y14" s="444"/>
      <c r="Z14" s="444"/>
      <c r="AA14" s="444"/>
      <c r="AB14" s="444"/>
      <c r="AC14" s="444"/>
      <c r="AD14" s="444"/>
      <c r="AE14" s="444"/>
      <c r="AF14" s="444"/>
      <c r="AG14" s="444"/>
      <c r="AH14" s="444"/>
      <c r="AI14" s="444"/>
      <c r="AJ14" s="444"/>
      <c r="AK14" s="444"/>
      <c r="AL14" s="444"/>
      <c r="AM14" s="444"/>
      <c r="AN14" s="444"/>
      <c r="AO14" s="444"/>
      <c r="XFA14" s="159"/>
      <c r="XFB14" s="159"/>
      <c r="XFC14" s="159"/>
      <c r="XFD14" s="159"/>
    </row>
    <row r="15" s="376" customFormat="1" spans="1:41 16381:16384">
      <c r="A15" s="375"/>
      <c r="C15" s="375"/>
      <c r="D15" s="375"/>
      <c r="E15" s="375"/>
      <c r="F15" s="375"/>
      <c r="G15" s="375"/>
      <c r="H15" s="375"/>
      <c r="I15" s="375"/>
    </row>
    <row r="16" spans="1:41 16381:16384">
      <c r="A16" s="378" t="s">
        <v>5</v>
      </c>
      <c r="B16" s="377" t="s">
        <v>1950</v>
      </c>
      <c r="C16" s="455" t="s">
        <v>1769</v>
      </c>
      <c r="D16" s="332" t="s">
        <v>1927</v>
      </c>
      <c r="E16" s="447" t="s">
        <v>1951</v>
      </c>
      <c r="F16" s="447" t="s">
        <v>1995</v>
      </c>
      <c r="G16" s="447" t="s">
        <v>1996</v>
      </c>
      <c r="H16" s="447" t="s">
        <v>281</v>
      </c>
      <c r="I16" s="398" t="s">
        <v>1427</v>
      </c>
      <c r="J16" s="399"/>
      <c r="K16" s="399"/>
      <c r="L16" s="399"/>
      <c r="M16" s="399"/>
      <c r="N16" s="399"/>
      <c r="O16" s="399"/>
      <c r="P16" s="399"/>
      <c r="Q16" s="399"/>
      <c r="R16" s="399"/>
      <c r="S16" s="399"/>
      <c r="T16" s="399"/>
    </row>
    <row r="17" spans="1:20">
      <c r="A17" s="378"/>
      <c r="B17" s="377"/>
      <c r="C17" s="456"/>
      <c r="D17" s="338"/>
      <c r="E17" s="448"/>
      <c r="F17" s="448"/>
      <c r="G17" s="448"/>
      <c r="H17" s="448"/>
      <c r="I17" s="400" t="s">
        <v>304</v>
      </c>
      <c r="J17" s="400" t="s">
        <v>305</v>
      </c>
      <c r="K17" s="400" t="s">
        <v>306</v>
      </c>
      <c r="L17" s="400" t="s">
        <v>307</v>
      </c>
      <c r="M17" s="400" t="s">
        <v>308</v>
      </c>
      <c r="N17" s="400" t="s">
        <v>309</v>
      </c>
      <c r="O17" s="400" t="s">
        <v>310</v>
      </c>
      <c r="P17" s="400" t="s">
        <v>311</v>
      </c>
      <c r="Q17" s="400" t="s">
        <v>312</v>
      </c>
      <c r="R17" s="400" t="s">
        <v>313</v>
      </c>
      <c r="S17" s="400" t="s">
        <v>314</v>
      </c>
      <c r="T17" s="400" t="s">
        <v>315</v>
      </c>
    </row>
    <row r="18" spans="1:20">
      <c r="A18" s="410" t="s">
        <v>1421</v>
      </c>
      <c r="B18" s="443" t="s">
        <v>1465</v>
      </c>
      <c r="C18" s="410" t="s">
        <v>1421</v>
      </c>
      <c r="D18" s="410" t="s">
        <v>1421</v>
      </c>
      <c r="E18" s="449" t="s">
        <v>1465</v>
      </c>
      <c r="F18" s="449" t="s">
        <v>1465</v>
      </c>
      <c r="G18" s="449" t="s">
        <v>1465</v>
      </c>
      <c r="H18" s="380" t="s">
        <v>199</v>
      </c>
      <c r="I18" s="450" t="s">
        <v>1465</v>
      </c>
      <c r="J18" s="450" t="s">
        <v>1465</v>
      </c>
      <c r="K18" s="450" t="s">
        <v>1465</v>
      </c>
      <c r="L18" s="450" t="s">
        <v>1465</v>
      </c>
      <c r="M18" s="450" t="s">
        <v>1465</v>
      </c>
      <c r="N18" s="450" t="s">
        <v>1465</v>
      </c>
      <c r="O18" s="450" t="s">
        <v>1465</v>
      </c>
      <c r="P18" s="450" t="s">
        <v>1465</v>
      </c>
      <c r="Q18" s="450" t="s">
        <v>1465</v>
      </c>
      <c r="R18" s="450" t="s">
        <v>1465</v>
      </c>
      <c r="S18" s="450" t="s">
        <v>1465</v>
      </c>
      <c r="T18" s="450" t="s">
        <v>1465</v>
      </c>
    </row>
    <row r="19" spans="1:20">
      <c r="A19" s="451"/>
      <c r="B19" s="451"/>
      <c r="C19" s="457" t="s">
        <v>1952</v>
      </c>
      <c r="D19" s="457"/>
      <c r="E19" s="457"/>
      <c r="F19" s="437"/>
      <c r="G19" s="437"/>
      <c r="H19" s="380"/>
      <c r="I19" s="381"/>
      <c r="J19" s="390"/>
      <c r="K19" s="391"/>
      <c r="L19" s="391"/>
      <c r="M19" s="391"/>
      <c r="N19" s="391"/>
      <c r="O19" s="391"/>
      <c r="P19" s="391"/>
      <c r="Q19" s="391"/>
      <c r="R19" s="391"/>
      <c r="S19" s="391"/>
      <c r="T19" s="391"/>
    </row>
    <row r="20" spans="1:20">
      <c r="A20" s="451"/>
      <c r="B20" s="451"/>
      <c r="C20" s="457" t="s">
        <v>1953</v>
      </c>
      <c r="D20" s="457"/>
      <c r="E20" s="457"/>
      <c r="F20" s="437"/>
      <c r="G20" s="437"/>
      <c r="H20" s="380"/>
      <c r="I20" s="381"/>
      <c r="J20" s="390"/>
      <c r="K20" s="391"/>
      <c r="L20" s="391"/>
      <c r="M20" s="391"/>
      <c r="N20" s="391"/>
      <c r="O20" s="391"/>
      <c r="P20" s="391"/>
      <c r="Q20" s="391"/>
      <c r="R20" s="391"/>
      <c r="S20" s="391"/>
      <c r="T20" s="391"/>
    </row>
    <row r="21" spans="1:20">
      <c r="A21" s="451"/>
      <c r="B21" s="451"/>
      <c r="C21" s="457" t="s">
        <v>1534</v>
      </c>
      <c r="D21" s="457"/>
      <c r="E21" s="457"/>
      <c r="F21" s="437"/>
      <c r="G21" s="437"/>
      <c r="H21" s="380"/>
      <c r="I21" s="381"/>
      <c r="J21" s="390"/>
      <c r="K21" s="391"/>
      <c r="L21" s="391"/>
      <c r="M21" s="391"/>
      <c r="N21" s="391"/>
      <c r="O21" s="391"/>
      <c r="P21" s="391"/>
      <c r="Q21" s="391"/>
      <c r="R21" s="391"/>
      <c r="S21" s="391"/>
      <c r="T21" s="391"/>
    </row>
    <row r="22" spans="1:20">
      <c r="A22" s="451"/>
      <c r="B22" s="451"/>
      <c r="C22" s="457" t="s">
        <v>1534</v>
      </c>
      <c r="D22" s="457"/>
      <c r="E22" s="457"/>
      <c r="F22" s="437"/>
      <c r="G22" s="437"/>
      <c r="H22" s="380"/>
      <c r="I22" s="381"/>
      <c r="J22" s="390"/>
      <c r="K22" s="391"/>
      <c r="L22" s="391"/>
      <c r="M22" s="391"/>
      <c r="N22" s="391"/>
      <c r="O22" s="391"/>
      <c r="P22" s="391"/>
      <c r="Q22" s="391"/>
      <c r="R22" s="391"/>
      <c r="S22" s="391"/>
      <c r="T22" s="391"/>
    </row>
    <row r="23" spans="1:20">
      <c r="A23" s="451"/>
      <c r="B23" s="451"/>
      <c r="C23" s="457" t="s">
        <v>1534</v>
      </c>
      <c r="D23" s="457"/>
      <c r="E23" s="457"/>
      <c r="F23" s="437"/>
      <c r="G23" s="437"/>
      <c r="H23" s="380"/>
      <c r="I23" s="381"/>
      <c r="J23" s="390"/>
      <c r="K23" s="391"/>
      <c r="L23" s="391"/>
      <c r="M23" s="391"/>
      <c r="N23" s="391"/>
      <c r="O23" s="391"/>
      <c r="P23" s="391"/>
      <c r="Q23" s="391"/>
      <c r="R23" s="391"/>
      <c r="S23" s="391"/>
      <c r="T23" s="391"/>
    </row>
    <row r="24" spans="1:20">
      <c r="A24" s="451"/>
      <c r="B24" s="451"/>
      <c r="C24" s="457" t="s">
        <v>1534</v>
      </c>
      <c r="D24" s="457"/>
      <c r="E24" s="457"/>
      <c r="F24" s="437"/>
      <c r="G24" s="437"/>
      <c r="H24" s="380"/>
      <c r="I24" s="381"/>
      <c r="J24" s="390"/>
      <c r="K24" s="391"/>
      <c r="L24" s="391"/>
      <c r="M24" s="391"/>
      <c r="N24" s="391"/>
      <c r="O24" s="391"/>
      <c r="P24" s="391"/>
      <c r="Q24" s="391"/>
      <c r="R24" s="391"/>
      <c r="S24" s="391"/>
      <c r="T24" s="391"/>
    </row>
    <row r="25" spans="1:20">
      <c r="A25" s="451"/>
      <c r="B25" s="451"/>
      <c r="C25" s="457" t="s">
        <v>1534</v>
      </c>
      <c r="D25" s="457"/>
      <c r="E25" s="457"/>
      <c r="F25" s="437"/>
      <c r="G25" s="437"/>
      <c r="H25" s="380"/>
      <c r="I25" s="381"/>
      <c r="J25" s="390"/>
      <c r="K25" s="391"/>
      <c r="L25" s="391"/>
      <c r="M25" s="391"/>
      <c r="N25" s="391"/>
      <c r="O25" s="391"/>
      <c r="P25" s="391"/>
      <c r="Q25" s="391"/>
      <c r="R25" s="391"/>
      <c r="S25" s="391"/>
      <c r="T25" s="391"/>
    </row>
    <row r="26" spans="1:20">
      <c r="A26" s="451"/>
      <c r="B26" s="451"/>
      <c r="C26" s="457" t="s">
        <v>1534</v>
      </c>
      <c r="D26" s="457"/>
      <c r="E26" s="457"/>
      <c r="F26" s="437"/>
      <c r="G26" s="437"/>
      <c r="H26" s="380"/>
      <c r="I26" s="381"/>
      <c r="J26" s="390"/>
      <c r="K26" s="391"/>
      <c r="L26" s="391"/>
      <c r="M26" s="391"/>
      <c r="N26" s="391"/>
      <c r="O26" s="391"/>
      <c r="P26" s="391"/>
      <c r="Q26" s="391"/>
      <c r="R26" s="391"/>
      <c r="S26" s="391"/>
      <c r="T26" s="391"/>
    </row>
    <row r="27" spans="1:20">
      <c r="A27" s="451"/>
      <c r="B27" s="451"/>
      <c r="C27" s="457" t="s">
        <v>1534</v>
      </c>
      <c r="D27" s="457"/>
      <c r="E27" s="457"/>
      <c r="F27" s="437"/>
      <c r="G27" s="437"/>
      <c r="H27" s="380"/>
      <c r="I27" s="381"/>
      <c r="J27" s="390"/>
      <c r="K27" s="391"/>
      <c r="L27" s="391"/>
      <c r="M27" s="391"/>
      <c r="N27" s="391"/>
      <c r="O27" s="391"/>
      <c r="P27" s="391"/>
      <c r="Q27" s="391"/>
      <c r="R27" s="391"/>
      <c r="S27" s="391"/>
      <c r="T27" s="391"/>
    </row>
    <row r="28" spans="1:20">
      <c r="A28" s="451"/>
      <c r="B28" s="451"/>
      <c r="C28" s="391"/>
      <c r="F28" s="437"/>
      <c r="G28" s="437"/>
      <c r="H28" s="380"/>
      <c r="I28" s="381"/>
      <c r="J28" s="390"/>
      <c r="K28" s="391"/>
      <c r="L28" s="391"/>
      <c r="M28" s="391"/>
      <c r="N28" s="391"/>
      <c r="O28" s="391"/>
      <c r="P28" s="391"/>
      <c r="Q28" s="391"/>
      <c r="R28" s="391"/>
      <c r="S28" s="391"/>
      <c r="T28" s="391"/>
    </row>
    <row r="29" spans="1:20">
      <c r="A29" s="451"/>
      <c r="B29" s="451"/>
      <c r="C29" s="391"/>
      <c r="F29" s="437"/>
      <c r="G29" s="437"/>
      <c r="H29" s="380"/>
      <c r="I29" s="381"/>
      <c r="J29" s="390"/>
      <c r="K29" s="391"/>
      <c r="L29" s="391"/>
      <c r="M29" s="391"/>
      <c r="N29" s="391"/>
      <c r="O29" s="391"/>
      <c r="P29" s="391"/>
      <c r="Q29" s="391"/>
      <c r="R29" s="391"/>
      <c r="S29" s="391"/>
      <c r="T29" s="391"/>
    </row>
    <row r="30" spans="1:20">
      <c r="A30" s="451"/>
      <c r="B30" s="451"/>
      <c r="C30" s="457" t="s">
        <v>1534</v>
      </c>
      <c r="D30" s="457"/>
      <c r="E30" s="457"/>
      <c r="F30" s="437"/>
      <c r="G30" s="437"/>
      <c r="H30" s="380"/>
      <c r="I30" s="381"/>
      <c r="J30" s="390"/>
      <c r="K30" s="391"/>
      <c r="L30" s="391"/>
      <c r="M30" s="391"/>
      <c r="N30" s="391"/>
      <c r="O30" s="391"/>
      <c r="P30" s="391"/>
      <c r="Q30" s="391"/>
      <c r="R30" s="391"/>
      <c r="S30" s="391"/>
      <c r="T30" s="391"/>
    </row>
    <row r="31" spans="1:20">
      <c r="A31" s="451"/>
      <c r="B31" s="451"/>
      <c r="C31" s="457" t="s">
        <v>1534</v>
      </c>
      <c r="D31" s="457"/>
      <c r="E31" s="457"/>
      <c r="F31" s="437"/>
      <c r="G31" s="437"/>
      <c r="H31" s="380"/>
      <c r="I31" s="381"/>
      <c r="J31" s="390"/>
      <c r="K31" s="391"/>
      <c r="L31" s="391"/>
      <c r="M31" s="391"/>
      <c r="N31" s="391"/>
      <c r="O31" s="391"/>
      <c r="P31" s="391"/>
      <c r="Q31" s="391"/>
      <c r="R31" s="391"/>
      <c r="S31" s="391"/>
      <c r="T31" s="391"/>
    </row>
    <row r="32" spans="1:20">
      <c r="A32" s="451"/>
      <c r="B32" s="451"/>
      <c r="C32" s="457" t="s">
        <v>1534</v>
      </c>
      <c r="D32" s="457"/>
      <c r="E32" s="457"/>
      <c r="F32" s="437"/>
      <c r="G32" s="437"/>
      <c r="H32" s="380"/>
      <c r="I32" s="381"/>
      <c r="J32" s="390"/>
      <c r="K32" s="391"/>
      <c r="L32" s="391"/>
      <c r="M32" s="391"/>
      <c r="N32" s="391"/>
      <c r="O32" s="391"/>
      <c r="P32" s="391"/>
      <c r="Q32" s="391"/>
      <c r="R32" s="391"/>
      <c r="S32" s="391"/>
      <c r="T32" s="391"/>
    </row>
    <row r="33" spans="1:20">
      <c r="A33" s="451"/>
      <c r="B33" s="451"/>
      <c r="C33" s="457" t="s">
        <v>1534</v>
      </c>
      <c r="D33" s="457"/>
      <c r="E33" s="457"/>
      <c r="F33" s="437"/>
      <c r="G33" s="437"/>
      <c r="H33" s="380"/>
      <c r="I33" s="381"/>
      <c r="J33" s="390"/>
      <c r="K33" s="391"/>
      <c r="L33" s="391"/>
      <c r="M33" s="391"/>
      <c r="N33" s="391"/>
      <c r="O33" s="391"/>
      <c r="P33" s="391"/>
      <c r="Q33" s="391"/>
      <c r="R33" s="391"/>
      <c r="S33" s="391"/>
      <c r="T33" s="391"/>
    </row>
    <row r="34" spans="1:20">
      <c r="A34" s="452" t="s">
        <v>281</v>
      </c>
      <c r="B34" s="452"/>
      <c r="C34" s="453"/>
      <c r="D34" s="453"/>
      <c r="E34" s="453"/>
      <c r="F34" s="453"/>
      <c r="G34" s="453"/>
      <c r="H34" s="453"/>
      <c r="I34" s="453"/>
      <c r="J34" s="453"/>
      <c r="K34" s="454"/>
      <c r="L34" s="454"/>
      <c r="M34" s="454"/>
      <c r="N34" s="454"/>
      <c r="O34" s="454"/>
      <c r="P34" s="454"/>
      <c r="Q34" s="454"/>
      <c r="R34" s="454"/>
      <c r="S34" s="454"/>
      <c r="T34" s="454"/>
    </row>
  </sheetData>
  <mergeCells count="14">
    <mergeCell ref="A5:D5"/>
    <mergeCell ref="I16:T16"/>
    <mergeCell ref="A9:A10"/>
    <mergeCell ref="A16:A17"/>
    <mergeCell ref="B9:B10"/>
    <mergeCell ref="B16:B17"/>
    <mergeCell ref="C9:C10"/>
    <mergeCell ref="C16:C17"/>
    <mergeCell ref="D16:D17"/>
    <mergeCell ref="E16:E17"/>
    <mergeCell ref="F16:F17"/>
    <mergeCell ref="G16:G17"/>
    <mergeCell ref="H16:H17"/>
    <mergeCell ref="A1:D4"/>
  </mergeCells>
  <hyperlinks>
    <hyperlink ref="A1" location="目录!A1" display="← 返回目录"/>
  </hyperlinks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6">
    <tabColor theme="8" tint="0.399975585192419"/>
  </sheetPr>
  <dimension ref="A1:XFD34"/>
  <sheetViews>
    <sheetView zoomScale="110" zoomScaleNormal="110" workbookViewId="0">
      <selection activeCell="A1" sqref="A1:D4"/>
    </sheetView>
  </sheetViews>
  <sheetFormatPr defaultColWidth="8.725" defaultRowHeight="11.25"/>
  <cols>
    <col min="1" max="1" width="8.725" style="159"/>
    <col min="2" max="2" width="9.54166666666667" style="159" customWidth="1"/>
    <col min="3" max="3" width="12.5416666666667" style="159" customWidth="1"/>
    <col min="4" max="4" width="8.725" style="159"/>
    <col min="5" max="5" width="7.90833333333333" style="159" customWidth="1"/>
    <col min="6" max="7" width="8.725" style="159"/>
    <col min="8" max="8" width="9.725" style="159" customWidth="1"/>
    <col min="9" max="9" width="9.81666666666667" style="159" customWidth="1"/>
    <col min="10" max="11" width="8.725" style="159"/>
    <col min="12" max="12" width="9.26666666666667" style="159" customWidth="1"/>
    <col min="13" max="16384" width="8.725" style="159"/>
  </cols>
  <sheetData>
    <row r="1" spans="1:41 16381:16384">
      <c r="A1" s="162" t="s">
        <v>185</v>
      </c>
      <c r="B1" s="291"/>
      <c r="C1" s="291"/>
      <c r="D1" s="291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pans="1:41 16381:16384">
      <c r="A2" s="291"/>
      <c r="B2" s="291"/>
      <c r="C2" s="291"/>
      <c r="D2" s="291"/>
      <c r="E2" s="12"/>
      <c r="F2" s="13" t="s">
        <v>1991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pans="1:41 16381:16384">
      <c r="A3" s="291"/>
      <c r="B3" s="291"/>
      <c r="C3" s="291"/>
      <c r="D3" s="291"/>
      <c r="E3" s="12"/>
      <c r="F3" s="13" t="s">
        <v>1660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spans="1:41 16381:16384">
      <c r="A4" s="291"/>
      <c r="B4" s="291"/>
      <c r="C4" s="291"/>
      <c r="D4" s="291"/>
      <c r="E4" s="12"/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pans="1:41 16381:16384">
      <c r="A5" s="292" t="s">
        <v>1993</v>
      </c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ht="13.5" spans="1:41 16381:16384">
      <c r="A6" s="1"/>
      <c r="B6" s="1"/>
      <c r="C6" s="1"/>
      <c r="D6" s="1"/>
      <c r="E6"/>
      <c r="F6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ht="13.5" spans="1:41 16381:16384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9" spans="1:41 16381:16384">
      <c r="A9" s="441" t="s">
        <v>5</v>
      </c>
      <c r="B9" s="332" t="s">
        <v>1925</v>
      </c>
      <c r="C9" s="332" t="s">
        <v>281</v>
      </c>
      <c r="D9" s="442"/>
      <c r="E9" s="442"/>
      <c r="F9" s="442"/>
      <c r="G9" s="442"/>
      <c r="H9" s="442"/>
      <c r="I9" s="442"/>
      <c r="J9" s="442"/>
      <c r="K9" s="442"/>
      <c r="L9" s="442"/>
      <c r="M9" s="442"/>
      <c r="N9" s="442"/>
      <c r="O9" s="442"/>
    </row>
    <row r="10" spans="1:41 16381:16384">
      <c r="A10" s="377"/>
      <c r="B10" s="338"/>
      <c r="C10" s="338"/>
      <c r="D10" s="315" t="s">
        <v>304</v>
      </c>
      <c r="E10" s="315" t="s">
        <v>305</v>
      </c>
      <c r="F10" s="315" t="s">
        <v>306</v>
      </c>
      <c r="G10" s="315" t="s">
        <v>307</v>
      </c>
      <c r="H10" s="315" t="s">
        <v>308</v>
      </c>
      <c r="I10" s="315" t="s">
        <v>309</v>
      </c>
      <c r="J10" s="315" t="s">
        <v>310</v>
      </c>
      <c r="K10" s="315" t="s">
        <v>311</v>
      </c>
      <c r="L10" s="315" t="s">
        <v>312</v>
      </c>
      <c r="M10" s="315" t="s">
        <v>313</v>
      </c>
      <c r="N10" s="315" t="s">
        <v>314</v>
      </c>
      <c r="O10" s="315" t="s">
        <v>315</v>
      </c>
    </row>
    <row r="11" spans="1:41 16381:16384">
      <c r="A11" s="443" t="s">
        <v>1463</v>
      </c>
      <c r="B11" s="410">
        <v>2025</v>
      </c>
      <c r="C11" s="410" t="s">
        <v>199</v>
      </c>
      <c r="D11" s="315" t="s">
        <v>1421</v>
      </c>
      <c r="E11" s="315" t="s">
        <v>1421</v>
      </c>
      <c r="F11" s="315" t="s">
        <v>1421</v>
      </c>
      <c r="G11" s="315" t="s">
        <v>1421</v>
      </c>
      <c r="H11" s="315" t="s">
        <v>1421</v>
      </c>
      <c r="I11" s="315" t="s">
        <v>1421</v>
      </c>
      <c r="J11" s="315" t="s">
        <v>1421</v>
      </c>
      <c r="K11" s="315" t="s">
        <v>1421</v>
      </c>
      <c r="L11" s="315" t="s">
        <v>1421</v>
      </c>
      <c r="M11" s="315" t="s">
        <v>1421</v>
      </c>
      <c r="N11" s="315" t="s">
        <v>1421</v>
      </c>
      <c r="O11" s="315" t="s">
        <v>1421</v>
      </c>
    </row>
    <row r="12" customFormat="1" ht="13.5" spans="1:41 16381:16384">
      <c r="A12" s="443"/>
      <c r="B12" s="410">
        <v>2026</v>
      </c>
      <c r="C12" s="410"/>
      <c r="D12" s="410"/>
      <c r="E12" s="410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444"/>
      <c r="Q12" s="444"/>
      <c r="R12" s="444"/>
      <c r="S12" s="444"/>
      <c r="T12" s="444"/>
      <c r="U12" s="444"/>
      <c r="V12" s="444"/>
      <c r="W12" s="444"/>
      <c r="X12" s="444"/>
      <c r="Y12" s="444"/>
      <c r="Z12" s="444"/>
      <c r="AA12" s="444"/>
      <c r="AB12" s="444"/>
      <c r="AC12" s="444"/>
      <c r="AD12" s="444"/>
      <c r="AE12" s="444"/>
      <c r="AF12" s="444"/>
      <c r="AG12" s="444"/>
      <c r="AH12" s="444"/>
      <c r="AI12" s="444"/>
      <c r="AJ12" s="444"/>
      <c r="AK12" s="444"/>
      <c r="AL12" s="444"/>
      <c r="AM12" s="444"/>
      <c r="AN12" s="444"/>
      <c r="AO12" s="444"/>
      <c r="XFA12" s="159"/>
      <c r="XFB12" s="159"/>
      <c r="XFC12" s="159"/>
      <c r="XFD12" s="159"/>
    </row>
    <row r="13" customFormat="1" ht="13.5" spans="1:41 16381:16384">
      <c r="A13" s="443"/>
      <c r="B13" s="410" t="s">
        <v>287</v>
      </c>
      <c r="C13" s="410"/>
      <c r="D13" s="410"/>
      <c r="E13" s="410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444"/>
      <c r="Q13" s="444"/>
      <c r="R13" s="444"/>
      <c r="S13" s="444"/>
      <c r="T13" s="444"/>
      <c r="U13" s="444"/>
      <c r="V13" s="444"/>
      <c r="W13" s="444"/>
      <c r="X13" s="444"/>
      <c r="Y13" s="444"/>
      <c r="Z13" s="444"/>
      <c r="AA13" s="444"/>
      <c r="AB13" s="444"/>
      <c r="AC13" s="444"/>
      <c r="AD13" s="444"/>
      <c r="AE13" s="444"/>
      <c r="AF13" s="444"/>
      <c r="AG13" s="444"/>
      <c r="AH13" s="444"/>
      <c r="AI13" s="444"/>
      <c r="AJ13" s="444"/>
      <c r="AK13" s="444"/>
      <c r="AL13" s="444"/>
      <c r="AM13" s="444"/>
      <c r="AN13" s="444"/>
      <c r="AO13" s="444"/>
      <c r="XFA13" s="159"/>
      <c r="XFB13" s="159"/>
      <c r="XFC13" s="159"/>
      <c r="XFD13" s="159"/>
    </row>
    <row r="14" customFormat="1" ht="13.5" spans="1:41 16381:16384">
      <c r="A14" s="445"/>
      <c r="B14" s="446"/>
      <c r="C14" s="446"/>
      <c r="D14" s="446"/>
      <c r="E14" s="446"/>
      <c r="F14" s="444"/>
      <c r="G14" s="444"/>
      <c r="H14" s="444"/>
      <c r="I14" s="444"/>
      <c r="J14" s="444"/>
      <c r="K14" s="444"/>
      <c r="L14" s="444"/>
      <c r="M14" s="444"/>
      <c r="N14" s="444"/>
      <c r="O14" s="444"/>
      <c r="P14" s="444"/>
      <c r="Q14" s="444"/>
      <c r="R14" s="444"/>
      <c r="S14" s="444"/>
      <c r="T14" s="444"/>
      <c r="U14" s="444"/>
      <c r="V14" s="444"/>
      <c r="W14" s="444"/>
      <c r="X14" s="444"/>
      <c r="Y14" s="444"/>
      <c r="Z14" s="444"/>
      <c r="AA14" s="444"/>
      <c r="AB14" s="444"/>
      <c r="AC14" s="444"/>
      <c r="AD14" s="444"/>
      <c r="AE14" s="444"/>
      <c r="AF14" s="444"/>
      <c r="AG14" s="444"/>
      <c r="AH14" s="444"/>
      <c r="AI14" s="444"/>
      <c r="AJ14" s="444"/>
      <c r="AK14" s="444"/>
      <c r="AL14" s="444"/>
      <c r="AM14" s="444"/>
      <c r="AN14" s="444"/>
      <c r="AO14" s="444"/>
      <c r="XFA14" s="159"/>
      <c r="XFB14" s="159"/>
      <c r="XFC14" s="159"/>
      <c r="XFD14" s="159"/>
    </row>
    <row r="15" s="376" customFormat="1" spans="1:41 16381:16384">
      <c r="A15" s="375"/>
      <c r="C15" s="375"/>
      <c r="D15" s="375"/>
      <c r="E15" s="375"/>
      <c r="F15" s="375"/>
      <c r="G15" s="375"/>
      <c r="H15" s="375"/>
      <c r="I15" s="375"/>
    </row>
    <row r="16" spans="1:41 16381:16384">
      <c r="A16" s="378" t="s">
        <v>5</v>
      </c>
      <c r="B16" s="377" t="s">
        <v>1997</v>
      </c>
      <c r="C16" s="447" t="s">
        <v>1998</v>
      </c>
      <c r="D16" s="447" t="s">
        <v>281</v>
      </c>
      <c r="E16" s="398" t="s">
        <v>1427</v>
      </c>
      <c r="F16" s="399"/>
      <c r="G16" s="399"/>
      <c r="H16" s="399"/>
      <c r="I16" s="399"/>
      <c r="J16" s="399"/>
      <c r="K16" s="399"/>
      <c r="L16" s="399"/>
      <c r="M16" s="399"/>
      <c r="N16" s="399"/>
      <c r="O16" s="399"/>
      <c r="P16" s="399"/>
    </row>
    <row r="17" spans="1:16">
      <c r="A17" s="378"/>
      <c r="B17" s="377"/>
      <c r="C17" s="448"/>
      <c r="D17" s="448"/>
      <c r="E17" s="400" t="s">
        <v>304</v>
      </c>
      <c r="F17" s="400" t="s">
        <v>305</v>
      </c>
      <c r="G17" s="400" t="s">
        <v>306</v>
      </c>
      <c r="H17" s="400" t="s">
        <v>307</v>
      </c>
      <c r="I17" s="400" t="s">
        <v>308</v>
      </c>
      <c r="J17" s="400" t="s">
        <v>309</v>
      </c>
      <c r="K17" s="400" t="s">
        <v>310</v>
      </c>
      <c r="L17" s="400" t="s">
        <v>311</v>
      </c>
      <c r="M17" s="400" t="s">
        <v>312</v>
      </c>
      <c r="N17" s="400" t="s">
        <v>313</v>
      </c>
      <c r="O17" s="400" t="s">
        <v>314</v>
      </c>
      <c r="P17" s="400" t="s">
        <v>315</v>
      </c>
    </row>
    <row r="18" spans="1:16">
      <c r="A18" s="410" t="s">
        <v>1421</v>
      </c>
      <c r="B18" s="443" t="s">
        <v>1465</v>
      </c>
      <c r="C18" s="449" t="s">
        <v>1465</v>
      </c>
      <c r="D18" s="380" t="s">
        <v>199</v>
      </c>
      <c r="E18" s="450" t="s">
        <v>1465</v>
      </c>
      <c r="F18" s="450" t="s">
        <v>1465</v>
      </c>
      <c r="G18" s="450" t="s">
        <v>1465</v>
      </c>
      <c r="H18" s="450" t="s">
        <v>1465</v>
      </c>
      <c r="I18" s="450" t="s">
        <v>1465</v>
      </c>
      <c r="J18" s="450" t="s">
        <v>1465</v>
      </c>
      <c r="K18" s="450" t="s">
        <v>1465</v>
      </c>
      <c r="L18" s="450" t="s">
        <v>1465</v>
      </c>
      <c r="M18" s="450" t="s">
        <v>1465</v>
      </c>
      <c r="N18" s="450" t="s">
        <v>1465</v>
      </c>
      <c r="O18" s="450" t="s">
        <v>1465</v>
      </c>
      <c r="P18" s="450" t="s">
        <v>1465</v>
      </c>
    </row>
    <row r="19" spans="1:16">
      <c r="A19" s="451"/>
      <c r="B19" s="451"/>
      <c r="C19" s="437"/>
      <c r="D19" s="380"/>
      <c r="E19" s="381"/>
      <c r="F19" s="390"/>
      <c r="G19" s="391"/>
      <c r="H19" s="391"/>
      <c r="I19" s="391"/>
      <c r="J19" s="391"/>
      <c r="K19" s="391"/>
      <c r="L19" s="391"/>
      <c r="M19" s="391"/>
      <c r="N19" s="391"/>
      <c r="O19" s="391"/>
      <c r="P19" s="391"/>
    </row>
    <row r="20" spans="1:16">
      <c r="A20" s="451"/>
      <c r="B20" s="451"/>
      <c r="C20" s="437"/>
      <c r="D20" s="380"/>
      <c r="E20" s="381"/>
      <c r="F20" s="390"/>
      <c r="G20" s="391"/>
      <c r="H20" s="391"/>
      <c r="I20" s="391"/>
      <c r="J20" s="391"/>
      <c r="K20" s="391"/>
      <c r="L20" s="391"/>
      <c r="M20" s="391"/>
      <c r="N20" s="391"/>
      <c r="O20" s="391"/>
      <c r="P20" s="391"/>
    </row>
    <row r="21" spans="1:16">
      <c r="A21" s="451"/>
      <c r="B21" s="451"/>
      <c r="C21" s="437"/>
      <c r="D21" s="380"/>
      <c r="E21" s="381"/>
      <c r="F21" s="390"/>
      <c r="G21" s="391"/>
      <c r="H21" s="391"/>
      <c r="I21" s="391"/>
      <c r="J21" s="391"/>
      <c r="K21" s="391"/>
      <c r="L21" s="391"/>
      <c r="M21" s="391"/>
      <c r="N21" s="391"/>
      <c r="O21" s="391"/>
      <c r="P21" s="391"/>
    </row>
    <row r="22" spans="1:16">
      <c r="A22" s="451"/>
      <c r="B22" s="451"/>
      <c r="C22" s="437"/>
      <c r="D22" s="380"/>
      <c r="E22" s="381"/>
      <c r="F22" s="390"/>
      <c r="G22" s="391"/>
      <c r="H22" s="391"/>
      <c r="I22" s="391"/>
      <c r="J22" s="391"/>
      <c r="K22" s="391"/>
      <c r="L22" s="391"/>
      <c r="M22" s="391"/>
      <c r="N22" s="391"/>
      <c r="O22" s="391"/>
      <c r="P22" s="391"/>
    </row>
    <row r="23" spans="1:16">
      <c r="A23" s="451"/>
      <c r="B23" s="451"/>
      <c r="C23" s="437"/>
      <c r="D23" s="380"/>
      <c r="E23" s="381"/>
      <c r="F23" s="390"/>
      <c r="G23" s="391"/>
      <c r="H23" s="391"/>
      <c r="I23" s="391"/>
      <c r="J23" s="391"/>
      <c r="K23" s="391"/>
      <c r="L23" s="391"/>
      <c r="M23" s="391"/>
      <c r="N23" s="391"/>
      <c r="O23" s="391"/>
      <c r="P23" s="391"/>
    </row>
    <row r="24" spans="1:16">
      <c r="A24" s="451"/>
      <c r="B24" s="451"/>
      <c r="C24" s="437"/>
      <c r="D24" s="380"/>
      <c r="E24" s="381"/>
      <c r="F24" s="390"/>
      <c r="G24" s="391"/>
      <c r="H24" s="391"/>
      <c r="I24" s="391"/>
      <c r="J24" s="391"/>
      <c r="K24" s="391"/>
      <c r="L24" s="391"/>
      <c r="M24" s="391"/>
      <c r="N24" s="391"/>
      <c r="O24" s="391"/>
      <c r="P24" s="391"/>
    </row>
    <row r="25" spans="1:16">
      <c r="A25" s="451"/>
      <c r="B25" s="451"/>
      <c r="C25" s="437"/>
      <c r="D25" s="380"/>
      <c r="E25" s="381"/>
      <c r="F25" s="390"/>
      <c r="G25" s="391"/>
      <c r="H25" s="391"/>
      <c r="I25" s="391"/>
      <c r="J25" s="391"/>
      <c r="K25" s="391"/>
      <c r="L25" s="391"/>
      <c r="M25" s="391"/>
      <c r="N25" s="391"/>
      <c r="O25" s="391"/>
      <c r="P25" s="391"/>
    </row>
    <row r="26" spans="1:16">
      <c r="A26" s="451"/>
      <c r="B26" s="451"/>
      <c r="C26" s="437"/>
      <c r="D26" s="380"/>
      <c r="E26" s="381"/>
      <c r="F26" s="390"/>
      <c r="G26" s="391"/>
      <c r="H26" s="391"/>
      <c r="I26" s="391"/>
      <c r="J26" s="391"/>
      <c r="K26" s="391"/>
      <c r="L26" s="391"/>
      <c r="M26" s="391"/>
      <c r="N26" s="391"/>
      <c r="O26" s="391"/>
      <c r="P26" s="391"/>
    </row>
    <row r="27" spans="1:16">
      <c r="A27" s="451"/>
      <c r="B27" s="451"/>
      <c r="C27" s="437"/>
      <c r="D27" s="380"/>
      <c r="E27" s="381"/>
      <c r="F27" s="390"/>
      <c r="G27" s="391"/>
      <c r="H27" s="391"/>
      <c r="I27" s="391"/>
      <c r="J27" s="391"/>
      <c r="K27" s="391"/>
      <c r="L27" s="391"/>
      <c r="M27" s="391"/>
      <c r="N27" s="391"/>
      <c r="O27" s="391"/>
      <c r="P27" s="391"/>
    </row>
    <row r="28" spans="1:16">
      <c r="A28" s="451"/>
      <c r="B28" s="451"/>
      <c r="C28" s="437"/>
      <c r="D28" s="380"/>
      <c r="E28" s="381"/>
      <c r="F28" s="390"/>
      <c r="G28" s="391"/>
      <c r="H28" s="391"/>
      <c r="I28" s="391"/>
      <c r="J28" s="391"/>
      <c r="K28" s="391"/>
      <c r="L28" s="391"/>
      <c r="M28" s="391"/>
      <c r="N28" s="391"/>
      <c r="O28" s="391"/>
      <c r="P28" s="391"/>
    </row>
    <row r="29" spans="1:16">
      <c r="A29" s="451"/>
      <c r="B29" s="451"/>
      <c r="C29" s="437"/>
      <c r="D29" s="380"/>
      <c r="E29" s="381"/>
      <c r="F29" s="390"/>
      <c r="G29" s="391"/>
      <c r="H29" s="391"/>
      <c r="I29" s="391"/>
      <c r="J29" s="391"/>
      <c r="K29" s="391"/>
      <c r="L29" s="391"/>
      <c r="M29" s="391"/>
      <c r="N29" s="391"/>
      <c r="O29" s="391"/>
      <c r="P29" s="391"/>
    </row>
    <row r="30" spans="1:16">
      <c r="A30" s="451"/>
      <c r="B30" s="451"/>
      <c r="C30" s="437"/>
      <c r="D30" s="380"/>
      <c r="E30" s="381"/>
      <c r="F30" s="390"/>
      <c r="G30" s="391"/>
      <c r="H30" s="391"/>
      <c r="I30" s="391"/>
      <c r="J30" s="391"/>
      <c r="K30" s="391"/>
      <c r="L30" s="391"/>
      <c r="M30" s="391"/>
      <c r="N30" s="391"/>
      <c r="O30" s="391"/>
      <c r="P30" s="391"/>
    </row>
    <row r="31" spans="1:16">
      <c r="A31" s="451"/>
      <c r="B31" s="451"/>
      <c r="C31" s="437"/>
      <c r="D31" s="380"/>
      <c r="E31" s="381"/>
      <c r="F31" s="390"/>
      <c r="G31" s="391"/>
      <c r="H31" s="391"/>
      <c r="I31" s="391"/>
      <c r="J31" s="391"/>
      <c r="K31" s="391"/>
      <c r="L31" s="391"/>
      <c r="M31" s="391"/>
      <c r="N31" s="391"/>
      <c r="O31" s="391"/>
      <c r="P31" s="391"/>
    </row>
    <row r="32" spans="1:16">
      <c r="A32" s="451"/>
      <c r="B32" s="451"/>
      <c r="C32" s="437"/>
      <c r="D32" s="380"/>
      <c r="E32" s="381"/>
      <c r="F32" s="390"/>
      <c r="G32" s="391"/>
      <c r="H32" s="391"/>
      <c r="I32" s="391"/>
      <c r="J32" s="391"/>
      <c r="K32" s="391"/>
      <c r="L32" s="391"/>
      <c r="M32" s="391"/>
      <c r="N32" s="391"/>
      <c r="O32" s="391"/>
      <c r="P32" s="391"/>
    </row>
    <row r="33" spans="1:16">
      <c r="A33" s="451"/>
      <c r="B33" s="451"/>
      <c r="C33" s="437"/>
      <c r="D33" s="380"/>
      <c r="E33" s="381"/>
      <c r="F33" s="390"/>
      <c r="G33" s="391"/>
      <c r="H33" s="391"/>
      <c r="I33" s="391"/>
      <c r="J33" s="391"/>
      <c r="K33" s="391"/>
      <c r="L33" s="391"/>
      <c r="M33" s="391"/>
      <c r="N33" s="391"/>
      <c r="O33" s="391"/>
      <c r="P33" s="391"/>
    </row>
    <row r="34" spans="1:16">
      <c r="A34" s="452" t="s">
        <v>281</v>
      </c>
      <c r="B34" s="452"/>
      <c r="C34" s="453"/>
      <c r="D34" s="453"/>
      <c r="E34" s="453"/>
      <c r="F34" s="453"/>
      <c r="G34" s="454"/>
      <c r="H34" s="454"/>
      <c r="I34" s="454"/>
      <c r="J34" s="454"/>
      <c r="K34" s="454"/>
      <c r="L34" s="454"/>
      <c r="M34" s="454"/>
      <c r="N34" s="454"/>
      <c r="O34" s="454"/>
      <c r="P34" s="454"/>
    </row>
  </sheetData>
  <mergeCells count="10">
    <mergeCell ref="A5:D5"/>
    <mergeCell ref="E16:P16"/>
    <mergeCell ref="A9:A10"/>
    <mergeCell ref="A16:A17"/>
    <mergeCell ref="B9:B10"/>
    <mergeCell ref="B16:B17"/>
    <mergeCell ref="C9:C10"/>
    <mergeCell ref="C16:C17"/>
    <mergeCell ref="D16:D17"/>
    <mergeCell ref="A1:D4"/>
  </mergeCells>
  <hyperlinks>
    <hyperlink ref="A1" location="目录!A1" display="← 返回目录"/>
  </hyperlinks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7">
    <tabColor theme="8" tint="0.399975585192419"/>
  </sheetPr>
  <dimension ref="A1:XFD34"/>
  <sheetViews>
    <sheetView zoomScale="110" zoomScaleNormal="110" workbookViewId="0">
      <selection activeCell="B16" sqref="B16:B17"/>
    </sheetView>
  </sheetViews>
  <sheetFormatPr defaultColWidth="8.725" defaultRowHeight="11.25"/>
  <cols>
    <col min="1" max="1" width="8.725" style="159"/>
    <col min="2" max="2" width="9.54166666666667" style="159" customWidth="1"/>
    <col min="3" max="3" width="12.5416666666667" style="159" customWidth="1"/>
    <col min="4" max="4" width="8.725" style="159"/>
    <col min="5" max="5" width="7.90833333333333" style="159" customWidth="1"/>
    <col min="6" max="7" width="8.725" style="159"/>
    <col min="8" max="8" width="9.725" style="159" customWidth="1"/>
    <col min="9" max="9" width="9.81666666666667" style="159" customWidth="1"/>
    <col min="10" max="11" width="8.725" style="159"/>
    <col min="12" max="12" width="9.26666666666667" style="159" customWidth="1"/>
    <col min="13" max="16384" width="8.725" style="159"/>
  </cols>
  <sheetData>
    <row r="1" spans="1:41 16381:16384">
      <c r="A1" s="162" t="s">
        <v>185</v>
      </c>
      <c r="B1" s="291"/>
      <c r="C1" s="291"/>
      <c r="D1" s="291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pans="1:41 16381:16384">
      <c r="A2" s="291"/>
      <c r="B2" s="291"/>
      <c r="C2" s="291"/>
      <c r="D2" s="291"/>
      <c r="E2" s="12"/>
      <c r="F2" s="13" t="s">
        <v>1991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pans="1:41 16381:16384">
      <c r="A3" s="291"/>
      <c r="B3" s="291"/>
      <c r="C3" s="291"/>
      <c r="D3" s="291"/>
      <c r="E3" s="12"/>
      <c r="F3" s="13" t="s">
        <v>1660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spans="1:41 16381:16384">
      <c r="A4" s="291"/>
      <c r="B4" s="291"/>
      <c r="C4" s="291"/>
      <c r="D4" s="291"/>
      <c r="E4" s="12"/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pans="1:41 16381:16384">
      <c r="A5" s="292" t="s">
        <v>1993</v>
      </c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ht="13.5" spans="1:41 16381:16384">
      <c r="A6" s="1"/>
      <c r="B6" s="1"/>
      <c r="C6" s="1"/>
      <c r="D6" s="1"/>
      <c r="E6"/>
      <c r="F6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ht="13.5" spans="1:41 16381:16384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9" spans="1:41 16381:16384">
      <c r="A9" s="441" t="s">
        <v>5</v>
      </c>
      <c r="B9" s="332" t="s">
        <v>1925</v>
      </c>
      <c r="C9" s="332" t="s">
        <v>281</v>
      </c>
      <c r="D9" s="442"/>
      <c r="E9" s="442"/>
      <c r="F9" s="442"/>
      <c r="G9" s="442"/>
      <c r="H9" s="442"/>
      <c r="I9" s="442"/>
      <c r="J9" s="442"/>
      <c r="K9" s="442"/>
      <c r="L9" s="442"/>
      <c r="M9" s="442"/>
      <c r="N9" s="442"/>
      <c r="O9" s="442"/>
    </row>
    <row r="10" spans="1:41 16381:16384">
      <c r="A10" s="377"/>
      <c r="B10" s="338"/>
      <c r="C10" s="338"/>
      <c r="D10" s="315" t="s">
        <v>304</v>
      </c>
      <c r="E10" s="315" t="s">
        <v>305</v>
      </c>
      <c r="F10" s="315" t="s">
        <v>306</v>
      </c>
      <c r="G10" s="315" t="s">
        <v>307</v>
      </c>
      <c r="H10" s="315" t="s">
        <v>308</v>
      </c>
      <c r="I10" s="315" t="s">
        <v>309</v>
      </c>
      <c r="J10" s="315" t="s">
        <v>310</v>
      </c>
      <c r="K10" s="315" t="s">
        <v>311</v>
      </c>
      <c r="L10" s="315" t="s">
        <v>312</v>
      </c>
      <c r="M10" s="315" t="s">
        <v>313</v>
      </c>
      <c r="N10" s="315" t="s">
        <v>314</v>
      </c>
      <c r="O10" s="315" t="s">
        <v>315</v>
      </c>
    </row>
    <row r="11" spans="1:41 16381:16384">
      <c r="A11" s="443" t="s">
        <v>1463</v>
      </c>
      <c r="B11" s="410">
        <v>2025</v>
      </c>
      <c r="C11" s="410" t="s">
        <v>199</v>
      </c>
      <c r="D11" s="315" t="s">
        <v>1421</v>
      </c>
      <c r="E11" s="315" t="s">
        <v>1421</v>
      </c>
      <c r="F11" s="315" t="s">
        <v>1421</v>
      </c>
      <c r="G11" s="315" t="s">
        <v>1421</v>
      </c>
      <c r="H11" s="315" t="s">
        <v>1421</v>
      </c>
      <c r="I11" s="315" t="s">
        <v>1421</v>
      </c>
      <c r="J11" s="315" t="s">
        <v>1421</v>
      </c>
      <c r="K11" s="315" t="s">
        <v>1421</v>
      </c>
      <c r="L11" s="315" t="s">
        <v>1421</v>
      </c>
      <c r="M11" s="315" t="s">
        <v>1421</v>
      </c>
      <c r="N11" s="315" t="s">
        <v>1421</v>
      </c>
      <c r="O11" s="315" t="s">
        <v>1421</v>
      </c>
    </row>
    <row r="12" customFormat="1" ht="13.5" spans="1:41 16381:16384">
      <c r="A12" s="443"/>
      <c r="B12" s="410">
        <v>2026</v>
      </c>
      <c r="C12" s="410"/>
      <c r="D12" s="410"/>
      <c r="E12" s="410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444"/>
      <c r="Q12" s="444"/>
      <c r="R12" s="444"/>
      <c r="S12" s="444"/>
      <c r="T12" s="444"/>
      <c r="U12" s="444"/>
      <c r="V12" s="444"/>
      <c r="W12" s="444"/>
      <c r="X12" s="444"/>
      <c r="Y12" s="444"/>
      <c r="Z12" s="444"/>
      <c r="AA12" s="444"/>
      <c r="AB12" s="444"/>
      <c r="AC12" s="444"/>
      <c r="AD12" s="444"/>
      <c r="AE12" s="444"/>
      <c r="AF12" s="444"/>
      <c r="AG12" s="444"/>
      <c r="AH12" s="444"/>
      <c r="AI12" s="444"/>
      <c r="AJ12" s="444"/>
      <c r="AK12" s="444"/>
      <c r="AL12" s="444"/>
      <c r="AM12" s="444"/>
      <c r="AN12" s="444"/>
      <c r="AO12" s="444"/>
      <c r="XFA12" s="159"/>
      <c r="XFB12" s="159"/>
      <c r="XFC12" s="159"/>
      <c r="XFD12" s="159"/>
    </row>
    <row r="13" customFormat="1" ht="13.5" spans="1:41 16381:16384">
      <c r="A13" s="443"/>
      <c r="B13" s="410" t="s">
        <v>287</v>
      </c>
      <c r="C13" s="410"/>
      <c r="D13" s="410"/>
      <c r="E13" s="410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444"/>
      <c r="Q13" s="444"/>
      <c r="R13" s="444"/>
      <c r="S13" s="444"/>
      <c r="T13" s="444"/>
      <c r="U13" s="444"/>
      <c r="V13" s="444"/>
      <c r="W13" s="444"/>
      <c r="X13" s="444"/>
      <c r="Y13" s="444"/>
      <c r="Z13" s="444"/>
      <c r="AA13" s="444"/>
      <c r="AB13" s="444"/>
      <c r="AC13" s="444"/>
      <c r="AD13" s="444"/>
      <c r="AE13" s="444"/>
      <c r="AF13" s="444"/>
      <c r="AG13" s="444"/>
      <c r="AH13" s="444"/>
      <c r="AI13" s="444"/>
      <c r="AJ13" s="444"/>
      <c r="AK13" s="444"/>
      <c r="AL13" s="444"/>
      <c r="AM13" s="444"/>
      <c r="AN13" s="444"/>
      <c r="AO13" s="444"/>
      <c r="XFA13" s="159"/>
      <c r="XFB13" s="159"/>
      <c r="XFC13" s="159"/>
      <c r="XFD13" s="159"/>
    </row>
    <row r="14" customFormat="1" ht="13.5" spans="1:41 16381:16384">
      <c r="A14" s="445"/>
      <c r="B14" s="446"/>
      <c r="C14" s="446"/>
      <c r="D14" s="446"/>
      <c r="E14" s="446"/>
      <c r="F14" s="444"/>
      <c r="G14" s="444"/>
      <c r="H14" s="444"/>
      <c r="I14" s="444"/>
      <c r="J14" s="444"/>
      <c r="K14" s="444"/>
      <c r="L14" s="444"/>
      <c r="M14" s="444"/>
      <c r="N14" s="444"/>
      <c r="O14" s="444"/>
      <c r="P14" s="444"/>
      <c r="Q14" s="444"/>
      <c r="R14" s="444"/>
      <c r="S14" s="444"/>
      <c r="T14" s="444"/>
      <c r="U14" s="444"/>
      <c r="V14" s="444"/>
      <c r="W14" s="444"/>
      <c r="X14" s="444"/>
      <c r="Y14" s="444"/>
      <c r="Z14" s="444"/>
      <c r="AA14" s="444"/>
      <c r="AB14" s="444"/>
      <c r="AC14" s="444"/>
      <c r="AD14" s="444"/>
      <c r="AE14" s="444"/>
      <c r="AF14" s="444"/>
      <c r="AG14" s="444"/>
      <c r="AH14" s="444"/>
      <c r="AI14" s="444"/>
      <c r="AJ14" s="444"/>
      <c r="AK14" s="444"/>
      <c r="AL14" s="444"/>
      <c r="AM14" s="444"/>
      <c r="AN14" s="444"/>
      <c r="AO14" s="444"/>
      <c r="XFA14" s="159"/>
      <c r="XFB14" s="159"/>
      <c r="XFC14" s="159"/>
      <c r="XFD14" s="159"/>
    </row>
    <row r="15" s="376" customFormat="1" spans="1:41 16381:16384">
      <c r="A15" s="375"/>
      <c r="C15" s="375"/>
      <c r="D15" s="375"/>
      <c r="E15" s="375"/>
      <c r="F15" s="375"/>
      <c r="G15" s="375"/>
      <c r="H15" s="375"/>
      <c r="I15" s="375"/>
    </row>
    <row r="16" spans="1:41 16381:16384">
      <c r="A16" s="378" t="s">
        <v>5</v>
      </c>
      <c r="B16" s="377" t="s">
        <v>1999</v>
      </c>
      <c r="C16" s="447" t="s">
        <v>2000</v>
      </c>
      <c r="D16" s="447" t="s">
        <v>281</v>
      </c>
      <c r="E16" s="398" t="s">
        <v>1427</v>
      </c>
      <c r="F16" s="399"/>
      <c r="G16" s="399"/>
      <c r="H16" s="399"/>
      <c r="I16" s="399"/>
      <c r="J16" s="399"/>
      <c r="K16" s="399"/>
      <c r="L16" s="399"/>
      <c r="M16" s="399"/>
      <c r="N16" s="399"/>
      <c r="O16" s="399"/>
      <c r="P16" s="399"/>
    </row>
    <row r="17" spans="1:16">
      <c r="A17" s="378"/>
      <c r="B17" s="377"/>
      <c r="C17" s="448"/>
      <c r="D17" s="448"/>
      <c r="E17" s="400" t="s">
        <v>304</v>
      </c>
      <c r="F17" s="400" t="s">
        <v>305</v>
      </c>
      <c r="G17" s="400" t="s">
        <v>306</v>
      </c>
      <c r="H17" s="400" t="s">
        <v>307</v>
      </c>
      <c r="I17" s="400" t="s">
        <v>308</v>
      </c>
      <c r="J17" s="400" t="s">
        <v>309</v>
      </c>
      <c r="K17" s="400" t="s">
        <v>310</v>
      </c>
      <c r="L17" s="400" t="s">
        <v>311</v>
      </c>
      <c r="M17" s="400" t="s">
        <v>312</v>
      </c>
      <c r="N17" s="400" t="s">
        <v>313</v>
      </c>
      <c r="O17" s="400" t="s">
        <v>314</v>
      </c>
      <c r="P17" s="400" t="s">
        <v>315</v>
      </c>
    </row>
    <row r="18" spans="1:16">
      <c r="A18" s="410" t="s">
        <v>1421</v>
      </c>
      <c r="B18" s="443" t="s">
        <v>1465</v>
      </c>
      <c r="C18" s="449" t="s">
        <v>1465</v>
      </c>
      <c r="D18" s="380" t="s">
        <v>199</v>
      </c>
      <c r="E18" s="450" t="s">
        <v>1465</v>
      </c>
      <c r="F18" s="450" t="s">
        <v>1465</v>
      </c>
      <c r="G18" s="450" t="s">
        <v>1465</v>
      </c>
      <c r="H18" s="450" t="s">
        <v>1465</v>
      </c>
      <c r="I18" s="450" t="s">
        <v>1465</v>
      </c>
      <c r="J18" s="450" t="s">
        <v>1465</v>
      </c>
      <c r="K18" s="450" t="s">
        <v>1465</v>
      </c>
      <c r="L18" s="450" t="s">
        <v>1465</v>
      </c>
      <c r="M18" s="450" t="s">
        <v>1465</v>
      </c>
      <c r="N18" s="450" t="s">
        <v>1465</v>
      </c>
      <c r="O18" s="450" t="s">
        <v>1465</v>
      </c>
      <c r="P18" s="450" t="s">
        <v>1465</v>
      </c>
    </row>
    <row r="19" spans="1:16">
      <c r="A19" s="451"/>
      <c r="B19" s="451"/>
      <c r="C19" s="437"/>
      <c r="D19" s="380"/>
      <c r="E19" s="381"/>
      <c r="F19" s="390"/>
      <c r="G19" s="391"/>
      <c r="H19" s="391"/>
      <c r="I19" s="391"/>
      <c r="J19" s="391"/>
      <c r="K19" s="391"/>
      <c r="L19" s="391"/>
      <c r="M19" s="391"/>
      <c r="N19" s="391"/>
      <c r="O19" s="391"/>
      <c r="P19" s="391"/>
    </row>
    <row r="20" spans="1:16">
      <c r="A20" s="451"/>
      <c r="B20" s="451"/>
      <c r="C20" s="437"/>
      <c r="D20" s="380"/>
      <c r="E20" s="381"/>
      <c r="F20" s="390"/>
      <c r="G20" s="391"/>
      <c r="H20" s="391"/>
      <c r="I20" s="391"/>
      <c r="J20" s="391"/>
      <c r="K20" s="391"/>
      <c r="L20" s="391"/>
      <c r="M20" s="391"/>
      <c r="N20" s="391"/>
      <c r="O20" s="391"/>
      <c r="P20" s="391"/>
    </row>
    <row r="21" spans="1:16">
      <c r="A21" s="451"/>
      <c r="B21" s="451"/>
      <c r="C21" s="437"/>
      <c r="D21" s="380"/>
      <c r="E21" s="381"/>
      <c r="F21" s="390"/>
      <c r="G21" s="391"/>
      <c r="H21" s="391"/>
      <c r="I21" s="391"/>
      <c r="J21" s="391"/>
      <c r="K21" s="391"/>
      <c r="L21" s="391"/>
      <c r="M21" s="391"/>
      <c r="N21" s="391"/>
      <c r="O21" s="391"/>
      <c r="P21" s="391"/>
    </row>
    <row r="22" spans="1:16">
      <c r="A22" s="451"/>
      <c r="B22" s="451"/>
      <c r="C22" s="437"/>
      <c r="D22" s="380"/>
      <c r="E22" s="381"/>
      <c r="F22" s="390"/>
      <c r="G22" s="391"/>
      <c r="H22" s="391"/>
      <c r="I22" s="391"/>
      <c r="J22" s="391"/>
      <c r="K22" s="391"/>
      <c r="L22" s="391"/>
      <c r="M22" s="391"/>
      <c r="N22" s="391"/>
      <c r="O22" s="391"/>
      <c r="P22" s="391"/>
    </row>
    <row r="23" spans="1:16">
      <c r="A23" s="451"/>
      <c r="B23" s="451"/>
      <c r="C23" s="437"/>
      <c r="D23" s="380"/>
      <c r="E23" s="381"/>
      <c r="F23" s="390"/>
      <c r="G23" s="391"/>
      <c r="H23" s="391"/>
      <c r="I23" s="391"/>
      <c r="J23" s="391"/>
      <c r="K23" s="391"/>
      <c r="L23" s="391"/>
      <c r="M23" s="391"/>
      <c r="N23" s="391"/>
      <c r="O23" s="391"/>
      <c r="P23" s="391"/>
    </row>
    <row r="24" spans="1:16">
      <c r="A24" s="451"/>
      <c r="B24" s="451"/>
      <c r="C24" s="437"/>
      <c r="D24" s="380"/>
      <c r="E24" s="381"/>
      <c r="F24" s="390"/>
      <c r="G24" s="391"/>
      <c r="H24" s="391"/>
      <c r="I24" s="391"/>
      <c r="J24" s="391"/>
      <c r="K24" s="391"/>
      <c r="L24" s="391"/>
      <c r="M24" s="391"/>
      <c r="N24" s="391"/>
      <c r="O24" s="391"/>
      <c r="P24" s="391"/>
    </row>
    <row r="25" spans="1:16">
      <c r="A25" s="451"/>
      <c r="B25" s="451"/>
      <c r="C25" s="437"/>
      <c r="D25" s="380"/>
      <c r="E25" s="381"/>
      <c r="F25" s="390"/>
      <c r="G25" s="391"/>
      <c r="H25" s="391"/>
      <c r="I25" s="391"/>
      <c r="J25" s="391"/>
      <c r="K25" s="391"/>
      <c r="L25" s="391"/>
      <c r="M25" s="391"/>
      <c r="N25" s="391"/>
      <c r="O25" s="391"/>
      <c r="P25" s="391"/>
    </row>
    <row r="26" spans="1:16">
      <c r="A26" s="451"/>
      <c r="B26" s="451"/>
      <c r="C26" s="437"/>
      <c r="D26" s="380"/>
      <c r="E26" s="381"/>
      <c r="F26" s="390"/>
      <c r="G26" s="391"/>
      <c r="H26" s="391"/>
      <c r="I26" s="391"/>
      <c r="J26" s="391"/>
      <c r="K26" s="391"/>
      <c r="L26" s="391"/>
      <c r="M26" s="391"/>
      <c r="N26" s="391"/>
      <c r="O26" s="391"/>
      <c r="P26" s="391"/>
    </row>
    <row r="27" spans="1:16">
      <c r="A27" s="451"/>
      <c r="B27" s="451"/>
      <c r="C27" s="437"/>
      <c r="D27" s="380"/>
      <c r="E27" s="381"/>
      <c r="F27" s="390"/>
      <c r="G27" s="391"/>
      <c r="H27" s="391"/>
      <c r="I27" s="391"/>
      <c r="J27" s="391"/>
      <c r="K27" s="391"/>
      <c r="L27" s="391"/>
      <c r="M27" s="391"/>
      <c r="N27" s="391"/>
      <c r="O27" s="391"/>
      <c r="P27" s="391"/>
    </row>
    <row r="28" spans="1:16">
      <c r="A28" s="451"/>
      <c r="B28" s="451"/>
      <c r="C28" s="437"/>
      <c r="D28" s="380"/>
      <c r="E28" s="381"/>
      <c r="F28" s="390"/>
      <c r="G28" s="391"/>
      <c r="H28" s="391"/>
      <c r="I28" s="391"/>
      <c r="J28" s="391"/>
      <c r="K28" s="391"/>
      <c r="L28" s="391"/>
      <c r="M28" s="391"/>
      <c r="N28" s="391"/>
      <c r="O28" s="391"/>
      <c r="P28" s="391"/>
    </row>
    <row r="29" spans="1:16">
      <c r="A29" s="451"/>
      <c r="B29" s="451"/>
      <c r="C29" s="437"/>
      <c r="D29" s="380"/>
      <c r="E29" s="381"/>
      <c r="F29" s="390"/>
      <c r="G29" s="391"/>
      <c r="H29" s="391"/>
      <c r="I29" s="391"/>
      <c r="J29" s="391"/>
      <c r="K29" s="391"/>
      <c r="L29" s="391"/>
      <c r="M29" s="391"/>
      <c r="N29" s="391"/>
      <c r="O29" s="391"/>
      <c r="P29" s="391"/>
    </row>
    <row r="30" spans="1:16">
      <c r="A30" s="451"/>
      <c r="B30" s="451"/>
      <c r="C30" s="437"/>
      <c r="D30" s="380"/>
      <c r="E30" s="381"/>
      <c r="F30" s="390"/>
      <c r="G30" s="391"/>
      <c r="H30" s="391"/>
      <c r="I30" s="391"/>
      <c r="J30" s="391"/>
      <c r="K30" s="391"/>
      <c r="L30" s="391"/>
      <c r="M30" s="391"/>
      <c r="N30" s="391"/>
      <c r="O30" s="391"/>
      <c r="P30" s="391"/>
    </row>
    <row r="31" spans="1:16">
      <c r="A31" s="451"/>
      <c r="B31" s="451"/>
      <c r="C31" s="437"/>
      <c r="D31" s="380"/>
      <c r="E31" s="381"/>
      <c r="F31" s="390"/>
      <c r="G31" s="391"/>
      <c r="H31" s="391"/>
      <c r="I31" s="391"/>
      <c r="J31" s="391"/>
      <c r="K31" s="391"/>
      <c r="L31" s="391"/>
      <c r="M31" s="391"/>
      <c r="N31" s="391"/>
      <c r="O31" s="391"/>
      <c r="P31" s="391"/>
    </row>
    <row r="32" spans="1:16">
      <c r="A32" s="451"/>
      <c r="B32" s="451"/>
      <c r="C32" s="437"/>
      <c r="D32" s="380"/>
      <c r="E32" s="381"/>
      <c r="F32" s="390"/>
      <c r="G32" s="391"/>
      <c r="H32" s="391"/>
      <c r="I32" s="391"/>
      <c r="J32" s="391"/>
      <c r="K32" s="391"/>
      <c r="L32" s="391"/>
      <c r="M32" s="391"/>
      <c r="N32" s="391"/>
      <c r="O32" s="391"/>
      <c r="P32" s="391"/>
    </row>
    <row r="33" spans="1:16">
      <c r="A33" s="451"/>
      <c r="B33" s="451"/>
      <c r="C33" s="437"/>
      <c r="D33" s="380"/>
      <c r="E33" s="381"/>
      <c r="F33" s="390"/>
      <c r="G33" s="391"/>
      <c r="H33" s="391"/>
      <c r="I33" s="391"/>
      <c r="J33" s="391"/>
      <c r="K33" s="391"/>
      <c r="L33" s="391"/>
      <c r="M33" s="391"/>
      <c r="N33" s="391"/>
      <c r="O33" s="391"/>
      <c r="P33" s="391"/>
    </row>
    <row r="34" spans="1:16">
      <c r="A34" s="452" t="s">
        <v>281</v>
      </c>
      <c r="B34" s="452"/>
      <c r="C34" s="453"/>
      <c r="D34" s="453"/>
      <c r="E34" s="453"/>
      <c r="F34" s="453"/>
      <c r="G34" s="454"/>
      <c r="H34" s="454"/>
      <c r="I34" s="454"/>
      <c r="J34" s="454"/>
      <c r="K34" s="454"/>
      <c r="L34" s="454"/>
      <c r="M34" s="454"/>
      <c r="N34" s="454"/>
      <c r="O34" s="454"/>
      <c r="P34" s="454"/>
    </row>
  </sheetData>
  <mergeCells count="10">
    <mergeCell ref="A5:D5"/>
    <mergeCell ref="E16:P16"/>
    <mergeCell ref="A9:A10"/>
    <mergeCell ref="A16:A17"/>
    <mergeCell ref="B9:B10"/>
    <mergeCell ref="B16:B17"/>
    <mergeCell ref="C9:C10"/>
    <mergeCell ref="C16:C17"/>
    <mergeCell ref="D16:D17"/>
    <mergeCell ref="A1:D4"/>
  </mergeCells>
  <hyperlinks>
    <hyperlink ref="A1" location="目录!A1" display="← 返回目录"/>
  </hyperlinks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8">
    <tabColor theme="8" tint="0.399975585192419"/>
  </sheetPr>
  <dimension ref="A1:XFD34"/>
  <sheetViews>
    <sheetView zoomScale="110" zoomScaleNormal="110" workbookViewId="0">
      <selection activeCell="C42" sqref="C42"/>
    </sheetView>
  </sheetViews>
  <sheetFormatPr defaultColWidth="8.725" defaultRowHeight="11.25"/>
  <cols>
    <col min="1" max="1" width="8.725" style="159"/>
    <col min="2" max="2" width="9.54166666666667" style="159" customWidth="1"/>
    <col min="3" max="3" width="12.5416666666667" style="159" customWidth="1"/>
    <col min="4" max="4" width="8.725" style="159"/>
    <col min="5" max="5" width="7.90833333333333" style="159" customWidth="1"/>
    <col min="6" max="7" width="8.725" style="159"/>
    <col min="8" max="8" width="9.725" style="159" customWidth="1"/>
    <col min="9" max="9" width="9.81666666666667" style="159" customWidth="1"/>
    <col min="10" max="11" width="8.725" style="159"/>
    <col min="12" max="12" width="9.26666666666667" style="159" customWidth="1"/>
    <col min="13" max="16384" width="8.725" style="159"/>
  </cols>
  <sheetData>
    <row r="1" spans="1:41 16381:16384">
      <c r="A1" s="162" t="s">
        <v>185</v>
      </c>
      <c r="B1" s="291"/>
      <c r="C1" s="291"/>
      <c r="D1" s="291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pans="1:41 16381:16384">
      <c r="A2" s="291"/>
      <c r="B2" s="291"/>
      <c r="C2" s="291"/>
      <c r="D2" s="291"/>
      <c r="E2" s="12"/>
      <c r="F2" s="13" t="s">
        <v>1991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pans="1:41 16381:16384">
      <c r="A3" s="291"/>
      <c r="B3" s="291"/>
      <c r="C3" s="291"/>
      <c r="D3" s="291"/>
      <c r="E3" s="12"/>
      <c r="F3" s="13" t="s">
        <v>1660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spans="1:41 16381:16384">
      <c r="A4" s="291"/>
      <c r="B4" s="291"/>
      <c r="C4" s="291"/>
      <c r="D4" s="291"/>
      <c r="E4" s="12"/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pans="1:41 16381:16384">
      <c r="A5" s="292"/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ht="13.5" spans="1:41 16381:16384">
      <c r="A6" s="1"/>
      <c r="B6" s="1"/>
      <c r="C6" s="1"/>
      <c r="D6" s="1"/>
      <c r="E6"/>
      <c r="F6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ht="13.5" spans="1:41 16381:16384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9" spans="1:41 16381:16384">
      <c r="A9" s="441" t="s">
        <v>5</v>
      </c>
      <c r="B9" s="332" t="s">
        <v>1925</v>
      </c>
      <c r="C9" s="332" t="s">
        <v>281</v>
      </c>
      <c r="D9" s="442"/>
      <c r="E9" s="442"/>
      <c r="F9" s="442"/>
      <c r="G9" s="442"/>
      <c r="H9" s="442"/>
      <c r="I9" s="442"/>
      <c r="J9" s="442"/>
      <c r="K9" s="442"/>
      <c r="L9" s="442"/>
      <c r="M9" s="442"/>
      <c r="N9" s="442"/>
      <c r="O9" s="442"/>
    </row>
    <row r="10" spans="1:41 16381:16384">
      <c r="A10" s="377"/>
      <c r="B10" s="338"/>
      <c r="C10" s="338"/>
      <c r="D10" s="315" t="s">
        <v>304</v>
      </c>
      <c r="E10" s="315" t="s">
        <v>305</v>
      </c>
      <c r="F10" s="315" t="s">
        <v>306</v>
      </c>
      <c r="G10" s="315" t="s">
        <v>307</v>
      </c>
      <c r="H10" s="315" t="s">
        <v>308</v>
      </c>
      <c r="I10" s="315" t="s">
        <v>309</v>
      </c>
      <c r="J10" s="315" t="s">
        <v>310</v>
      </c>
      <c r="K10" s="315" t="s">
        <v>311</v>
      </c>
      <c r="L10" s="315" t="s">
        <v>312</v>
      </c>
      <c r="M10" s="315" t="s">
        <v>313</v>
      </c>
      <c r="N10" s="315" t="s">
        <v>314</v>
      </c>
      <c r="O10" s="315" t="s">
        <v>315</v>
      </c>
    </row>
    <row r="11" spans="1:41 16381:16384">
      <c r="A11" s="443" t="s">
        <v>1463</v>
      </c>
      <c r="B11" s="410">
        <v>2025</v>
      </c>
      <c r="C11" s="410" t="s">
        <v>199</v>
      </c>
      <c r="D11" s="315" t="s">
        <v>1421</v>
      </c>
      <c r="E11" s="315" t="s">
        <v>1421</v>
      </c>
      <c r="F11" s="315" t="s">
        <v>1421</v>
      </c>
      <c r="G11" s="315" t="s">
        <v>1421</v>
      </c>
      <c r="H11" s="315" t="s">
        <v>1421</v>
      </c>
      <c r="I11" s="315" t="s">
        <v>1421</v>
      </c>
      <c r="J11" s="315" t="s">
        <v>1421</v>
      </c>
      <c r="K11" s="315" t="s">
        <v>1421</v>
      </c>
      <c r="L11" s="315" t="s">
        <v>1421</v>
      </c>
      <c r="M11" s="315" t="s">
        <v>1421</v>
      </c>
      <c r="N11" s="315" t="s">
        <v>1421</v>
      </c>
      <c r="O11" s="315" t="s">
        <v>1421</v>
      </c>
    </row>
    <row r="12" customFormat="1" ht="13.5" spans="1:41 16381:16384">
      <c r="A12" s="443"/>
      <c r="B12" s="410">
        <v>2026</v>
      </c>
      <c r="C12" s="410"/>
      <c r="D12" s="410"/>
      <c r="E12" s="410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444"/>
      <c r="Q12" s="444"/>
      <c r="R12" s="444"/>
      <c r="S12" s="444"/>
      <c r="T12" s="444"/>
      <c r="U12" s="444"/>
      <c r="V12" s="444"/>
      <c r="W12" s="444"/>
      <c r="X12" s="444"/>
      <c r="Y12" s="444"/>
      <c r="Z12" s="444"/>
      <c r="AA12" s="444"/>
      <c r="AB12" s="444"/>
      <c r="AC12" s="444"/>
      <c r="AD12" s="444"/>
      <c r="AE12" s="444"/>
      <c r="AF12" s="444"/>
      <c r="AG12" s="444"/>
      <c r="AH12" s="444"/>
      <c r="AI12" s="444"/>
      <c r="AJ12" s="444"/>
      <c r="AK12" s="444"/>
      <c r="AL12" s="444"/>
      <c r="AM12" s="444"/>
      <c r="AN12" s="444"/>
      <c r="AO12" s="444"/>
      <c r="XFA12" s="159"/>
      <c r="XFB12" s="159"/>
      <c r="XFC12" s="159"/>
      <c r="XFD12" s="159"/>
    </row>
    <row r="13" customFormat="1" ht="13.5" spans="1:41 16381:16384">
      <c r="A13" s="443"/>
      <c r="B13" s="410" t="s">
        <v>287</v>
      </c>
      <c r="C13" s="410"/>
      <c r="D13" s="410"/>
      <c r="E13" s="410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444"/>
      <c r="Q13" s="444"/>
      <c r="R13" s="444"/>
      <c r="S13" s="444"/>
      <c r="T13" s="444"/>
      <c r="U13" s="444"/>
      <c r="V13" s="444"/>
      <c r="W13" s="444"/>
      <c r="X13" s="444"/>
      <c r="Y13" s="444"/>
      <c r="Z13" s="444"/>
      <c r="AA13" s="444"/>
      <c r="AB13" s="444"/>
      <c r="AC13" s="444"/>
      <c r="AD13" s="444"/>
      <c r="AE13" s="444"/>
      <c r="AF13" s="444"/>
      <c r="AG13" s="444"/>
      <c r="AH13" s="444"/>
      <c r="AI13" s="444"/>
      <c r="AJ13" s="444"/>
      <c r="AK13" s="444"/>
      <c r="AL13" s="444"/>
      <c r="AM13" s="444"/>
      <c r="AN13" s="444"/>
      <c r="AO13" s="444"/>
      <c r="XFA13" s="159"/>
      <c r="XFB13" s="159"/>
      <c r="XFC13" s="159"/>
      <c r="XFD13" s="159"/>
    </row>
    <row r="14" customFormat="1" ht="13.5" spans="1:41 16381:16384">
      <c r="A14" s="445"/>
      <c r="B14" s="446"/>
      <c r="C14" s="446"/>
      <c r="D14" s="446"/>
      <c r="E14" s="446"/>
      <c r="F14" s="444"/>
      <c r="G14" s="444"/>
      <c r="H14" s="444"/>
      <c r="I14" s="444"/>
      <c r="J14" s="444"/>
      <c r="K14" s="444"/>
      <c r="L14" s="444"/>
      <c r="M14" s="444"/>
      <c r="N14" s="444"/>
      <c r="O14" s="444"/>
      <c r="P14" s="444"/>
      <c r="Q14" s="444"/>
      <c r="R14" s="444"/>
      <c r="S14" s="444"/>
      <c r="T14" s="444"/>
      <c r="U14" s="444"/>
      <c r="V14" s="444"/>
      <c r="W14" s="444"/>
      <c r="X14" s="444"/>
      <c r="Y14" s="444"/>
      <c r="Z14" s="444"/>
      <c r="AA14" s="444"/>
      <c r="AB14" s="444"/>
      <c r="AC14" s="444"/>
      <c r="AD14" s="444"/>
      <c r="AE14" s="444"/>
      <c r="AF14" s="444"/>
      <c r="AG14" s="444"/>
      <c r="AH14" s="444"/>
      <c r="AI14" s="444"/>
      <c r="AJ14" s="444"/>
      <c r="AK14" s="444"/>
      <c r="AL14" s="444"/>
      <c r="AM14" s="444"/>
      <c r="AN14" s="444"/>
      <c r="AO14" s="444"/>
      <c r="XFA14" s="159"/>
      <c r="XFB14" s="159"/>
      <c r="XFC14" s="159"/>
      <c r="XFD14" s="159"/>
    </row>
    <row r="15" s="376" customFormat="1" spans="1:41 16381:16384">
      <c r="A15" s="375"/>
      <c r="C15" s="375"/>
      <c r="D15" s="375"/>
      <c r="E15" s="375"/>
      <c r="F15" s="375"/>
      <c r="G15" s="375"/>
      <c r="H15" s="375"/>
      <c r="I15" s="375"/>
    </row>
    <row r="16" spans="1:41 16381:16384">
      <c r="A16" s="378" t="s">
        <v>5</v>
      </c>
      <c r="B16" s="377" t="s">
        <v>2001</v>
      </c>
      <c r="C16" s="447" t="s">
        <v>2000</v>
      </c>
      <c r="D16" s="447" t="s">
        <v>281</v>
      </c>
      <c r="E16" s="398" t="s">
        <v>1427</v>
      </c>
      <c r="F16" s="399"/>
      <c r="G16" s="399"/>
      <c r="H16" s="399"/>
      <c r="I16" s="399"/>
      <c r="J16" s="399"/>
      <c r="K16" s="399"/>
      <c r="L16" s="399"/>
      <c r="M16" s="399"/>
      <c r="N16" s="399"/>
      <c r="O16" s="399"/>
      <c r="P16" s="399"/>
    </row>
    <row r="17" spans="1:16">
      <c r="A17" s="378"/>
      <c r="B17" s="377"/>
      <c r="C17" s="448"/>
      <c r="D17" s="448"/>
      <c r="E17" s="400" t="s">
        <v>304</v>
      </c>
      <c r="F17" s="400" t="s">
        <v>305</v>
      </c>
      <c r="G17" s="400" t="s">
        <v>306</v>
      </c>
      <c r="H17" s="400" t="s">
        <v>307</v>
      </c>
      <c r="I17" s="400" t="s">
        <v>308</v>
      </c>
      <c r="J17" s="400" t="s">
        <v>309</v>
      </c>
      <c r="K17" s="400" t="s">
        <v>310</v>
      </c>
      <c r="L17" s="400" t="s">
        <v>311</v>
      </c>
      <c r="M17" s="400" t="s">
        <v>312</v>
      </c>
      <c r="N17" s="400" t="s">
        <v>313</v>
      </c>
      <c r="O17" s="400" t="s">
        <v>314</v>
      </c>
      <c r="P17" s="400" t="s">
        <v>315</v>
      </c>
    </row>
    <row r="18" spans="1:16">
      <c r="A18" s="410" t="s">
        <v>1421</v>
      </c>
      <c r="B18" s="443" t="s">
        <v>1465</v>
      </c>
      <c r="C18" s="449" t="s">
        <v>1465</v>
      </c>
      <c r="D18" s="380" t="s">
        <v>199</v>
      </c>
      <c r="E18" s="450" t="s">
        <v>1465</v>
      </c>
      <c r="F18" s="450" t="s">
        <v>1465</v>
      </c>
      <c r="G18" s="450" t="s">
        <v>1465</v>
      </c>
      <c r="H18" s="450" t="s">
        <v>1465</v>
      </c>
      <c r="I18" s="450" t="s">
        <v>1465</v>
      </c>
      <c r="J18" s="450" t="s">
        <v>1465</v>
      </c>
      <c r="K18" s="450" t="s">
        <v>1465</v>
      </c>
      <c r="L18" s="450" t="s">
        <v>1465</v>
      </c>
      <c r="M18" s="450" t="s">
        <v>1465</v>
      </c>
      <c r="N18" s="450" t="s">
        <v>1465</v>
      </c>
      <c r="O18" s="450" t="s">
        <v>1465</v>
      </c>
      <c r="P18" s="450" t="s">
        <v>1465</v>
      </c>
    </row>
    <row r="19" spans="1:16">
      <c r="A19" s="451"/>
      <c r="B19" s="451"/>
      <c r="C19" s="437"/>
      <c r="D19" s="380"/>
      <c r="E19" s="381"/>
      <c r="F19" s="390"/>
      <c r="G19" s="391"/>
      <c r="H19" s="391"/>
      <c r="I19" s="391"/>
      <c r="J19" s="391"/>
      <c r="K19" s="391"/>
      <c r="L19" s="391"/>
      <c r="M19" s="391"/>
      <c r="N19" s="391"/>
      <c r="O19" s="391"/>
      <c r="P19" s="391"/>
    </row>
    <row r="20" spans="1:16">
      <c r="A20" s="451"/>
      <c r="B20" s="451"/>
      <c r="C20" s="437"/>
      <c r="D20" s="380"/>
      <c r="E20" s="381"/>
      <c r="F20" s="390"/>
      <c r="G20" s="391"/>
      <c r="H20" s="391"/>
      <c r="I20" s="391"/>
      <c r="J20" s="391"/>
      <c r="K20" s="391"/>
      <c r="L20" s="391"/>
      <c r="M20" s="391"/>
      <c r="N20" s="391"/>
      <c r="O20" s="391"/>
      <c r="P20" s="391"/>
    </row>
    <row r="21" spans="1:16">
      <c r="A21" s="451"/>
      <c r="B21" s="451"/>
      <c r="C21" s="437"/>
      <c r="D21" s="380"/>
      <c r="E21" s="381"/>
      <c r="F21" s="390"/>
      <c r="G21" s="391"/>
      <c r="H21" s="391"/>
      <c r="I21" s="391"/>
      <c r="J21" s="391"/>
      <c r="K21" s="391"/>
      <c r="L21" s="391"/>
      <c r="M21" s="391"/>
      <c r="N21" s="391"/>
      <c r="O21" s="391"/>
      <c r="P21" s="391"/>
    </row>
    <row r="22" spans="1:16">
      <c r="A22" s="451"/>
      <c r="B22" s="451"/>
      <c r="C22" s="437"/>
      <c r="D22" s="380"/>
      <c r="E22" s="381"/>
      <c r="F22" s="390"/>
      <c r="G22" s="391"/>
      <c r="H22" s="391"/>
      <c r="I22" s="391"/>
      <c r="J22" s="391"/>
      <c r="K22" s="391"/>
      <c r="L22" s="391"/>
      <c r="M22" s="391"/>
      <c r="N22" s="391"/>
      <c r="O22" s="391"/>
      <c r="P22" s="391"/>
    </row>
    <row r="23" spans="1:16">
      <c r="A23" s="451"/>
      <c r="B23" s="451"/>
      <c r="C23" s="437"/>
      <c r="D23" s="380"/>
      <c r="E23" s="381"/>
      <c r="F23" s="390"/>
      <c r="G23" s="391"/>
      <c r="H23" s="391"/>
      <c r="I23" s="391"/>
      <c r="J23" s="391"/>
      <c r="K23" s="391"/>
      <c r="L23" s="391"/>
      <c r="M23" s="391"/>
      <c r="N23" s="391"/>
      <c r="O23" s="391"/>
      <c r="P23" s="391"/>
    </row>
    <row r="24" spans="1:16">
      <c r="A24" s="451"/>
      <c r="B24" s="451"/>
      <c r="C24" s="437"/>
      <c r="D24" s="380"/>
      <c r="E24" s="381"/>
      <c r="F24" s="390"/>
      <c r="G24" s="391"/>
      <c r="H24" s="391"/>
      <c r="I24" s="391"/>
      <c r="J24" s="391"/>
      <c r="K24" s="391"/>
      <c r="L24" s="391"/>
      <c r="M24" s="391"/>
      <c r="N24" s="391"/>
      <c r="O24" s="391"/>
      <c r="P24" s="391"/>
    </row>
    <row r="25" spans="1:16">
      <c r="A25" s="451"/>
      <c r="B25" s="451"/>
      <c r="C25" s="437"/>
      <c r="D25" s="380"/>
      <c r="E25" s="381"/>
      <c r="F25" s="390"/>
      <c r="G25" s="391"/>
      <c r="H25" s="391"/>
      <c r="I25" s="391"/>
      <c r="J25" s="391"/>
      <c r="K25" s="391"/>
      <c r="L25" s="391"/>
      <c r="M25" s="391"/>
      <c r="N25" s="391"/>
      <c r="O25" s="391"/>
      <c r="P25" s="391"/>
    </row>
    <row r="26" spans="1:16">
      <c r="A26" s="451"/>
      <c r="B26" s="451"/>
      <c r="C26" s="437"/>
      <c r="D26" s="380"/>
      <c r="E26" s="381"/>
      <c r="F26" s="390"/>
      <c r="G26" s="391"/>
      <c r="H26" s="391"/>
      <c r="I26" s="391"/>
      <c r="J26" s="391"/>
      <c r="K26" s="391"/>
      <c r="L26" s="391"/>
      <c r="M26" s="391"/>
      <c r="N26" s="391"/>
      <c r="O26" s="391"/>
      <c r="P26" s="391"/>
    </row>
    <row r="27" spans="1:16">
      <c r="A27" s="451"/>
      <c r="B27" s="451"/>
      <c r="C27" s="437"/>
      <c r="D27" s="380"/>
      <c r="E27" s="381"/>
      <c r="F27" s="390"/>
      <c r="G27" s="391"/>
      <c r="H27" s="391"/>
      <c r="I27" s="391"/>
      <c r="J27" s="391"/>
      <c r="K27" s="391"/>
      <c r="L27" s="391"/>
      <c r="M27" s="391"/>
      <c r="N27" s="391"/>
      <c r="O27" s="391"/>
      <c r="P27" s="391"/>
    </row>
    <row r="28" spans="1:16">
      <c r="A28" s="451"/>
      <c r="B28" s="451"/>
      <c r="C28" s="437"/>
      <c r="D28" s="380"/>
      <c r="E28" s="381"/>
      <c r="F28" s="390"/>
      <c r="G28" s="391"/>
      <c r="H28" s="391"/>
      <c r="I28" s="391"/>
      <c r="J28" s="391"/>
      <c r="K28" s="391"/>
      <c r="L28" s="391"/>
      <c r="M28" s="391"/>
      <c r="N28" s="391"/>
      <c r="O28" s="391"/>
      <c r="P28" s="391"/>
    </row>
    <row r="29" spans="1:16">
      <c r="A29" s="451"/>
      <c r="B29" s="451"/>
      <c r="C29" s="437"/>
      <c r="D29" s="380"/>
      <c r="E29" s="381"/>
      <c r="F29" s="390"/>
      <c r="G29" s="391"/>
      <c r="H29" s="391"/>
      <c r="I29" s="391"/>
      <c r="J29" s="391"/>
      <c r="K29" s="391"/>
      <c r="L29" s="391"/>
      <c r="M29" s="391"/>
      <c r="N29" s="391"/>
      <c r="O29" s="391"/>
      <c r="P29" s="391"/>
    </row>
    <row r="30" spans="1:16">
      <c r="A30" s="451"/>
      <c r="B30" s="451"/>
      <c r="C30" s="437"/>
      <c r="D30" s="380"/>
      <c r="E30" s="381"/>
      <c r="F30" s="390"/>
      <c r="G30" s="391"/>
      <c r="H30" s="391"/>
      <c r="I30" s="391"/>
      <c r="J30" s="391"/>
      <c r="K30" s="391"/>
      <c r="L30" s="391"/>
      <c r="M30" s="391"/>
      <c r="N30" s="391"/>
      <c r="O30" s="391"/>
      <c r="P30" s="391"/>
    </row>
    <row r="31" spans="1:16">
      <c r="A31" s="451"/>
      <c r="B31" s="451"/>
      <c r="C31" s="437"/>
      <c r="D31" s="380"/>
      <c r="E31" s="381"/>
      <c r="F31" s="390"/>
      <c r="G31" s="391"/>
      <c r="H31" s="391"/>
      <c r="I31" s="391"/>
      <c r="J31" s="391"/>
      <c r="K31" s="391"/>
      <c r="L31" s="391"/>
      <c r="M31" s="391"/>
      <c r="N31" s="391"/>
      <c r="O31" s="391"/>
      <c r="P31" s="391"/>
    </row>
    <row r="32" spans="1:16">
      <c r="A32" s="451"/>
      <c r="B32" s="451"/>
      <c r="C32" s="437"/>
      <c r="D32" s="380"/>
      <c r="E32" s="381"/>
      <c r="F32" s="390"/>
      <c r="G32" s="391"/>
      <c r="H32" s="391"/>
      <c r="I32" s="391"/>
      <c r="J32" s="391"/>
      <c r="K32" s="391"/>
      <c r="L32" s="391"/>
      <c r="M32" s="391"/>
      <c r="N32" s="391"/>
      <c r="O32" s="391"/>
      <c r="P32" s="391"/>
    </row>
    <row r="33" spans="1:16">
      <c r="A33" s="451"/>
      <c r="B33" s="451"/>
      <c r="C33" s="437"/>
      <c r="D33" s="380"/>
      <c r="E33" s="381"/>
      <c r="F33" s="390"/>
      <c r="G33" s="391"/>
      <c r="H33" s="391"/>
      <c r="I33" s="391"/>
      <c r="J33" s="391"/>
      <c r="K33" s="391"/>
      <c r="L33" s="391"/>
      <c r="M33" s="391"/>
      <c r="N33" s="391"/>
      <c r="O33" s="391"/>
      <c r="P33" s="391"/>
    </row>
    <row r="34" spans="1:16">
      <c r="A34" s="452" t="s">
        <v>281</v>
      </c>
      <c r="B34" s="452"/>
      <c r="C34" s="453"/>
      <c r="D34" s="453"/>
      <c r="E34" s="453"/>
      <c r="F34" s="453"/>
      <c r="G34" s="454"/>
      <c r="H34" s="454"/>
      <c r="I34" s="454"/>
      <c r="J34" s="454"/>
      <c r="K34" s="454"/>
      <c r="L34" s="454"/>
      <c r="M34" s="454"/>
      <c r="N34" s="454"/>
      <c r="O34" s="454"/>
      <c r="P34" s="454"/>
    </row>
  </sheetData>
  <mergeCells count="10">
    <mergeCell ref="A5:D5"/>
    <mergeCell ref="E16:P16"/>
    <mergeCell ref="A9:A10"/>
    <mergeCell ref="A16:A17"/>
    <mergeCell ref="B9:B10"/>
    <mergeCell ref="B16:B17"/>
    <mergeCell ref="C9:C10"/>
    <mergeCell ref="C16:C17"/>
    <mergeCell ref="D16:D17"/>
    <mergeCell ref="A1:D4"/>
  </mergeCells>
  <hyperlinks>
    <hyperlink ref="A1" location="目录!A1" display="← 返回目录"/>
  </hyperlinks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9">
    <tabColor theme="8" tint="0.399975585192419"/>
  </sheetPr>
  <dimension ref="A1:XFD34"/>
  <sheetViews>
    <sheetView zoomScale="110" zoomScaleNormal="110" workbookViewId="0">
      <selection activeCell="A1" sqref="A1:D4"/>
    </sheetView>
  </sheetViews>
  <sheetFormatPr defaultColWidth="8.725" defaultRowHeight="11.25"/>
  <cols>
    <col min="1" max="1" width="8.725" style="159"/>
    <col min="2" max="2" width="9.54166666666667" style="159" customWidth="1"/>
    <col min="3" max="3" width="12.5416666666667" style="159" customWidth="1"/>
    <col min="4" max="4" width="8.725" style="159"/>
    <col min="5" max="5" width="7.90833333333333" style="159" customWidth="1"/>
    <col min="6" max="7" width="8.725" style="159"/>
    <col min="8" max="8" width="9.725" style="159" customWidth="1"/>
    <col min="9" max="9" width="9.81666666666667" style="159" customWidth="1"/>
    <col min="10" max="11" width="8.725" style="159"/>
    <col min="12" max="12" width="9.26666666666667" style="159" customWidth="1"/>
    <col min="13" max="16384" width="8.725" style="159"/>
  </cols>
  <sheetData>
    <row r="1" spans="1:41 16381:16384">
      <c r="A1" s="202" t="s">
        <v>185</v>
      </c>
      <c r="B1" s="291"/>
      <c r="C1" s="291"/>
      <c r="D1" s="291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pans="1:41 16381:16384">
      <c r="A2" s="291"/>
      <c r="B2" s="291"/>
      <c r="C2" s="291"/>
      <c r="D2" s="291"/>
      <c r="E2" s="12"/>
      <c r="F2" s="13" t="s">
        <v>1991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pans="1:41 16381:16384">
      <c r="A3" s="291"/>
      <c r="B3" s="291"/>
      <c r="C3" s="291"/>
      <c r="D3" s="291"/>
      <c r="E3" s="12"/>
      <c r="F3" s="13" t="s">
        <v>1660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spans="1:41 16381:16384">
      <c r="A4" s="291"/>
      <c r="B4" s="291"/>
      <c r="C4" s="291"/>
      <c r="D4" s="291"/>
      <c r="E4" s="12"/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pans="1:41 16381:16384">
      <c r="A5" s="292" t="s">
        <v>1993</v>
      </c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ht="13.5" spans="1:41 16381:16384">
      <c r="A6" s="1"/>
      <c r="B6" s="1"/>
      <c r="C6" s="1"/>
      <c r="D6" s="1"/>
      <c r="E6"/>
      <c r="F6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ht="13.5" spans="1:41 16381:16384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9" spans="1:41 16381:16384">
      <c r="A9" s="441" t="s">
        <v>5</v>
      </c>
      <c r="B9" s="332" t="s">
        <v>1925</v>
      </c>
      <c r="C9" s="332" t="s">
        <v>281</v>
      </c>
      <c r="D9" s="442"/>
      <c r="E9" s="442"/>
      <c r="F9" s="442"/>
      <c r="G9" s="442"/>
      <c r="H9" s="442"/>
      <c r="I9" s="442"/>
      <c r="J9" s="442"/>
      <c r="K9" s="442"/>
      <c r="L9" s="442"/>
      <c r="M9" s="442"/>
      <c r="N9" s="442"/>
      <c r="O9" s="442"/>
    </row>
    <row r="10" spans="1:41 16381:16384">
      <c r="A10" s="377"/>
      <c r="B10" s="338"/>
      <c r="C10" s="338"/>
      <c r="D10" s="315" t="s">
        <v>304</v>
      </c>
      <c r="E10" s="315" t="s">
        <v>305</v>
      </c>
      <c r="F10" s="315" t="s">
        <v>306</v>
      </c>
      <c r="G10" s="315" t="s">
        <v>307</v>
      </c>
      <c r="H10" s="315" t="s">
        <v>308</v>
      </c>
      <c r="I10" s="315" t="s">
        <v>309</v>
      </c>
      <c r="J10" s="315" t="s">
        <v>310</v>
      </c>
      <c r="K10" s="315" t="s">
        <v>311</v>
      </c>
      <c r="L10" s="315" t="s">
        <v>312</v>
      </c>
      <c r="M10" s="315" t="s">
        <v>313</v>
      </c>
      <c r="N10" s="315" t="s">
        <v>314</v>
      </c>
      <c r="O10" s="315" t="s">
        <v>315</v>
      </c>
    </row>
    <row r="11" spans="1:41 16381:16384">
      <c r="A11" s="443" t="s">
        <v>1463</v>
      </c>
      <c r="B11" s="410">
        <v>2025</v>
      </c>
      <c r="C11" s="410" t="s">
        <v>199</v>
      </c>
      <c r="D11" s="315" t="s">
        <v>1421</v>
      </c>
      <c r="E11" s="315" t="s">
        <v>1421</v>
      </c>
      <c r="F11" s="315" t="s">
        <v>1421</v>
      </c>
      <c r="G11" s="315" t="s">
        <v>1421</v>
      </c>
      <c r="H11" s="315" t="s">
        <v>1421</v>
      </c>
      <c r="I11" s="315" t="s">
        <v>1421</v>
      </c>
      <c r="J11" s="315" t="s">
        <v>1421</v>
      </c>
      <c r="K11" s="315" t="s">
        <v>1421</v>
      </c>
      <c r="L11" s="315" t="s">
        <v>1421</v>
      </c>
      <c r="M11" s="315" t="s">
        <v>1421</v>
      </c>
      <c r="N11" s="315" t="s">
        <v>1421</v>
      </c>
      <c r="O11" s="315" t="s">
        <v>1421</v>
      </c>
    </row>
    <row r="12" customFormat="1" ht="13.5" spans="1:41 16381:16384">
      <c r="A12" s="443"/>
      <c r="B12" s="410">
        <v>2026</v>
      </c>
      <c r="C12" s="410"/>
      <c r="D12" s="410"/>
      <c r="E12" s="410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444"/>
      <c r="Q12" s="444"/>
      <c r="R12" s="444"/>
      <c r="S12" s="444"/>
      <c r="T12" s="444"/>
      <c r="U12" s="444"/>
      <c r="V12" s="444"/>
      <c r="W12" s="444"/>
      <c r="X12" s="444"/>
      <c r="Y12" s="444"/>
      <c r="Z12" s="444"/>
      <c r="AA12" s="444"/>
      <c r="AB12" s="444"/>
      <c r="AC12" s="444"/>
      <c r="AD12" s="444"/>
      <c r="AE12" s="444"/>
      <c r="AF12" s="444"/>
      <c r="AG12" s="444"/>
      <c r="AH12" s="444"/>
      <c r="AI12" s="444"/>
      <c r="AJ12" s="444"/>
      <c r="AK12" s="444"/>
      <c r="AL12" s="444"/>
      <c r="AM12" s="444"/>
      <c r="AN12" s="444"/>
      <c r="AO12" s="444"/>
      <c r="XFA12" s="159"/>
      <c r="XFB12" s="159"/>
      <c r="XFC12" s="159"/>
      <c r="XFD12" s="159"/>
    </row>
    <row r="13" customFormat="1" ht="13.5" spans="1:41 16381:16384">
      <c r="A13" s="443"/>
      <c r="B13" s="410" t="s">
        <v>287</v>
      </c>
      <c r="C13" s="410"/>
      <c r="D13" s="410"/>
      <c r="E13" s="410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444"/>
      <c r="Q13" s="444"/>
      <c r="R13" s="444"/>
      <c r="S13" s="444"/>
      <c r="T13" s="444"/>
      <c r="U13" s="444"/>
      <c r="V13" s="444"/>
      <c r="W13" s="444"/>
      <c r="X13" s="444"/>
      <c r="Y13" s="444"/>
      <c r="Z13" s="444"/>
      <c r="AA13" s="444"/>
      <c r="AB13" s="444"/>
      <c r="AC13" s="444"/>
      <c r="AD13" s="444"/>
      <c r="AE13" s="444"/>
      <c r="AF13" s="444"/>
      <c r="AG13" s="444"/>
      <c r="AH13" s="444"/>
      <c r="AI13" s="444"/>
      <c r="AJ13" s="444"/>
      <c r="AK13" s="444"/>
      <c r="AL13" s="444"/>
      <c r="AM13" s="444"/>
      <c r="AN13" s="444"/>
      <c r="AO13" s="444"/>
      <c r="XFA13" s="159"/>
      <c r="XFB13" s="159"/>
      <c r="XFC13" s="159"/>
      <c r="XFD13" s="159"/>
    </row>
    <row r="14" customFormat="1" ht="13.5" spans="1:41 16381:16384">
      <c r="A14" s="445"/>
      <c r="B14" s="446"/>
      <c r="C14" s="446"/>
      <c r="D14" s="446"/>
      <c r="E14" s="446"/>
      <c r="F14" s="444"/>
      <c r="G14" s="444"/>
      <c r="H14" s="444"/>
      <c r="I14" s="444"/>
      <c r="J14" s="444"/>
      <c r="K14" s="444"/>
      <c r="L14" s="444"/>
      <c r="M14" s="444"/>
      <c r="N14" s="444"/>
      <c r="O14" s="444"/>
      <c r="P14" s="444"/>
      <c r="Q14" s="444"/>
      <c r="R14" s="444"/>
      <c r="S14" s="444"/>
      <c r="T14" s="444"/>
      <c r="U14" s="444"/>
      <c r="V14" s="444"/>
      <c r="W14" s="444"/>
      <c r="X14" s="444"/>
      <c r="Y14" s="444"/>
      <c r="Z14" s="444"/>
      <c r="AA14" s="444"/>
      <c r="AB14" s="444"/>
      <c r="AC14" s="444"/>
      <c r="AD14" s="444"/>
      <c r="AE14" s="444"/>
      <c r="AF14" s="444"/>
      <c r="AG14" s="444"/>
      <c r="AH14" s="444"/>
      <c r="AI14" s="444"/>
      <c r="AJ14" s="444"/>
      <c r="AK14" s="444"/>
      <c r="AL14" s="444"/>
      <c r="AM14" s="444"/>
      <c r="AN14" s="444"/>
      <c r="AO14" s="444"/>
      <c r="XFA14" s="159"/>
      <c r="XFB14" s="159"/>
      <c r="XFC14" s="159"/>
      <c r="XFD14" s="159"/>
    </row>
    <row r="15" s="376" customFormat="1" spans="1:41 16381:16384">
      <c r="A15" s="375"/>
      <c r="C15" s="375"/>
      <c r="D15" s="375"/>
      <c r="E15" s="375"/>
      <c r="F15" s="375"/>
      <c r="G15" s="375"/>
      <c r="H15" s="375"/>
      <c r="I15" s="375"/>
    </row>
    <row r="16" spans="1:41 16381:16384">
      <c r="A16" s="378" t="s">
        <v>5</v>
      </c>
      <c r="B16" s="377" t="s">
        <v>2001</v>
      </c>
      <c r="C16" s="447" t="s">
        <v>2000</v>
      </c>
      <c r="D16" s="447" t="s">
        <v>281</v>
      </c>
      <c r="E16" s="398" t="s">
        <v>1427</v>
      </c>
      <c r="F16" s="399"/>
      <c r="G16" s="399"/>
      <c r="H16" s="399"/>
      <c r="I16" s="399"/>
      <c r="J16" s="399"/>
      <c r="K16" s="399"/>
      <c r="L16" s="399"/>
      <c r="M16" s="399"/>
      <c r="N16" s="399"/>
      <c r="O16" s="399"/>
      <c r="P16" s="399"/>
    </row>
    <row r="17" spans="1:16">
      <c r="A17" s="378"/>
      <c r="B17" s="377"/>
      <c r="C17" s="448"/>
      <c r="D17" s="448"/>
      <c r="E17" s="400" t="s">
        <v>304</v>
      </c>
      <c r="F17" s="400" t="s">
        <v>305</v>
      </c>
      <c r="G17" s="400" t="s">
        <v>306</v>
      </c>
      <c r="H17" s="400" t="s">
        <v>307</v>
      </c>
      <c r="I17" s="400" t="s">
        <v>308</v>
      </c>
      <c r="J17" s="400" t="s">
        <v>309</v>
      </c>
      <c r="K17" s="400" t="s">
        <v>310</v>
      </c>
      <c r="L17" s="400" t="s">
        <v>311</v>
      </c>
      <c r="M17" s="400" t="s">
        <v>312</v>
      </c>
      <c r="N17" s="400" t="s">
        <v>313</v>
      </c>
      <c r="O17" s="400" t="s">
        <v>314</v>
      </c>
      <c r="P17" s="400" t="s">
        <v>315</v>
      </c>
    </row>
    <row r="18" spans="1:16">
      <c r="A18" s="410" t="s">
        <v>1421</v>
      </c>
      <c r="B18" s="443" t="s">
        <v>1465</v>
      </c>
      <c r="C18" s="449" t="s">
        <v>1465</v>
      </c>
      <c r="D18" s="380" t="s">
        <v>199</v>
      </c>
      <c r="E18" s="450" t="s">
        <v>1465</v>
      </c>
      <c r="F18" s="450" t="s">
        <v>1465</v>
      </c>
      <c r="G18" s="450" t="s">
        <v>1465</v>
      </c>
      <c r="H18" s="450" t="s">
        <v>1465</v>
      </c>
      <c r="I18" s="450" t="s">
        <v>1465</v>
      </c>
      <c r="J18" s="450" t="s">
        <v>1465</v>
      </c>
      <c r="K18" s="450" t="s">
        <v>1465</v>
      </c>
      <c r="L18" s="450" t="s">
        <v>1465</v>
      </c>
      <c r="M18" s="450" t="s">
        <v>1465</v>
      </c>
      <c r="N18" s="450" t="s">
        <v>1465</v>
      </c>
      <c r="O18" s="450" t="s">
        <v>1465</v>
      </c>
      <c r="P18" s="450" t="s">
        <v>1465</v>
      </c>
    </row>
    <row r="19" spans="1:16">
      <c r="A19" s="451"/>
      <c r="B19" s="451"/>
      <c r="C19" s="437"/>
      <c r="D19" s="380"/>
      <c r="E19" s="381"/>
      <c r="F19" s="390"/>
      <c r="G19" s="391"/>
      <c r="H19" s="391"/>
      <c r="I19" s="391"/>
      <c r="J19" s="391"/>
      <c r="K19" s="391"/>
      <c r="L19" s="391"/>
      <c r="M19" s="391"/>
      <c r="N19" s="391"/>
      <c r="O19" s="391"/>
      <c r="P19" s="391"/>
    </row>
    <row r="20" spans="1:16">
      <c r="A20" s="451"/>
      <c r="B20" s="451"/>
      <c r="C20" s="437"/>
      <c r="D20" s="380"/>
      <c r="E20" s="381"/>
      <c r="F20" s="390"/>
      <c r="G20" s="391"/>
      <c r="H20" s="391"/>
      <c r="I20" s="391"/>
      <c r="J20" s="391"/>
      <c r="K20" s="391"/>
      <c r="L20" s="391"/>
      <c r="M20" s="391"/>
      <c r="N20" s="391"/>
      <c r="O20" s="391"/>
      <c r="P20" s="391"/>
    </row>
    <row r="21" spans="1:16">
      <c r="A21" s="451"/>
      <c r="B21" s="451"/>
      <c r="C21" s="437"/>
      <c r="D21" s="380"/>
      <c r="E21" s="381"/>
      <c r="F21" s="390"/>
      <c r="G21" s="391"/>
      <c r="H21" s="391"/>
      <c r="I21" s="391"/>
      <c r="J21" s="391"/>
      <c r="K21" s="391"/>
      <c r="L21" s="391"/>
      <c r="M21" s="391"/>
      <c r="N21" s="391"/>
      <c r="O21" s="391"/>
      <c r="P21" s="391"/>
    </row>
    <row r="22" spans="1:16">
      <c r="A22" s="451"/>
      <c r="B22" s="451"/>
      <c r="C22" s="437"/>
      <c r="D22" s="380"/>
      <c r="E22" s="381"/>
      <c r="F22" s="390"/>
      <c r="G22" s="391"/>
      <c r="H22" s="391"/>
      <c r="I22" s="391"/>
      <c r="J22" s="391"/>
      <c r="K22" s="391"/>
      <c r="L22" s="391"/>
      <c r="M22" s="391"/>
      <c r="N22" s="391"/>
      <c r="O22" s="391"/>
      <c r="P22" s="391"/>
    </row>
    <row r="23" spans="1:16">
      <c r="A23" s="451"/>
      <c r="B23" s="451"/>
      <c r="C23" s="437"/>
      <c r="D23" s="380"/>
      <c r="E23" s="381"/>
      <c r="F23" s="390"/>
      <c r="G23" s="391"/>
      <c r="H23" s="391"/>
      <c r="I23" s="391"/>
      <c r="J23" s="391"/>
      <c r="K23" s="391"/>
      <c r="L23" s="391"/>
      <c r="M23" s="391"/>
      <c r="N23" s="391"/>
      <c r="O23" s="391"/>
      <c r="P23" s="391"/>
    </row>
    <row r="24" spans="1:16">
      <c r="A24" s="451"/>
      <c r="B24" s="451"/>
      <c r="C24" s="437"/>
      <c r="D24" s="380"/>
      <c r="E24" s="381"/>
      <c r="F24" s="390"/>
      <c r="G24" s="391"/>
      <c r="H24" s="391"/>
      <c r="I24" s="391"/>
      <c r="J24" s="391"/>
      <c r="K24" s="391"/>
      <c r="L24" s="391"/>
      <c r="M24" s="391"/>
      <c r="N24" s="391"/>
      <c r="O24" s="391"/>
      <c r="P24" s="391"/>
    </row>
    <row r="25" spans="1:16">
      <c r="A25" s="451"/>
      <c r="B25" s="451"/>
      <c r="C25" s="437"/>
      <c r="D25" s="380"/>
      <c r="E25" s="381"/>
      <c r="F25" s="390"/>
      <c r="G25" s="391"/>
      <c r="H25" s="391"/>
      <c r="I25" s="391"/>
      <c r="J25" s="391"/>
      <c r="K25" s="391"/>
      <c r="L25" s="391"/>
      <c r="M25" s="391"/>
      <c r="N25" s="391"/>
      <c r="O25" s="391"/>
      <c r="P25" s="391"/>
    </row>
    <row r="26" spans="1:16">
      <c r="A26" s="451"/>
      <c r="B26" s="451"/>
      <c r="C26" s="437"/>
      <c r="D26" s="380"/>
      <c r="E26" s="381"/>
      <c r="F26" s="390"/>
      <c r="G26" s="391"/>
      <c r="H26" s="391"/>
      <c r="I26" s="391"/>
      <c r="J26" s="391"/>
      <c r="K26" s="391"/>
      <c r="L26" s="391"/>
      <c r="M26" s="391"/>
      <c r="N26" s="391"/>
      <c r="O26" s="391"/>
      <c r="P26" s="391"/>
    </row>
    <row r="27" spans="1:16">
      <c r="A27" s="451"/>
      <c r="B27" s="451"/>
      <c r="C27" s="437"/>
      <c r="D27" s="380"/>
      <c r="E27" s="381"/>
      <c r="F27" s="390"/>
      <c r="G27" s="391"/>
      <c r="H27" s="391"/>
      <c r="I27" s="391"/>
      <c r="J27" s="391"/>
      <c r="K27" s="391"/>
      <c r="L27" s="391"/>
      <c r="M27" s="391"/>
      <c r="N27" s="391"/>
      <c r="O27" s="391"/>
      <c r="P27" s="391"/>
    </row>
    <row r="28" spans="1:16">
      <c r="A28" s="451"/>
      <c r="B28" s="451"/>
      <c r="C28" s="437"/>
      <c r="D28" s="380"/>
      <c r="E28" s="381"/>
      <c r="F28" s="390"/>
      <c r="G28" s="391"/>
      <c r="H28" s="391"/>
      <c r="I28" s="391"/>
      <c r="J28" s="391"/>
      <c r="K28" s="391"/>
      <c r="L28" s="391"/>
      <c r="M28" s="391"/>
      <c r="N28" s="391"/>
      <c r="O28" s="391"/>
      <c r="P28" s="391"/>
    </row>
    <row r="29" spans="1:16">
      <c r="A29" s="451"/>
      <c r="B29" s="451"/>
      <c r="C29" s="437"/>
      <c r="D29" s="380"/>
      <c r="E29" s="381"/>
      <c r="F29" s="390"/>
      <c r="G29" s="391"/>
      <c r="H29" s="391"/>
      <c r="I29" s="391"/>
      <c r="J29" s="391"/>
      <c r="K29" s="391"/>
      <c r="L29" s="391"/>
      <c r="M29" s="391"/>
      <c r="N29" s="391"/>
      <c r="O29" s="391"/>
      <c r="P29" s="391"/>
    </row>
    <row r="30" spans="1:16">
      <c r="A30" s="451"/>
      <c r="B30" s="451"/>
      <c r="C30" s="437"/>
      <c r="D30" s="380"/>
      <c r="E30" s="381"/>
      <c r="F30" s="390"/>
      <c r="G30" s="391"/>
      <c r="H30" s="391"/>
      <c r="I30" s="391"/>
      <c r="J30" s="391"/>
      <c r="K30" s="391"/>
      <c r="L30" s="391"/>
      <c r="M30" s="391"/>
      <c r="N30" s="391"/>
      <c r="O30" s="391"/>
      <c r="P30" s="391"/>
    </row>
    <row r="31" spans="1:16">
      <c r="A31" s="451"/>
      <c r="B31" s="451"/>
      <c r="C31" s="437"/>
      <c r="D31" s="380"/>
      <c r="E31" s="381"/>
      <c r="F31" s="390"/>
      <c r="G31" s="391"/>
      <c r="H31" s="391"/>
      <c r="I31" s="391"/>
      <c r="J31" s="391"/>
      <c r="K31" s="391"/>
      <c r="L31" s="391"/>
      <c r="M31" s="391"/>
      <c r="N31" s="391"/>
      <c r="O31" s="391"/>
      <c r="P31" s="391"/>
    </row>
    <row r="32" spans="1:16">
      <c r="A32" s="451"/>
      <c r="B32" s="451"/>
      <c r="C32" s="437"/>
      <c r="D32" s="380"/>
      <c r="E32" s="381"/>
      <c r="F32" s="390"/>
      <c r="G32" s="391"/>
      <c r="H32" s="391"/>
      <c r="I32" s="391"/>
      <c r="J32" s="391"/>
      <c r="K32" s="391"/>
      <c r="L32" s="391"/>
      <c r="M32" s="391"/>
      <c r="N32" s="391"/>
      <c r="O32" s="391"/>
      <c r="P32" s="391"/>
    </row>
    <row r="33" spans="1:16">
      <c r="A33" s="451"/>
      <c r="B33" s="451"/>
      <c r="C33" s="437"/>
      <c r="D33" s="380"/>
      <c r="E33" s="381"/>
      <c r="F33" s="390"/>
      <c r="G33" s="391"/>
      <c r="H33" s="391"/>
      <c r="I33" s="391"/>
      <c r="J33" s="391"/>
      <c r="K33" s="391"/>
      <c r="L33" s="391"/>
      <c r="M33" s="391"/>
      <c r="N33" s="391"/>
      <c r="O33" s="391"/>
      <c r="P33" s="391"/>
    </row>
    <row r="34" spans="1:16">
      <c r="A34" s="452" t="s">
        <v>281</v>
      </c>
      <c r="B34" s="452"/>
      <c r="C34" s="453"/>
      <c r="D34" s="453"/>
      <c r="E34" s="453"/>
      <c r="F34" s="453"/>
      <c r="G34" s="454"/>
      <c r="H34" s="454"/>
      <c r="I34" s="454"/>
      <c r="J34" s="454"/>
      <c r="K34" s="454"/>
      <c r="L34" s="454"/>
      <c r="M34" s="454"/>
      <c r="N34" s="454"/>
      <c r="O34" s="454"/>
      <c r="P34" s="454"/>
    </row>
  </sheetData>
  <mergeCells count="10">
    <mergeCell ref="A5:D5"/>
    <mergeCell ref="E16:P16"/>
    <mergeCell ref="A9:A10"/>
    <mergeCell ref="A16:A17"/>
    <mergeCell ref="B9:B10"/>
    <mergeCell ref="B16:B17"/>
    <mergeCell ref="C9:C10"/>
    <mergeCell ref="C16:C17"/>
    <mergeCell ref="D16:D17"/>
    <mergeCell ref="A1:D4"/>
  </mergeCells>
  <hyperlinks>
    <hyperlink ref="A1" location="目录!A1" display="← 返回目录"/>
  </hyperlinks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0">
    <tabColor theme="8" tint="0.399975585192419"/>
  </sheetPr>
  <dimension ref="A1:XFD34"/>
  <sheetViews>
    <sheetView zoomScale="110" zoomScaleNormal="110" workbookViewId="0">
      <selection activeCell="A1" sqref="A1:D4"/>
    </sheetView>
  </sheetViews>
  <sheetFormatPr defaultColWidth="8.725" defaultRowHeight="11.25"/>
  <cols>
    <col min="1" max="1" width="8.725" style="159"/>
    <col min="2" max="2" width="9.54166666666667" style="159" customWidth="1"/>
    <col min="3" max="3" width="12.5416666666667" style="159" customWidth="1"/>
    <col min="4" max="4" width="8.725" style="159"/>
    <col min="5" max="5" width="7.90833333333333" style="159" customWidth="1"/>
    <col min="6" max="7" width="8.725" style="159"/>
    <col min="8" max="8" width="9.725" style="159" customWidth="1"/>
    <col min="9" max="9" width="9.81666666666667" style="159" customWidth="1"/>
    <col min="10" max="11" width="8.725" style="159"/>
    <col min="12" max="12" width="9.26666666666667" style="159" customWidth="1"/>
    <col min="13" max="16384" width="8.725" style="159"/>
  </cols>
  <sheetData>
    <row r="1" spans="1:41 16381:16384">
      <c r="A1" s="202" t="s">
        <v>185</v>
      </c>
      <c r="B1" s="291"/>
      <c r="C1" s="291"/>
      <c r="D1" s="291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pans="1:41 16381:16384">
      <c r="A2" s="291"/>
      <c r="B2" s="291"/>
      <c r="C2" s="291"/>
      <c r="D2" s="291"/>
      <c r="E2" s="12"/>
      <c r="F2" s="13" t="s">
        <v>1991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pans="1:41 16381:16384">
      <c r="A3" s="291"/>
      <c r="B3" s="291"/>
      <c r="C3" s="291"/>
      <c r="D3" s="291"/>
      <c r="E3" s="12"/>
      <c r="F3" s="13" t="s">
        <v>1660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spans="1:41 16381:16384">
      <c r="A4" s="291"/>
      <c r="B4" s="291"/>
      <c r="C4" s="291"/>
      <c r="D4" s="291"/>
      <c r="E4" s="12"/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pans="1:41 16381:16384">
      <c r="A5" s="292" t="s">
        <v>1993</v>
      </c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ht="13.5" spans="1:41 16381:16384">
      <c r="A6" s="1"/>
      <c r="B6" s="1"/>
      <c r="C6" s="1"/>
      <c r="D6" s="1"/>
      <c r="E6"/>
      <c r="F6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ht="13.5" spans="1:41 16381:16384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9" spans="1:41 16381:16384">
      <c r="A9" s="441" t="s">
        <v>5</v>
      </c>
      <c r="B9" s="332" t="s">
        <v>1925</v>
      </c>
      <c r="C9" s="332" t="s">
        <v>281</v>
      </c>
      <c r="D9" s="442"/>
      <c r="E9" s="442"/>
      <c r="F9" s="442"/>
      <c r="G9" s="442"/>
      <c r="H9" s="442"/>
      <c r="I9" s="442"/>
      <c r="J9" s="442"/>
      <c r="K9" s="442"/>
      <c r="L9" s="442"/>
      <c r="M9" s="442"/>
      <c r="N9" s="442"/>
      <c r="O9" s="442"/>
    </row>
    <row r="10" spans="1:41 16381:16384">
      <c r="A10" s="377"/>
      <c r="B10" s="338"/>
      <c r="C10" s="338"/>
      <c r="D10" s="315" t="s">
        <v>304</v>
      </c>
      <c r="E10" s="315" t="s">
        <v>305</v>
      </c>
      <c r="F10" s="315" t="s">
        <v>306</v>
      </c>
      <c r="G10" s="315" t="s">
        <v>307</v>
      </c>
      <c r="H10" s="315" t="s">
        <v>308</v>
      </c>
      <c r="I10" s="315" t="s">
        <v>309</v>
      </c>
      <c r="J10" s="315" t="s">
        <v>310</v>
      </c>
      <c r="K10" s="315" t="s">
        <v>311</v>
      </c>
      <c r="L10" s="315" t="s">
        <v>312</v>
      </c>
      <c r="M10" s="315" t="s">
        <v>313</v>
      </c>
      <c r="N10" s="315" t="s">
        <v>314</v>
      </c>
      <c r="O10" s="315" t="s">
        <v>315</v>
      </c>
    </row>
    <row r="11" spans="1:41 16381:16384">
      <c r="A11" s="443" t="s">
        <v>1463</v>
      </c>
      <c r="B11" s="410">
        <v>2025</v>
      </c>
      <c r="C11" s="410" t="s">
        <v>199</v>
      </c>
      <c r="D11" s="315" t="s">
        <v>1421</v>
      </c>
      <c r="E11" s="315" t="s">
        <v>1421</v>
      </c>
      <c r="F11" s="315" t="s">
        <v>1421</v>
      </c>
      <c r="G11" s="315" t="s">
        <v>1421</v>
      </c>
      <c r="H11" s="315" t="s">
        <v>1421</v>
      </c>
      <c r="I11" s="315" t="s">
        <v>1421</v>
      </c>
      <c r="J11" s="315" t="s">
        <v>1421</v>
      </c>
      <c r="K11" s="315" t="s">
        <v>1421</v>
      </c>
      <c r="L11" s="315" t="s">
        <v>1421</v>
      </c>
      <c r="M11" s="315" t="s">
        <v>1421</v>
      </c>
      <c r="N11" s="315" t="s">
        <v>1421</v>
      </c>
      <c r="O11" s="315" t="s">
        <v>1421</v>
      </c>
    </row>
    <row r="12" customFormat="1" ht="13.5" spans="1:41 16381:16384">
      <c r="A12" s="443"/>
      <c r="B12" s="410">
        <v>2026</v>
      </c>
      <c r="C12" s="410"/>
      <c r="D12" s="410"/>
      <c r="E12" s="410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444"/>
      <c r="Q12" s="444"/>
      <c r="R12" s="444"/>
      <c r="S12" s="444"/>
      <c r="T12" s="444"/>
      <c r="U12" s="444"/>
      <c r="V12" s="444"/>
      <c r="W12" s="444"/>
      <c r="X12" s="444"/>
      <c r="Y12" s="444"/>
      <c r="Z12" s="444"/>
      <c r="AA12" s="444"/>
      <c r="AB12" s="444"/>
      <c r="AC12" s="444"/>
      <c r="AD12" s="444"/>
      <c r="AE12" s="444"/>
      <c r="AF12" s="444"/>
      <c r="AG12" s="444"/>
      <c r="AH12" s="444"/>
      <c r="AI12" s="444"/>
      <c r="AJ12" s="444"/>
      <c r="AK12" s="444"/>
      <c r="AL12" s="444"/>
      <c r="AM12" s="444"/>
      <c r="AN12" s="444"/>
      <c r="AO12" s="444"/>
      <c r="XFA12" s="159"/>
      <c r="XFB12" s="159"/>
      <c r="XFC12" s="159"/>
      <c r="XFD12" s="159"/>
    </row>
    <row r="13" customFormat="1" ht="13.5" spans="1:41 16381:16384">
      <c r="A13" s="443"/>
      <c r="B13" s="410" t="s">
        <v>287</v>
      </c>
      <c r="C13" s="410"/>
      <c r="D13" s="410"/>
      <c r="E13" s="410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444"/>
      <c r="Q13" s="444"/>
      <c r="R13" s="444"/>
      <c r="S13" s="444"/>
      <c r="T13" s="444"/>
      <c r="U13" s="444"/>
      <c r="V13" s="444"/>
      <c r="W13" s="444"/>
      <c r="X13" s="444"/>
      <c r="Y13" s="444"/>
      <c r="Z13" s="444"/>
      <c r="AA13" s="444"/>
      <c r="AB13" s="444"/>
      <c r="AC13" s="444"/>
      <c r="AD13" s="444"/>
      <c r="AE13" s="444"/>
      <c r="AF13" s="444"/>
      <c r="AG13" s="444"/>
      <c r="AH13" s="444"/>
      <c r="AI13" s="444"/>
      <c r="AJ13" s="444"/>
      <c r="AK13" s="444"/>
      <c r="AL13" s="444"/>
      <c r="AM13" s="444"/>
      <c r="AN13" s="444"/>
      <c r="AO13" s="444"/>
      <c r="XFA13" s="159"/>
      <c r="XFB13" s="159"/>
      <c r="XFC13" s="159"/>
      <c r="XFD13" s="159"/>
    </row>
    <row r="14" customFormat="1" ht="13.5" spans="1:41 16381:16384">
      <c r="A14" s="445"/>
      <c r="B14" s="446"/>
      <c r="C14" s="446"/>
      <c r="D14" s="446"/>
      <c r="E14" s="446"/>
      <c r="F14" s="444"/>
      <c r="G14" s="444"/>
      <c r="H14" s="444"/>
      <c r="I14" s="444"/>
      <c r="J14" s="444"/>
      <c r="K14" s="444"/>
      <c r="L14" s="444"/>
      <c r="M14" s="444"/>
      <c r="N14" s="444"/>
      <c r="O14" s="444"/>
      <c r="P14" s="444"/>
      <c r="Q14" s="444"/>
      <c r="R14" s="444"/>
      <c r="S14" s="444"/>
      <c r="T14" s="444"/>
      <c r="U14" s="444"/>
      <c r="V14" s="444"/>
      <c r="W14" s="444"/>
      <c r="X14" s="444"/>
      <c r="Y14" s="444"/>
      <c r="Z14" s="444"/>
      <c r="AA14" s="444"/>
      <c r="AB14" s="444"/>
      <c r="AC14" s="444"/>
      <c r="AD14" s="444"/>
      <c r="AE14" s="444"/>
      <c r="AF14" s="444"/>
      <c r="AG14" s="444"/>
      <c r="AH14" s="444"/>
      <c r="AI14" s="444"/>
      <c r="AJ14" s="444"/>
      <c r="AK14" s="444"/>
      <c r="AL14" s="444"/>
      <c r="AM14" s="444"/>
      <c r="AN14" s="444"/>
      <c r="AO14" s="444"/>
      <c r="XFA14" s="159"/>
      <c r="XFB14" s="159"/>
      <c r="XFC14" s="159"/>
      <c r="XFD14" s="159"/>
    </row>
    <row r="15" s="376" customFormat="1" spans="1:41 16381:16384">
      <c r="A15" s="375"/>
      <c r="C15" s="375"/>
      <c r="D15" s="375"/>
      <c r="E15" s="375"/>
      <c r="F15" s="375"/>
      <c r="G15" s="375"/>
      <c r="H15" s="375"/>
      <c r="I15" s="375"/>
    </row>
    <row r="16" spans="1:41 16381:16384">
      <c r="A16" s="378" t="s">
        <v>5</v>
      </c>
      <c r="B16" s="377" t="s">
        <v>2001</v>
      </c>
      <c r="C16" s="447" t="s">
        <v>2000</v>
      </c>
      <c r="D16" s="447" t="s">
        <v>281</v>
      </c>
      <c r="E16" s="398" t="s">
        <v>1427</v>
      </c>
      <c r="F16" s="399"/>
      <c r="G16" s="399"/>
      <c r="H16" s="399"/>
      <c r="I16" s="399"/>
      <c r="J16" s="399"/>
      <c r="K16" s="399"/>
      <c r="L16" s="399"/>
      <c r="M16" s="399"/>
      <c r="N16" s="399"/>
      <c r="O16" s="399"/>
      <c r="P16" s="399"/>
    </row>
    <row r="17" spans="1:16">
      <c r="A17" s="378"/>
      <c r="B17" s="377"/>
      <c r="C17" s="448"/>
      <c r="D17" s="448"/>
      <c r="E17" s="400" t="s">
        <v>304</v>
      </c>
      <c r="F17" s="400" t="s">
        <v>305</v>
      </c>
      <c r="G17" s="400" t="s">
        <v>306</v>
      </c>
      <c r="H17" s="400" t="s">
        <v>307</v>
      </c>
      <c r="I17" s="400" t="s">
        <v>308</v>
      </c>
      <c r="J17" s="400" t="s">
        <v>309</v>
      </c>
      <c r="K17" s="400" t="s">
        <v>310</v>
      </c>
      <c r="L17" s="400" t="s">
        <v>311</v>
      </c>
      <c r="M17" s="400" t="s">
        <v>312</v>
      </c>
      <c r="N17" s="400" t="s">
        <v>313</v>
      </c>
      <c r="O17" s="400" t="s">
        <v>314</v>
      </c>
      <c r="P17" s="400" t="s">
        <v>315</v>
      </c>
    </row>
    <row r="18" spans="1:16">
      <c r="A18" s="410" t="s">
        <v>1421</v>
      </c>
      <c r="B18" s="443" t="s">
        <v>1465</v>
      </c>
      <c r="C18" s="449" t="s">
        <v>1465</v>
      </c>
      <c r="D18" s="380" t="s">
        <v>199</v>
      </c>
      <c r="E18" s="450" t="s">
        <v>1465</v>
      </c>
      <c r="F18" s="450" t="s">
        <v>1465</v>
      </c>
      <c r="G18" s="450" t="s">
        <v>1465</v>
      </c>
      <c r="H18" s="450" t="s">
        <v>1465</v>
      </c>
      <c r="I18" s="450" t="s">
        <v>1465</v>
      </c>
      <c r="J18" s="450" t="s">
        <v>1465</v>
      </c>
      <c r="K18" s="450" t="s">
        <v>1465</v>
      </c>
      <c r="L18" s="450" t="s">
        <v>1465</v>
      </c>
      <c r="M18" s="450" t="s">
        <v>1465</v>
      </c>
      <c r="N18" s="450" t="s">
        <v>1465</v>
      </c>
      <c r="O18" s="450" t="s">
        <v>1465</v>
      </c>
      <c r="P18" s="450" t="s">
        <v>1465</v>
      </c>
    </row>
    <row r="19" spans="1:16">
      <c r="A19" s="451"/>
      <c r="B19" s="451"/>
      <c r="C19" s="437"/>
      <c r="D19" s="380"/>
      <c r="E19" s="381"/>
      <c r="F19" s="390"/>
      <c r="G19" s="391"/>
      <c r="H19" s="391"/>
      <c r="I19" s="391"/>
      <c r="J19" s="391"/>
      <c r="K19" s="391"/>
      <c r="L19" s="391"/>
      <c r="M19" s="391"/>
      <c r="N19" s="391"/>
      <c r="O19" s="391"/>
      <c r="P19" s="391"/>
    </row>
    <row r="20" spans="1:16">
      <c r="A20" s="451"/>
      <c r="B20" s="451"/>
      <c r="C20" s="437"/>
      <c r="D20" s="380"/>
      <c r="E20" s="381"/>
      <c r="F20" s="390"/>
      <c r="G20" s="391"/>
      <c r="H20" s="391"/>
      <c r="I20" s="391"/>
      <c r="J20" s="391"/>
      <c r="K20" s="391"/>
      <c r="L20" s="391"/>
      <c r="M20" s="391"/>
      <c r="N20" s="391"/>
      <c r="O20" s="391"/>
      <c r="P20" s="391"/>
    </row>
    <row r="21" spans="1:16">
      <c r="A21" s="451"/>
      <c r="B21" s="451"/>
      <c r="C21" s="437"/>
      <c r="D21" s="380"/>
      <c r="E21" s="381"/>
      <c r="F21" s="390"/>
      <c r="G21" s="391"/>
      <c r="H21" s="391"/>
      <c r="I21" s="391"/>
      <c r="J21" s="391"/>
      <c r="K21" s="391"/>
      <c r="L21" s="391"/>
      <c r="M21" s="391"/>
      <c r="N21" s="391"/>
      <c r="O21" s="391"/>
      <c r="P21" s="391"/>
    </row>
    <row r="22" spans="1:16">
      <c r="A22" s="451"/>
      <c r="B22" s="451"/>
      <c r="C22" s="437"/>
      <c r="D22" s="380"/>
      <c r="E22" s="381"/>
      <c r="F22" s="390"/>
      <c r="G22" s="391"/>
      <c r="H22" s="391"/>
      <c r="I22" s="391"/>
      <c r="J22" s="391"/>
      <c r="K22" s="391"/>
      <c r="L22" s="391"/>
      <c r="M22" s="391"/>
      <c r="N22" s="391"/>
      <c r="O22" s="391"/>
      <c r="P22" s="391"/>
    </row>
    <row r="23" spans="1:16">
      <c r="A23" s="451"/>
      <c r="B23" s="451"/>
      <c r="C23" s="437"/>
      <c r="D23" s="380"/>
      <c r="E23" s="381"/>
      <c r="F23" s="390"/>
      <c r="G23" s="391"/>
      <c r="H23" s="391"/>
      <c r="I23" s="391"/>
      <c r="J23" s="391"/>
      <c r="K23" s="391"/>
      <c r="L23" s="391"/>
      <c r="M23" s="391"/>
      <c r="N23" s="391"/>
      <c r="O23" s="391"/>
      <c r="P23" s="391"/>
    </row>
    <row r="24" spans="1:16">
      <c r="A24" s="451"/>
      <c r="B24" s="451"/>
      <c r="C24" s="437"/>
      <c r="D24" s="380"/>
      <c r="E24" s="381"/>
      <c r="F24" s="390"/>
      <c r="G24" s="391"/>
      <c r="H24" s="391"/>
      <c r="I24" s="391"/>
      <c r="J24" s="391"/>
      <c r="K24" s="391"/>
      <c r="L24" s="391"/>
      <c r="M24" s="391"/>
      <c r="N24" s="391"/>
      <c r="O24" s="391"/>
      <c r="P24" s="391"/>
    </row>
    <row r="25" spans="1:16">
      <c r="A25" s="451"/>
      <c r="B25" s="451"/>
      <c r="C25" s="437"/>
      <c r="D25" s="380"/>
      <c r="E25" s="381"/>
      <c r="F25" s="390"/>
      <c r="G25" s="391"/>
      <c r="H25" s="391"/>
      <c r="I25" s="391"/>
      <c r="J25" s="391"/>
      <c r="K25" s="391"/>
      <c r="L25" s="391"/>
      <c r="M25" s="391"/>
      <c r="N25" s="391"/>
      <c r="O25" s="391"/>
      <c r="P25" s="391"/>
    </row>
    <row r="26" spans="1:16">
      <c r="A26" s="451"/>
      <c r="B26" s="451"/>
      <c r="C26" s="437"/>
      <c r="D26" s="380"/>
      <c r="E26" s="381"/>
      <c r="F26" s="390"/>
      <c r="G26" s="391"/>
      <c r="H26" s="391"/>
      <c r="I26" s="391"/>
      <c r="J26" s="391"/>
      <c r="K26" s="391"/>
      <c r="L26" s="391"/>
      <c r="M26" s="391"/>
      <c r="N26" s="391"/>
      <c r="O26" s="391"/>
      <c r="P26" s="391"/>
    </row>
    <row r="27" spans="1:16">
      <c r="A27" s="451"/>
      <c r="B27" s="451"/>
      <c r="C27" s="437"/>
      <c r="D27" s="380"/>
      <c r="E27" s="381"/>
      <c r="F27" s="390"/>
      <c r="G27" s="391"/>
      <c r="H27" s="391"/>
      <c r="I27" s="391"/>
      <c r="J27" s="391"/>
      <c r="K27" s="391"/>
      <c r="L27" s="391"/>
      <c r="M27" s="391"/>
      <c r="N27" s="391"/>
      <c r="O27" s="391"/>
      <c r="P27" s="391"/>
    </row>
    <row r="28" spans="1:16">
      <c r="A28" s="451"/>
      <c r="B28" s="451"/>
      <c r="C28" s="437"/>
      <c r="D28" s="380"/>
      <c r="E28" s="381"/>
      <c r="F28" s="390"/>
      <c r="G28" s="391"/>
      <c r="H28" s="391"/>
      <c r="I28" s="391"/>
      <c r="J28" s="391"/>
      <c r="K28" s="391"/>
      <c r="L28" s="391"/>
      <c r="M28" s="391"/>
      <c r="N28" s="391"/>
      <c r="O28" s="391"/>
      <c r="P28" s="391"/>
    </row>
    <row r="29" spans="1:16">
      <c r="A29" s="451"/>
      <c r="B29" s="451"/>
      <c r="C29" s="437"/>
      <c r="D29" s="380"/>
      <c r="E29" s="381"/>
      <c r="F29" s="390"/>
      <c r="G29" s="391"/>
      <c r="H29" s="391"/>
      <c r="I29" s="391"/>
      <c r="J29" s="391"/>
      <c r="K29" s="391"/>
      <c r="L29" s="391"/>
      <c r="M29" s="391"/>
      <c r="N29" s="391"/>
      <c r="O29" s="391"/>
      <c r="P29" s="391"/>
    </row>
    <row r="30" spans="1:16">
      <c r="A30" s="451"/>
      <c r="B30" s="451"/>
      <c r="C30" s="437"/>
      <c r="D30" s="380"/>
      <c r="E30" s="381"/>
      <c r="F30" s="390"/>
      <c r="G30" s="391"/>
      <c r="H30" s="391"/>
      <c r="I30" s="391"/>
      <c r="J30" s="391"/>
      <c r="K30" s="391"/>
      <c r="L30" s="391"/>
      <c r="M30" s="391"/>
      <c r="N30" s="391"/>
      <c r="O30" s="391"/>
      <c r="P30" s="391"/>
    </row>
    <row r="31" spans="1:16">
      <c r="A31" s="451"/>
      <c r="B31" s="451"/>
      <c r="C31" s="437"/>
      <c r="D31" s="380"/>
      <c r="E31" s="381"/>
      <c r="F31" s="390"/>
      <c r="G31" s="391"/>
      <c r="H31" s="391"/>
      <c r="I31" s="391"/>
      <c r="J31" s="391"/>
      <c r="K31" s="391"/>
      <c r="L31" s="391"/>
      <c r="M31" s="391"/>
      <c r="N31" s="391"/>
      <c r="O31" s="391"/>
      <c r="P31" s="391"/>
    </row>
    <row r="32" spans="1:16">
      <c r="A32" s="451"/>
      <c r="B32" s="451"/>
      <c r="C32" s="437"/>
      <c r="D32" s="380"/>
      <c r="E32" s="381"/>
      <c r="F32" s="390"/>
      <c r="G32" s="391"/>
      <c r="H32" s="391"/>
      <c r="I32" s="391"/>
      <c r="J32" s="391"/>
      <c r="K32" s="391"/>
      <c r="L32" s="391"/>
      <c r="M32" s="391"/>
      <c r="N32" s="391"/>
      <c r="O32" s="391"/>
      <c r="P32" s="391"/>
    </row>
    <row r="33" spans="1:16">
      <c r="A33" s="451"/>
      <c r="B33" s="451"/>
      <c r="C33" s="437"/>
      <c r="D33" s="380"/>
      <c r="E33" s="381"/>
      <c r="F33" s="390"/>
      <c r="G33" s="391"/>
      <c r="H33" s="391"/>
      <c r="I33" s="391"/>
      <c r="J33" s="391"/>
      <c r="K33" s="391"/>
      <c r="L33" s="391"/>
      <c r="M33" s="391"/>
      <c r="N33" s="391"/>
      <c r="O33" s="391"/>
      <c r="P33" s="391"/>
    </row>
    <row r="34" spans="1:16">
      <c r="A34" s="452" t="s">
        <v>281</v>
      </c>
      <c r="B34" s="452"/>
      <c r="C34" s="453"/>
      <c r="D34" s="453"/>
      <c r="E34" s="453"/>
      <c r="F34" s="453"/>
      <c r="G34" s="454"/>
      <c r="H34" s="454"/>
      <c r="I34" s="454"/>
      <c r="J34" s="454"/>
      <c r="K34" s="454"/>
      <c r="L34" s="454"/>
      <c r="M34" s="454"/>
      <c r="N34" s="454"/>
      <c r="O34" s="454"/>
      <c r="P34" s="454"/>
    </row>
  </sheetData>
  <mergeCells count="10">
    <mergeCell ref="A5:D5"/>
    <mergeCell ref="E16:P16"/>
    <mergeCell ref="A9:A10"/>
    <mergeCell ref="A16:A17"/>
    <mergeCell ref="B9:B10"/>
    <mergeCell ref="B16:B17"/>
    <mergeCell ref="C9:C10"/>
    <mergeCell ref="C16:C17"/>
    <mergeCell ref="D16:D17"/>
    <mergeCell ref="A1:D4"/>
  </mergeCells>
  <hyperlinks>
    <hyperlink ref="A1" location="目录!A1" display="← 返回目录"/>
  </hyperlinks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1">
    <tabColor theme="8" tint="0.399975585192419"/>
  </sheetPr>
  <dimension ref="A1:XFD34"/>
  <sheetViews>
    <sheetView zoomScale="110" zoomScaleNormal="110" workbookViewId="0">
      <selection activeCell="A1" sqref="A1:D4"/>
    </sheetView>
  </sheetViews>
  <sheetFormatPr defaultColWidth="8.725" defaultRowHeight="11.25"/>
  <cols>
    <col min="1" max="1" width="8.725" style="159"/>
    <col min="2" max="2" width="9.54166666666667" style="159" customWidth="1"/>
    <col min="3" max="3" width="12.5416666666667" style="159" customWidth="1"/>
    <col min="4" max="4" width="8.725" style="159"/>
    <col min="5" max="5" width="7.90833333333333" style="159" customWidth="1"/>
    <col min="6" max="7" width="8.725" style="159"/>
    <col min="8" max="8" width="9.725" style="159" customWidth="1"/>
    <col min="9" max="9" width="9.81666666666667" style="159" customWidth="1"/>
    <col min="10" max="11" width="8.725" style="159"/>
    <col min="12" max="12" width="9.26666666666667" style="159" customWidth="1"/>
    <col min="13" max="16384" width="8.725" style="159"/>
  </cols>
  <sheetData>
    <row r="1" spans="1:41 16381:16384">
      <c r="A1" s="202" t="s">
        <v>185</v>
      </c>
      <c r="B1" s="291"/>
      <c r="C1" s="291"/>
      <c r="D1" s="291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pans="1:41 16381:16384">
      <c r="A2" s="291"/>
      <c r="B2" s="291"/>
      <c r="C2" s="291"/>
      <c r="D2" s="291"/>
      <c r="E2" s="12"/>
      <c r="F2" s="13" t="s">
        <v>1991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pans="1:41 16381:16384">
      <c r="A3" s="291"/>
      <c r="B3" s="291"/>
      <c r="C3" s="291"/>
      <c r="D3" s="291"/>
      <c r="E3" s="12"/>
      <c r="F3" s="13" t="s">
        <v>1660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spans="1:41 16381:16384">
      <c r="A4" s="291"/>
      <c r="B4" s="291"/>
      <c r="C4" s="291"/>
      <c r="D4" s="291"/>
      <c r="E4" s="12"/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pans="1:41 16381:16384">
      <c r="A5" s="292" t="s">
        <v>1993</v>
      </c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ht="13.5" spans="1:41 16381:16384">
      <c r="A6" s="1"/>
      <c r="B6" s="1"/>
      <c r="C6" s="1"/>
      <c r="D6" s="1"/>
      <c r="E6"/>
      <c r="F6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ht="13.5" spans="1:41 16381:16384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9" spans="1:41 16381:16384">
      <c r="A9" s="441" t="s">
        <v>5</v>
      </c>
      <c r="B9" s="332" t="s">
        <v>1925</v>
      </c>
      <c r="C9" s="332" t="s">
        <v>281</v>
      </c>
      <c r="D9" s="442"/>
      <c r="E9" s="442"/>
      <c r="F9" s="442"/>
      <c r="G9" s="442"/>
      <c r="H9" s="442"/>
      <c r="I9" s="442"/>
      <c r="J9" s="442"/>
      <c r="K9" s="442"/>
      <c r="L9" s="442"/>
      <c r="M9" s="442"/>
      <c r="N9" s="442"/>
      <c r="O9" s="442"/>
    </row>
    <row r="10" spans="1:41 16381:16384">
      <c r="A10" s="377"/>
      <c r="B10" s="338"/>
      <c r="C10" s="338"/>
      <c r="D10" s="315" t="s">
        <v>304</v>
      </c>
      <c r="E10" s="315" t="s">
        <v>305</v>
      </c>
      <c r="F10" s="315" t="s">
        <v>306</v>
      </c>
      <c r="G10" s="315" t="s">
        <v>307</v>
      </c>
      <c r="H10" s="315" t="s">
        <v>308</v>
      </c>
      <c r="I10" s="315" t="s">
        <v>309</v>
      </c>
      <c r="J10" s="315" t="s">
        <v>310</v>
      </c>
      <c r="K10" s="315" t="s">
        <v>311</v>
      </c>
      <c r="L10" s="315" t="s">
        <v>312</v>
      </c>
      <c r="M10" s="315" t="s">
        <v>313</v>
      </c>
      <c r="N10" s="315" t="s">
        <v>314</v>
      </c>
      <c r="O10" s="315" t="s">
        <v>315</v>
      </c>
    </row>
    <row r="11" spans="1:41 16381:16384">
      <c r="A11" s="443" t="s">
        <v>1463</v>
      </c>
      <c r="B11" s="410">
        <v>2025</v>
      </c>
      <c r="C11" s="410" t="s">
        <v>199</v>
      </c>
      <c r="D11" s="315" t="s">
        <v>1421</v>
      </c>
      <c r="E11" s="315" t="s">
        <v>1421</v>
      </c>
      <c r="F11" s="315" t="s">
        <v>1421</v>
      </c>
      <c r="G11" s="315" t="s">
        <v>1421</v>
      </c>
      <c r="H11" s="315" t="s">
        <v>1421</v>
      </c>
      <c r="I11" s="315" t="s">
        <v>1421</v>
      </c>
      <c r="J11" s="315" t="s">
        <v>1421</v>
      </c>
      <c r="K11" s="315" t="s">
        <v>1421</v>
      </c>
      <c r="L11" s="315" t="s">
        <v>1421</v>
      </c>
      <c r="M11" s="315" t="s">
        <v>1421</v>
      </c>
      <c r="N11" s="315" t="s">
        <v>1421</v>
      </c>
      <c r="O11" s="315" t="s">
        <v>1421</v>
      </c>
    </row>
    <row r="12" customFormat="1" ht="13.5" spans="1:41 16381:16384">
      <c r="A12" s="443"/>
      <c r="B12" s="410">
        <v>2026</v>
      </c>
      <c r="C12" s="410"/>
      <c r="D12" s="410"/>
      <c r="E12" s="410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444"/>
      <c r="Q12" s="444"/>
      <c r="R12" s="444"/>
      <c r="S12" s="444"/>
      <c r="T12" s="444"/>
      <c r="U12" s="444"/>
      <c r="V12" s="444"/>
      <c r="W12" s="444"/>
      <c r="X12" s="444"/>
      <c r="Y12" s="444"/>
      <c r="Z12" s="444"/>
      <c r="AA12" s="444"/>
      <c r="AB12" s="444"/>
      <c r="AC12" s="444"/>
      <c r="AD12" s="444"/>
      <c r="AE12" s="444"/>
      <c r="AF12" s="444"/>
      <c r="AG12" s="444"/>
      <c r="AH12" s="444"/>
      <c r="AI12" s="444"/>
      <c r="AJ12" s="444"/>
      <c r="AK12" s="444"/>
      <c r="AL12" s="444"/>
      <c r="AM12" s="444"/>
      <c r="AN12" s="444"/>
      <c r="AO12" s="444"/>
      <c r="XFA12" s="159"/>
      <c r="XFB12" s="159"/>
      <c r="XFC12" s="159"/>
      <c r="XFD12" s="159"/>
    </row>
    <row r="13" customFormat="1" ht="13.5" spans="1:41 16381:16384">
      <c r="A13" s="443"/>
      <c r="B13" s="410" t="s">
        <v>287</v>
      </c>
      <c r="C13" s="410"/>
      <c r="D13" s="410"/>
      <c r="E13" s="410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444"/>
      <c r="Q13" s="444"/>
      <c r="R13" s="444"/>
      <c r="S13" s="444"/>
      <c r="T13" s="444"/>
      <c r="U13" s="444"/>
      <c r="V13" s="444"/>
      <c r="W13" s="444"/>
      <c r="X13" s="444"/>
      <c r="Y13" s="444"/>
      <c r="Z13" s="444"/>
      <c r="AA13" s="444"/>
      <c r="AB13" s="444"/>
      <c r="AC13" s="444"/>
      <c r="AD13" s="444"/>
      <c r="AE13" s="444"/>
      <c r="AF13" s="444"/>
      <c r="AG13" s="444"/>
      <c r="AH13" s="444"/>
      <c r="AI13" s="444"/>
      <c r="AJ13" s="444"/>
      <c r="AK13" s="444"/>
      <c r="AL13" s="444"/>
      <c r="AM13" s="444"/>
      <c r="AN13" s="444"/>
      <c r="AO13" s="444"/>
      <c r="XFA13" s="159"/>
      <c r="XFB13" s="159"/>
      <c r="XFC13" s="159"/>
      <c r="XFD13" s="159"/>
    </row>
    <row r="14" customFormat="1" ht="13.5" spans="1:41 16381:16384">
      <c r="A14" s="445"/>
      <c r="B14" s="446"/>
      <c r="C14" s="446"/>
      <c r="D14" s="446"/>
      <c r="E14" s="446"/>
      <c r="F14" s="444"/>
      <c r="G14" s="444"/>
      <c r="H14" s="444"/>
      <c r="I14" s="444"/>
      <c r="J14" s="444"/>
      <c r="K14" s="444"/>
      <c r="L14" s="444"/>
      <c r="M14" s="444"/>
      <c r="N14" s="444"/>
      <c r="O14" s="444"/>
      <c r="P14" s="444"/>
      <c r="Q14" s="444"/>
      <c r="R14" s="444"/>
      <c r="S14" s="444"/>
      <c r="T14" s="444"/>
      <c r="U14" s="444"/>
      <c r="V14" s="444"/>
      <c r="W14" s="444"/>
      <c r="X14" s="444"/>
      <c r="Y14" s="444"/>
      <c r="Z14" s="444"/>
      <c r="AA14" s="444"/>
      <c r="AB14" s="444"/>
      <c r="AC14" s="444"/>
      <c r="AD14" s="444"/>
      <c r="AE14" s="444"/>
      <c r="AF14" s="444"/>
      <c r="AG14" s="444"/>
      <c r="AH14" s="444"/>
      <c r="AI14" s="444"/>
      <c r="AJ14" s="444"/>
      <c r="AK14" s="444"/>
      <c r="AL14" s="444"/>
      <c r="AM14" s="444"/>
      <c r="AN14" s="444"/>
      <c r="AO14" s="444"/>
      <c r="XFA14" s="159"/>
      <c r="XFB14" s="159"/>
      <c r="XFC14" s="159"/>
      <c r="XFD14" s="159"/>
    </row>
    <row r="15" s="376" customFormat="1" spans="1:41 16381:16384">
      <c r="A15" s="375"/>
      <c r="C15" s="375"/>
      <c r="D15" s="375"/>
      <c r="E15" s="375"/>
      <c r="F15" s="375"/>
      <c r="G15" s="375"/>
      <c r="H15" s="375"/>
      <c r="I15" s="375"/>
    </row>
    <row r="16" spans="1:41 16381:16384">
      <c r="A16" s="378" t="s">
        <v>5</v>
      </c>
      <c r="B16" s="377" t="s">
        <v>2001</v>
      </c>
      <c r="C16" s="447" t="s">
        <v>2000</v>
      </c>
      <c r="D16" s="447" t="s">
        <v>281</v>
      </c>
      <c r="E16" s="398" t="s">
        <v>1427</v>
      </c>
      <c r="F16" s="399"/>
      <c r="G16" s="399"/>
      <c r="H16" s="399"/>
      <c r="I16" s="399"/>
      <c r="J16" s="399"/>
      <c r="K16" s="399"/>
      <c r="L16" s="399"/>
      <c r="M16" s="399"/>
      <c r="N16" s="399"/>
      <c r="O16" s="399"/>
      <c r="P16" s="399"/>
    </row>
    <row r="17" spans="1:16">
      <c r="A17" s="378"/>
      <c r="B17" s="377"/>
      <c r="C17" s="448"/>
      <c r="D17" s="448"/>
      <c r="E17" s="400" t="s">
        <v>304</v>
      </c>
      <c r="F17" s="400" t="s">
        <v>305</v>
      </c>
      <c r="G17" s="400" t="s">
        <v>306</v>
      </c>
      <c r="H17" s="400" t="s">
        <v>307</v>
      </c>
      <c r="I17" s="400" t="s">
        <v>308</v>
      </c>
      <c r="J17" s="400" t="s">
        <v>309</v>
      </c>
      <c r="K17" s="400" t="s">
        <v>310</v>
      </c>
      <c r="L17" s="400" t="s">
        <v>311</v>
      </c>
      <c r="M17" s="400" t="s">
        <v>312</v>
      </c>
      <c r="N17" s="400" t="s">
        <v>313</v>
      </c>
      <c r="O17" s="400" t="s">
        <v>314</v>
      </c>
      <c r="P17" s="400" t="s">
        <v>315</v>
      </c>
    </row>
    <row r="18" spans="1:16">
      <c r="A18" s="410" t="s">
        <v>1421</v>
      </c>
      <c r="B18" s="443" t="s">
        <v>1465</v>
      </c>
      <c r="C18" s="449" t="s">
        <v>1465</v>
      </c>
      <c r="D18" s="380" t="s">
        <v>199</v>
      </c>
      <c r="E18" s="450" t="s">
        <v>1465</v>
      </c>
      <c r="F18" s="450" t="s">
        <v>1465</v>
      </c>
      <c r="G18" s="450" t="s">
        <v>1465</v>
      </c>
      <c r="H18" s="450" t="s">
        <v>1465</v>
      </c>
      <c r="I18" s="450" t="s">
        <v>1465</v>
      </c>
      <c r="J18" s="450" t="s">
        <v>1465</v>
      </c>
      <c r="K18" s="450" t="s">
        <v>1465</v>
      </c>
      <c r="L18" s="450" t="s">
        <v>1465</v>
      </c>
      <c r="M18" s="450" t="s">
        <v>1465</v>
      </c>
      <c r="N18" s="450" t="s">
        <v>1465</v>
      </c>
      <c r="O18" s="450" t="s">
        <v>1465</v>
      </c>
      <c r="P18" s="450" t="s">
        <v>1465</v>
      </c>
    </row>
    <row r="19" spans="1:16">
      <c r="A19" s="451"/>
      <c r="B19" s="451"/>
      <c r="C19" s="437"/>
      <c r="D19" s="380"/>
      <c r="E19" s="381"/>
      <c r="F19" s="390"/>
      <c r="G19" s="391"/>
      <c r="H19" s="391"/>
      <c r="I19" s="391"/>
      <c r="J19" s="391"/>
      <c r="K19" s="391"/>
      <c r="L19" s="391"/>
      <c r="M19" s="391"/>
      <c r="N19" s="391"/>
      <c r="O19" s="391"/>
      <c r="P19" s="391"/>
    </row>
    <row r="20" spans="1:16">
      <c r="A20" s="451"/>
      <c r="B20" s="451"/>
      <c r="C20" s="437"/>
      <c r="D20" s="380"/>
      <c r="E20" s="381"/>
      <c r="F20" s="390"/>
      <c r="G20" s="391"/>
      <c r="H20" s="391"/>
      <c r="I20" s="391"/>
      <c r="J20" s="391"/>
      <c r="K20" s="391"/>
      <c r="L20" s="391"/>
      <c r="M20" s="391"/>
      <c r="N20" s="391"/>
      <c r="O20" s="391"/>
      <c r="P20" s="391"/>
    </row>
    <row r="21" spans="1:16">
      <c r="A21" s="451"/>
      <c r="B21" s="451"/>
      <c r="C21" s="437"/>
      <c r="D21" s="380"/>
      <c r="E21" s="381"/>
      <c r="F21" s="390"/>
      <c r="G21" s="391"/>
      <c r="H21" s="391"/>
      <c r="I21" s="391"/>
      <c r="J21" s="391"/>
      <c r="K21" s="391"/>
      <c r="L21" s="391"/>
      <c r="M21" s="391"/>
      <c r="N21" s="391"/>
      <c r="O21" s="391"/>
      <c r="P21" s="391"/>
    </row>
    <row r="22" spans="1:16">
      <c r="A22" s="451"/>
      <c r="B22" s="451"/>
      <c r="C22" s="437"/>
      <c r="D22" s="380"/>
      <c r="E22" s="381"/>
      <c r="F22" s="390"/>
      <c r="G22" s="391"/>
      <c r="H22" s="391"/>
      <c r="I22" s="391"/>
      <c r="J22" s="391"/>
      <c r="K22" s="391"/>
      <c r="L22" s="391"/>
      <c r="M22" s="391"/>
      <c r="N22" s="391"/>
      <c r="O22" s="391"/>
      <c r="P22" s="391"/>
    </row>
    <row r="23" spans="1:16">
      <c r="A23" s="451"/>
      <c r="B23" s="451"/>
      <c r="C23" s="437"/>
      <c r="D23" s="380"/>
      <c r="E23" s="381"/>
      <c r="F23" s="390"/>
      <c r="G23" s="391"/>
      <c r="H23" s="391"/>
      <c r="I23" s="391"/>
      <c r="J23" s="391"/>
      <c r="K23" s="391"/>
      <c r="L23" s="391"/>
      <c r="M23" s="391"/>
      <c r="N23" s="391"/>
      <c r="O23" s="391"/>
      <c r="P23" s="391"/>
    </row>
    <row r="24" spans="1:16">
      <c r="A24" s="451"/>
      <c r="B24" s="451"/>
      <c r="C24" s="437"/>
      <c r="D24" s="380"/>
      <c r="E24" s="381"/>
      <c r="F24" s="390"/>
      <c r="G24" s="391"/>
      <c r="H24" s="391"/>
      <c r="I24" s="391"/>
      <c r="J24" s="391"/>
      <c r="K24" s="391"/>
      <c r="L24" s="391"/>
      <c r="M24" s="391"/>
      <c r="N24" s="391"/>
      <c r="O24" s="391"/>
      <c r="P24" s="391"/>
    </row>
    <row r="25" spans="1:16">
      <c r="A25" s="451"/>
      <c r="B25" s="451"/>
      <c r="C25" s="437"/>
      <c r="D25" s="380"/>
      <c r="E25" s="381"/>
      <c r="F25" s="390"/>
      <c r="G25" s="391"/>
      <c r="H25" s="391"/>
      <c r="I25" s="391"/>
      <c r="J25" s="391"/>
      <c r="K25" s="391"/>
      <c r="L25" s="391"/>
      <c r="M25" s="391"/>
      <c r="N25" s="391"/>
      <c r="O25" s="391"/>
      <c r="P25" s="391"/>
    </row>
    <row r="26" spans="1:16">
      <c r="A26" s="451"/>
      <c r="B26" s="451"/>
      <c r="C26" s="437"/>
      <c r="D26" s="380"/>
      <c r="E26" s="381"/>
      <c r="F26" s="390"/>
      <c r="G26" s="391"/>
      <c r="H26" s="391"/>
      <c r="I26" s="391"/>
      <c r="J26" s="391"/>
      <c r="K26" s="391"/>
      <c r="L26" s="391"/>
      <c r="M26" s="391"/>
      <c r="N26" s="391"/>
      <c r="O26" s="391"/>
      <c r="P26" s="391"/>
    </row>
    <row r="27" spans="1:16">
      <c r="A27" s="451"/>
      <c r="B27" s="451"/>
      <c r="C27" s="437"/>
      <c r="D27" s="380"/>
      <c r="E27" s="381"/>
      <c r="F27" s="390"/>
      <c r="G27" s="391"/>
      <c r="H27" s="391"/>
      <c r="I27" s="391"/>
      <c r="J27" s="391"/>
      <c r="K27" s="391"/>
      <c r="L27" s="391"/>
      <c r="M27" s="391"/>
      <c r="N27" s="391"/>
      <c r="O27" s="391"/>
      <c r="P27" s="391"/>
    </row>
    <row r="28" spans="1:16">
      <c r="A28" s="451"/>
      <c r="B28" s="451"/>
      <c r="C28" s="437"/>
      <c r="D28" s="380"/>
      <c r="E28" s="381"/>
      <c r="F28" s="390"/>
      <c r="G28" s="391"/>
      <c r="H28" s="391"/>
      <c r="I28" s="391"/>
      <c r="J28" s="391"/>
      <c r="K28" s="391"/>
      <c r="L28" s="391"/>
      <c r="M28" s="391"/>
      <c r="N28" s="391"/>
      <c r="O28" s="391"/>
      <c r="P28" s="391"/>
    </row>
    <row r="29" spans="1:16">
      <c r="A29" s="451"/>
      <c r="B29" s="451"/>
      <c r="C29" s="437"/>
      <c r="D29" s="380"/>
      <c r="E29" s="381"/>
      <c r="F29" s="390"/>
      <c r="G29" s="391"/>
      <c r="H29" s="391"/>
      <c r="I29" s="391"/>
      <c r="J29" s="391"/>
      <c r="K29" s="391"/>
      <c r="L29" s="391"/>
      <c r="M29" s="391"/>
      <c r="N29" s="391"/>
      <c r="O29" s="391"/>
      <c r="P29" s="391"/>
    </row>
    <row r="30" spans="1:16">
      <c r="A30" s="451"/>
      <c r="B30" s="451"/>
      <c r="C30" s="437"/>
      <c r="D30" s="380"/>
      <c r="E30" s="381"/>
      <c r="F30" s="390"/>
      <c r="G30" s="391"/>
      <c r="H30" s="391"/>
      <c r="I30" s="391"/>
      <c r="J30" s="391"/>
      <c r="K30" s="391"/>
      <c r="L30" s="391"/>
      <c r="M30" s="391"/>
      <c r="N30" s="391"/>
      <c r="O30" s="391"/>
      <c r="P30" s="391"/>
    </row>
    <row r="31" spans="1:16">
      <c r="A31" s="451"/>
      <c r="B31" s="451"/>
      <c r="C31" s="437"/>
      <c r="D31" s="380"/>
      <c r="E31" s="381"/>
      <c r="F31" s="390"/>
      <c r="G31" s="391"/>
      <c r="H31" s="391"/>
      <c r="I31" s="391"/>
      <c r="J31" s="391"/>
      <c r="K31" s="391"/>
      <c r="L31" s="391"/>
      <c r="M31" s="391"/>
      <c r="N31" s="391"/>
      <c r="O31" s="391"/>
      <c r="P31" s="391"/>
    </row>
    <row r="32" spans="1:16">
      <c r="A32" s="451"/>
      <c r="B32" s="451"/>
      <c r="C32" s="437"/>
      <c r="D32" s="380"/>
      <c r="E32" s="381"/>
      <c r="F32" s="390"/>
      <c r="G32" s="391"/>
      <c r="H32" s="391"/>
      <c r="I32" s="391"/>
      <c r="J32" s="391"/>
      <c r="K32" s="391"/>
      <c r="L32" s="391"/>
      <c r="M32" s="391"/>
      <c r="N32" s="391"/>
      <c r="O32" s="391"/>
      <c r="P32" s="391"/>
    </row>
    <row r="33" spans="1:16">
      <c r="A33" s="451"/>
      <c r="B33" s="451"/>
      <c r="C33" s="437"/>
      <c r="D33" s="380"/>
      <c r="E33" s="381"/>
      <c r="F33" s="390"/>
      <c r="G33" s="391"/>
      <c r="H33" s="391"/>
      <c r="I33" s="391"/>
      <c r="J33" s="391"/>
      <c r="K33" s="391"/>
      <c r="L33" s="391"/>
      <c r="M33" s="391"/>
      <c r="N33" s="391"/>
      <c r="O33" s="391"/>
      <c r="P33" s="391"/>
    </row>
    <row r="34" spans="1:16">
      <c r="A34" s="452" t="s">
        <v>281</v>
      </c>
      <c r="B34" s="452"/>
      <c r="C34" s="453"/>
      <c r="D34" s="453"/>
      <c r="E34" s="453"/>
      <c r="F34" s="453"/>
      <c r="G34" s="454"/>
      <c r="H34" s="454"/>
      <c r="I34" s="454"/>
      <c r="J34" s="454"/>
      <c r="K34" s="454"/>
      <c r="L34" s="454"/>
      <c r="M34" s="454"/>
      <c r="N34" s="454"/>
      <c r="O34" s="454"/>
      <c r="P34" s="454"/>
    </row>
  </sheetData>
  <mergeCells count="10">
    <mergeCell ref="A5:D5"/>
    <mergeCell ref="E16:P16"/>
    <mergeCell ref="A9:A10"/>
    <mergeCell ref="A16:A17"/>
    <mergeCell ref="B9:B10"/>
    <mergeCell ref="B16:B17"/>
    <mergeCell ref="C9:C10"/>
    <mergeCell ref="C16:C17"/>
    <mergeCell ref="D16:D17"/>
    <mergeCell ref="A1:D4"/>
  </mergeCells>
  <hyperlinks>
    <hyperlink ref="A1" location="目录!A1" display="← 返回目录"/>
  </hyperlinks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2">
    <tabColor theme="8" tint="0.399975585192419"/>
  </sheetPr>
  <dimension ref="A1:XFD34"/>
  <sheetViews>
    <sheetView zoomScale="110" zoomScaleNormal="110" workbookViewId="0">
      <selection activeCell="A1" sqref="A1:D4"/>
    </sheetView>
  </sheetViews>
  <sheetFormatPr defaultColWidth="8.725" defaultRowHeight="11.25"/>
  <cols>
    <col min="1" max="1" width="8.725" style="159"/>
    <col min="2" max="2" width="9.54166666666667" style="159" customWidth="1"/>
    <col min="3" max="3" width="12.5416666666667" style="159" customWidth="1"/>
    <col min="4" max="4" width="8.725" style="159"/>
    <col min="5" max="5" width="7.90833333333333" style="159" customWidth="1"/>
    <col min="6" max="7" width="8.725" style="159"/>
    <col min="8" max="8" width="9.725" style="159" customWidth="1"/>
    <col min="9" max="9" width="9.81666666666667" style="159" customWidth="1"/>
    <col min="10" max="11" width="8.725" style="159"/>
    <col min="12" max="12" width="9.26666666666667" style="159" customWidth="1"/>
    <col min="13" max="16384" width="8.725" style="159"/>
  </cols>
  <sheetData>
    <row r="1" spans="1:41 16381:16384">
      <c r="A1" s="202" t="s">
        <v>185</v>
      </c>
      <c r="B1" s="291"/>
      <c r="C1" s="291"/>
      <c r="D1" s="291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pans="1:41 16381:16384">
      <c r="A2" s="291"/>
      <c r="B2" s="291"/>
      <c r="C2" s="291"/>
      <c r="D2" s="291"/>
      <c r="E2" s="12"/>
      <c r="F2" s="13" t="s">
        <v>1991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pans="1:41 16381:16384">
      <c r="A3" s="291"/>
      <c r="B3" s="291"/>
      <c r="C3" s="291"/>
      <c r="D3" s="291"/>
      <c r="E3" s="12"/>
      <c r="F3" s="13" t="s">
        <v>1660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spans="1:41 16381:16384">
      <c r="A4" s="291"/>
      <c r="B4" s="291"/>
      <c r="C4" s="291"/>
      <c r="D4" s="291"/>
      <c r="E4" s="12"/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pans="1:41 16381:16384">
      <c r="A5" s="292" t="s">
        <v>1993</v>
      </c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ht="13.5" spans="1:41 16381:16384">
      <c r="A6" s="1"/>
      <c r="B6" s="1"/>
      <c r="C6" s="1"/>
      <c r="D6" s="1"/>
      <c r="E6"/>
      <c r="F6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ht="13.5" spans="1:41 16381:16384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9" spans="1:41 16381:16384">
      <c r="A9" s="441" t="s">
        <v>5</v>
      </c>
      <c r="B9" s="332" t="s">
        <v>1925</v>
      </c>
      <c r="C9" s="332" t="s">
        <v>281</v>
      </c>
      <c r="D9" s="442"/>
      <c r="E9" s="442"/>
      <c r="F9" s="442"/>
      <c r="G9" s="442"/>
      <c r="H9" s="442"/>
      <c r="I9" s="442"/>
      <c r="J9" s="442"/>
      <c r="K9" s="442"/>
      <c r="L9" s="442"/>
      <c r="M9" s="442"/>
      <c r="N9" s="442"/>
      <c r="O9" s="442"/>
    </row>
    <row r="10" spans="1:41 16381:16384">
      <c r="A10" s="377"/>
      <c r="B10" s="338"/>
      <c r="C10" s="338"/>
      <c r="D10" s="315" t="s">
        <v>304</v>
      </c>
      <c r="E10" s="315" t="s">
        <v>305</v>
      </c>
      <c r="F10" s="315" t="s">
        <v>306</v>
      </c>
      <c r="G10" s="315" t="s">
        <v>307</v>
      </c>
      <c r="H10" s="315" t="s">
        <v>308</v>
      </c>
      <c r="I10" s="315" t="s">
        <v>309</v>
      </c>
      <c r="J10" s="315" t="s">
        <v>310</v>
      </c>
      <c r="K10" s="315" t="s">
        <v>311</v>
      </c>
      <c r="L10" s="315" t="s">
        <v>312</v>
      </c>
      <c r="M10" s="315" t="s">
        <v>313</v>
      </c>
      <c r="N10" s="315" t="s">
        <v>314</v>
      </c>
      <c r="O10" s="315" t="s">
        <v>315</v>
      </c>
    </row>
    <row r="11" spans="1:41 16381:16384">
      <c r="A11" s="443" t="s">
        <v>1463</v>
      </c>
      <c r="B11" s="410">
        <v>2025</v>
      </c>
      <c r="C11" s="410" t="s">
        <v>199</v>
      </c>
      <c r="D11" s="315" t="s">
        <v>1421</v>
      </c>
      <c r="E11" s="315" t="s">
        <v>1421</v>
      </c>
      <c r="F11" s="315" t="s">
        <v>1421</v>
      </c>
      <c r="G11" s="315" t="s">
        <v>1421</v>
      </c>
      <c r="H11" s="315" t="s">
        <v>1421</v>
      </c>
      <c r="I11" s="315" t="s">
        <v>1421</v>
      </c>
      <c r="J11" s="315" t="s">
        <v>1421</v>
      </c>
      <c r="K11" s="315" t="s">
        <v>1421</v>
      </c>
      <c r="L11" s="315" t="s">
        <v>1421</v>
      </c>
      <c r="M11" s="315" t="s">
        <v>1421</v>
      </c>
      <c r="N11" s="315" t="s">
        <v>1421</v>
      </c>
      <c r="O11" s="315" t="s">
        <v>1421</v>
      </c>
    </row>
    <row r="12" customFormat="1" ht="13.5" spans="1:41 16381:16384">
      <c r="A12" s="443"/>
      <c r="B12" s="410">
        <v>2026</v>
      </c>
      <c r="C12" s="410"/>
      <c r="D12" s="410"/>
      <c r="E12" s="410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444"/>
      <c r="Q12" s="444"/>
      <c r="R12" s="444"/>
      <c r="S12" s="444"/>
      <c r="T12" s="444"/>
      <c r="U12" s="444"/>
      <c r="V12" s="444"/>
      <c r="W12" s="444"/>
      <c r="X12" s="444"/>
      <c r="Y12" s="444"/>
      <c r="Z12" s="444"/>
      <c r="AA12" s="444"/>
      <c r="AB12" s="444"/>
      <c r="AC12" s="444"/>
      <c r="AD12" s="444"/>
      <c r="AE12" s="444"/>
      <c r="AF12" s="444"/>
      <c r="AG12" s="444"/>
      <c r="AH12" s="444"/>
      <c r="AI12" s="444"/>
      <c r="AJ12" s="444"/>
      <c r="AK12" s="444"/>
      <c r="AL12" s="444"/>
      <c r="AM12" s="444"/>
      <c r="AN12" s="444"/>
      <c r="AO12" s="444"/>
      <c r="XFA12" s="159"/>
      <c r="XFB12" s="159"/>
      <c r="XFC12" s="159"/>
      <c r="XFD12" s="159"/>
    </row>
    <row r="13" customFormat="1" ht="13.5" spans="1:41 16381:16384">
      <c r="A13" s="443"/>
      <c r="B13" s="410" t="s">
        <v>287</v>
      </c>
      <c r="C13" s="410"/>
      <c r="D13" s="410"/>
      <c r="E13" s="410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444"/>
      <c r="Q13" s="444"/>
      <c r="R13" s="444"/>
      <c r="S13" s="444"/>
      <c r="T13" s="444"/>
      <c r="U13" s="444"/>
      <c r="V13" s="444"/>
      <c r="W13" s="444"/>
      <c r="X13" s="444"/>
      <c r="Y13" s="444"/>
      <c r="Z13" s="444"/>
      <c r="AA13" s="444"/>
      <c r="AB13" s="444"/>
      <c r="AC13" s="444"/>
      <c r="AD13" s="444"/>
      <c r="AE13" s="444"/>
      <c r="AF13" s="444"/>
      <c r="AG13" s="444"/>
      <c r="AH13" s="444"/>
      <c r="AI13" s="444"/>
      <c r="AJ13" s="444"/>
      <c r="AK13" s="444"/>
      <c r="AL13" s="444"/>
      <c r="AM13" s="444"/>
      <c r="AN13" s="444"/>
      <c r="AO13" s="444"/>
      <c r="XFA13" s="159"/>
      <c r="XFB13" s="159"/>
      <c r="XFC13" s="159"/>
      <c r="XFD13" s="159"/>
    </row>
    <row r="14" customFormat="1" ht="13.5" spans="1:41 16381:16384">
      <c r="A14" s="445"/>
      <c r="B14" s="446"/>
      <c r="C14" s="446"/>
      <c r="D14" s="446"/>
      <c r="E14" s="446"/>
      <c r="F14" s="444"/>
      <c r="G14" s="444"/>
      <c r="H14" s="444"/>
      <c r="I14" s="444"/>
      <c r="J14" s="444"/>
      <c r="K14" s="444"/>
      <c r="L14" s="444"/>
      <c r="M14" s="444"/>
      <c r="N14" s="444"/>
      <c r="O14" s="444"/>
      <c r="P14" s="444"/>
      <c r="Q14" s="444"/>
      <c r="R14" s="444"/>
      <c r="S14" s="444"/>
      <c r="T14" s="444"/>
      <c r="U14" s="444"/>
      <c r="V14" s="444"/>
      <c r="W14" s="444"/>
      <c r="X14" s="444"/>
      <c r="Y14" s="444"/>
      <c r="Z14" s="444"/>
      <c r="AA14" s="444"/>
      <c r="AB14" s="444"/>
      <c r="AC14" s="444"/>
      <c r="AD14" s="444"/>
      <c r="AE14" s="444"/>
      <c r="AF14" s="444"/>
      <c r="AG14" s="444"/>
      <c r="AH14" s="444"/>
      <c r="AI14" s="444"/>
      <c r="AJ14" s="444"/>
      <c r="AK14" s="444"/>
      <c r="AL14" s="444"/>
      <c r="AM14" s="444"/>
      <c r="AN14" s="444"/>
      <c r="AO14" s="444"/>
      <c r="XFA14" s="159"/>
      <c r="XFB14" s="159"/>
      <c r="XFC14" s="159"/>
      <c r="XFD14" s="159"/>
    </row>
    <row r="15" s="376" customFormat="1" spans="1:41 16381:16384">
      <c r="A15" s="375"/>
      <c r="C15" s="375"/>
      <c r="D15" s="375"/>
      <c r="E15" s="375"/>
      <c r="F15" s="375"/>
      <c r="G15" s="375"/>
      <c r="H15" s="375"/>
      <c r="I15" s="375"/>
    </row>
    <row r="16" spans="1:41 16381:16384">
      <c r="A16" s="378" t="s">
        <v>5</v>
      </c>
      <c r="B16" s="377" t="s">
        <v>2001</v>
      </c>
      <c r="C16" s="447" t="s">
        <v>2000</v>
      </c>
      <c r="D16" s="447" t="s">
        <v>281</v>
      </c>
      <c r="E16" s="398" t="s">
        <v>1427</v>
      </c>
      <c r="F16" s="399"/>
      <c r="G16" s="399"/>
      <c r="H16" s="399"/>
      <c r="I16" s="399"/>
      <c r="J16" s="399"/>
      <c r="K16" s="399"/>
      <c r="L16" s="399"/>
      <c r="M16" s="399"/>
      <c r="N16" s="399"/>
      <c r="O16" s="399"/>
      <c r="P16" s="399"/>
    </row>
    <row r="17" spans="1:16">
      <c r="A17" s="378"/>
      <c r="B17" s="377"/>
      <c r="C17" s="448"/>
      <c r="D17" s="448"/>
      <c r="E17" s="400" t="s">
        <v>304</v>
      </c>
      <c r="F17" s="400" t="s">
        <v>305</v>
      </c>
      <c r="G17" s="400" t="s">
        <v>306</v>
      </c>
      <c r="H17" s="400" t="s">
        <v>307</v>
      </c>
      <c r="I17" s="400" t="s">
        <v>308</v>
      </c>
      <c r="J17" s="400" t="s">
        <v>309</v>
      </c>
      <c r="K17" s="400" t="s">
        <v>310</v>
      </c>
      <c r="L17" s="400" t="s">
        <v>311</v>
      </c>
      <c r="M17" s="400" t="s">
        <v>312</v>
      </c>
      <c r="N17" s="400" t="s">
        <v>313</v>
      </c>
      <c r="O17" s="400" t="s">
        <v>314</v>
      </c>
      <c r="P17" s="400" t="s">
        <v>315</v>
      </c>
    </row>
    <row r="18" spans="1:16">
      <c r="A18" s="410" t="s">
        <v>1421</v>
      </c>
      <c r="B18" s="443" t="s">
        <v>1465</v>
      </c>
      <c r="C18" s="449" t="s">
        <v>1465</v>
      </c>
      <c r="D18" s="380" t="s">
        <v>199</v>
      </c>
      <c r="E18" s="450" t="s">
        <v>1465</v>
      </c>
      <c r="F18" s="450" t="s">
        <v>1465</v>
      </c>
      <c r="G18" s="450" t="s">
        <v>1465</v>
      </c>
      <c r="H18" s="450" t="s">
        <v>1465</v>
      </c>
      <c r="I18" s="450" t="s">
        <v>1465</v>
      </c>
      <c r="J18" s="450" t="s">
        <v>1465</v>
      </c>
      <c r="K18" s="450" t="s">
        <v>1465</v>
      </c>
      <c r="L18" s="450" t="s">
        <v>1465</v>
      </c>
      <c r="M18" s="450" t="s">
        <v>1465</v>
      </c>
      <c r="N18" s="450" t="s">
        <v>1465</v>
      </c>
      <c r="O18" s="450" t="s">
        <v>1465</v>
      </c>
      <c r="P18" s="450" t="s">
        <v>1465</v>
      </c>
    </row>
    <row r="19" spans="1:16">
      <c r="A19" s="451"/>
      <c r="B19" s="451"/>
      <c r="C19" s="437"/>
      <c r="D19" s="380"/>
      <c r="E19" s="381"/>
      <c r="F19" s="390"/>
      <c r="G19" s="391"/>
      <c r="H19" s="391"/>
      <c r="I19" s="391"/>
      <c r="J19" s="391"/>
      <c r="K19" s="391"/>
      <c r="L19" s="391"/>
      <c r="M19" s="391"/>
      <c r="N19" s="391"/>
      <c r="O19" s="391"/>
      <c r="P19" s="391"/>
    </row>
    <row r="20" spans="1:16">
      <c r="A20" s="451"/>
      <c r="B20" s="451"/>
      <c r="C20" s="437"/>
      <c r="D20" s="380"/>
      <c r="E20" s="381"/>
      <c r="F20" s="390"/>
      <c r="G20" s="391"/>
      <c r="H20" s="391"/>
      <c r="I20" s="391"/>
      <c r="J20" s="391"/>
      <c r="K20" s="391"/>
      <c r="L20" s="391"/>
      <c r="M20" s="391"/>
      <c r="N20" s="391"/>
      <c r="O20" s="391"/>
      <c r="P20" s="391"/>
    </row>
    <row r="21" spans="1:16">
      <c r="A21" s="451"/>
      <c r="B21" s="451"/>
      <c r="C21" s="437"/>
      <c r="D21" s="380"/>
      <c r="E21" s="381"/>
      <c r="F21" s="390"/>
      <c r="G21" s="391"/>
      <c r="H21" s="391"/>
      <c r="I21" s="391"/>
      <c r="J21" s="391"/>
      <c r="K21" s="391"/>
      <c r="L21" s="391"/>
      <c r="M21" s="391"/>
      <c r="N21" s="391"/>
      <c r="O21" s="391"/>
      <c r="P21" s="391"/>
    </row>
    <row r="22" spans="1:16">
      <c r="A22" s="451"/>
      <c r="B22" s="451"/>
      <c r="C22" s="437"/>
      <c r="D22" s="380"/>
      <c r="E22" s="381"/>
      <c r="F22" s="390"/>
      <c r="G22" s="391"/>
      <c r="H22" s="391"/>
      <c r="I22" s="391"/>
      <c r="J22" s="391"/>
      <c r="K22" s="391"/>
      <c r="L22" s="391"/>
      <c r="M22" s="391"/>
      <c r="N22" s="391"/>
      <c r="O22" s="391"/>
      <c r="P22" s="391"/>
    </row>
    <row r="23" spans="1:16">
      <c r="A23" s="451"/>
      <c r="B23" s="451"/>
      <c r="C23" s="437"/>
      <c r="D23" s="380"/>
      <c r="E23" s="381"/>
      <c r="F23" s="390"/>
      <c r="G23" s="391"/>
      <c r="H23" s="391"/>
      <c r="I23" s="391"/>
      <c r="J23" s="391"/>
      <c r="K23" s="391"/>
      <c r="L23" s="391"/>
      <c r="M23" s="391"/>
      <c r="N23" s="391"/>
      <c r="O23" s="391"/>
      <c r="P23" s="391"/>
    </row>
    <row r="24" spans="1:16">
      <c r="A24" s="451"/>
      <c r="B24" s="451"/>
      <c r="C24" s="437"/>
      <c r="D24" s="380"/>
      <c r="E24" s="381"/>
      <c r="F24" s="390"/>
      <c r="G24" s="391"/>
      <c r="H24" s="391"/>
      <c r="I24" s="391"/>
      <c r="J24" s="391"/>
      <c r="K24" s="391"/>
      <c r="L24" s="391"/>
      <c r="M24" s="391"/>
      <c r="N24" s="391"/>
      <c r="O24" s="391"/>
      <c r="P24" s="391"/>
    </row>
    <row r="25" spans="1:16">
      <c r="A25" s="451"/>
      <c r="B25" s="451"/>
      <c r="C25" s="437"/>
      <c r="D25" s="380"/>
      <c r="E25" s="381"/>
      <c r="F25" s="390"/>
      <c r="G25" s="391"/>
      <c r="H25" s="391"/>
      <c r="I25" s="391"/>
      <c r="J25" s="391"/>
      <c r="K25" s="391"/>
      <c r="L25" s="391"/>
      <c r="M25" s="391"/>
      <c r="N25" s="391"/>
      <c r="O25" s="391"/>
      <c r="P25" s="391"/>
    </row>
    <row r="26" spans="1:16">
      <c r="A26" s="451"/>
      <c r="B26" s="451"/>
      <c r="C26" s="437"/>
      <c r="D26" s="380"/>
      <c r="E26" s="381"/>
      <c r="F26" s="390"/>
      <c r="G26" s="391"/>
      <c r="H26" s="391"/>
      <c r="I26" s="391"/>
      <c r="J26" s="391"/>
      <c r="K26" s="391"/>
      <c r="L26" s="391"/>
      <c r="M26" s="391"/>
      <c r="N26" s="391"/>
      <c r="O26" s="391"/>
      <c r="P26" s="391"/>
    </row>
    <row r="27" spans="1:16">
      <c r="A27" s="451"/>
      <c r="B27" s="451"/>
      <c r="C27" s="437"/>
      <c r="D27" s="380"/>
      <c r="E27" s="381"/>
      <c r="F27" s="390"/>
      <c r="G27" s="391"/>
      <c r="H27" s="391"/>
      <c r="I27" s="391"/>
      <c r="J27" s="391"/>
      <c r="K27" s="391"/>
      <c r="L27" s="391"/>
      <c r="M27" s="391"/>
      <c r="N27" s="391"/>
      <c r="O27" s="391"/>
      <c r="P27" s="391"/>
    </row>
    <row r="28" spans="1:16">
      <c r="A28" s="451"/>
      <c r="B28" s="451"/>
      <c r="C28" s="437"/>
      <c r="D28" s="380"/>
      <c r="E28" s="381"/>
      <c r="F28" s="390"/>
      <c r="G28" s="391"/>
      <c r="H28" s="391"/>
      <c r="I28" s="391"/>
      <c r="J28" s="391"/>
      <c r="K28" s="391"/>
      <c r="L28" s="391"/>
      <c r="M28" s="391"/>
      <c r="N28" s="391"/>
      <c r="O28" s="391"/>
      <c r="P28" s="391"/>
    </row>
    <row r="29" spans="1:16">
      <c r="A29" s="451"/>
      <c r="B29" s="451"/>
      <c r="C29" s="437"/>
      <c r="D29" s="380"/>
      <c r="E29" s="381"/>
      <c r="F29" s="390"/>
      <c r="G29" s="391"/>
      <c r="H29" s="391"/>
      <c r="I29" s="391"/>
      <c r="J29" s="391"/>
      <c r="K29" s="391"/>
      <c r="L29" s="391"/>
      <c r="M29" s="391"/>
      <c r="N29" s="391"/>
      <c r="O29" s="391"/>
      <c r="P29" s="391"/>
    </row>
    <row r="30" spans="1:16">
      <c r="A30" s="451"/>
      <c r="B30" s="451"/>
      <c r="C30" s="437"/>
      <c r="D30" s="380"/>
      <c r="E30" s="381"/>
      <c r="F30" s="390"/>
      <c r="G30" s="391"/>
      <c r="H30" s="391"/>
      <c r="I30" s="391"/>
      <c r="J30" s="391"/>
      <c r="K30" s="391"/>
      <c r="L30" s="391"/>
      <c r="M30" s="391"/>
      <c r="N30" s="391"/>
      <c r="O30" s="391"/>
      <c r="P30" s="391"/>
    </row>
    <row r="31" spans="1:16">
      <c r="A31" s="451"/>
      <c r="B31" s="451"/>
      <c r="C31" s="437"/>
      <c r="D31" s="380"/>
      <c r="E31" s="381"/>
      <c r="F31" s="390"/>
      <c r="G31" s="391"/>
      <c r="H31" s="391"/>
      <c r="I31" s="391"/>
      <c r="J31" s="391"/>
      <c r="K31" s="391"/>
      <c r="L31" s="391"/>
      <c r="M31" s="391"/>
      <c r="N31" s="391"/>
      <c r="O31" s="391"/>
      <c r="P31" s="391"/>
    </row>
    <row r="32" spans="1:16">
      <c r="A32" s="451"/>
      <c r="B32" s="451"/>
      <c r="C32" s="437"/>
      <c r="D32" s="380"/>
      <c r="E32" s="381"/>
      <c r="F32" s="390"/>
      <c r="G32" s="391"/>
      <c r="H32" s="391"/>
      <c r="I32" s="391"/>
      <c r="J32" s="391"/>
      <c r="K32" s="391"/>
      <c r="L32" s="391"/>
      <c r="M32" s="391"/>
      <c r="N32" s="391"/>
      <c r="O32" s="391"/>
      <c r="P32" s="391"/>
    </row>
    <row r="33" spans="1:16">
      <c r="A33" s="451"/>
      <c r="B33" s="451"/>
      <c r="C33" s="437"/>
      <c r="D33" s="380"/>
      <c r="E33" s="381"/>
      <c r="F33" s="390"/>
      <c r="G33" s="391"/>
      <c r="H33" s="391"/>
      <c r="I33" s="391"/>
      <c r="J33" s="391"/>
      <c r="K33" s="391"/>
      <c r="L33" s="391"/>
      <c r="M33" s="391"/>
      <c r="N33" s="391"/>
      <c r="O33" s="391"/>
      <c r="P33" s="391"/>
    </row>
    <row r="34" spans="1:16">
      <c r="A34" s="452" t="s">
        <v>281</v>
      </c>
      <c r="B34" s="452"/>
      <c r="C34" s="453"/>
      <c r="D34" s="453"/>
      <c r="E34" s="453"/>
      <c r="F34" s="453"/>
      <c r="G34" s="454"/>
      <c r="H34" s="454"/>
      <c r="I34" s="454"/>
      <c r="J34" s="454"/>
      <c r="K34" s="454"/>
      <c r="L34" s="454"/>
      <c r="M34" s="454"/>
      <c r="N34" s="454"/>
      <c r="O34" s="454"/>
      <c r="P34" s="454"/>
    </row>
  </sheetData>
  <mergeCells count="10">
    <mergeCell ref="A5:D5"/>
    <mergeCell ref="E16:P16"/>
    <mergeCell ref="A9:A10"/>
    <mergeCell ref="A16:A17"/>
    <mergeCell ref="B9:B10"/>
    <mergeCell ref="B16:B17"/>
    <mergeCell ref="C9:C10"/>
    <mergeCell ref="C16:C17"/>
    <mergeCell ref="D16:D17"/>
    <mergeCell ref="A1:D4"/>
  </mergeCells>
  <hyperlinks>
    <hyperlink ref="A1" location="目录!A1" display="← 返回目录"/>
  </hyperlinks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3">
    <tabColor theme="8" tint="0.399975585192419"/>
  </sheetPr>
  <dimension ref="A1:XFD34"/>
  <sheetViews>
    <sheetView zoomScale="110" zoomScaleNormal="110" workbookViewId="0">
      <selection activeCell="A1" sqref="A1:D4"/>
    </sheetView>
  </sheetViews>
  <sheetFormatPr defaultColWidth="8.725" defaultRowHeight="11.25"/>
  <cols>
    <col min="1" max="1" width="8.725" style="159"/>
    <col min="2" max="2" width="9.54166666666667" style="159" customWidth="1"/>
    <col min="3" max="3" width="12.5416666666667" style="159" customWidth="1"/>
    <col min="4" max="4" width="8.725" style="159"/>
    <col min="5" max="5" width="7.90833333333333" style="159" customWidth="1"/>
    <col min="6" max="7" width="8.725" style="159"/>
    <col min="8" max="8" width="9.725" style="159" customWidth="1"/>
    <col min="9" max="9" width="9.81666666666667" style="159" customWidth="1"/>
    <col min="10" max="11" width="8.725" style="159"/>
    <col min="12" max="12" width="9.26666666666667" style="159" customWidth="1"/>
    <col min="13" max="16384" width="8.725" style="159"/>
  </cols>
  <sheetData>
    <row r="1" spans="1:41 16381:16384">
      <c r="A1" s="202" t="s">
        <v>185</v>
      </c>
      <c r="B1" s="291"/>
      <c r="C1" s="291"/>
      <c r="D1" s="291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pans="1:41 16381:16384">
      <c r="A2" s="291"/>
      <c r="B2" s="291"/>
      <c r="C2" s="291"/>
      <c r="D2" s="291"/>
      <c r="E2" s="12"/>
      <c r="F2" s="13" t="s">
        <v>1991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pans="1:41 16381:16384">
      <c r="A3" s="291"/>
      <c r="B3" s="291"/>
      <c r="C3" s="291"/>
      <c r="D3" s="291"/>
      <c r="E3" s="12"/>
      <c r="F3" s="13" t="s">
        <v>1660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spans="1:41 16381:16384">
      <c r="A4" s="291"/>
      <c r="B4" s="291"/>
      <c r="C4" s="291"/>
      <c r="D4" s="291"/>
      <c r="E4" s="12"/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pans="1:41 16381:16384">
      <c r="A5" s="292" t="s">
        <v>1993</v>
      </c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ht="13.5" spans="1:41 16381:16384">
      <c r="A6" s="1"/>
      <c r="B6" s="1"/>
      <c r="C6" s="1"/>
      <c r="D6" s="1"/>
      <c r="E6"/>
      <c r="F6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ht="13.5" spans="1:41 16381:16384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9" spans="1:41 16381:16384">
      <c r="A9" s="441" t="s">
        <v>5</v>
      </c>
      <c r="B9" s="332" t="s">
        <v>1925</v>
      </c>
      <c r="C9" s="332" t="s">
        <v>281</v>
      </c>
      <c r="D9" s="442"/>
      <c r="E9" s="442"/>
      <c r="F9" s="442"/>
      <c r="G9" s="442"/>
      <c r="H9" s="442"/>
      <c r="I9" s="442"/>
      <c r="J9" s="442"/>
      <c r="K9" s="442"/>
      <c r="L9" s="442"/>
      <c r="M9" s="442"/>
      <c r="N9" s="442"/>
      <c r="O9" s="442"/>
    </row>
    <row r="10" spans="1:41 16381:16384">
      <c r="A10" s="377"/>
      <c r="B10" s="338"/>
      <c r="C10" s="338"/>
      <c r="D10" s="315" t="s">
        <v>304</v>
      </c>
      <c r="E10" s="315" t="s">
        <v>305</v>
      </c>
      <c r="F10" s="315" t="s">
        <v>306</v>
      </c>
      <c r="G10" s="315" t="s">
        <v>307</v>
      </c>
      <c r="H10" s="315" t="s">
        <v>308</v>
      </c>
      <c r="I10" s="315" t="s">
        <v>309</v>
      </c>
      <c r="J10" s="315" t="s">
        <v>310</v>
      </c>
      <c r="K10" s="315" t="s">
        <v>311</v>
      </c>
      <c r="L10" s="315" t="s">
        <v>312</v>
      </c>
      <c r="M10" s="315" t="s">
        <v>313</v>
      </c>
      <c r="N10" s="315" t="s">
        <v>314</v>
      </c>
      <c r="O10" s="315" t="s">
        <v>315</v>
      </c>
    </row>
    <row r="11" spans="1:41 16381:16384">
      <c r="A11" s="443" t="s">
        <v>1463</v>
      </c>
      <c r="B11" s="410">
        <v>2025</v>
      </c>
      <c r="C11" s="410" t="s">
        <v>199</v>
      </c>
      <c r="D11" s="315" t="s">
        <v>1421</v>
      </c>
      <c r="E11" s="315" t="s">
        <v>1421</v>
      </c>
      <c r="F11" s="315" t="s">
        <v>1421</v>
      </c>
      <c r="G11" s="315" t="s">
        <v>1421</v>
      </c>
      <c r="H11" s="315" t="s">
        <v>1421</v>
      </c>
      <c r="I11" s="315" t="s">
        <v>1421</v>
      </c>
      <c r="J11" s="315" t="s">
        <v>1421</v>
      </c>
      <c r="K11" s="315" t="s">
        <v>1421</v>
      </c>
      <c r="L11" s="315" t="s">
        <v>1421</v>
      </c>
      <c r="M11" s="315" t="s">
        <v>1421</v>
      </c>
      <c r="N11" s="315" t="s">
        <v>1421</v>
      </c>
      <c r="O11" s="315" t="s">
        <v>1421</v>
      </c>
    </row>
    <row r="12" customFormat="1" ht="13.5" spans="1:41 16381:16384">
      <c r="A12" s="443"/>
      <c r="B12" s="410">
        <v>2026</v>
      </c>
      <c r="C12" s="410"/>
      <c r="D12" s="410"/>
      <c r="E12" s="410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444"/>
      <c r="Q12" s="444"/>
      <c r="R12" s="444"/>
      <c r="S12" s="444"/>
      <c r="T12" s="444"/>
      <c r="U12" s="444"/>
      <c r="V12" s="444"/>
      <c r="W12" s="444"/>
      <c r="X12" s="444"/>
      <c r="Y12" s="444"/>
      <c r="Z12" s="444"/>
      <c r="AA12" s="444"/>
      <c r="AB12" s="444"/>
      <c r="AC12" s="444"/>
      <c r="AD12" s="444"/>
      <c r="AE12" s="444"/>
      <c r="AF12" s="444"/>
      <c r="AG12" s="444"/>
      <c r="AH12" s="444"/>
      <c r="AI12" s="444"/>
      <c r="AJ12" s="444"/>
      <c r="AK12" s="444"/>
      <c r="AL12" s="444"/>
      <c r="AM12" s="444"/>
      <c r="AN12" s="444"/>
      <c r="AO12" s="444"/>
      <c r="XFA12" s="159"/>
      <c r="XFB12" s="159"/>
      <c r="XFC12" s="159"/>
      <c r="XFD12" s="159"/>
    </row>
    <row r="13" customFormat="1" ht="13.5" spans="1:41 16381:16384">
      <c r="A13" s="443"/>
      <c r="B13" s="410" t="s">
        <v>287</v>
      </c>
      <c r="C13" s="410"/>
      <c r="D13" s="410"/>
      <c r="E13" s="410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444"/>
      <c r="Q13" s="444"/>
      <c r="R13" s="444"/>
      <c r="S13" s="444"/>
      <c r="T13" s="444"/>
      <c r="U13" s="444"/>
      <c r="V13" s="444"/>
      <c r="W13" s="444"/>
      <c r="X13" s="444"/>
      <c r="Y13" s="444"/>
      <c r="Z13" s="444"/>
      <c r="AA13" s="444"/>
      <c r="AB13" s="444"/>
      <c r="AC13" s="444"/>
      <c r="AD13" s="444"/>
      <c r="AE13" s="444"/>
      <c r="AF13" s="444"/>
      <c r="AG13" s="444"/>
      <c r="AH13" s="444"/>
      <c r="AI13" s="444"/>
      <c r="AJ13" s="444"/>
      <c r="AK13" s="444"/>
      <c r="AL13" s="444"/>
      <c r="AM13" s="444"/>
      <c r="AN13" s="444"/>
      <c r="AO13" s="444"/>
      <c r="XFA13" s="159"/>
      <c r="XFB13" s="159"/>
      <c r="XFC13" s="159"/>
      <c r="XFD13" s="159"/>
    </row>
    <row r="14" customFormat="1" ht="13.5" spans="1:41 16381:16384">
      <c r="A14" s="445"/>
      <c r="B14" s="446"/>
      <c r="C14" s="446"/>
      <c r="D14" s="446"/>
      <c r="E14" s="446"/>
      <c r="F14" s="444"/>
      <c r="G14" s="444"/>
      <c r="H14" s="444"/>
      <c r="I14" s="444"/>
      <c r="J14" s="444"/>
      <c r="K14" s="444"/>
      <c r="L14" s="444"/>
      <c r="M14" s="444"/>
      <c r="N14" s="444"/>
      <c r="O14" s="444"/>
      <c r="P14" s="444"/>
      <c r="Q14" s="444"/>
      <c r="R14" s="444"/>
      <c r="S14" s="444"/>
      <c r="T14" s="444"/>
      <c r="U14" s="444"/>
      <c r="V14" s="444"/>
      <c r="W14" s="444"/>
      <c r="X14" s="444"/>
      <c r="Y14" s="444"/>
      <c r="Z14" s="444"/>
      <c r="AA14" s="444"/>
      <c r="AB14" s="444"/>
      <c r="AC14" s="444"/>
      <c r="AD14" s="444"/>
      <c r="AE14" s="444"/>
      <c r="AF14" s="444"/>
      <c r="AG14" s="444"/>
      <c r="AH14" s="444"/>
      <c r="AI14" s="444"/>
      <c r="AJ14" s="444"/>
      <c r="AK14" s="444"/>
      <c r="AL14" s="444"/>
      <c r="AM14" s="444"/>
      <c r="AN14" s="444"/>
      <c r="AO14" s="444"/>
      <c r="XFA14" s="159"/>
      <c r="XFB14" s="159"/>
      <c r="XFC14" s="159"/>
      <c r="XFD14" s="159"/>
    </row>
    <row r="15" s="376" customFormat="1" spans="1:41 16381:16384">
      <c r="A15" s="375"/>
      <c r="C15" s="375"/>
      <c r="D15" s="375"/>
      <c r="E15" s="375"/>
      <c r="F15" s="375"/>
      <c r="G15" s="375"/>
      <c r="H15" s="375"/>
      <c r="I15" s="375"/>
    </row>
    <row r="16" spans="1:41 16381:16384">
      <c r="A16" s="378" t="s">
        <v>5</v>
      </c>
      <c r="B16" s="377" t="s">
        <v>2001</v>
      </c>
      <c r="C16" s="447" t="s">
        <v>2000</v>
      </c>
      <c r="D16" s="447" t="s">
        <v>281</v>
      </c>
      <c r="E16" s="398" t="s">
        <v>1427</v>
      </c>
      <c r="F16" s="399"/>
      <c r="G16" s="399"/>
      <c r="H16" s="399"/>
      <c r="I16" s="399"/>
      <c r="J16" s="399"/>
      <c r="K16" s="399"/>
      <c r="L16" s="399"/>
      <c r="M16" s="399"/>
      <c r="N16" s="399"/>
      <c r="O16" s="399"/>
      <c r="P16" s="399"/>
    </row>
    <row r="17" spans="1:16">
      <c r="A17" s="378"/>
      <c r="B17" s="377"/>
      <c r="C17" s="448"/>
      <c r="D17" s="448"/>
      <c r="E17" s="400" t="s">
        <v>304</v>
      </c>
      <c r="F17" s="400" t="s">
        <v>305</v>
      </c>
      <c r="G17" s="400" t="s">
        <v>306</v>
      </c>
      <c r="H17" s="400" t="s">
        <v>307</v>
      </c>
      <c r="I17" s="400" t="s">
        <v>308</v>
      </c>
      <c r="J17" s="400" t="s">
        <v>309</v>
      </c>
      <c r="K17" s="400" t="s">
        <v>310</v>
      </c>
      <c r="L17" s="400" t="s">
        <v>311</v>
      </c>
      <c r="M17" s="400" t="s">
        <v>312</v>
      </c>
      <c r="N17" s="400" t="s">
        <v>313</v>
      </c>
      <c r="O17" s="400" t="s">
        <v>314</v>
      </c>
      <c r="P17" s="400" t="s">
        <v>315</v>
      </c>
    </row>
    <row r="18" spans="1:16">
      <c r="A18" s="410" t="s">
        <v>1421</v>
      </c>
      <c r="B18" s="443" t="s">
        <v>1465</v>
      </c>
      <c r="C18" s="449" t="s">
        <v>1465</v>
      </c>
      <c r="D18" s="380" t="s">
        <v>199</v>
      </c>
      <c r="E18" s="450" t="s">
        <v>1465</v>
      </c>
      <c r="F18" s="450" t="s">
        <v>1465</v>
      </c>
      <c r="G18" s="450" t="s">
        <v>1465</v>
      </c>
      <c r="H18" s="450" t="s">
        <v>1465</v>
      </c>
      <c r="I18" s="450" t="s">
        <v>1465</v>
      </c>
      <c r="J18" s="450" t="s">
        <v>1465</v>
      </c>
      <c r="K18" s="450" t="s">
        <v>1465</v>
      </c>
      <c r="L18" s="450" t="s">
        <v>1465</v>
      </c>
      <c r="M18" s="450" t="s">
        <v>1465</v>
      </c>
      <c r="N18" s="450" t="s">
        <v>1465</v>
      </c>
      <c r="O18" s="450" t="s">
        <v>1465</v>
      </c>
      <c r="P18" s="450" t="s">
        <v>1465</v>
      </c>
    </row>
    <row r="19" spans="1:16">
      <c r="A19" s="451"/>
      <c r="B19" s="451"/>
      <c r="C19" s="437"/>
      <c r="D19" s="380"/>
      <c r="E19" s="381"/>
      <c r="F19" s="390"/>
      <c r="G19" s="391"/>
      <c r="H19" s="391"/>
      <c r="I19" s="391"/>
      <c r="J19" s="391"/>
      <c r="K19" s="391"/>
      <c r="L19" s="391"/>
      <c r="M19" s="391"/>
      <c r="N19" s="391"/>
      <c r="O19" s="391"/>
      <c r="P19" s="391"/>
    </row>
    <row r="20" spans="1:16">
      <c r="A20" s="451"/>
      <c r="B20" s="451"/>
      <c r="C20" s="437"/>
      <c r="D20" s="380"/>
      <c r="E20" s="381"/>
      <c r="F20" s="390"/>
      <c r="G20" s="391"/>
      <c r="H20" s="391"/>
      <c r="I20" s="391"/>
      <c r="J20" s="391"/>
      <c r="K20" s="391"/>
      <c r="L20" s="391"/>
      <c r="M20" s="391"/>
      <c r="N20" s="391"/>
      <c r="O20" s="391"/>
      <c r="P20" s="391"/>
    </row>
    <row r="21" spans="1:16">
      <c r="A21" s="451"/>
      <c r="B21" s="451"/>
      <c r="C21" s="437"/>
      <c r="D21" s="380"/>
      <c r="E21" s="381"/>
      <c r="F21" s="390"/>
      <c r="G21" s="391"/>
      <c r="H21" s="391"/>
      <c r="I21" s="391"/>
      <c r="J21" s="391"/>
      <c r="K21" s="391"/>
      <c r="L21" s="391"/>
      <c r="M21" s="391"/>
      <c r="N21" s="391"/>
      <c r="O21" s="391"/>
      <c r="P21" s="391"/>
    </row>
    <row r="22" spans="1:16">
      <c r="A22" s="451"/>
      <c r="B22" s="451"/>
      <c r="C22" s="437"/>
      <c r="D22" s="380"/>
      <c r="E22" s="381"/>
      <c r="F22" s="390"/>
      <c r="G22" s="391"/>
      <c r="H22" s="391"/>
      <c r="I22" s="391"/>
      <c r="J22" s="391"/>
      <c r="K22" s="391"/>
      <c r="L22" s="391"/>
      <c r="M22" s="391"/>
      <c r="N22" s="391"/>
      <c r="O22" s="391"/>
      <c r="P22" s="391"/>
    </row>
    <row r="23" spans="1:16">
      <c r="A23" s="451"/>
      <c r="B23" s="451"/>
      <c r="C23" s="437"/>
      <c r="D23" s="380"/>
      <c r="E23" s="381"/>
      <c r="F23" s="390"/>
      <c r="G23" s="391"/>
      <c r="H23" s="391"/>
      <c r="I23" s="391"/>
      <c r="J23" s="391"/>
      <c r="K23" s="391"/>
      <c r="L23" s="391"/>
      <c r="M23" s="391"/>
      <c r="N23" s="391"/>
      <c r="O23" s="391"/>
      <c r="P23" s="391"/>
    </row>
    <row r="24" spans="1:16">
      <c r="A24" s="451"/>
      <c r="B24" s="451"/>
      <c r="C24" s="437"/>
      <c r="D24" s="380"/>
      <c r="E24" s="381"/>
      <c r="F24" s="390"/>
      <c r="G24" s="391"/>
      <c r="H24" s="391"/>
      <c r="I24" s="391"/>
      <c r="J24" s="391"/>
      <c r="K24" s="391"/>
      <c r="L24" s="391"/>
      <c r="M24" s="391"/>
      <c r="N24" s="391"/>
      <c r="O24" s="391"/>
      <c r="P24" s="391"/>
    </row>
    <row r="25" spans="1:16">
      <c r="A25" s="451"/>
      <c r="B25" s="451"/>
      <c r="C25" s="437"/>
      <c r="D25" s="380"/>
      <c r="E25" s="381"/>
      <c r="F25" s="390"/>
      <c r="G25" s="391"/>
      <c r="H25" s="391"/>
      <c r="I25" s="391"/>
      <c r="J25" s="391"/>
      <c r="K25" s="391"/>
      <c r="L25" s="391"/>
      <c r="M25" s="391"/>
      <c r="N25" s="391"/>
      <c r="O25" s="391"/>
      <c r="P25" s="391"/>
    </row>
    <row r="26" spans="1:16">
      <c r="A26" s="451"/>
      <c r="B26" s="451"/>
      <c r="C26" s="437"/>
      <c r="D26" s="380"/>
      <c r="E26" s="381"/>
      <c r="F26" s="390"/>
      <c r="G26" s="391"/>
      <c r="H26" s="391"/>
      <c r="I26" s="391"/>
      <c r="J26" s="391"/>
      <c r="K26" s="391"/>
      <c r="L26" s="391"/>
      <c r="M26" s="391"/>
      <c r="N26" s="391"/>
      <c r="O26" s="391"/>
      <c r="P26" s="391"/>
    </row>
    <row r="27" spans="1:16">
      <c r="A27" s="451"/>
      <c r="B27" s="451"/>
      <c r="C27" s="437"/>
      <c r="D27" s="380"/>
      <c r="E27" s="381"/>
      <c r="F27" s="390"/>
      <c r="G27" s="391"/>
      <c r="H27" s="391"/>
      <c r="I27" s="391"/>
      <c r="J27" s="391"/>
      <c r="K27" s="391"/>
      <c r="L27" s="391"/>
      <c r="M27" s="391"/>
      <c r="N27" s="391"/>
      <c r="O27" s="391"/>
      <c r="P27" s="391"/>
    </row>
    <row r="28" spans="1:16">
      <c r="A28" s="451"/>
      <c r="B28" s="451"/>
      <c r="C28" s="437"/>
      <c r="D28" s="380"/>
      <c r="E28" s="381"/>
      <c r="F28" s="390"/>
      <c r="G28" s="391"/>
      <c r="H28" s="391"/>
      <c r="I28" s="391"/>
      <c r="J28" s="391"/>
      <c r="K28" s="391"/>
      <c r="L28" s="391"/>
      <c r="M28" s="391"/>
      <c r="N28" s="391"/>
      <c r="O28" s="391"/>
      <c r="P28" s="391"/>
    </row>
    <row r="29" spans="1:16">
      <c r="A29" s="451"/>
      <c r="B29" s="451"/>
      <c r="C29" s="437"/>
      <c r="D29" s="380"/>
      <c r="E29" s="381"/>
      <c r="F29" s="390"/>
      <c r="G29" s="391"/>
      <c r="H29" s="391"/>
      <c r="I29" s="391"/>
      <c r="J29" s="391"/>
      <c r="K29" s="391"/>
      <c r="L29" s="391"/>
      <c r="M29" s="391"/>
      <c r="N29" s="391"/>
      <c r="O29" s="391"/>
      <c r="P29" s="391"/>
    </row>
    <row r="30" spans="1:16">
      <c r="A30" s="451"/>
      <c r="B30" s="451"/>
      <c r="C30" s="437"/>
      <c r="D30" s="380"/>
      <c r="E30" s="381"/>
      <c r="F30" s="390"/>
      <c r="G30" s="391"/>
      <c r="H30" s="391"/>
      <c r="I30" s="391"/>
      <c r="J30" s="391"/>
      <c r="K30" s="391"/>
      <c r="L30" s="391"/>
      <c r="M30" s="391"/>
      <c r="N30" s="391"/>
      <c r="O30" s="391"/>
      <c r="P30" s="391"/>
    </row>
    <row r="31" spans="1:16">
      <c r="A31" s="451"/>
      <c r="B31" s="451"/>
      <c r="C31" s="437"/>
      <c r="D31" s="380"/>
      <c r="E31" s="381"/>
      <c r="F31" s="390"/>
      <c r="G31" s="391"/>
      <c r="H31" s="391"/>
      <c r="I31" s="391"/>
      <c r="J31" s="391"/>
      <c r="K31" s="391"/>
      <c r="L31" s="391"/>
      <c r="M31" s="391"/>
      <c r="N31" s="391"/>
      <c r="O31" s="391"/>
      <c r="P31" s="391"/>
    </row>
    <row r="32" spans="1:16">
      <c r="A32" s="451"/>
      <c r="B32" s="451"/>
      <c r="C32" s="437"/>
      <c r="D32" s="380"/>
      <c r="E32" s="381"/>
      <c r="F32" s="390"/>
      <c r="G32" s="391"/>
      <c r="H32" s="391"/>
      <c r="I32" s="391"/>
      <c r="J32" s="391"/>
      <c r="K32" s="391"/>
      <c r="L32" s="391"/>
      <c r="M32" s="391"/>
      <c r="N32" s="391"/>
      <c r="O32" s="391"/>
      <c r="P32" s="391"/>
    </row>
    <row r="33" spans="1:16">
      <c r="A33" s="451"/>
      <c r="B33" s="451"/>
      <c r="C33" s="437"/>
      <c r="D33" s="380"/>
      <c r="E33" s="381"/>
      <c r="F33" s="390"/>
      <c r="G33" s="391"/>
      <c r="H33" s="391"/>
      <c r="I33" s="391"/>
      <c r="J33" s="391"/>
      <c r="K33" s="391"/>
      <c r="L33" s="391"/>
      <c r="M33" s="391"/>
      <c r="N33" s="391"/>
      <c r="O33" s="391"/>
      <c r="P33" s="391"/>
    </row>
    <row r="34" spans="1:16">
      <c r="A34" s="452" t="s">
        <v>281</v>
      </c>
      <c r="B34" s="452"/>
      <c r="C34" s="453"/>
      <c r="D34" s="453"/>
      <c r="E34" s="453"/>
      <c r="F34" s="453"/>
      <c r="G34" s="454"/>
      <c r="H34" s="454"/>
      <c r="I34" s="454"/>
      <c r="J34" s="454"/>
      <c r="K34" s="454"/>
      <c r="L34" s="454"/>
      <c r="M34" s="454"/>
      <c r="N34" s="454"/>
      <c r="O34" s="454"/>
      <c r="P34" s="454"/>
    </row>
  </sheetData>
  <mergeCells count="10">
    <mergeCell ref="A5:D5"/>
    <mergeCell ref="E16:P16"/>
    <mergeCell ref="A9:A10"/>
    <mergeCell ref="A16:A17"/>
    <mergeCell ref="B9:B10"/>
    <mergeCell ref="B16:B17"/>
    <mergeCell ref="C9:C10"/>
    <mergeCell ref="C16:C17"/>
    <mergeCell ref="D16:D17"/>
    <mergeCell ref="A1:D4"/>
  </mergeCells>
  <hyperlinks>
    <hyperlink ref="A1" location="目录!A1" display="← 返回目录"/>
  </hyperlinks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4">
    <tabColor theme="8" tint="0.399975585192419"/>
  </sheetPr>
  <dimension ref="A1:XFD34"/>
  <sheetViews>
    <sheetView zoomScale="110" zoomScaleNormal="110" workbookViewId="0">
      <selection activeCell="A1" sqref="A1:D4"/>
    </sheetView>
  </sheetViews>
  <sheetFormatPr defaultColWidth="8.725" defaultRowHeight="11.25"/>
  <cols>
    <col min="1" max="1" width="8.725" style="159"/>
    <col min="2" max="2" width="9.54166666666667" style="159" customWidth="1"/>
    <col min="3" max="3" width="12.5416666666667" style="159" customWidth="1"/>
    <col min="4" max="4" width="8.725" style="159"/>
    <col min="5" max="5" width="7.90833333333333" style="159" customWidth="1"/>
    <col min="6" max="7" width="8.725" style="159"/>
    <col min="8" max="8" width="9.725" style="159" customWidth="1"/>
    <col min="9" max="9" width="9.81666666666667" style="159" customWidth="1"/>
    <col min="10" max="11" width="8.725" style="159"/>
    <col min="12" max="12" width="9.26666666666667" style="159" customWidth="1"/>
    <col min="13" max="16384" width="8.725" style="159"/>
  </cols>
  <sheetData>
    <row r="1" spans="1:41 16381:16384">
      <c r="A1" s="202" t="s">
        <v>185</v>
      </c>
      <c r="B1" s="291"/>
      <c r="C1" s="291"/>
      <c r="D1" s="291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pans="1:41 16381:16384">
      <c r="A2" s="291"/>
      <c r="B2" s="291"/>
      <c r="C2" s="291"/>
      <c r="D2" s="291"/>
      <c r="E2" s="12"/>
      <c r="F2" s="13" t="s">
        <v>1991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pans="1:41 16381:16384">
      <c r="A3" s="291"/>
      <c r="B3" s="291"/>
      <c r="C3" s="291"/>
      <c r="D3" s="291"/>
      <c r="E3" s="12"/>
      <c r="F3" s="13" t="s">
        <v>1660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spans="1:41 16381:16384">
      <c r="A4" s="291"/>
      <c r="B4" s="291"/>
      <c r="C4" s="291"/>
      <c r="D4" s="291"/>
      <c r="E4" s="12"/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pans="1:41 16381:16384">
      <c r="A5" s="292" t="s">
        <v>1993</v>
      </c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ht="13.5" spans="1:41 16381:16384">
      <c r="A6" s="1"/>
      <c r="B6" s="1"/>
      <c r="C6" s="1"/>
      <c r="D6" s="1"/>
      <c r="E6"/>
      <c r="F6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ht="13.5" spans="1:41 16381:16384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9" spans="1:41 16381:16384">
      <c r="A9" s="441" t="s">
        <v>5</v>
      </c>
      <c r="B9" s="332" t="s">
        <v>1925</v>
      </c>
      <c r="C9" s="332" t="s">
        <v>281</v>
      </c>
      <c r="D9" s="442"/>
      <c r="E9" s="442"/>
      <c r="F9" s="442"/>
      <c r="G9" s="442"/>
      <c r="H9" s="442"/>
      <c r="I9" s="442"/>
      <c r="J9" s="442"/>
      <c r="K9" s="442"/>
      <c r="L9" s="442"/>
      <c r="M9" s="442"/>
      <c r="N9" s="442"/>
      <c r="O9" s="442"/>
    </row>
    <row r="10" spans="1:41 16381:16384">
      <c r="A10" s="377"/>
      <c r="B10" s="338"/>
      <c r="C10" s="338"/>
      <c r="D10" s="315" t="s">
        <v>304</v>
      </c>
      <c r="E10" s="315" t="s">
        <v>305</v>
      </c>
      <c r="F10" s="315" t="s">
        <v>306</v>
      </c>
      <c r="G10" s="315" t="s">
        <v>307</v>
      </c>
      <c r="H10" s="315" t="s">
        <v>308</v>
      </c>
      <c r="I10" s="315" t="s">
        <v>309</v>
      </c>
      <c r="J10" s="315" t="s">
        <v>310</v>
      </c>
      <c r="K10" s="315" t="s">
        <v>311</v>
      </c>
      <c r="L10" s="315" t="s">
        <v>312</v>
      </c>
      <c r="M10" s="315" t="s">
        <v>313</v>
      </c>
      <c r="N10" s="315" t="s">
        <v>314</v>
      </c>
      <c r="O10" s="315" t="s">
        <v>315</v>
      </c>
    </row>
    <row r="11" spans="1:41 16381:16384">
      <c r="A11" s="443" t="s">
        <v>1463</v>
      </c>
      <c r="B11" s="410">
        <v>2025</v>
      </c>
      <c r="C11" s="410" t="s">
        <v>199</v>
      </c>
      <c r="D11" s="315" t="s">
        <v>1421</v>
      </c>
      <c r="E11" s="315" t="s">
        <v>1421</v>
      </c>
      <c r="F11" s="315" t="s">
        <v>1421</v>
      </c>
      <c r="G11" s="315" t="s">
        <v>1421</v>
      </c>
      <c r="H11" s="315" t="s">
        <v>1421</v>
      </c>
      <c r="I11" s="315" t="s">
        <v>1421</v>
      </c>
      <c r="J11" s="315" t="s">
        <v>1421</v>
      </c>
      <c r="K11" s="315" t="s">
        <v>1421</v>
      </c>
      <c r="L11" s="315" t="s">
        <v>1421</v>
      </c>
      <c r="M11" s="315" t="s">
        <v>1421</v>
      </c>
      <c r="N11" s="315" t="s">
        <v>1421</v>
      </c>
      <c r="O11" s="315" t="s">
        <v>1421</v>
      </c>
    </row>
    <row r="12" customFormat="1" ht="13.5" spans="1:41 16381:16384">
      <c r="A12" s="443"/>
      <c r="B12" s="410">
        <v>2026</v>
      </c>
      <c r="C12" s="410"/>
      <c r="D12" s="410"/>
      <c r="E12" s="410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444"/>
      <c r="Q12" s="444"/>
      <c r="R12" s="444"/>
      <c r="S12" s="444"/>
      <c r="T12" s="444"/>
      <c r="U12" s="444"/>
      <c r="V12" s="444"/>
      <c r="W12" s="444"/>
      <c r="X12" s="444"/>
      <c r="Y12" s="444"/>
      <c r="Z12" s="444"/>
      <c r="AA12" s="444"/>
      <c r="AB12" s="444"/>
      <c r="AC12" s="444"/>
      <c r="AD12" s="444"/>
      <c r="AE12" s="444"/>
      <c r="AF12" s="444"/>
      <c r="AG12" s="444"/>
      <c r="AH12" s="444"/>
      <c r="AI12" s="444"/>
      <c r="AJ12" s="444"/>
      <c r="AK12" s="444"/>
      <c r="AL12" s="444"/>
      <c r="AM12" s="444"/>
      <c r="AN12" s="444"/>
      <c r="AO12" s="444"/>
      <c r="XFA12" s="159"/>
      <c r="XFB12" s="159"/>
      <c r="XFC12" s="159"/>
      <c r="XFD12" s="159"/>
    </row>
    <row r="13" customFormat="1" ht="13.5" spans="1:41 16381:16384">
      <c r="A13" s="443"/>
      <c r="B13" s="410" t="s">
        <v>287</v>
      </c>
      <c r="C13" s="410"/>
      <c r="D13" s="410"/>
      <c r="E13" s="410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444"/>
      <c r="Q13" s="444"/>
      <c r="R13" s="444"/>
      <c r="S13" s="444"/>
      <c r="T13" s="444"/>
      <c r="U13" s="444"/>
      <c r="V13" s="444"/>
      <c r="W13" s="444"/>
      <c r="X13" s="444"/>
      <c r="Y13" s="444"/>
      <c r="Z13" s="444"/>
      <c r="AA13" s="444"/>
      <c r="AB13" s="444"/>
      <c r="AC13" s="444"/>
      <c r="AD13" s="444"/>
      <c r="AE13" s="444"/>
      <c r="AF13" s="444"/>
      <c r="AG13" s="444"/>
      <c r="AH13" s="444"/>
      <c r="AI13" s="444"/>
      <c r="AJ13" s="444"/>
      <c r="AK13" s="444"/>
      <c r="AL13" s="444"/>
      <c r="AM13" s="444"/>
      <c r="AN13" s="444"/>
      <c r="AO13" s="444"/>
      <c r="XFA13" s="159"/>
      <c r="XFB13" s="159"/>
      <c r="XFC13" s="159"/>
      <c r="XFD13" s="159"/>
    </row>
    <row r="14" customFormat="1" ht="13.5" spans="1:41 16381:16384">
      <c r="A14" s="445"/>
      <c r="B14" s="446"/>
      <c r="C14" s="446"/>
      <c r="D14" s="446"/>
      <c r="E14" s="446"/>
      <c r="F14" s="444"/>
      <c r="G14" s="444"/>
      <c r="H14" s="444"/>
      <c r="I14" s="444"/>
      <c r="J14" s="444"/>
      <c r="K14" s="444"/>
      <c r="L14" s="444"/>
      <c r="M14" s="444"/>
      <c r="N14" s="444"/>
      <c r="O14" s="444"/>
      <c r="P14" s="444"/>
      <c r="Q14" s="444"/>
      <c r="R14" s="444"/>
      <c r="S14" s="444"/>
      <c r="T14" s="444"/>
      <c r="U14" s="444"/>
      <c r="V14" s="444"/>
      <c r="W14" s="444"/>
      <c r="X14" s="444"/>
      <c r="Y14" s="444"/>
      <c r="Z14" s="444"/>
      <c r="AA14" s="444"/>
      <c r="AB14" s="444"/>
      <c r="AC14" s="444"/>
      <c r="AD14" s="444"/>
      <c r="AE14" s="444"/>
      <c r="AF14" s="444"/>
      <c r="AG14" s="444"/>
      <c r="AH14" s="444"/>
      <c r="AI14" s="444"/>
      <c r="AJ14" s="444"/>
      <c r="AK14" s="444"/>
      <c r="AL14" s="444"/>
      <c r="AM14" s="444"/>
      <c r="AN14" s="444"/>
      <c r="AO14" s="444"/>
      <c r="XFA14" s="159"/>
      <c r="XFB14" s="159"/>
      <c r="XFC14" s="159"/>
      <c r="XFD14" s="159"/>
    </row>
    <row r="15" s="376" customFormat="1" spans="1:41 16381:16384">
      <c r="A15" s="375"/>
      <c r="C15" s="375"/>
      <c r="D15" s="375"/>
      <c r="E15" s="375"/>
      <c r="F15" s="375"/>
      <c r="G15" s="375"/>
      <c r="H15" s="375"/>
      <c r="I15" s="375"/>
    </row>
    <row r="16" spans="1:41 16381:16384">
      <c r="A16" s="378" t="s">
        <v>5</v>
      </c>
      <c r="B16" s="377" t="s">
        <v>2001</v>
      </c>
      <c r="C16" s="447" t="s">
        <v>2000</v>
      </c>
      <c r="D16" s="447" t="s">
        <v>281</v>
      </c>
      <c r="E16" s="398" t="s">
        <v>1427</v>
      </c>
      <c r="F16" s="399"/>
      <c r="G16" s="399"/>
      <c r="H16" s="399"/>
      <c r="I16" s="399"/>
      <c r="J16" s="399"/>
      <c r="K16" s="399"/>
      <c r="L16" s="399"/>
      <c r="M16" s="399"/>
      <c r="N16" s="399"/>
      <c r="O16" s="399"/>
      <c r="P16" s="399"/>
    </row>
    <row r="17" spans="1:16">
      <c r="A17" s="378"/>
      <c r="B17" s="377"/>
      <c r="C17" s="448"/>
      <c r="D17" s="448"/>
      <c r="E17" s="400" t="s">
        <v>304</v>
      </c>
      <c r="F17" s="400" t="s">
        <v>305</v>
      </c>
      <c r="G17" s="400" t="s">
        <v>306</v>
      </c>
      <c r="H17" s="400" t="s">
        <v>307</v>
      </c>
      <c r="I17" s="400" t="s">
        <v>308</v>
      </c>
      <c r="J17" s="400" t="s">
        <v>309</v>
      </c>
      <c r="K17" s="400" t="s">
        <v>310</v>
      </c>
      <c r="L17" s="400" t="s">
        <v>311</v>
      </c>
      <c r="M17" s="400" t="s">
        <v>312</v>
      </c>
      <c r="N17" s="400" t="s">
        <v>313</v>
      </c>
      <c r="O17" s="400" t="s">
        <v>314</v>
      </c>
      <c r="P17" s="400" t="s">
        <v>315</v>
      </c>
    </row>
    <row r="18" spans="1:16">
      <c r="A18" s="410" t="s">
        <v>1421</v>
      </c>
      <c r="B18" s="443" t="s">
        <v>1465</v>
      </c>
      <c r="C18" s="449" t="s">
        <v>1465</v>
      </c>
      <c r="D18" s="380" t="s">
        <v>199</v>
      </c>
      <c r="E18" s="450" t="s">
        <v>1465</v>
      </c>
      <c r="F18" s="450" t="s">
        <v>1465</v>
      </c>
      <c r="G18" s="450" t="s">
        <v>1465</v>
      </c>
      <c r="H18" s="450" t="s">
        <v>1465</v>
      </c>
      <c r="I18" s="450" t="s">
        <v>1465</v>
      </c>
      <c r="J18" s="450" t="s">
        <v>1465</v>
      </c>
      <c r="K18" s="450" t="s">
        <v>1465</v>
      </c>
      <c r="L18" s="450" t="s">
        <v>1465</v>
      </c>
      <c r="M18" s="450" t="s">
        <v>1465</v>
      </c>
      <c r="N18" s="450" t="s">
        <v>1465</v>
      </c>
      <c r="O18" s="450" t="s">
        <v>1465</v>
      </c>
      <c r="P18" s="450" t="s">
        <v>1465</v>
      </c>
    </row>
    <row r="19" spans="1:16">
      <c r="A19" s="451"/>
      <c r="B19" s="451"/>
      <c r="C19" s="437"/>
      <c r="D19" s="380"/>
      <c r="E19" s="381"/>
      <c r="F19" s="390"/>
      <c r="G19" s="391"/>
      <c r="H19" s="391"/>
      <c r="I19" s="391"/>
      <c r="J19" s="391"/>
      <c r="K19" s="391"/>
      <c r="L19" s="391"/>
      <c r="M19" s="391"/>
      <c r="N19" s="391"/>
      <c r="O19" s="391"/>
      <c r="P19" s="391"/>
    </row>
    <row r="20" spans="1:16">
      <c r="A20" s="451"/>
      <c r="B20" s="451"/>
      <c r="C20" s="437"/>
      <c r="D20" s="380"/>
      <c r="E20" s="381"/>
      <c r="F20" s="390"/>
      <c r="G20" s="391"/>
      <c r="H20" s="391"/>
      <c r="I20" s="391"/>
      <c r="J20" s="391"/>
      <c r="K20" s="391"/>
      <c r="L20" s="391"/>
      <c r="M20" s="391"/>
      <c r="N20" s="391"/>
      <c r="O20" s="391"/>
      <c r="P20" s="391"/>
    </row>
    <row r="21" spans="1:16">
      <c r="A21" s="451"/>
      <c r="B21" s="451"/>
      <c r="C21" s="437"/>
      <c r="D21" s="380"/>
      <c r="E21" s="381"/>
      <c r="F21" s="390"/>
      <c r="G21" s="391"/>
      <c r="H21" s="391"/>
      <c r="I21" s="391"/>
      <c r="J21" s="391"/>
      <c r="K21" s="391"/>
      <c r="L21" s="391"/>
      <c r="M21" s="391"/>
      <c r="N21" s="391"/>
      <c r="O21" s="391"/>
      <c r="P21" s="391"/>
    </row>
    <row r="22" spans="1:16">
      <c r="A22" s="451"/>
      <c r="B22" s="451"/>
      <c r="C22" s="437"/>
      <c r="D22" s="380"/>
      <c r="E22" s="381"/>
      <c r="F22" s="390"/>
      <c r="G22" s="391"/>
      <c r="H22" s="391"/>
      <c r="I22" s="391"/>
      <c r="J22" s="391"/>
      <c r="K22" s="391"/>
      <c r="L22" s="391"/>
      <c r="M22" s="391"/>
      <c r="N22" s="391"/>
      <c r="O22" s="391"/>
      <c r="P22" s="391"/>
    </row>
    <row r="23" spans="1:16">
      <c r="A23" s="451"/>
      <c r="B23" s="451"/>
      <c r="C23" s="437"/>
      <c r="D23" s="380"/>
      <c r="E23" s="381"/>
      <c r="F23" s="390"/>
      <c r="G23" s="391"/>
      <c r="H23" s="391"/>
      <c r="I23" s="391"/>
      <c r="J23" s="391"/>
      <c r="K23" s="391"/>
      <c r="L23" s="391"/>
      <c r="M23" s="391"/>
      <c r="N23" s="391"/>
      <c r="O23" s="391"/>
      <c r="P23" s="391"/>
    </row>
    <row r="24" spans="1:16">
      <c r="A24" s="451"/>
      <c r="B24" s="451"/>
      <c r="C24" s="437"/>
      <c r="D24" s="380"/>
      <c r="E24" s="381"/>
      <c r="F24" s="390"/>
      <c r="G24" s="391"/>
      <c r="H24" s="391"/>
      <c r="I24" s="391"/>
      <c r="J24" s="391"/>
      <c r="K24" s="391"/>
      <c r="L24" s="391"/>
      <c r="M24" s="391"/>
      <c r="N24" s="391"/>
      <c r="O24" s="391"/>
      <c r="P24" s="391"/>
    </row>
    <row r="25" spans="1:16">
      <c r="A25" s="451"/>
      <c r="B25" s="451"/>
      <c r="C25" s="437"/>
      <c r="D25" s="380"/>
      <c r="E25" s="381"/>
      <c r="F25" s="390"/>
      <c r="G25" s="391"/>
      <c r="H25" s="391"/>
      <c r="I25" s="391"/>
      <c r="J25" s="391"/>
      <c r="K25" s="391"/>
      <c r="L25" s="391"/>
      <c r="M25" s="391"/>
      <c r="N25" s="391"/>
      <c r="O25" s="391"/>
      <c r="P25" s="391"/>
    </row>
    <row r="26" spans="1:16">
      <c r="A26" s="451"/>
      <c r="B26" s="451"/>
      <c r="C26" s="437"/>
      <c r="D26" s="380"/>
      <c r="E26" s="381"/>
      <c r="F26" s="390"/>
      <c r="G26" s="391"/>
      <c r="H26" s="391"/>
      <c r="I26" s="391"/>
      <c r="J26" s="391"/>
      <c r="K26" s="391"/>
      <c r="L26" s="391"/>
      <c r="M26" s="391"/>
      <c r="N26" s="391"/>
      <c r="O26" s="391"/>
      <c r="P26" s="391"/>
    </row>
    <row r="27" spans="1:16">
      <c r="A27" s="451"/>
      <c r="B27" s="451"/>
      <c r="C27" s="437"/>
      <c r="D27" s="380"/>
      <c r="E27" s="381"/>
      <c r="F27" s="390"/>
      <c r="G27" s="391"/>
      <c r="H27" s="391"/>
      <c r="I27" s="391"/>
      <c r="J27" s="391"/>
      <c r="K27" s="391"/>
      <c r="L27" s="391"/>
      <c r="M27" s="391"/>
      <c r="N27" s="391"/>
      <c r="O27" s="391"/>
      <c r="P27" s="391"/>
    </row>
    <row r="28" spans="1:16">
      <c r="A28" s="451"/>
      <c r="B28" s="451"/>
      <c r="C28" s="437"/>
      <c r="D28" s="380"/>
      <c r="E28" s="381"/>
      <c r="F28" s="390"/>
      <c r="G28" s="391"/>
      <c r="H28" s="391"/>
      <c r="I28" s="391"/>
      <c r="J28" s="391"/>
      <c r="K28" s="391"/>
      <c r="L28" s="391"/>
      <c r="M28" s="391"/>
      <c r="N28" s="391"/>
      <c r="O28" s="391"/>
      <c r="P28" s="391"/>
    </row>
    <row r="29" spans="1:16">
      <c r="A29" s="451"/>
      <c r="B29" s="451"/>
      <c r="C29" s="437"/>
      <c r="D29" s="380"/>
      <c r="E29" s="381"/>
      <c r="F29" s="390"/>
      <c r="G29" s="391"/>
      <c r="H29" s="391"/>
      <c r="I29" s="391"/>
      <c r="J29" s="391"/>
      <c r="K29" s="391"/>
      <c r="L29" s="391"/>
      <c r="M29" s="391"/>
      <c r="N29" s="391"/>
      <c r="O29" s="391"/>
      <c r="P29" s="391"/>
    </row>
    <row r="30" spans="1:16">
      <c r="A30" s="451"/>
      <c r="B30" s="451"/>
      <c r="C30" s="437"/>
      <c r="D30" s="380"/>
      <c r="E30" s="381"/>
      <c r="F30" s="390"/>
      <c r="G30" s="391"/>
      <c r="H30" s="391"/>
      <c r="I30" s="391"/>
      <c r="J30" s="391"/>
      <c r="K30" s="391"/>
      <c r="L30" s="391"/>
      <c r="M30" s="391"/>
      <c r="N30" s="391"/>
      <c r="O30" s="391"/>
      <c r="P30" s="391"/>
    </row>
    <row r="31" spans="1:16">
      <c r="A31" s="451"/>
      <c r="B31" s="451"/>
      <c r="C31" s="437"/>
      <c r="D31" s="380"/>
      <c r="E31" s="381"/>
      <c r="F31" s="390"/>
      <c r="G31" s="391"/>
      <c r="H31" s="391"/>
      <c r="I31" s="391"/>
      <c r="J31" s="391"/>
      <c r="K31" s="391"/>
      <c r="L31" s="391"/>
      <c r="M31" s="391"/>
      <c r="N31" s="391"/>
      <c r="O31" s="391"/>
      <c r="P31" s="391"/>
    </row>
    <row r="32" spans="1:16">
      <c r="A32" s="451"/>
      <c r="B32" s="451"/>
      <c r="C32" s="437"/>
      <c r="D32" s="380"/>
      <c r="E32" s="381"/>
      <c r="F32" s="390"/>
      <c r="G32" s="391"/>
      <c r="H32" s="391"/>
      <c r="I32" s="391"/>
      <c r="J32" s="391"/>
      <c r="K32" s="391"/>
      <c r="L32" s="391"/>
      <c r="M32" s="391"/>
      <c r="N32" s="391"/>
      <c r="O32" s="391"/>
      <c r="P32" s="391"/>
    </row>
    <row r="33" spans="1:16">
      <c r="A33" s="451"/>
      <c r="B33" s="451"/>
      <c r="C33" s="437"/>
      <c r="D33" s="380"/>
      <c r="E33" s="381"/>
      <c r="F33" s="390"/>
      <c r="G33" s="391"/>
      <c r="H33" s="391"/>
      <c r="I33" s="391"/>
      <c r="J33" s="391"/>
      <c r="K33" s="391"/>
      <c r="L33" s="391"/>
      <c r="M33" s="391"/>
      <c r="N33" s="391"/>
      <c r="O33" s="391"/>
      <c r="P33" s="391"/>
    </row>
    <row r="34" spans="1:16">
      <c r="A34" s="452" t="s">
        <v>281</v>
      </c>
      <c r="B34" s="452"/>
      <c r="C34" s="453"/>
      <c r="D34" s="453"/>
      <c r="E34" s="453"/>
      <c r="F34" s="453"/>
      <c r="G34" s="454"/>
      <c r="H34" s="454"/>
      <c r="I34" s="454"/>
      <c r="J34" s="454"/>
      <c r="K34" s="454"/>
      <c r="L34" s="454"/>
      <c r="M34" s="454"/>
      <c r="N34" s="454"/>
      <c r="O34" s="454"/>
      <c r="P34" s="454"/>
    </row>
  </sheetData>
  <mergeCells count="10">
    <mergeCell ref="A5:D5"/>
    <mergeCell ref="E16:P16"/>
    <mergeCell ref="A9:A10"/>
    <mergeCell ref="A16:A17"/>
    <mergeCell ref="B9:B10"/>
    <mergeCell ref="B16:B17"/>
    <mergeCell ref="C9:C10"/>
    <mergeCell ref="C16:C17"/>
    <mergeCell ref="D16:D17"/>
    <mergeCell ref="A1:D4"/>
  </mergeCells>
  <hyperlinks>
    <hyperlink ref="A1" location="目录!A1" display="← 返回目录"/>
  </hyperlinks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5">
    <tabColor theme="8" tint="0.399975585192419"/>
  </sheetPr>
  <dimension ref="A1:XFD34"/>
  <sheetViews>
    <sheetView zoomScale="110" zoomScaleNormal="110" workbookViewId="0">
      <selection activeCell="A1" sqref="A1:D4"/>
    </sheetView>
  </sheetViews>
  <sheetFormatPr defaultColWidth="8.725" defaultRowHeight="11.25"/>
  <cols>
    <col min="1" max="1" width="8.725" style="159"/>
    <col min="2" max="2" width="9.54166666666667" style="159" customWidth="1"/>
    <col min="3" max="3" width="12.5416666666667" style="159" customWidth="1"/>
    <col min="4" max="4" width="8.725" style="159"/>
    <col min="5" max="5" width="7.90833333333333" style="159" customWidth="1"/>
    <col min="6" max="7" width="8.725" style="159"/>
    <col min="8" max="8" width="9.725" style="159" customWidth="1"/>
    <col min="9" max="9" width="9.81666666666667" style="159" customWidth="1"/>
    <col min="10" max="11" width="8.725" style="159"/>
    <col min="12" max="12" width="9.26666666666667" style="159" customWidth="1"/>
    <col min="13" max="16384" width="8.725" style="159"/>
  </cols>
  <sheetData>
    <row r="1" spans="1:41 16381:16384">
      <c r="A1" s="202" t="s">
        <v>185</v>
      </c>
      <c r="B1" s="291"/>
      <c r="C1" s="291"/>
      <c r="D1" s="291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pans="1:41 16381:16384">
      <c r="A2" s="291"/>
      <c r="B2" s="291"/>
      <c r="C2" s="291"/>
      <c r="D2" s="291"/>
      <c r="E2" s="12"/>
      <c r="F2" s="13" t="s">
        <v>1991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pans="1:41 16381:16384">
      <c r="A3" s="291"/>
      <c r="B3" s="291"/>
      <c r="C3" s="291"/>
      <c r="D3" s="291"/>
      <c r="E3" s="12"/>
      <c r="F3" s="13" t="s">
        <v>1660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spans="1:41 16381:16384">
      <c r="A4" s="291"/>
      <c r="B4" s="291"/>
      <c r="C4" s="291"/>
      <c r="D4" s="291"/>
      <c r="E4" s="12"/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pans="1:41 16381:16384">
      <c r="A5" s="292" t="s">
        <v>1993</v>
      </c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ht="13.5" spans="1:41 16381:16384">
      <c r="A6" s="1"/>
      <c r="B6" s="1"/>
      <c r="C6" s="1"/>
      <c r="D6" s="1"/>
      <c r="E6"/>
      <c r="F6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ht="13.5" spans="1:41 16381:16384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9" spans="1:41 16381:16384">
      <c r="A9" s="441" t="s">
        <v>5</v>
      </c>
      <c r="B9" s="332" t="s">
        <v>1925</v>
      </c>
      <c r="C9" s="332" t="s">
        <v>281</v>
      </c>
      <c r="D9" s="442"/>
      <c r="E9" s="442"/>
      <c r="F9" s="442"/>
      <c r="G9" s="442"/>
      <c r="H9" s="442"/>
      <c r="I9" s="442"/>
      <c r="J9" s="442"/>
      <c r="K9" s="442"/>
      <c r="L9" s="442"/>
      <c r="M9" s="442"/>
      <c r="N9" s="442"/>
      <c r="O9" s="442"/>
    </row>
    <row r="10" spans="1:41 16381:16384">
      <c r="A10" s="377"/>
      <c r="B10" s="338"/>
      <c r="C10" s="338"/>
      <c r="D10" s="315" t="s">
        <v>304</v>
      </c>
      <c r="E10" s="315" t="s">
        <v>305</v>
      </c>
      <c r="F10" s="315" t="s">
        <v>306</v>
      </c>
      <c r="G10" s="315" t="s">
        <v>307</v>
      </c>
      <c r="H10" s="315" t="s">
        <v>308</v>
      </c>
      <c r="I10" s="315" t="s">
        <v>309</v>
      </c>
      <c r="J10" s="315" t="s">
        <v>310</v>
      </c>
      <c r="K10" s="315" t="s">
        <v>311</v>
      </c>
      <c r="L10" s="315" t="s">
        <v>312</v>
      </c>
      <c r="M10" s="315" t="s">
        <v>313</v>
      </c>
      <c r="N10" s="315" t="s">
        <v>314</v>
      </c>
      <c r="O10" s="315" t="s">
        <v>315</v>
      </c>
    </row>
    <row r="11" spans="1:41 16381:16384">
      <c r="A11" s="443" t="s">
        <v>1463</v>
      </c>
      <c r="B11" s="410">
        <v>2025</v>
      </c>
      <c r="C11" s="410" t="s">
        <v>199</v>
      </c>
      <c r="D11" s="315" t="s">
        <v>1421</v>
      </c>
      <c r="E11" s="315" t="s">
        <v>1421</v>
      </c>
      <c r="F11" s="315" t="s">
        <v>1421</v>
      </c>
      <c r="G11" s="315" t="s">
        <v>1421</v>
      </c>
      <c r="H11" s="315" t="s">
        <v>1421</v>
      </c>
      <c r="I11" s="315" t="s">
        <v>1421</v>
      </c>
      <c r="J11" s="315" t="s">
        <v>1421</v>
      </c>
      <c r="K11" s="315" t="s">
        <v>1421</v>
      </c>
      <c r="L11" s="315" t="s">
        <v>1421</v>
      </c>
      <c r="M11" s="315" t="s">
        <v>1421</v>
      </c>
      <c r="N11" s="315" t="s">
        <v>1421</v>
      </c>
      <c r="O11" s="315" t="s">
        <v>1421</v>
      </c>
    </row>
    <row r="12" customFormat="1" ht="13.5" spans="1:41 16381:16384">
      <c r="A12" s="443"/>
      <c r="B12" s="410">
        <v>2026</v>
      </c>
      <c r="C12" s="410"/>
      <c r="D12" s="410"/>
      <c r="E12" s="410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444"/>
      <c r="Q12" s="444"/>
      <c r="R12" s="444"/>
      <c r="S12" s="444"/>
      <c r="T12" s="444"/>
      <c r="U12" s="444"/>
      <c r="V12" s="444"/>
      <c r="W12" s="444"/>
      <c r="X12" s="444"/>
      <c r="Y12" s="444"/>
      <c r="Z12" s="444"/>
      <c r="AA12" s="444"/>
      <c r="AB12" s="444"/>
      <c r="AC12" s="444"/>
      <c r="AD12" s="444"/>
      <c r="AE12" s="444"/>
      <c r="AF12" s="444"/>
      <c r="AG12" s="444"/>
      <c r="AH12" s="444"/>
      <c r="AI12" s="444"/>
      <c r="AJ12" s="444"/>
      <c r="AK12" s="444"/>
      <c r="AL12" s="444"/>
      <c r="AM12" s="444"/>
      <c r="AN12" s="444"/>
      <c r="AO12" s="444"/>
      <c r="XFA12" s="159"/>
      <c r="XFB12" s="159"/>
      <c r="XFC12" s="159"/>
      <c r="XFD12" s="159"/>
    </row>
    <row r="13" customFormat="1" ht="13.5" spans="1:41 16381:16384">
      <c r="A13" s="443"/>
      <c r="B13" s="410" t="s">
        <v>287</v>
      </c>
      <c r="C13" s="410"/>
      <c r="D13" s="410"/>
      <c r="E13" s="410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444"/>
      <c r="Q13" s="444"/>
      <c r="R13" s="444"/>
      <c r="S13" s="444"/>
      <c r="T13" s="444"/>
      <c r="U13" s="444"/>
      <c r="V13" s="444"/>
      <c r="W13" s="444"/>
      <c r="X13" s="444"/>
      <c r="Y13" s="444"/>
      <c r="Z13" s="444"/>
      <c r="AA13" s="444"/>
      <c r="AB13" s="444"/>
      <c r="AC13" s="444"/>
      <c r="AD13" s="444"/>
      <c r="AE13" s="444"/>
      <c r="AF13" s="444"/>
      <c r="AG13" s="444"/>
      <c r="AH13" s="444"/>
      <c r="AI13" s="444"/>
      <c r="AJ13" s="444"/>
      <c r="AK13" s="444"/>
      <c r="AL13" s="444"/>
      <c r="AM13" s="444"/>
      <c r="AN13" s="444"/>
      <c r="AO13" s="444"/>
      <c r="XFA13" s="159"/>
      <c r="XFB13" s="159"/>
      <c r="XFC13" s="159"/>
      <c r="XFD13" s="159"/>
    </row>
    <row r="14" customFormat="1" ht="13.5" spans="1:41 16381:16384">
      <c r="A14" s="445"/>
      <c r="B14" s="446"/>
      <c r="C14" s="446"/>
      <c r="D14" s="446"/>
      <c r="E14" s="446"/>
      <c r="F14" s="444"/>
      <c r="G14" s="444"/>
      <c r="H14" s="444"/>
      <c r="I14" s="444"/>
      <c r="J14" s="444"/>
      <c r="K14" s="444"/>
      <c r="L14" s="444"/>
      <c r="M14" s="444"/>
      <c r="N14" s="444"/>
      <c r="O14" s="444"/>
      <c r="P14" s="444"/>
      <c r="Q14" s="444"/>
      <c r="R14" s="444"/>
      <c r="S14" s="444"/>
      <c r="T14" s="444"/>
      <c r="U14" s="444"/>
      <c r="V14" s="444"/>
      <c r="W14" s="444"/>
      <c r="X14" s="444"/>
      <c r="Y14" s="444"/>
      <c r="Z14" s="444"/>
      <c r="AA14" s="444"/>
      <c r="AB14" s="444"/>
      <c r="AC14" s="444"/>
      <c r="AD14" s="444"/>
      <c r="AE14" s="444"/>
      <c r="AF14" s="444"/>
      <c r="AG14" s="444"/>
      <c r="AH14" s="444"/>
      <c r="AI14" s="444"/>
      <c r="AJ14" s="444"/>
      <c r="AK14" s="444"/>
      <c r="AL14" s="444"/>
      <c r="AM14" s="444"/>
      <c r="AN14" s="444"/>
      <c r="AO14" s="444"/>
      <c r="XFA14" s="159"/>
      <c r="XFB14" s="159"/>
      <c r="XFC14" s="159"/>
      <c r="XFD14" s="159"/>
    </row>
    <row r="15" s="376" customFormat="1" spans="1:41 16381:16384">
      <c r="A15" s="375"/>
      <c r="C15" s="375"/>
      <c r="D15" s="375"/>
      <c r="E15" s="375"/>
      <c r="F15" s="375"/>
      <c r="G15" s="375"/>
      <c r="H15" s="375"/>
      <c r="I15" s="375"/>
    </row>
    <row r="16" spans="1:41 16381:16384">
      <c r="A16" s="378" t="s">
        <v>5</v>
      </c>
      <c r="B16" s="377" t="s">
        <v>2001</v>
      </c>
      <c r="C16" s="447" t="s">
        <v>2000</v>
      </c>
      <c r="D16" s="447" t="s">
        <v>281</v>
      </c>
      <c r="E16" s="398" t="s">
        <v>1427</v>
      </c>
      <c r="F16" s="399"/>
      <c r="G16" s="399"/>
      <c r="H16" s="399"/>
      <c r="I16" s="399"/>
      <c r="J16" s="399"/>
      <c r="K16" s="399"/>
      <c r="L16" s="399"/>
      <c r="M16" s="399"/>
      <c r="N16" s="399"/>
      <c r="O16" s="399"/>
      <c r="P16" s="399"/>
    </row>
    <row r="17" spans="1:16">
      <c r="A17" s="378"/>
      <c r="B17" s="377"/>
      <c r="C17" s="448"/>
      <c r="D17" s="448"/>
      <c r="E17" s="400" t="s">
        <v>304</v>
      </c>
      <c r="F17" s="400" t="s">
        <v>305</v>
      </c>
      <c r="G17" s="400" t="s">
        <v>306</v>
      </c>
      <c r="H17" s="400" t="s">
        <v>307</v>
      </c>
      <c r="I17" s="400" t="s">
        <v>308</v>
      </c>
      <c r="J17" s="400" t="s">
        <v>309</v>
      </c>
      <c r="K17" s="400" t="s">
        <v>310</v>
      </c>
      <c r="L17" s="400" t="s">
        <v>311</v>
      </c>
      <c r="M17" s="400" t="s">
        <v>312</v>
      </c>
      <c r="N17" s="400" t="s">
        <v>313</v>
      </c>
      <c r="O17" s="400" t="s">
        <v>314</v>
      </c>
      <c r="P17" s="400" t="s">
        <v>315</v>
      </c>
    </row>
    <row r="18" spans="1:16">
      <c r="A18" s="410" t="s">
        <v>1421</v>
      </c>
      <c r="B18" s="443" t="s">
        <v>1465</v>
      </c>
      <c r="C18" s="449" t="s">
        <v>1465</v>
      </c>
      <c r="D18" s="380" t="s">
        <v>199</v>
      </c>
      <c r="E18" s="450" t="s">
        <v>1465</v>
      </c>
      <c r="F18" s="450" t="s">
        <v>1465</v>
      </c>
      <c r="G18" s="450" t="s">
        <v>1465</v>
      </c>
      <c r="H18" s="450" t="s">
        <v>1465</v>
      </c>
      <c r="I18" s="450" t="s">
        <v>1465</v>
      </c>
      <c r="J18" s="450" t="s">
        <v>1465</v>
      </c>
      <c r="K18" s="450" t="s">
        <v>1465</v>
      </c>
      <c r="L18" s="450" t="s">
        <v>1465</v>
      </c>
      <c r="M18" s="450" t="s">
        <v>1465</v>
      </c>
      <c r="N18" s="450" t="s">
        <v>1465</v>
      </c>
      <c r="O18" s="450" t="s">
        <v>1465</v>
      </c>
      <c r="P18" s="450" t="s">
        <v>1465</v>
      </c>
    </row>
    <row r="19" spans="1:16">
      <c r="A19" s="451"/>
      <c r="B19" s="451"/>
      <c r="C19" s="437"/>
      <c r="D19" s="380"/>
      <c r="E19" s="381"/>
      <c r="F19" s="390"/>
      <c r="G19" s="391"/>
      <c r="H19" s="391"/>
      <c r="I19" s="391"/>
      <c r="J19" s="391"/>
      <c r="K19" s="391"/>
      <c r="L19" s="391"/>
      <c r="M19" s="391"/>
      <c r="N19" s="391"/>
      <c r="O19" s="391"/>
      <c r="P19" s="391"/>
    </row>
    <row r="20" spans="1:16">
      <c r="A20" s="451"/>
      <c r="B20" s="451"/>
      <c r="C20" s="437"/>
      <c r="D20" s="380"/>
      <c r="E20" s="381"/>
      <c r="F20" s="390"/>
      <c r="G20" s="391"/>
      <c r="H20" s="391"/>
      <c r="I20" s="391"/>
      <c r="J20" s="391"/>
      <c r="K20" s="391"/>
      <c r="L20" s="391"/>
      <c r="M20" s="391"/>
      <c r="N20" s="391"/>
      <c r="O20" s="391"/>
      <c r="P20" s="391"/>
    </row>
    <row r="21" spans="1:16">
      <c r="A21" s="451"/>
      <c r="B21" s="451"/>
      <c r="C21" s="437"/>
      <c r="D21" s="380"/>
      <c r="E21" s="381"/>
      <c r="F21" s="390"/>
      <c r="G21" s="391"/>
      <c r="H21" s="391"/>
      <c r="I21" s="391"/>
      <c r="J21" s="391"/>
      <c r="K21" s="391"/>
      <c r="L21" s="391"/>
      <c r="M21" s="391"/>
      <c r="N21" s="391"/>
      <c r="O21" s="391"/>
      <c r="P21" s="391"/>
    </row>
    <row r="22" spans="1:16">
      <c r="A22" s="451"/>
      <c r="B22" s="451"/>
      <c r="C22" s="437"/>
      <c r="D22" s="380"/>
      <c r="E22" s="381"/>
      <c r="F22" s="390"/>
      <c r="G22" s="391"/>
      <c r="H22" s="391"/>
      <c r="I22" s="391"/>
      <c r="J22" s="391"/>
      <c r="K22" s="391"/>
      <c r="L22" s="391"/>
      <c r="M22" s="391"/>
      <c r="N22" s="391"/>
      <c r="O22" s="391"/>
      <c r="P22" s="391"/>
    </row>
    <row r="23" spans="1:16">
      <c r="A23" s="451"/>
      <c r="B23" s="451"/>
      <c r="C23" s="437"/>
      <c r="D23" s="380"/>
      <c r="E23" s="381"/>
      <c r="F23" s="390"/>
      <c r="G23" s="391"/>
      <c r="H23" s="391"/>
      <c r="I23" s="391"/>
      <c r="J23" s="391"/>
      <c r="K23" s="391"/>
      <c r="L23" s="391"/>
      <c r="M23" s="391"/>
      <c r="N23" s="391"/>
      <c r="O23" s="391"/>
      <c r="P23" s="391"/>
    </row>
    <row r="24" spans="1:16">
      <c r="A24" s="451"/>
      <c r="B24" s="451"/>
      <c r="C24" s="437"/>
      <c r="D24" s="380"/>
      <c r="E24" s="381"/>
      <c r="F24" s="390"/>
      <c r="G24" s="391"/>
      <c r="H24" s="391"/>
      <c r="I24" s="391"/>
      <c r="J24" s="391"/>
      <c r="K24" s="391"/>
      <c r="L24" s="391"/>
      <c r="M24" s="391"/>
      <c r="N24" s="391"/>
      <c r="O24" s="391"/>
      <c r="P24" s="391"/>
    </row>
    <row r="25" spans="1:16">
      <c r="A25" s="451"/>
      <c r="B25" s="451"/>
      <c r="C25" s="437"/>
      <c r="D25" s="380"/>
      <c r="E25" s="381"/>
      <c r="F25" s="390"/>
      <c r="G25" s="391"/>
      <c r="H25" s="391"/>
      <c r="I25" s="391"/>
      <c r="J25" s="391"/>
      <c r="K25" s="391"/>
      <c r="L25" s="391"/>
      <c r="M25" s="391"/>
      <c r="N25" s="391"/>
      <c r="O25" s="391"/>
      <c r="P25" s="391"/>
    </row>
    <row r="26" spans="1:16">
      <c r="A26" s="451"/>
      <c r="B26" s="451"/>
      <c r="C26" s="437"/>
      <c r="D26" s="380"/>
      <c r="E26" s="381"/>
      <c r="F26" s="390"/>
      <c r="G26" s="391"/>
      <c r="H26" s="391"/>
      <c r="I26" s="391"/>
      <c r="J26" s="391"/>
      <c r="K26" s="391"/>
      <c r="L26" s="391"/>
      <c r="M26" s="391"/>
      <c r="N26" s="391"/>
      <c r="O26" s="391"/>
      <c r="P26" s="391"/>
    </row>
    <row r="27" spans="1:16">
      <c r="A27" s="451"/>
      <c r="B27" s="451"/>
      <c r="C27" s="437"/>
      <c r="D27" s="380"/>
      <c r="E27" s="381"/>
      <c r="F27" s="390"/>
      <c r="G27" s="391"/>
      <c r="H27" s="391"/>
      <c r="I27" s="391"/>
      <c r="J27" s="391"/>
      <c r="K27" s="391"/>
      <c r="L27" s="391"/>
      <c r="M27" s="391"/>
      <c r="N27" s="391"/>
      <c r="O27" s="391"/>
      <c r="P27" s="391"/>
    </row>
    <row r="28" spans="1:16">
      <c r="A28" s="451"/>
      <c r="B28" s="451"/>
      <c r="C28" s="437"/>
      <c r="D28" s="380"/>
      <c r="E28" s="381"/>
      <c r="F28" s="390"/>
      <c r="G28" s="391"/>
      <c r="H28" s="391"/>
      <c r="I28" s="391"/>
      <c r="J28" s="391"/>
      <c r="K28" s="391"/>
      <c r="L28" s="391"/>
      <c r="M28" s="391"/>
      <c r="N28" s="391"/>
      <c r="O28" s="391"/>
      <c r="P28" s="391"/>
    </row>
    <row r="29" spans="1:16">
      <c r="A29" s="451"/>
      <c r="B29" s="451"/>
      <c r="C29" s="437"/>
      <c r="D29" s="380"/>
      <c r="E29" s="381"/>
      <c r="F29" s="390"/>
      <c r="G29" s="391"/>
      <c r="H29" s="391"/>
      <c r="I29" s="391"/>
      <c r="J29" s="391"/>
      <c r="K29" s="391"/>
      <c r="L29" s="391"/>
      <c r="M29" s="391"/>
      <c r="N29" s="391"/>
      <c r="O29" s="391"/>
      <c r="P29" s="391"/>
    </row>
    <row r="30" spans="1:16">
      <c r="A30" s="451"/>
      <c r="B30" s="451"/>
      <c r="C30" s="437"/>
      <c r="D30" s="380"/>
      <c r="E30" s="381"/>
      <c r="F30" s="390"/>
      <c r="G30" s="391"/>
      <c r="H30" s="391"/>
      <c r="I30" s="391"/>
      <c r="J30" s="391"/>
      <c r="K30" s="391"/>
      <c r="L30" s="391"/>
      <c r="M30" s="391"/>
      <c r="N30" s="391"/>
      <c r="O30" s="391"/>
      <c r="P30" s="391"/>
    </row>
    <row r="31" spans="1:16">
      <c r="A31" s="451"/>
      <c r="B31" s="451"/>
      <c r="C31" s="437"/>
      <c r="D31" s="380"/>
      <c r="E31" s="381"/>
      <c r="F31" s="390"/>
      <c r="G31" s="391"/>
      <c r="H31" s="391"/>
      <c r="I31" s="391"/>
      <c r="J31" s="391"/>
      <c r="K31" s="391"/>
      <c r="L31" s="391"/>
      <c r="M31" s="391"/>
      <c r="N31" s="391"/>
      <c r="O31" s="391"/>
      <c r="P31" s="391"/>
    </row>
    <row r="32" spans="1:16">
      <c r="A32" s="451"/>
      <c r="B32" s="451"/>
      <c r="C32" s="437"/>
      <c r="D32" s="380"/>
      <c r="E32" s="381"/>
      <c r="F32" s="390"/>
      <c r="G32" s="391"/>
      <c r="H32" s="391"/>
      <c r="I32" s="391"/>
      <c r="J32" s="391"/>
      <c r="K32" s="391"/>
      <c r="L32" s="391"/>
      <c r="M32" s="391"/>
      <c r="N32" s="391"/>
      <c r="O32" s="391"/>
      <c r="P32" s="391"/>
    </row>
    <row r="33" spans="1:16">
      <c r="A33" s="451"/>
      <c r="B33" s="451"/>
      <c r="C33" s="437"/>
      <c r="D33" s="380"/>
      <c r="E33" s="381"/>
      <c r="F33" s="390"/>
      <c r="G33" s="391"/>
      <c r="H33" s="391"/>
      <c r="I33" s="391"/>
      <c r="J33" s="391"/>
      <c r="K33" s="391"/>
      <c r="L33" s="391"/>
      <c r="M33" s="391"/>
      <c r="N33" s="391"/>
      <c r="O33" s="391"/>
      <c r="P33" s="391"/>
    </row>
    <row r="34" spans="1:16">
      <c r="A34" s="452" t="s">
        <v>281</v>
      </c>
      <c r="B34" s="452"/>
      <c r="C34" s="453"/>
      <c r="D34" s="453"/>
      <c r="E34" s="453"/>
      <c r="F34" s="453"/>
      <c r="G34" s="454"/>
      <c r="H34" s="454"/>
      <c r="I34" s="454"/>
      <c r="J34" s="454"/>
      <c r="K34" s="454"/>
      <c r="L34" s="454"/>
      <c r="M34" s="454"/>
      <c r="N34" s="454"/>
      <c r="O34" s="454"/>
      <c r="P34" s="454"/>
    </row>
  </sheetData>
  <mergeCells count="10">
    <mergeCell ref="A5:D5"/>
    <mergeCell ref="E16:P16"/>
    <mergeCell ref="A9:A10"/>
    <mergeCell ref="A16:A17"/>
    <mergeCell ref="B9:B10"/>
    <mergeCell ref="B16:B17"/>
    <mergeCell ref="C9:C10"/>
    <mergeCell ref="C16:C17"/>
    <mergeCell ref="D16:D17"/>
    <mergeCell ref="A1:D4"/>
  </mergeCells>
  <hyperlinks>
    <hyperlink ref="A1" location="目录!A1" display="← 返回目录"/>
  </hyperlinks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6">
    <tabColor theme="8" tint="0.399975585192419"/>
  </sheetPr>
  <dimension ref="A1:XFD34"/>
  <sheetViews>
    <sheetView zoomScale="110" zoomScaleNormal="110" workbookViewId="0">
      <selection activeCell="A1" sqref="A1:D4"/>
    </sheetView>
  </sheetViews>
  <sheetFormatPr defaultColWidth="8.725" defaultRowHeight="11.25"/>
  <cols>
    <col min="1" max="1" width="8.725" style="159"/>
    <col min="2" max="2" width="9.54166666666667" style="159" customWidth="1"/>
    <col min="3" max="3" width="12.5416666666667" style="159" customWidth="1"/>
    <col min="4" max="4" width="8.725" style="159"/>
    <col min="5" max="5" width="7.90833333333333" style="159" customWidth="1"/>
    <col min="6" max="7" width="8.725" style="159"/>
    <col min="8" max="8" width="9.725" style="159" customWidth="1"/>
    <col min="9" max="9" width="9.81666666666667" style="159" customWidth="1"/>
    <col min="10" max="11" width="8.725" style="159"/>
    <col min="12" max="12" width="9.26666666666667" style="159" customWidth="1"/>
    <col min="13" max="16384" width="8.725" style="159"/>
  </cols>
  <sheetData>
    <row r="1" spans="1:41 16381:16384">
      <c r="A1" s="202" t="s">
        <v>185</v>
      </c>
      <c r="B1" s="291"/>
      <c r="C1" s="291"/>
      <c r="D1" s="291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pans="1:41 16381:16384">
      <c r="A2" s="291"/>
      <c r="B2" s="291"/>
      <c r="C2" s="291"/>
      <c r="D2" s="291"/>
      <c r="E2" s="12"/>
      <c r="F2" s="13" t="s">
        <v>1991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pans="1:41 16381:16384">
      <c r="A3" s="291"/>
      <c r="B3" s="291"/>
      <c r="C3" s="291"/>
      <c r="D3" s="291"/>
      <c r="E3" s="12"/>
      <c r="F3" s="13" t="s">
        <v>1660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spans="1:41 16381:16384">
      <c r="A4" s="291"/>
      <c r="B4" s="291"/>
      <c r="C4" s="291"/>
      <c r="D4" s="291"/>
      <c r="E4" s="12"/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pans="1:41 16381:16384">
      <c r="A5" s="292" t="s">
        <v>1993</v>
      </c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ht="13.5" spans="1:41 16381:16384">
      <c r="A6" s="1"/>
      <c r="B6" s="1"/>
      <c r="C6" s="1"/>
      <c r="D6" s="1"/>
      <c r="E6"/>
      <c r="F6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ht="13.5" spans="1:41 16381:16384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9" spans="1:41 16381:16384">
      <c r="A9" s="441" t="s">
        <v>5</v>
      </c>
      <c r="B9" s="332" t="s">
        <v>1925</v>
      </c>
      <c r="C9" s="332" t="s">
        <v>281</v>
      </c>
      <c r="D9" s="442"/>
      <c r="E9" s="442"/>
      <c r="F9" s="442"/>
      <c r="G9" s="442"/>
      <c r="H9" s="442"/>
      <c r="I9" s="442"/>
      <c r="J9" s="442"/>
      <c r="K9" s="442"/>
      <c r="L9" s="442"/>
      <c r="M9" s="442"/>
      <c r="N9" s="442"/>
      <c r="O9" s="442"/>
    </row>
    <row r="10" spans="1:41 16381:16384">
      <c r="A10" s="377"/>
      <c r="B10" s="338"/>
      <c r="C10" s="338"/>
      <c r="D10" s="315" t="s">
        <v>304</v>
      </c>
      <c r="E10" s="315" t="s">
        <v>305</v>
      </c>
      <c r="F10" s="315" t="s">
        <v>306</v>
      </c>
      <c r="G10" s="315" t="s">
        <v>307</v>
      </c>
      <c r="H10" s="315" t="s">
        <v>308</v>
      </c>
      <c r="I10" s="315" t="s">
        <v>309</v>
      </c>
      <c r="J10" s="315" t="s">
        <v>310</v>
      </c>
      <c r="K10" s="315" t="s">
        <v>311</v>
      </c>
      <c r="L10" s="315" t="s">
        <v>312</v>
      </c>
      <c r="M10" s="315" t="s">
        <v>313</v>
      </c>
      <c r="N10" s="315" t="s">
        <v>314</v>
      </c>
      <c r="O10" s="315" t="s">
        <v>315</v>
      </c>
    </row>
    <row r="11" spans="1:41 16381:16384">
      <c r="A11" s="443" t="s">
        <v>1463</v>
      </c>
      <c r="B11" s="410">
        <v>2025</v>
      </c>
      <c r="C11" s="410" t="s">
        <v>199</v>
      </c>
      <c r="D11" s="315" t="s">
        <v>1421</v>
      </c>
      <c r="E11" s="315" t="s">
        <v>1421</v>
      </c>
      <c r="F11" s="315" t="s">
        <v>1421</v>
      </c>
      <c r="G11" s="315" t="s">
        <v>1421</v>
      </c>
      <c r="H11" s="315" t="s">
        <v>1421</v>
      </c>
      <c r="I11" s="315" t="s">
        <v>1421</v>
      </c>
      <c r="J11" s="315" t="s">
        <v>1421</v>
      </c>
      <c r="K11" s="315" t="s">
        <v>1421</v>
      </c>
      <c r="L11" s="315" t="s">
        <v>1421</v>
      </c>
      <c r="M11" s="315" t="s">
        <v>1421</v>
      </c>
      <c r="N11" s="315" t="s">
        <v>1421</v>
      </c>
      <c r="O11" s="315" t="s">
        <v>1421</v>
      </c>
    </row>
    <row r="12" customFormat="1" ht="13.5" spans="1:41 16381:16384">
      <c r="A12" s="443"/>
      <c r="B12" s="410">
        <v>2026</v>
      </c>
      <c r="C12" s="410"/>
      <c r="D12" s="410"/>
      <c r="E12" s="410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444"/>
      <c r="Q12" s="444"/>
      <c r="R12" s="444"/>
      <c r="S12" s="444"/>
      <c r="T12" s="444"/>
      <c r="U12" s="444"/>
      <c r="V12" s="444"/>
      <c r="W12" s="444"/>
      <c r="X12" s="444"/>
      <c r="Y12" s="444"/>
      <c r="Z12" s="444"/>
      <c r="AA12" s="444"/>
      <c r="AB12" s="444"/>
      <c r="AC12" s="444"/>
      <c r="AD12" s="444"/>
      <c r="AE12" s="444"/>
      <c r="AF12" s="444"/>
      <c r="AG12" s="444"/>
      <c r="AH12" s="444"/>
      <c r="AI12" s="444"/>
      <c r="AJ12" s="444"/>
      <c r="AK12" s="444"/>
      <c r="AL12" s="444"/>
      <c r="AM12" s="444"/>
      <c r="AN12" s="444"/>
      <c r="AO12" s="444"/>
      <c r="XFA12" s="159"/>
      <c r="XFB12" s="159"/>
      <c r="XFC12" s="159"/>
      <c r="XFD12" s="159"/>
    </row>
    <row r="13" customFormat="1" ht="13.5" spans="1:41 16381:16384">
      <c r="A13" s="443"/>
      <c r="B13" s="410" t="s">
        <v>287</v>
      </c>
      <c r="C13" s="410"/>
      <c r="D13" s="410"/>
      <c r="E13" s="410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444"/>
      <c r="Q13" s="444"/>
      <c r="R13" s="444"/>
      <c r="S13" s="444"/>
      <c r="T13" s="444"/>
      <c r="U13" s="444"/>
      <c r="V13" s="444"/>
      <c r="W13" s="444"/>
      <c r="X13" s="444"/>
      <c r="Y13" s="444"/>
      <c r="Z13" s="444"/>
      <c r="AA13" s="444"/>
      <c r="AB13" s="444"/>
      <c r="AC13" s="444"/>
      <c r="AD13" s="444"/>
      <c r="AE13" s="444"/>
      <c r="AF13" s="444"/>
      <c r="AG13" s="444"/>
      <c r="AH13" s="444"/>
      <c r="AI13" s="444"/>
      <c r="AJ13" s="444"/>
      <c r="AK13" s="444"/>
      <c r="AL13" s="444"/>
      <c r="AM13" s="444"/>
      <c r="AN13" s="444"/>
      <c r="AO13" s="444"/>
      <c r="XFA13" s="159"/>
      <c r="XFB13" s="159"/>
      <c r="XFC13" s="159"/>
      <c r="XFD13" s="159"/>
    </row>
    <row r="14" customFormat="1" ht="13.5" spans="1:41 16381:16384">
      <c r="A14" s="445"/>
      <c r="B14" s="446"/>
      <c r="C14" s="446"/>
      <c r="D14" s="446"/>
      <c r="E14" s="446"/>
      <c r="F14" s="444"/>
      <c r="G14" s="444"/>
      <c r="H14" s="444"/>
      <c r="I14" s="444"/>
      <c r="J14" s="444"/>
      <c r="K14" s="444"/>
      <c r="L14" s="444"/>
      <c r="M14" s="444"/>
      <c r="N14" s="444"/>
      <c r="O14" s="444"/>
      <c r="P14" s="444"/>
      <c r="Q14" s="444"/>
      <c r="R14" s="444"/>
      <c r="S14" s="444"/>
      <c r="T14" s="444"/>
      <c r="U14" s="444"/>
      <c r="V14" s="444"/>
      <c r="W14" s="444"/>
      <c r="X14" s="444"/>
      <c r="Y14" s="444"/>
      <c r="Z14" s="444"/>
      <c r="AA14" s="444"/>
      <c r="AB14" s="444"/>
      <c r="AC14" s="444"/>
      <c r="AD14" s="444"/>
      <c r="AE14" s="444"/>
      <c r="AF14" s="444"/>
      <c r="AG14" s="444"/>
      <c r="AH14" s="444"/>
      <c r="AI14" s="444"/>
      <c r="AJ14" s="444"/>
      <c r="AK14" s="444"/>
      <c r="AL14" s="444"/>
      <c r="AM14" s="444"/>
      <c r="AN14" s="444"/>
      <c r="AO14" s="444"/>
      <c r="XFA14" s="159"/>
      <c r="XFB14" s="159"/>
      <c r="XFC14" s="159"/>
      <c r="XFD14" s="159"/>
    </row>
    <row r="15" s="376" customFormat="1" spans="1:41 16381:16384">
      <c r="A15" s="375"/>
      <c r="C15" s="375"/>
      <c r="D15" s="375"/>
      <c r="E15" s="375"/>
      <c r="F15" s="375"/>
      <c r="G15" s="375"/>
      <c r="H15" s="375"/>
      <c r="I15" s="375"/>
    </row>
    <row r="16" spans="1:41 16381:16384">
      <c r="A16" s="378" t="s">
        <v>5</v>
      </c>
      <c r="B16" s="377" t="s">
        <v>2001</v>
      </c>
      <c r="C16" s="447" t="s">
        <v>2000</v>
      </c>
      <c r="D16" s="447" t="s">
        <v>281</v>
      </c>
      <c r="E16" s="398" t="s">
        <v>1427</v>
      </c>
      <c r="F16" s="399"/>
      <c r="G16" s="399"/>
      <c r="H16" s="399"/>
      <c r="I16" s="399"/>
      <c r="J16" s="399"/>
      <c r="K16" s="399"/>
      <c r="L16" s="399"/>
      <c r="M16" s="399"/>
      <c r="N16" s="399"/>
      <c r="O16" s="399"/>
      <c r="P16" s="399"/>
    </row>
    <row r="17" spans="1:16">
      <c r="A17" s="378"/>
      <c r="B17" s="377"/>
      <c r="C17" s="448"/>
      <c r="D17" s="448"/>
      <c r="E17" s="400" t="s">
        <v>304</v>
      </c>
      <c r="F17" s="400" t="s">
        <v>305</v>
      </c>
      <c r="G17" s="400" t="s">
        <v>306</v>
      </c>
      <c r="H17" s="400" t="s">
        <v>307</v>
      </c>
      <c r="I17" s="400" t="s">
        <v>308</v>
      </c>
      <c r="J17" s="400" t="s">
        <v>309</v>
      </c>
      <c r="K17" s="400" t="s">
        <v>310</v>
      </c>
      <c r="L17" s="400" t="s">
        <v>311</v>
      </c>
      <c r="M17" s="400" t="s">
        <v>312</v>
      </c>
      <c r="N17" s="400" t="s">
        <v>313</v>
      </c>
      <c r="O17" s="400" t="s">
        <v>314</v>
      </c>
      <c r="P17" s="400" t="s">
        <v>315</v>
      </c>
    </row>
    <row r="18" spans="1:16">
      <c r="A18" s="410" t="s">
        <v>1421</v>
      </c>
      <c r="B18" s="443" t="s">
        <v>1465</v>
      </c>
      <c r="C18" s="449" t="s">
        <v>1465</v>
      </c>
      <c r="D18" s="380" t="s">
        <v>199</v>
      </c>
      <c r="E18" s="450" t="s">
        <v>1465</v>
      </c>
      <c r="F18" s="450" t="s">
        <v>1465</v>
      </c>
      <c r="G18" s="450" t="s">
        <v>1465</v>
      </c>
      <c r="H18" s="450" t="s">
        <v>1465</v>
      </c>
      <c r="I18" s="450" t="s">
        <v>1465</v>
      </c>
      <c r="J18" s="450" t="s">
        <v>1465</v>
      </c>
      <c r="K18" s="450" t="s">
        <v>1465</v>
      </c>
      <c r="L18" s="450" t="s">
        <v>1465</v>
      </c>
      <c r="M18" s="450" t="s">
        <v>1465</v>
      </c>
      <c r="N18" s="450" t="s">
        <v>1465</v>
      </c>
      <c r="O18" s="450" t="s">
        <v>1465</v>
      </c>
      <c r="P18" s="450" t="s">
        <v>1465</v>
      </c>
    </row>
    <row r="19" spans="1:16">
      <c r="A19" s="451"/>
      <c r="B19" s="451"/>
      <c r="C19" s="437"/>
      <c r="D19" s="380"/>
      <c r="E19" s="381"/>
      <c r="F19" s="390"/>
      <c r="G19" s="391"/>
      <c r="H19" s="391"/>
      <c r="I19" s="391"/>
      <c r="J19" s="391"/>
      <c r="K19" s="391"/>
      <c r="L19" s="391"/>
      <c r="M19" s="391"/>
      <c r="N19" s="391"/>
      <c r="O19" s="391"/>
      <c r="P19" s="391"/>
    </row>
    <row r="20" spans="1:16">
      <c r="A20" s="451"/>
      <c r="B20" s="451"/>
      <c r="C20" s="437"/>
      <c r="D20" s="380"/>
      <c r="E20" s="381"/>
      <c r="F20" s="390"/>
      <c r="G20" s="391"/>
      <c r="H20" s="391"/>
      <c r="I20" s="391"/>
      <c r="J20" s="391"/>
      <c r="K20" s="391"/>
      <c r="L20" s="391"/>
      <c r="M20" s="391"/>
      <c r="N20" s="391"/>
      <c r="O20" s="391"/>
      <c r="P20" s="391"/>
    </row>
    <row r="21" spans="1:16">
      <c r="A21" s="451"/>
      <c r="B21" s="451"/>
      <c r="C21" s="437"/>
      <c r="D21" s="380"/>
      <c r="E21" s="381"/>
      <c r="F21" s="390"/>
      <c r="G21" s="391"/>
      <c r="H21" s="391"/>
      <c r="I21" s="391"/>
      <c r="J21" s="391"/>
      <c r="K21" s="391"/>
      <c r="L21" s="391"/>
      <c r="M21" s="391"/>
      <c r="N21" s="391"/>
      <c r="O21" s="391"/>
      <c r="P21" s="391"/>
    </row>
    <row r="22" spans="1:16">
      <c r="A22" s="451"/>
      <c r="B22" s="451"/>
      <c r="C22" s="437"/>
      <c r="D22" s="380"/>
      <c r="E22" s="381"/>
      <c r="F22" s="390"/>
      <c r="G22" s="391"/>
      <c r="H22" s="391"/>
      <c r="I22" s="391"/>
      <c r="J22" s="391"/>
      <c r="K22" s="391"/>
      <c r="L22" s="391"/>
      <c r="M22" s="391"/>
      <c r="N22" s="391"/>
      <c r="O22" s="391"/>
      <c r="P22" s="391"/>
    </row>
    <row r="23" spans="1:16">
      <c r="A23" s="451"/>
      <c r="B23" s="451"/>
      <c r="C23" s="437"/>
      <c r="D23" s="380"/>
      <c r="E23" s="381"/>
      <c r="F23" s="390"/>
      <c r="G23" s="391"/>
      <c r="H23" s="391"/>
      <c r="I23" s="391"/>
      <c r="J23" s="391"/>
      <c r="K23" s="391"/>
      <c r="L23" s="391"/>
      <c r="M23" s="391"/>
      <c r="N23" s="391"/>
      <c r="O23" s="391"/>
      <c r="P23" s="391"/>
    </row>
    <row r="24" spans="1:16">
      <c r="A24" s="451"/>
      <c r="B24" s="451"/>
      <c r="C24" s="437"/>
      <c r="D24" s="380"/>
      <c r="E24" s="381"/>
      <c r="F24" s="390"/>
      <c r="G24" s="391"/>
      <c r="H24" s="391"/>
      <c r="I24" s="391"/>
      <c r="J24" s="391"/>
      <c r="K24" s="391"/>
      <c r="L24" s="391"/>
      <c r="M24" s="391"/>
      <c r="N24" s="391"/>
      <c r="O24" s="391"/>
      <c r="P24" s="391"/>
    </row>
    <row r="25" spans="1:16">
      <c r="A25" s="451"/>
      <c r="B25" s="451"/>
      <c r="C25" s="437"/>
      <c r="D25" s="380"/>
      <c r="E25" s="381"/>
      <c r="F25" s="390"/>
      <c r="G25" s="391"/>
      <c r="H25" s="391"/>
      <c r="I25" s="391"/>
      <c r="J25" s="391"/>
      <c r="K25" s="391"/>
      <c r="L25" s="391"/>
      <c r="M25" s="391"/>
      <c r="N25" s="391"/>
      <c r="O25" s="391"/>
      <c r="P25" s="391"/>
    </row>
    <row r="26" spans="1:16">
      <c r="A26" s="451"/>
      <c r="B26" s="451"/>
      <c r="C26" s="437"/>
      <c r="D26" s="380"/>
      <c r="E26" s="381"/>
      <c r="F26" s="390"/>
      <c r="G26" s="391"/>
      <c r="H26" s="391"/>
      <c r="I26" s="391"/>
      <c r="J26" s="391"/>
      <c r="K26" s="391"/>
      <c r="L26" s="391"/>
      <c r="M26" s="391"/>
      <c r="N26" s="391"/>
      <c r="O26" s="391"/>
      <c r="P26" s="391"/>
    </row>
    <row r="27" spans="1:16">
      <c r="A27" s="451"/>
      <c r="B27" s="451"/>
      <c r="C27" s="437"/>
      <c r="D27" s="380"/>
      <c r="E27" s="381"/>
      <c r="F27" s="390"/>
      <c r="G27" s="391"/>
      <c r="H27" s="391"/>
      <c r="I27" s="391"/>
      <c r="J27" s="391"/>
      <c r="K27" s="391"/>
      <c r="L27" s="391"/>
      <c r="M27" s="391"/>
      <c r="N27" s="391"/>
      <c r="O27" s="391"/>
      <c r="P27" s="391"/>
    </row>
    <row r="28" spans="1:16">
      <c r="A28" s="451"/>
      <c r="B28" s="451"/>
      <c r="C28" s="437"/>
      <c r="D28" s="380"/>
      <c r="E28" s="381"/>
      <c r="F28" s="390"/>
      <c r="G28" s="391"/>
      <c r="H28" s="391"/>
      <c r="I28" s="391"/>
      <c r="J28" s="391"/>
      <c r="K28" s="391"/>
      <c r="L28" s="391"/>
      <c r="M28" s="391"/>
      <c r="N28" s="391"/>
      <c r="O28" s="391"/>
      <c r="P28" s="391"/>
    </row>
    <row r="29" spans="1:16">
      <c r="A29" s="451"/>
      <c r="B29" s="451"/>
      <c r="C29" s="437"/>
      <c r="D29" s="380"/>
      <c r="E29" s="381"/>
      <c r="F29" s="390"/>
      <c r="G29" s="391"/>
      <c r="H29" s="391"/>
      <c r="I29" s="391"/>
      <c r="J29" s="391"/>
      <c r="K29" s="391"/>
      <c r="L29" s="391"/>
      <c r="M29" s="391"/>
      <c r="N29" s="391"/>
      <c r="O29" s="391"/>
      <c r="P29" s="391"/>
    </row>
    <row r="30" spans="1:16">
      <c r="A30" s="451"/>
      <c r="B30" s="451"/>
      <c r="C30" s="437"/>
      <c r="D30" s="380"/>
      <c r="E30" s="381"/>
      <c r="F30" s="390"/>
      <c r="G30" s="391"/>
      <c r="H30" s="391"/>
      <c r="I30" s="391"/>
      <c r="J30" s="391"/>
      <c r="K30" s="391"/>
      <c r="L30" s="391"/>
      <c r="M30" s="391"/>
      <c r="N30" s="391"/>
      <c r="O30" s="391"/>
      <c r="P30" s="391"/>
    </row>
    <row r="31" spans="1:16">
      <c r="A31" s="451"/>
      <c r="B31" s="451"/>
      <c r="C31" s="437"/>
      <c r="D31" s="380"/>
      <c r="E31" s="381"/>
      <c r="F31" s="390"/>
      <c r="G31" s="391"/>
      <c r="H31" s="391"/>
      <c r="I31" s="391"/>
      <c r="J31" s="391"/>
      <c r="K31" s="391"/>
      <c r="L31" s="391"/>
      <c r="M31" s="391"/>
      <c r="N31" s="391"/>
      <c r="O31" s="391"/>
      <c r="P31" s="391"/>
    </row>
    <row r="32" spans="1:16">
      <c r="A32" s="451"/>
      <c r="B32" s="451"/>
      <c r="C32" s="437"/>
      <c r="D32" s="380"/>
      <c r="E32" s="381"/>
      <c r="F32" s="390"/>
      <c r="G32" s="391"/>
      <c r="H32" s="391"/>
      <c r="I32" s="391"/>
      <c r="J32" s="391"/>
      <c r="K32" s="391"/>
      <c r="L32" s="391"/>
      <c r="M32" s="391"/>
      <c r="N32" s="391"/>
      <c r="O32" s="391"/>
      <c r="P32" s="391"/>
    </row>
    <row r="33" spans="1:16">
      <c r="A33" s="451"/>
      <c r="B33" s="451"/>
      <c r="C33" s="437"/>
      <c r="D33" s="380"/>
      <c r="E33" s="381"/>
      <c r="F33" s="390"/>
      <c r="G33" s="391"/>
      <c r="H33" s="391"/>
      <c r="I33" s="391"/>
      <c r="J33" s="391"/>
      <c r="K33" s="391"/>
      <c r="L33" s="391"/>
      <c r="M33" s="391"/>
      <c r="N33" s="391"/>
      <c r="O33" s="391"/>
      <c r="P33" s="391"/>
    </row>
    <row r="34" spans="1:16">
      <c r="A34" s="452" t="s">
        <v>281</v>
      </c>
      <c r="B34" s="452"/>
      <c r="C34" s="453"/>
      <c r="D34" s="453"/>
      <c r="E34" s="453"/>
      <c r="F34" s="453"/>
      <c r="G34" s="454"/>
      <c r="H34" s="454"/>
      <c r="I34" s="454"/>
      <c r="J34" s="454"/>
      <c r="K34" s="454"/>
      <c r="L34" s="454"/>
      <c r="M34" s="454"/>
      <c r="N34" s="454"/>
      <c r="O34" s="454"/>
      <c r="P34" s="454"/>
    </row>
  </sheetData>
  <mergeCells count="10">
    <mergeCell ref="A5:D5"/>
    <mergeCell ref="E16:P16"/>
    <mergeCell ref="A9:A10"/>
    <mergeCell ref="A16:A17"/>
    <mergeCell ref="B9:B10"/>
    <mergeCell ref="B16:B17"/>
    <mergeCell ref="C9:C10"/>
    <mergeCell ref="C16:C17"/>
    <mergeCell ref="D16:D17"/>
    <mergeCell ref="A1:D4"/>
  </mergeCells>
  <hyperlinks>
    <hyperlink ref="A1" location="目录!A1" display="← 返回目录"/>
  </hyperlinks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7">
    <tabColor theme="8" tint="0.399975585192419"/>
  </sheetPr>
  <dimension ref="A1:Q36"/>
  <sheetViews>
    <sheetView showGridLines="0" workbookViewId="0">
      <selection activeCell="A35" sqref="A35"/>
    </sheetView>
  </sheetViews>
  <sheetFormatPr defaultColWidth="8.725" defaultRowHeight="11.25"/>
  <cols>
    <col min="1" max="1" width="19.725" style="159" customWidth="1"/>
    <col min="2" max="2" width="7.54166666666667" style="159" customWidth="1"/>
    <col min="3" max="3" width="9.725" style="159" customWidth="1"/>
    <col min="4" max="4" width="9.81666666666667" style="159" customWidth="1"/>
    <col min="5" max="16384" width="8.725" style="159"/>
  </cols>
  <sheetData>
    <row r="1" spans="1:17">
      <c r="A1" s="162" t="s">
        <v>185</v>
      </c>
      <c r="B1" s="291"/>
      <c r="C1" s="291"/>
      <c r="D1" s="291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pans="1:17">
      <c r="A2" s="291"/>
      <c r="B2" s="291"/>
      <c r="C2" s="291"/>
      <c r="D2" s="291"/>
      <c r="E2" s="12"/>
      <c r="F2" s="13" t="s">
        <v>1659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pans="1:17">
      <c r="A3" s="291"/>
      <c r="B3" s="291"/>
      <c r="C3" s="291"/>
      <c r="D3" s="291"/>
      <c r="E3" s="12"/>
      <c r="F3" s="13" t="s">
        <v>1660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spans="1:17">
      <c r="A4" s="291"/>
      <c r="B4" s="291"/>
      <c r="C4" s="291"/>
      <c r="D4" s="291"/>
      <c r="E4" s="12"/>
      <c r="F4" s="13"/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pans="1:17">
      <c r="A5" s="292" t="s">
        <v>1993</v>
      </c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ht="13.5" spans="1:17">
      <c r="A6" s="1"/>
      <c r="B6" s="1"/>
      <c r="C6" s="1"/>
      <c r="D6" s="1"/>
      <c r="E6"/>
      <c r="F6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ht="13.5" spans="1:17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9" s="376" customFormat="1" spans="1:17">
      <c r="A9" s="375"/>
      <c r="B9" s="375"/>
      <c r="C9" s="375"/>
      <c r="D9" s="375"/>
      <c r="E9" s="375"/>
      <c r="F9" s="375"/>
    </row>
    <row r="10" spans="1:17">
      <c r="A10" s="377" t="s">
        <v>333</v>
      </c>
      <c r="B10" s="378" t="s">
        <v>1925</v>
      </c>
      <c r="C10" s="378" t="s">
        <v>281</v>
      </c>
      <c r="D10" s="315"/>
      <c r="E10" s="315"/>
      <c r="F10" s="315"/>
      <c r="G10" s="315"/>
      <c r="H10" s="315"/>
      <c r="I10" s="315"/>
      <c r="J10" s="315"/>
      <c r="K10" s="315"/>
      <c r="L10" s="315"/>
      <c r="M10" s="315"/>
      <c r="N10" s="315"/>
      <c r="O10" s="315"/>
    </row>
    <row r="11" spans="1:17">
      <c r="A11" s="377"/>
      <c r="B11" s="378"/>
      <c r="C11" s="378"/>
      <c r="D11" s="315" t="s">
        <v>304</v>
      </c>
      <c r="E11" s="315" t="s">
        <v>305</v>
      </c>
      <c r="F11" s="315" t="s">
        <v>306</v>
      </c>
      <c r="G11" s="315" t="s">
        <v>307</v>
      </c>
      <c r="H11" s="315" t="s">
        <v>308</v>
      </c>
      <c r="I11" s="315" t="s">
        <v>309</v>
      </c>
      <c r="J11" s="315" t="s">
        <v>310</v>
      </c>
      <c r="K11" s="315" t="s">
        <v>311</v>
      </c>
      <c r="L11" s="315" t="s">
        <v>312</v>
      </c>
      <c r="M11" s="315" t="s">
        <v>313</v>
      </c>
      <c r="N11" s="315" t="s">
        <v>314</v>
      </c>
      <c r="O11" s="315" t="s">
        <v>315</v>
      </c>
    </row>
    <row r="12" spans="1:17">
      <c r="A12" s="437" t="s">
        <v>386</v>
      </c>
      <c r="B12" s="380">
        <v>2025</v>
      </c>
      <c r="C12" s="380"/>
      <c r="D12" s="381" t="s">
        <v>1421</v>
      </c>
      <c r="E12" s="381" t="s">
        <v>1421</v>
      </c>
      <c r="F12" s="381" t="s">
        <v>1421</v>
      </c>
      <c r="G12" s="381" t="s">
        <v>1421</v>
      </c>
      <c r="H12" s="381" t="s">
        <v>1421</v>
      </c>
      <c r="I12" s="381" t="s">
        <v>1421</v>
      </c>
      <c r="J12" s="381" t="s">
        <v>1421</v>
      </c>
      <c r="K12" s="381" t="s">
        <v>1421</v>
      </c>
      <c r="L12" s="381" t="s">
        <v>1421</v>
      </c>
      <c r="M12" s="381" t="s">
        <v>1421</v>
      </c>
      <c r="N12" s="381" t="s">
        <v>1421</v>
      </c>
      <c r="O12" s="381" t="s">
        <v>1421</v>
      </c>
    </row>
    <row r="13" spans="1:17">
      <c r="A13" s="437"/>
      <c r="B13" s="380">
        <v>2026</v>
      </c>
      <c r="C13" s="380"/>
      <c r="D13" s="386" t="s">
        <v>1465</v>
      </c>
      <c r="E13" s="386" t="s">
        <v>1465</v>
      </c>
      <c r="F13" s="386" t="s">
        <v>1465</v>
      </c>
      <c r="G13" s="386" t="s">
        <v>1465</v>
      </c>
      <c r="H13" s="386" t="s">
        <v>1465</v>
      </c>
      <c r="I13" s="386" t="s">
        <v>1465</v>
      </c>
      <c r="J13" s="386" t="s">
        <v>1465</v>
      </c>
      <c r="K13" s="386" t="s">
        <v>1465</v>
      </c>
      <c r="L13" s="386" t="s">
        <v>1465</v>
      </c>
      <c r="M13" s="386" t="s">
        <v>1465</v>
      </c>
      <c r="N13" s="386" t="s">
        <v>1465</v>
      </c>
      <c r="O13" s="386" t="s">
        <v>1465</v>
      </c>
    </row>
    <row r="14" spans="1:17">
      <c r="A14" s="437"/>
      <c r="B14" s="380" t="s">
        <v>287</v>
      </c>
      <c r="C14" s="380"/>
      <c r="D14" s="381" t="s">
        <v>199</v>
      </c>
      <c r="E14" s="381" t="s">
        <v>199</v>
      </c>
      <c r="F14" s="381" t="s">
        <v>199</v>
      </c>
      <c r="G14" s="381" t="s">
        <v>199</v>
      </c>
      <c r="H14" s="381" t="s">
        <v>199</v>
      </c>
      <c r="I14" s="381" t="s">
        <v>199</v>
      </c>
      <c r="J14" s="381" t="s">
        <v>199</v>
      </c>
      <c r="K14" s="381" t="s">
        <v>199</v>
      </c>
      <c r="L14" s="381" t="s">
        <v>199</v>
      </c>
      <c r="M14" s="381" t="s">
        <v>199</v>
      </c>
      <c r="N14" s="381" t="s">
        <v>199</v>
      </c>
      <c r="O14" s="381" t="s">
        <v>199</v>
      </c>
    </row>
    <row r="15" spans="1:17">
      <c r="A15" s="437" t="s">
        <v>2002</v>
      </c>
      <c r="B15" s="380">
        <v>2025</v>
      </c>
      <c r="C15" s="380"/>
      <c r="D15" s="381" t="s">
        <v>1421</v>
      </c>
      <c r="E15" s="381" t="s">
        <v>1421</v>
      </c>
      <c r="F15" s="381" t="s">
        <v>1421</v>
      </c>
      <c r="G15" s="381" t="s">
        <v>1421</v>
      </c>
      <c r="H15" s="381" t="s">
        <v>1421</v>
      </c>
      <c r="I15" s="381" t="s">
        <v>1421</v>
      </c>
      <c r="J15" s="381" t="s">
        <v>1421</v>
      </c>
      <c r="K15" s="381" t="s">
        <v>1421</v>
      </c>
      <c r="L15" s="381" t="s">
        <v>1421</v>
      </c>
      <c r="M15" s="381" t="s">
        <v>1421</v>
      </c>
      <c r="N15" s="381" t="s">
        <v>1421</v>
      </c>
      <c r="O15" s="381" t="s">
        <v>1421</v>
      </c>
    </row>
    <row r="16" spans="1:17">
      <c r="A16" s="437"/>
      <c r="B16" s="380">
        <v>2026</v>
      </c>
      <c r="C16" s="380"/>
      <c r="D16" s="386" t="s">
        <v>1465</v>
      </c>
      <c r="E16" s="386" t="s">
        <v>1465</v>
      </c>
      <c r="F16" s="386" t="s">
        <v>1465</v>
      </c>
      <c r="G16" s="386" t="s">
        <v>1465</v>
      </c>
      <c r="H16" s="386" t="s">
        <v>1465</v>
      </c>
      <c r="I16" s="386" t="s">
        <v>1465</v>
      </c>
      <c r="J16" s="386" t="s">
        <v>1465</v>
      </c>
      <c r="K16" s="386" t="s">
        <v>1465</v>
      </c>
      <c r="L16" s="386" t="s">
        <v>1465</v>
      </c>
      <c r="M16" s="386" t="s">
        <v>1465</v>
      </c>
      <c r="N16" s="386" t="s">
        <v>1465</v>
      </c>
      <c r="O16" s="386" t="s">
        <v>1465</v>
      </c>
    </row>
    <row r="17" spans="1:15">
      <c r="A17" s="437"/>
      <c r="B17" s="380" t="s">
        <v>287</v>
      </c>
      <c r="C17" s="380"/>
      <c r="D17" s="381" t="s">
        <v>199</v>
      </c>
      <c r="E17" s="381" t="s">
        <v>199</v>
      </c>
      <c r="F17" s="381" t="s">
        <v>199</v>
      </c>
      <c r="G17" s="381" t="s">
        <v>199</v>
      </c>
      <c r="H17" s="381" t="s">
        <v>199</v>
      </c>
      <c r="I17" s="381" t="s">
        <v>199</v>
      </c>
      <c r="J17" s="381" t="s">
        <v>199</v>
      </c>
      <c r="K17" s="381" t="s">
        <v>199</v>
      </c>
      <c r="L17" s="381" t="s">
        <v>199</v>
      </c>
      <c r="M17" s="381" t="s">
        <v>199</v>
      </c>
      <c r="N17" s="381" t="s">
        <v>199</v>
      </c>
      <c r="O17" s="381" t="s">
        <v>199</v>
      </c>
    </row>
    <row r="18" ht="15" customHeight="1" spans="1:15">
      <c r="A18" s="438" t="s">
        <v>162</v>
      </c>
      <c r="B18" s="389"/>
      <c r="C18" s="389"/>
      <c r="D18" s="389"/>
      <c r="E18" s="389"/>
      <c r="F18" s="381"/>
      <c r="G18" s="390"/>
      <c r="H18" s="391"/>
      <c r="I18" s="391"/>
      <c r="J18" s="391"/>
      <c r="K18" s="391"/>
      <c r="L18" s="391"/>
      <c r="M18" s="391"/>
      <c r="N18" s="391"/>
      <c r="O18" s="391"/>
    </row>
    <row r="19" ht="15" customHeight="1" spans="1:15">
      <c r="A19" s="438" t="s">
        <v>1984</v>
      </c>
      <c r="B19" s="389"/>
      <c r="C19" s="389"/>
      <c r="D19" s="389"/>
      <c r="E19" s="389"/>
      <c r="F19" s="381"/>
      <c r="G19" s="390"/>
      <c r="H19" s="391"/>
      <c r="I19" s="391"/>
      <c r="J19" s="391"/>
      <c r="K19" s="391"/>
      <c r="L19" s="391"/>
      <c r="M19" s="391"/>
      <c r="N19" s="391"/>
      <c r="O19" s="391"/>
    </row>
    <row r="20" ht="15" customHeight="1" spans="1:15">
      <c r="A20" s="438" t="s">
        <v>166</v>
      </c>
      <c r="B20" s="389"/>
      <c r="C20" s="389"/>
      <c r="D20" s="389"/>
      <c r="E20" s="389"/>
      <c r="F20" s="381"/>
      <c r="G20" s="390"/>
      <c r="H20" s="391"/>
      <c r="I20" s="391"/>
      <c r="J20" s="391"/>
      <c r="K20" s="391"/>
      <c r="L20" s="391"/>
      <c r="M20" s="391"/>
      <c r="N20" s="391"/>
      <c r="O20" s="391"/>
    </row>
    <row r="21" ht="15" customHeight="1" spans="1:15">
      <c r="A21" s="438" t="s">
        <v>1981</v>
      </c>
      <c r="B21" s="389"/>
      <c r="C21" s="389"/>
      <c r="D21" s="389"/>
      <c r="E21" s="389"/>
      <c r="F21" s="381"/>
      <c r="G21" s="390"/>
      <c r="H21" s="391"/>
      <c r="I21" s="391"/>
      <c r="J21" s="391"/>
      <c r="K21" s="391"/>
      <c r="L21" s="391"/>
      <c r="M21" s="391"/>
      <c r="N21" s="391"/>
      <c r="O21" s="391"/>
    </row>
    <row r="22" ht="15" customHeight="1" spans="1:15">
      <c r="A22" s="438" t="s">
        <v>1744</v>
      </c>
      <c r="B22" s="389"/>
      <c r="C22" s="389"/>
      <c r="D22" s="389"/>
      <c r="E22" s="389"/>
      <c r="F22" s="381"/>
      <c r="G22" s="390"/>
      <c r="H22" s="391"/>
      <c r="I22" s="391"/>
      <c r="J22" s="391"/>
      <c r="K22" s="391"/>
      <c r="L22" s="391"/>
      <c r="M22" s="391"/>
      <c r="N22" s="391"/>
      <c r="O22" s="391"/>
    </row>
    <row r="23" ht="15" customHeight="1" spans="1:15">
      <c r="A23" s="438" t="s">
        <v>482</v>
      </c>
      <c r="B23" s="389"/>
      <c r="C23" s="389"/>
      <c r="D23" s="389"/>
      <c r="E23" s="389"/>
      <c r="F23" s="381"/>
      <c r="G23" s="390"/>
      <c r="H23" s="391"/>
      <c r="I23" s="391"/>
      <c r="J23" s="391"/>
      <c r="K23" s="391"/>
      <c r="L23" s="391"/>
      <c r="M23" s="391"/>
      <c r="N23" s="391"/>
      <c r="O23" s="391"/>
    </row>
    <row r="24" ht="15" customHeight="1" spans="1:15">
      <c r="A24" s="438" t="s">
        <v>462</v>
      </c>
      <c r="B24" s="389"/>
      <c r="C24" s="389"/>
      <c r="D24" s="389"/>
      <c r="E24" s="389"/>
      <c r="F24" s="381"/>
      <c r="G24" s="390"/>
      <c r="H24" s="391"/>
      <c r="I24" s="391"/>
      <c r="J24" s="391"/>
      <c r="K24" s="391"/>
      <c r="L24" s="391"/>
      <c r="M24" s="391"/>
      <c r="N24" s="391"/>
      <c r="O24" s="391"/>
    </row>
    <row r="25" ht="15" customHeight="1" spans="1:15">
      <c r="A25" s="438" t="s">
        <v>1982</v>
      </c>
      <c r="B25" s="389"/>
      <c r="C25" s="389"/>
      <c r="D25" s="389"/>
      <c r="E25" s="389"/>
      <c r="F25" s="381"/>
      <c r="G25" s="390"/>
      <c r="H25" s="391"/>
      <c r="I25" s="391"/>
      <c r="J25" s="391"/>
      <c r="K25" s="391"/>
      <c r="L25" s="391"/>
      <c r="M25" s="391"/>
      <c r="N25" s="391"/>
      <c r="O25" s="391"/>
    </row>
    <row r="26" ht="15" customHeight="1" spans="1:15">
      <c r="A26" s="438" t="s">
        <v>1983</v>
      </c>
      <c r="B26" s="389"/>
      <c r="C26" s="389"/>
      <c r="D26" s="389"/>
      <c r="E26" s="389"/>
      <c r="F26" s="381"/>
      <c r="G26" s="390"/>
      <c r="H26" s="391"/>
      <c r="I26" s="391"/>
      <c r="J26" s="391"/>
      <c r="K26" s="391"/>
      <c r="L26" s="391"/>
      <c r="M26" s="391"/>
      <c r="N26" s="391"/>
      <c r="O26" s="391"/>
    </row>
    <row r="27" ht="15" customHeight="1" spans="1:15">
      <c r="A27" s="438" t="s">
        <v>2003</v>
      </c>
      <c r="B27" s="389"/>
      <c r="C27" s="389"/>
      <c r="D27" s="389"/>
      <c r="E27" s="389"/>
      <c r="F27" s="381"/>
      <c r="G27" s="390"/>
      <c r="H27" s="391"/>
      <c r="I27" s="391"/>
      <c r="J27" s="391"/>
      <c r="K27" s="391"/>
      <c r="L27" s="391"/>
      <c r="M27" s="391"/>
      <c r="N27" s="391"/>
      <c r="O27" s="391"/>
    </row>
    <row r="28" ht="15" customHeight="1" spans="1:15">
      <c r="A28" s="438" t="s">
        <v>2004</v>
      </c>
      <c r="B28" s="389"/>
      <c r="C28" s="389"/>
      <c r="D28" s="389"/>
      <c r="E28" s="389"/>
      <c r="F28" s="381"/>
      <c r="G28" s="390"/>
      <c r="H28" s="391"/>
      <c r="I28" s="391"/>
      <c r="J28" s="391"/>
      <c r="K28" s="391"/>
      <c r="L28" s="391"/>
      <c r="M28" s="391"/>
      <c r="N28" s="391"/>
      <c r="O28" s="391"/>
    </row>
    <row r="29" ht="15" customHeight="1" spans="1:15">
      <c r="A29" s="438" t="s">
        <v>475</v>
      </c>
      <c r="B29" s="389"/>
      <c r="C29" s="389"/>
      <c r="D29" s="389"/>
      <c r="E29" s="389"/>
      <c r="F29" s="381"/>
      <c r="G29" s="390"/>
      <c r="H29" s="391"/>
      <c r="I29" s="391"/>
      <c r="J29" s="391"/>
      <c r="K29" s="391"/>
      <c r="L29" s="391"/>
      <c r="M29" s="391"/>
      <c r="N29" s="391"/>
      <c r="O29" s="391"/>
    </row>
    <row r="30" ht="15" customHeight="1" spans="1:15">
      <c r="A30" s="438" t="s">
        <v>2005</v>
      </c>
      <c r="B30" s="389"/>
      <c r="C30" s="389"/>
      <c r="D30" s="389"/>
      <c r="E30" s="389"/>
      <c r="F30" s="381"/>
      <c r="G30" s="390"/>
      <c r="H30" s="391"/>
      <c r="I30" s="391"/>
      <c r="J30" s="391"/>
      <c r="K30" s="391"/>
      <c r="L30" s="391"/>
      <c r="M30" s="391"/>
      <c r="N30" s="391"/>
      <c r="O30" s="391"/>
    </row>
    <row r="31" ht="15" customHeight="1" spans="1:15">
      <c r="A31" s="438" t="s">
        <v>2006</v>
      </c>
      <c r="B31" s="389"/>
      <c r="C31" s="389"/>
      <c r="D31" s="389"/>
      <c r="E31" s="389"/>
      <c r="F31" s="381"/>
      <c r="G31" s="390"/>
      <c r="H31" s="391"/>
      <c r="I31" s="391"/>
      <c r="J31" s="391"/>
      <c r="K31" s="391"/>
      <c r="L31" s="391"/>
      <c r="M31" s="391"/>
      <c r="N31" s="391"/>
      <c r="O31" s="391"/>
    </row>
    <row r="32" ht="15" customHeight="1" spans="1:15">
      <c r="A32" s="438" t="s">
        <v>1985</v>
      </c>
      <c r="B32" s="389"/>
      <c r="C32" s="389"/>
      <c r="D32" s="389"/>
      <c r="E32" s="389"/>
      <c r="F32" s="381"/>
      <c r="G32" s="390"/>
      <c r="H32" s="391"/>
      <c r="I32" s="391"/>
      <c r="J32" s="391"/>
      <c r="K32" s="391"/>
      <c r="L32" s="391"/>
      <c r="M32" s="391"/>
      <c r="N32" s="391"/>
      <c r="O32" s="391"/>
    </row>
    <row r="33" ht="15" customHeight="1" spans="1:15">
      <c r="A33" s="438" t="s">
        <v>2007</v>
      </c>
      <c r="B33" s="389"/>
      <c r="C33" s="389"/>
      <c r="D33" s="389"/>
      <c r="E33" s="389"/>
      <c r="F33" s="381"/>
      <c r="G33" s="390"/>
      <c r="H33" s="391"/>
      <c r="I33" s="391"/>
      <c r="J33" s="391"/>
      <c r="K33" s="391"/>
      <c r="L33" s="391"/>
      <c r="M33" s="391"/>
      <c r="N33" s="391"/>
      <c r="O33" s="391"/>
    </row>
    <row r="34" ht="15" customHeight="1" spans="1:15">
      <c r="A34" s="438" t="s">
        <v>2008</v>
      </c>
      <c r="B34" s="389"/>
      <c r="C34" s="389"/>
      <c r="D34" s="389"/>
      <c r="E34" s="389"/>
      <c r="F34" s="381"/>
      <c r="G34" s="390"/>
      <c r="H34" s="391"/>
      <c r="I34" s="391"/>
      <c r="J34" s="391"/>
      <c r="K34" s="391"/>
      <c r="L34" s="391"/>
      <c r="M34" s="391"/>
      <c r="N34" s="391"/>
      <c r="O34" s="391"/>
    </row>
    <row r="35" ht="15" customHeight="1" spans="1:15">
      <c r="A35" s="438" t="s">
        <v>466</v>
      </c>
      <c r="B35" s="389"/>
      <c r="C35" s="389"/>
      <c r="D35" s="389"/>
      <c r="E35" s="389"/>
      <c r="F35" s="381"/>
      <c r="G35" s="390"/>
      <c r="H35" s="391"/>
      <c r="I35" s="391"/>
      <c r="J35" s="391"/>
      <c r="K35" s="391"/>
      <c r="L35" s="391"/>
      <c r="M35" s="391"/>
      <c r="N35" s="391"/>
      <c r="O35" s="391"/>
    </row>
    <row r="36" ht="15" customHeight="1" spans="1:15">
      <c r="A36" s="439" t="s">
        <v>281</v>
      </c>
      <c r="B36" s="439"/>
      <c r="C36" s="439"/>
      <c r="D36" s="439"/>
      <c r="E36" s="439"/>
      <c r="F36" s="439"/>
      <c r="G36" s="439"/>
      <c r="H36" s="440"/>
      <c r="I36" s="440"/>
      <c r="J36" s="440"/>
      <c r="K36" s="440"/>
      <c r="L36" s="440"/>
      <c r="M36" s="440"/>
      <c r="N36" s="440"/>
      <c r="O36" s="440"/>
    </row>
  </sheetData>
  <mergeCells count="8">
    <mergeCell ref="A5:D5"/>
    <mergeCell ref="D10:O10"/>
    <mergeCell ref="A10:A11"/>
    <mergeCell ref="A12:A14"/>
    <mergeCell ref="A15:A17"/>
    <mergeCell ref="B10:B11"/>
    <mergeCell ref="C10:C11"/>
    <mergeCell ref="A1:D4"/>
  </mergeCells>
  <hyperlinks>
    <hyperlink ref="A1" location="目录!A1" display="← 返回目录"/>
  </hyperlinks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3">
    <tabColor theme="8" tint="0.399975585192419"/>
  </sheetPr>
  <dimension ref="A1:AG20"/>
  <sheetViews>
    <sheetView workbookViewId="0">
      <selection activeCell="A1" sqref="A1:F4"/>
    </sheetView>
  </sheetViews>
  <sheetFormatPr defaultColWidth="8.90833333333333" defaultRowHeight="12"/>
  <cols>
    <col min="1" max="2" width="17.45" style="272" customWidth="1"/>
    <col min="3" max="5" width="13" style="272" customWidth="1"/>
    <col min="6" max="11" width="12" style="273" customWidth="1"/>
    <col min="12" max="13" width="11.9083333333333" style="272" customWidth="1"/>
    <col min="14" max="14" width="10.725" style="272" customWidth="1"/>
    <col min="15" max="17" width="11.9083333333333" style="272" customWidth="1"/>
    <col min="18" max="18" width="13" style="272" customWidth="1"/>
    <col min="19" max="19" width="11.9083333333333" style="272" customWidth="1"/>
    <col min="20" max="20" width="13" style="272" customWidth="1"/>
    <col min="21" max="21" width="11.9083333333333" style="272" customWidth="1"/>
    <col min="22" max="23" width="10.725" style="272" customWidth="1"/>
    <col min="24" max="24" width="14.0916666666667" style="272" customWidth="1"/>
    <col min="25" max="16384" width="8.90833333333333" style="272"/>
  </cols>
  <sheetData>
    <row r="1" s="157" customFormat="1" ht="19" customHeight="1" spans="1:33">
      <c r="A1" s="202" t="s">
        <v>185</v>
      </c>
      <c r="B1" s="163"/>
      <c r="C1" s="163"/>
      <c r="D1" s="163"/>
      <c r="E1" s="163"/>
      <c r="F1" s="163"/>
      <c r="G1" s="164" t="s">
        <v>1404</v>
      </c>
      <c r="H1" s="165" t="s">
        <v>1405</v>
      </c>
      <c r="I1" s="165"/>
      <c r="J1" s="165"/>
    </row>
    <row r="2" s="157" customFormat="1" ht="19" customHeight="1" spans="1:33">
      <c r="A2" s="163"/>
      <c r="B2" s="163"/>
      <c r="C2" s="163"/>
      <c r="D2" s="163"/>
      <c r="E2" s="163"/>
      <c r="F2" s="163"/>
      <c r="G2" s="166"/>
      <c r="H2" s="167" t="s">
        <v>1700</v>
      </c>
      <c r="I2" s="167"/>
      <c r="J2" s="167"/>
    </row>
    <row r="3" s="157" customFormat="1" ht="19" customHeight="1" spans="1:33">
      <c r="A3" s="163"/>
      <c r="B3" s="163"/>
      <c r="C3" s="163"/>
      <c r="D3" s="163"/>
      <c r="E3" s="163"/>
      <c r="F3" s="163"/>
      <c r="G3" s="166"/>
      <c r="H3" s="167" t="s">
        <v>1660</v>
      </c>
      <c r="I3" s="167"/>
      <c r="J3" s="167"/>
    </row>
    <row r="4" s="157" customFormat="1" ht="19" customHeight="1" spans="1:33">
      <c r="A4" s="163"/>
      <c r="B4" s="163"/>
      <c r="C4" s="163"/>
      <c r="D4" s="163"/>
      <c r="E4" s="163"/>
      <c r="F4" s="163"/>
      <c r="G4" s="166"/>
      <c r="H4" s="167"/>
      <c r="I4" s="167"/>
      <c r="J4" s="167"/>
    </row>
    <row r="5" s="157" customFormat="1" ht="19" customHeight="1" spans="1:33">
      <c r="A5" s="168" t="s">
        <v>1993</v>
      </c>
      <c r="B5" s="168"/>
      <c r="C5" s="168"/>
      <c r="D5" s="168"/>
      <c r="E5" s="168"/>
      <c r="F5" s="168"/>
      <c r="G5" s="169" t="s">
        <v>1567</v>
      </c>
      <c r="H5" s="170"/>
      <c r="I5" s="170"/>
      <c r="J5" s="171"/>
    </row>
    <row r="6" s="157" customFormat="1" ht="13.5" spans="1:33">
      <c r="A6" s="220"/>
      <c r="B6" s="220"/>
      <c r="C6" s="167"/>
      <c r="D6" s="167"/>
      <c r="E6" s="167"/>
      <c r="F6" s="167"/>
      <c r="G6" s="221"/>
      <c r="H6" s="221"/>
      <c r="I6" s="222"/>
      <c r="J6" s="167"/>
    </row>
    <row r="7" s="159" customFormat="1" ht="13.5" spans="1:33">
      <c r="A7" s="174" t="s">
        <v>1411</v>
      </c>
      <c r="B7" s="414" t="s">
        <v>1412</v>
      </c>
      <c r="C7" s="174" t="s">
        <v>188</v>
      </c>
      <c r="D7" s="414" t="s">
        <v>1413</v>
      </c>
      <c r="E7" s="174" t="s">
        <v>1364</v>
      </c>
      <c r="F7" s="414" t="s">
        <v>1396</v>
      </c>
      <c r="G7" s="174" t="s">
        <v>1414</v>
      </c>
      <c r="H7" s="415" t="s">
        <v>1359</v>
      </c>
      <c r="I7" s="175"/>
      <c r="J7" s="1"/>
      <c r="K7" s="1"/>
      <c r="L7" s="1"/>
      <c r="M7" s="1"/>
      <c r="N7" s="1"/>
      <c r="O7" s="1"/>
      <c r="P7"/>
      <c r="Q7"/>
    </row>
    <row r="8" s="159" customFormat="1" ht="13.5" spans="1:33">
      <c r="A8" s="176"/>
      <c r="B8" s="39"/>
      <c r="C8" s="39"/>
      <c r="D8" s="39"/>
      <c r="E8" s="39"/>
      <c r="F8" s="39"/>
      <c r="G8" s="39"/>
      <c r="H8" s="39"/>
      <c r="I8" s="39"/>
      <c r="J8" s="1"/>
      <c r="K8" s="1"/>
      <c r="L8" s="1"/>
      <c r="M8" s="1"/>
      <c r="N8" s="1"/>
      <c r="O8" s="1"/>
      <c r="P8"/>
      <c r="Q8"/>
    </row>
    <row r="9" s="412" customFormat="1" ht="28.5" spans="1:33">
      <c r="A9" s="416" t="s">
        <v>5</v>
      </c>
      <c r="B9" s="416" t="s">
        <v>2009</v>
      </c>
      <c r="C9" s="417" t="s">
        <v>2010</v>
      </c>
      <c r="D9" s="418" t="s">
        <v>2011</v>
      </c>
      <c r="E9" s="418" t="s">
        <v>2012</v>
      </c>
      <c r="F9" s="419" t="s">
        <v>2013</v>
      </c>
      <c r="G9" s="420" t="s">
        <v>304</v>
      </c>
      <c r="H9" s="420" t="s">
        <v>305</v>
      </c>
      <c r="I9" s="420" t="s">
        <v>306</v>
      </c>
      <c r="J9" s="421" t="s">
        <v>307</v>
      </c>
      <c r="K9" s="421" t="s">
        <v>308</v>
      </c>
      <c r="L9" s="421" t="s">
        <v>309</v>
      </c>
      <c r="M9" s="421" t="s">
        <v>310</v>
      </c>
      <c r="N9" s="421" t="s">
        <v>311</v>
      </c>
      <c r="O9" s="421" t="s">
        <v>312</v>
      </c>
      <c r="P9" s="421" t="s">
        <v>313</v>
      </c>
      <c r="Q9" s="421" t="s">
        <v>314</v>
      </c>
      <c r="R9" s="421" t="s">
        <v>315</v>
      </c>
      <c r="S9" s="420" t="s">
        <v>2014</v>
      </c>
      <c r="T9" s="422" t="s">
        <v>2015</v>
      </c>
      <c r="U9" s="422" t="s">
        <v>2016</v>
      </c>
      <c r="V9" s="422" t="s">
        <v>314</v>
      </c>
      <c r="W9" s="422" t="s">
        <v>315</v>
      </c>
      <c r="X9" s="422" t="s">
        <v>1458</v>
      </c>
      <c r="Y9" s="423" t="s">
        <v>222</v>
      </c>
      <c r="AF9" s="412" t="s">
        <v>2017</v>
      </c>
    </row>
    <row r="10" s="413" customFormat="1" ht="36" customHeight="1" spans="1:33">
      <c r="A10" s="424" t="s">
        <v>164</v>
      </c>
      <c r="B10" s="425" t="s">
        <v>2018</v>
      </c>
      <c r="C10" s="425" t="s">
        <v>2019</v>
      </c>
      <c r="D10" s="426">
        <f>SUM(G10:R10)</f>
        <v>80000</v>
      </c>
      <c r="E10" s="427" t="s">
        <v>1468</v>
      </c>
      <c r="F10" s="425" t="s">
        <v>2020</v>
      </c>
      <c r="G10" s="428">
        <v>4000</v>
      </c>
      <c r="H10" s="428">
        <v>36000</v>
      </c>
      <c r="I10" s="428">
        <v>4000</v>
      </c>
      <c r="J10" s="428">
        <v>4000</v>
      </c>
      <c r="K10" s="428">
        <v>4000</v>
      </c>
      <c r="L10" s="428">
        <v>4000</v>
      </c>
      <c r="M10" s="428">
        <v>4000</v>
      </c>
      <c r="N10" s="428">
        <v>4000</v>
      </c>
      <c r="O10" s="428">
        <v>4000</v>
      </c>
      <c r="P10" s="428">
        <v>4000</v>
      </c>
      <c r="Q10" s="428">
        <v>4000</v>
      </c>
      <c r="R10" s="428">
        <v>4000</v>
      </c>
      <c r="S10" s="429">
        <f t="shared" ref="S10:S17" si="0">SUM(G10:R10)</f>
        <v>80000</v>
      </c>
      <c r="T10" s="430" t="s">
        <v>1468</v>
      </c>
      <c r="U10" s="431"/>
      <c r="V10" s="431"/>
      <c r="W10" s="431"/>
      <c r="X10" s="432">
        <f t="shared" ref="X10:X12" si="1">U10+V10+W10</f>
        <v>0</v>
      </c>
      <c r="Y10" s="431">
        <f t="shared" ref="Y10:Y17" si="2">S10-X10</f>
        <v>80000</v>
      </c>
      <c r="Z10" s="433"/>
      <c r="AA10" s="433"/>
      <c r="AF10" s="413">
        <v>1.4</v>
      </c>
    </row>
    <row r="11" s="413" customFormat="1" ht="36" customHeight="1" spans="1:33">
      <c r="A11" s="424" t="s">
        <v>164</v>
      </c>
      <c r="B11" s="425" t="s">
        <v>2021</v>
      </c>
      <c r="C11" s="425" t="s">
        <v>2022</v>
      </c>
      <c r="D11" s="426">
        <v>30000</v>
      </c>
      <c r="E11" s="427" t="s">
        <v>1468</v>
      </c>
      <c r="F11" s="425" t="s">
        <v>2023</v>
      </c>
      <c r="G11" s="428"/>
      <c r="H11" s="428"/>
      <c r="I11" s="428"/>
      <c r="J11" s="428"/>
      <c r="K11" s="428"/>
      <c r="L11" s="428">
        <v>20000</v>
      </c>
      <c r="M11" s="428"/>
      <c r="N11" s="428"/>
      <c r="O11" s="428"/>
      <c r="P11" s="428"/>
      <c r="Q11" s="428"/>
      <c r="R11" s="428">
        <v>10000</v>
      </c>
      <c r="S11" s="429">
        <f t="shared" si="0"/>
        <v>30000</v>
      </c>
      <c r="T11" s="430" t="s">
        <v>1468</v>
      </c>
      <c r="U11" s="431"/>
      <c r="V11" s="431"/>
      <c r="W11" s="431"/>
      <c r="X11" s="432">
        <f t="shared" si="1"/>
        <v>0</v>
      </c>
      <c r="Y11" s="431">
        <f t="shared" si="2"/>
        <v>30000</v>
      </c>
      <c r="Z11" s="433"/>
      <c r="AA11" s="433"/>
      <c r="AF11" s="413">
        <v>20</v>
      </c>
    </row>
    <row r="12" s="413" customFormat="1" ht="36" customHeight="1" spans="1:33">
      <c r="A12" s="424" t="s">
        <v>164</v>
      </c>
      <c r="B12" s="425" t="s">
        <v>2024</v>
      </c>
      <c r="C12" s="425" t="s">
        <v>2025</v>
      </c>
      <c r="D12" s="426">
        <v>600000</v>
      </c>
      <c r="E12" s="427" t="s">
        <v>1468</v>
      </c>
      <c r="F12" s="425" t="s">
        <v>2026</v>
      </c>
      <c r="G12" s="428"/>
      <c r="H12" s="428">
        <v>600000</v>
      </c>
      <c r="I12" s="428"/>
      <c r="J12" s="428"/>
      <c r="K12" s="428"/>
      <c r="L12" s="428"/>
      <c r="M12" s="428"/>
      <c r="N12" s="428"/>
      <c r="O12" s="428"/>
      <c r="P12" s="428"/>
      <c r="Q12" s="428"/>
      <c r="R12" s="428"/>
      <c r="S12" s="429">
        <f t="shared" si="0"/>
        <v>600000</v>
      </c>
      <c r="T12" s="430" t="s">
        <v>1468</v>
      </c>
      <c r="U12" s="431"/>
      <c r="V12" s="431"/>
      <c r="W12" s="431"/>
      <c r="X12" s="432">
        <f t="shared" si="1"/>
        <v>0</v>
      </c>
      <c r="Y12" s="431">
        <f t="shared" si="2"/>
        <v>600000</v>
      </c>
      <c r="Z12" s="433"/>
      <c r="AA12" s="433"/>
      <c r="AF12" s="413">
        <v>35</v>
      </c>
      <c r="AG12" s="413" t="s">
        <v>2027</v>
      </c>
    </row>
    <row r="13" s="413" customFormat="1" ht="36" customHeight="1" spans="1:33">
      <c r="A13" s="424" t="s">
        <v>164</v>
      </c>
      <c r="B13" s="425" t="s">
        <v>2028</v>
      </c>
      <c r="C13" s="425" t="s">
        <v>2025</v>
      </c>
      <c r="D13" s="426">
        <v>400000</v>
      </c>
      <c r="E13" s="427" t="s">
        <v>1468</v>
      </c>
      <c r="F13" s="425" t="s">
        <v>2026</v>
      </c>
      <c r="G13" s="428"/>
      <c r="H13" s="428">
        <v>400000</v>
      </c>
      <c r="I13" s="428"/>
      <c r="J13" s="428"/>
      <c r="K13" s="428"/>
      <c r="L13" s="428"/>
      <c r="M13" s="428"/>
      <c r="N13" s="428"/>
      <c r="O13" s="428"/>
      <c r="P13" s="428"/>
      <c r="Q13" s="428"/>
      <c r="R13" s="428"/>
      <c r="S13" s="429">
        <f t="shared" si="0"/>
        <v>400000</v>
      </c>
      <c r="T13" s="430" t="s">
        <v>1468</v>
      </c>
      <c r="U13" s="431"/>
      <c r="V13" s="431"/>
      <c r="W13" s="431"/>
      <c r="X13" s="432"/>
      <c r="Y13" s="431">
        <f t="shared" si="2"/>
        <v>400000</v>
      </c>
      <c r="Z13" s="433"/>
      <c r="AA13" s="433"/>
    </row>
    <row r="14" s="413" customFormat="1" ht="36" customHeight="1" spans="1:33">
      <c r="A14" s="424" t="s">
        <v>164</v>
      </c>
      <c r="B14" s="425" t="s">
        <v>2029</v>
      </c>
      <c r="C14" s="425" t="s">
        <v>2030</v>
      </c>
      <c r="D14" s="426">
        <v>200000</v>
      </c>
      <c r="E14" s="427" t="s">
        <v>1468</v>
      </c>
      <c r="F14" s="425" t="s">
        <v>2026</v>
      </c>
      <c r="G14" s="428"/>
      <c r="H14" s="428">
        <v>200000</v>
      </c>
      <c r="I14" s="428"/>
      <c r="J14" s="428"/>
      <c r="K14" s="428"/>
      <c r="L14" s="428"/>
      <c r="M14" s="428"/>
      <c r="N14" s="428"/>
      <c r="O14" s="428"/>
      <c r="P14" s="428"/>
      <c r="Q14" s="428"/>
      <c r="R14" s="428"/>
      <c r="S14" s="429">
        <f t="shared" si="0"/>
        <v>200000</v>
      </c>
      <c r="T14" s="430"/>
      <c r="U14" s="431"/>
      <c r="V14" s="431"/>
      <c r="W14" s="431"/>
      <c r="X14" s="432"/>
      <c r="Y14" s="431">
        <f t="shared" si="2"/>
        <v>200000</v>
      </c>
      <c r="Z14" s="433"/>
      <c r="AA14" s="433"/>
    </row>
    <row r="15" s="413" customFormat="1" ht="36" customHeight="1" spans="1:33">
      <c r="A15" s="424" t="s">
        <v>164</v>
      </c>
      <c r="B15" s="425" t="s">
        <v>2031</v>
      </c>
      <c r="C15" s="425" t="s">
        <v>2032</v>
      </c>
      <c r="D15" s="426"/>
      <c r="E15" s="427" t="s">
        <v>1468</v>
      </c>
      <c r="F15" s="425" t="s">
        <v>2033</v>
      </c>
      <c r="G15" s="428"/>
      <c r="H15" s="428"/>
      <c r="I15" s="428"/>
      <c r="J15" s="428"/>
      <c r="K15" s="428"/>
      <c r="L15" s="428"/>
      <c r="M15" s="428"/>
      <c r="N15" s="428"/>
      <c r="O15" s="428"/>
      <c r="P15" s="428"/>
      <c r="Q15" s="428"/>
      <c r="R15" s="428"/>
      <c r="S15" s="429">
        <f t="shared" si="0"/>
        <v>0</v>
      </c>
      <c r="T15" s="430" t="s">
        <v>1468</v>
      </c>
      <c r="U15" s="431"/>
      <c r="V15" s="431"/>
      <c r="W15" s="431"/>
      <c r="X15" s="432">
        <f t="shared" ref="X15:X17" si="3">U15+V15+W15</f>
        <v>0</v>
      </c>
      <c r="Y15" s="431">
        <f t="shared" si="2"/>
        <v>0</v>
      </c>
      <c r="Z15" s="433"/>
      <c r="AA15" s="433"/>
    </row>
    <row r="16" s="413" customFormat="1" ht="36" customHeight="1" spans="1:33">
      <c r="A16" s="424" t="s">
        <v>164</v>
      </c>
      <c r="B16" s="425" t="s">
        <v>2034</v>
      </c>
      <c r="C16" s="425" t="s">
        <v>2035</v>
      </c>
      <c r="D16" s="426">
        <v>100000</v>
      </c>
      <c r="E16" s="427" t="s">
        <v>1468</v>
      </c>
      <c r="F16" s="425" t="s">
        <v>2036</v>
      </c>
      <c r="G16" s="428"/>
      <c r="H16" s="428">
        <v>100000</v>
      </c>
      <c r="I16" s="428"/>
      <c r="J16" s="428"/>
      <c r="K16" s="428"/>
      <c r="L16" s="428"/>
      <c r="M16" s="428"/>
      <c r="N16" s="428"/>
      <c r="O16" s="428"/>
      <c r="P16" s="428"/>
      <c r="Q16" s="428"/>
      <c r="R16" s="428"/>
      <c r="S16" s="429">
        <f t="shared" si="0"/>
        <v>100000</v>
      </c>
      <c r="T16" s="430" t="s">
        <v>1470</v>
      </c>
      <c r="U16" s="431"/>
      <c r="V16" s="431"/>
      <c r="W16" s="431"/>
      <c r="X16" s="432">
        <f t="shared" si="3"/>
        <v>0</v>
      </c>
      <c r="Y16" s="431">
        <f t="shared" si="2"/>
        <v>100000</v>
      </c>
      <c r="Z16" s="433"/>
      <c r="AA16" s="433"/>
    </row>
    <row r="17" s="413" customFormat="1" ht="36" customHeight="1" spans="1:32">
      <c r="A17" s="424" t="s">
        <v>164</v>
      </c>
      <c r="B17" s="425" t="s">
        <v>2037</v>
      </c>
      <c r="C17" s="425" t="s">
        <v>2038</v>
      </c>
      <c r="D17" s="426"/>
      <c r="E17" s="427" t="s">
        <v>1468</v>
      </c>
      <c r="F17" s="425" t="s">
        <v>2039</v>
      </c>
      <c r="G17" s="428"/>
      <c r="H17" s="428"/>
      <c r="I17" s="428"/>
      <c r="J17" s="428"/>
      <c r="K17" s="428"/>
      <c r="L17" s="428"/>
      <c r="M17" s="428"/>
      <c r="N17" s="428"/>
      <c r="O17" s="428"/>
      <c r="P17" s="428"/>
      <c r="Q17" s="428"/>
      <c r="R17" s="428"/>
      <c r="S17" s="429">
        <f t="shared" si="0"/>
        <v>0</v>
      </c>
      <c r="T17" s="430" t="s">
        <v>1470</v>
      </c>
      <c r="U17" s="431"/>
      <c r="V17" s="431"/>
      <c r="W17" s="431"/>
      <c r="X17" s="432">
        <f t="shared" si="3"/>
        <v>0</v>
      </c>
      <c r="Y17" s="431">
        <f t="shared" si="2"/>
        <v>0</v>
      </c>
      <c r="Z17" s="433"/>
      <c r="AA17" s="433"/>
    </row>
    <row r="18" customFormat="1" ht="13.5" spans="1:32">
      <c r="A18" s="434" t="s">
        <v>2040</v>
      </c>
      <c r="G18">
        <f t="shared" ref="G18:S18" si="4">SUM(G10:G16)</f>
        <v>4000</v>
      </c>
      <c r="H18">
        <f t="shared" si="4"/>
        <v>1336000</v>
      </c>
      <c r="I18">
        <f t="shared" si="4"/>
        <v>4000</v>
      </c>
      <c r="J18">
        <f t="shared" si="4"/>
        <v>4000</v>
      </c>
      <c r="K18">
        <f t="shared" si="4"/>
        <v>4000</v>
      </c>
      <c r="L18">
        <f t="shared" si="4"/>
        <v>24000</v>
      </c>
      <c r="M18">
        <f t="shared" si="4"/>
        <v>4000</v>
      </c>
      <c r="N18">
        <f t="shared" si="4"/>
        <v>4000</v>
      </c>
      <c r="O18">
        <f t="shared" si="4"/>
        <v>4000</v>
      </c>
      <c r="P18">
        <f t="shared" si="4"/>
        <v>4000</v>
      </c>
      <c r="Q18">
        <f t="shared" si="4"/>
        <v>4000</v>
      </c>
      <c r="R18">
        <f t="shared" si="4"/>
        <v>14000</v>
      </c>
      <c r="S18">
        <f t="shared" si="4"/>
        <v>1410000</v>
      </c>
      <c r="T18" s="435"/>
      <c r="U18" s="435"/>
      <c r="V18" s="435"/>
      <c r="W18" s="435"/>
      <c r="X18" s="435"/>
      <c r="Y18" s="435"/>
      <c r="AF18" s="436">
        <f>SUM(AF10:AF16)</f>
        <v>56.4</v>
      </c>
    </row>
    <row r="19" customFormat="1" ht="13.5" spans="1:32">
      <c r="A19" s="434" t="s">
        <v>2041</v>
      </c>
      <c r="S19" s="435"/>
      <c r="T19" s="435"/>
      <c r="U19" s="435"/>
      <c r="V19" s="435"/>
      <c r="W19" s="435"/>
      <c r="X19" s="435"/>
      <c r="Y19" s="435"/>
    </row>
    <row r="20" customFormat="1" ht="13.5" spans="1:32">
      <c r="A20" s="434" t="s">
        <v>2042</v>
      </c>
      <c r="S20" s="435"/>
      <c r="T20" s="435"/>
      <c r="U20" s="435"/>
      <c r="V20" s="435"/>
      <c r="W20" s="435"/>
      <c r="X20" s="435"/>
      <c r="Y20" s="435"/>
    </row>
  </sheetData>
  <mergeCells count="3">
    <mergeCell ref="A5:F5"/>
    <mergeCell ref="A8:I8"/>
    <mergeCell ref="A1:F4"/>
  </mergeCells>
  <conditionalFormatting sqref="C10:E20">
    <cfRule type="cellIs" dxfId="4" priority="1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A1" sqref="A1:D4"/>
    </sheetView>
  </sheetViews>
  <sheetFormatPr defaultColWidth="8.90833333333333" defaultRowHeight="13.5"/>
  <cols>
    <col min="1" max="1" width="12.1833333333333" customWidth="1"/>
  </cols>
  <sheetData>
    <row r="1" s="159" customFormat="1" ht="11.25" spans="1:14">
      <c r="A1" s="162" t="s">
        <v>185</v>
      </c>
      <c r="B1" s="291"/>
      <c r="C1" s="291"/>
      <c r="D1" s="291"/>
      <c r="E1" s="7" t="s">
        <v>1404</v>
      </c>
      <c r="F1" s="8" t="s">
        <v>1405</v>
      </c>
      <c r="G1" s="8"/>
      <c r="H1" s="8"/>
    </row>
    <row r="2" s="159" customFormat="1" ht="11.25" spans="1:14">
      <c r="A2" s="291"/>
      <c r="B2" s="291"/>
      <c r="C2" s="291"/>
      <c r="D2" s="291"/>
      <c r="E2" s="12"/>
      <c r="F2" s="13" t="s">
        <v>1659</v>
      </c>
      <c r="G2" s="13"/>
      <c r="H2" s="13"/>
    </row>
    <row r="3" s="159" customFormat="1" ht="11.25" spans="1:14">
      <c r="A3" s="291"/>
      <c r="B3" s="291"/>
      <c r="C3" s="291"/>
      <c r="D3" s="291"/>
      <c r="E3" s="12"/>
      <c r="F3" s="13" t="s">
        <v>1660</v>
      </c>
      <c r="G3" s="13"/>
      <c r="H3" s="13"/>
    </row>
    <row r="4" s="159" customFormat="1" ht="11.25" spans="1:14">
      <c r="A4" s="291"/>
      <c r="B4" s="291"/>
      <c r="C4" s="291"/>
      <c r="D4" s="291"/>
      <c r="E4" s="12"/>
      <c r="F4" s="13"/>
      <c r="G4" s="13"/>
      <c r="H4" s="13"/>
    </row>
    <row r="5" s="159" customFormat="1" ht="11.25" spans="1:14">
      <c r="A5" s="292" t="s">
        <v>1618</v>
      </c>
      <c r="B5" s="292"/>
      <c r="C5" s="292"/>
      <c r="D5" s="292"/>
      <c r="E5" s="26" t="s">
        <v>1567</v>
      </c>
      <c r="F5" s="27"/>
      <c r="G5" s="27"/>
      <c r="H5" s="28"/>
    </row>
    <row r="6" s="159" customFormat="1" spans="1:14">
      <c r="A6" s="1"/>
      <c r="B6" s="1"/>
      <c r="C6" s="1"/>
      <c r="D6" s="1"/>
      <c r="E6"/>
      <c r="F6"/>
      <c r="G6" s="32"/>
      <c r="H6" s="1"/>
    </row>
    <row r="7" s="159" customFormat="1" ht="11.25" spans="1:14">
      <c r="A7" s="36" t="s">
        <v>1411</v>
      </c>
      <c r="B7" s="37" t="s">
        <v>1412</v>
      </c>
      <c r="C7" s="36" t="s">
        <v>187</v>
      </c>
      <c r="D7" s="37" t="s">
        <v>1413</v>
      </c>
      <c r="E7" s="36" t="s">
        <v>188</v>
      </c>
      <c r="F7" s="37" t="s">
        <v>1396</v>
      </c>
      <c r="G7" s="36" t="s">
        <v>5</v>
      </c>
      <c r="H7" s="37" t="s">
        <v>1413</v>
      </c>
      <c r="I7" s="36" t="s">
        <v>1364</v>
      </c>
      <c r="J7" s="37" t="s">
        <v>1396</v>
      </c>
      <c r="K7" s="36" t="s">
        <v>1414</v>
      </c>
      <c r="L7" s="38" t="s">
        <v>1359</v>
      </c>
    </row>
    <row r="8" s="159" customFormat="1" ht="11.25"/>
    <row r="9" s="158" customFormat="1" ht="26" customHeight="1" spans="1:14">
      <c r="A9" s="354" t="s">
        <v>1979</v>
      </c>
      <c r="B9" s="173"/>
      <c r="C9" s="173"/>
      <c r="D9" s="173"/>
      <c r="E9" s="173"/>
      <c r="F9" s="173"/>
      <c r="G9" s="173"/>
      <c r="H9" s="173"/>
    </row>
    <row r="10" s="158" customFormat="1" spans="1:14">
      <c r="A10" s="355" t="s">
        <v>1899</v>
      </c>
      <c r="B10" s="332" t="s">
        <v>1925</v>
      </c>
      <c r="C10" s="398" t="s">
        <v>1427</v>
      </c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</row>
    <row r="11" s="158" customFormat="1" spans="1:14">
      <c r="A11" s="355"/>
      <c r="B11" s="338"/>
      <c r="C11" s="400" t="s">
        <v>304</v>
      </c>
      <c r="D11" s="400" t="s">
        <v>305</v>
      </c>
      <c r="E11" s="400" t="s">
        <v>306</v>
      </c>
      <c r="F11" s="400" t="s">
        <v>307</v>
      </c>
      <c r="G11" s="400" t="s">
        <v>308</v>
      </c>
      <c r="H11" s="400" t="s">
        <v>309</v>
      </c>
      <c r="I11" s="400" t="s">
        <v>310</v>
      </c>
      <c r="J11" s="400" t="s">
        <v>311</v>
      </c>
      <c r="K11" s="400" t="s">
        <v>312</v>
      </c>
      <c r="L11" s="400" t="s">
        <v>313</v>
      </c>
      <c r="M11" s="400" t="s">
        <v>314</v>
      </c>
      <c r="N11" s="400" t="s">
        <v>315</v>
      </c>
    </row>
    <row r="12" s="397" customFormat="1" ht="12.75" spans="1:14">
      <c r="A12" s="401" t="s">
        <v>356</v>
      </c>
      <c r="B12" s="380">
        <v>2025</v>
      </c>
      <c r="C12" s="402" t="s">
        <v>1465</v>
      </c>
      <c r="D12" s="402" t="s">
        <v>1465</v>
      </c>
      <c r="E12" s="402" t="s">
        <v>1465</v>
      </c>
      <c r="F12" s="402" t="s">
        <v>1465</v>
      </c>
      <c r="G12" s="402" t="s">
        <v>1465</v>
      </c>
      <c r="H12" s="402" t="s">
        <v>1465</v>
      </c>
      <c r="I12" s="402" t="s">
        <v>1465</v>
      </c>
      <c r="J12" s="402" t="s">
        <v>1465</v>
      </c>
      <c r="K12" s="402" t="s">
        <v>1465</v>
      </c>
      <c r="L12" s="402" t="s">
        <v>1465</v>
      </c>
      <c r="M12" s="402" t="s">
        <v>1465</v>
      </c>
      <c r="N12" s="402" t="s">
        <v>1465</v>
      </c>
    </row>
    <row r="13" s="397" customFormat="1" ht="12.75" spans="1:14">
      <c r="A13" s="403"/>
      <c r="B13" s="380">
        <v>2026</v>
      </c>
      <c r="C13" s="404"/>
      <c r="D13" s="404"/>
      <c r="E13" s="404"/>
      <c r="F13" s="404"/>
      <c r="G13" s="404"/>
      <c r="H13" s="404"/>
      <c r="I13" s="404"/>
      <c r="J13" s="404"/>
      <c r="K13" s="404"/>
      <c r="L13" s="404"/>
      <c r="M13" s="405"/>
      <c r="N13" s="405"/>
    </row>
    <row r="14" s="397" customFormat="1" ht="12.75" spans="1:14">
      <c r="A14" s="403"/>
      <c r="B14" s="380" t="s">
        <v>287</v>
      </c>
      <c r="C14" s="404"/>
      <c r="D14" s="404"/>
      <c r="E14" s="404"/>
      <c r="F14" s="404"/>
      <c r="G14" s="404"/>
      <c r="H14" s="404"/>
      <c r="I14" s="404"/>
      <c r="J14" s="404"/>
      <c r="K14" s="404"/>
      <c r="L14" s="404"/>
      <c r="M14" s="405"/>
      <c r="N14" s="405"/>
    </row>
    <row r="15" s="397" customFormat="1" ht="12.75" spans="1:14">
      <c r="A15" s="401" t="s">
        <v>2043</v>
      </c>
      <c r="B15" s="380">
        <v>2025</v>
      </c>
      <c r="C15" s="381" t="s">
        <v>1421</v>
      </c>
      <c r="D15" s="381" t="s">
        <v>1421</v>
      </c>
      <c r="E15" s="381" t="s">
        <v>1421</v>
      </c>
      <c r="F15" s="381" t="s">
        <v>1421</v>
      </c>
      <c r="G15" s="381" t="s">
        <v>1421</v>
      </c>
      <c r="H15" s="381" t="s">
        <v>1421</v>
      </c>
      <c r="I15" s="381" t="s">
        <v>1421</v>
      </c>
      <c r="J15" s="381" t="s">
        <v>1421</v>
      </c>
      <c r="K15" s="381" t="s">
        <v>1421</v>
      </c>
      <c r="L15" s="381" t="s">
        <v>1421</v>
      </c>
      <c r="M15" s="381" t="s">
        <v>1421</v>
      </c>
      <c r="N15" s="381" t="s">
        <v>1421</v>
      </c>
    </row>
    <row r="16" s="397" customFormat="1" ht="12.75" spans="1:14">
      <c r="A16" s="403"/>
      <c r="B16" s="380">
        <v>2026</v>
      </c>
      <c r="C16" s="386" t="s">
        <v>1465</v>
      </c>
      <c r="D16" s="386" t="s">
        <v>1465</v>
      </c>
      <c r="E16" s="386" t="s">
        <v>1465</v>
      </c>
      <c r="F16" s="386" t="s">
        <v>1465</v>
      </c>
      <c r="G16" s="386" t="s">
        <v>1465</v>
      </c>
      <c r="H16" s="386" t="s">
        <v>1465</v>
      </c>
      <c r="I16" s="386" t="s">
        <v>1465</v>
      </c>
      <c r="J16" s="386" t="s">
        <v>1465</v>
      </c>
      <c r="K16" s="386" t="s">
        <v>1465</v>
      </c>
      <c r="L16" s="386" t="s">
        <v>1465</v>
      </c>
      <c r="M16" s="386" t="s">
        <v>1465</v>
      </c>
      <c r="N16" s="386" t="s">
        <v>1465</v>
      </c>
    </row>
    <row r="17" s="397" customFormat="1" ht="12.75" spans="1:14">
      <c r="A17" s="406"/>
      <c r="B17" s="380" t="s">
        <v>287</v>
      </c>
      <c r="C17" s="381" t="s">
        <v>199</v>
      </c>
      <c r="D17" s="381" t="s">
        <v>199</v>
      </c>
      <c r="E17" s="381" t="s">
        <v>199</v>
      </c>
      <c r="F17" s="381" t="s">
        <v>199</v>
      </c>
      <c r="G17" s="381" t="s">
        <v>199</v>
      </c>
      <c r="H17" s="381" t="s">
        <v>199</v>
      </c>
      <c r="I17" s="381" t="s">
        <v>199</v>
      </c>
      <c r="J17" s="381" t="s">
        <v>199</v>
      </c>
      <c r="K17" s="381" t="s">
        <v>199</v>
      </c>
      <c r="L17" s="381" t="s">
        <v>199</v>
      </c>
      <c r="M17" s="381" t="s">
        <v>199</v>
      </c>
      <c r="N17" s="381" t="s">
        <v>199</v>
      </c>
    </row>
    <row r="18" s="397" customFormat="1" ht="12.75" spans="1:14">
      <c r="A18" s="407" t="s">
        <v>2044</v>
      </c>
      <c r="B18" s="408"/>
      <c r="C18" s="409"/>
      <c r="D18" s="409"/>
      <c r="E18" s="409"/>
      <c r="F18" s="409"/>
      <c r="G18" s="409"/>
      <c r="H18" s="409"/>
      <c r="I18" s="409"/>
      <c r="J18" s="409"/>
      <c r="K18" s="409"/>
      <c r="L18" s="409"/>
      <c r="M18" s="409"/>
      <c r="N18" s="409"/>
    </row>
    <row r="19" s="397" customFormat="1" ht="12.75" spans="1:14">
      <c r="A19" s="407" t="s">
        <v>2045</v>
      </c>
      <c r="B19" s="408"/>
      <c r="C19" s="409"/>
      <c r="D19" s="409"/>
      <c r="E19" s="409"/>
      <c r="F19" s="409"/>
      <c r="G19" s="409"/>
      <c r="H19" s="409"/>
      <c r="I19" s="409"/>
      <c r="J19" s="409"/>
      <c r="K19" s="409"/>
      <c r="L19" s="409"/>
      <c r="M19" s="409"/>
      <c r="N19" s="409"/>
    </row>
    <row r="20" s="397" customFormat="1" ht="12.75" spans="1:14">
      <c r="A20" s="407" t="s">
        <v>2046</v>
      </c>
      <c r="B20" s="408"/>
      <c r="C20" s="409"/>
      <c r="D20" s="409"/>
      <c r="E20" s="409"/>
      <c r="F20" s="409"/>
      <c r="G20" s="409"/>
      <c r="H20" s="409"/>
      <c r="I20" s="409"/>
      <c r="J20" s="409"/>
      <c r="K20" s="409"/>
      <c r="L20" s="409"/>
      <c r="M20" s="409"/>
      <c r="N20" s="409"/>
    </row>
    <row r="21" s="397" customFormat="1" ht="12.75" spans="1:14">
      <c r="A21" s="407" t="s">
        <v>462</v>
      </c>
      <c r="B21" s="408"/>
      <c r="C21" s="409"/>
      <c r="D21" s="409"/>
      <c r="E21" s="409"/>
      <c r="F21" s="409"/>
      <c r="G21" s="409"/>
      <c r="H21" s="409"/>
      <c r="I21" s="409"/>
      <c r="J21" s="409"/>
      <c r="K21" s="409"/>
      <c r="L21" s="409"/>
      <c r="M21" s="409"/>
      <c r="N21" s="409"/>
    </row>
    <row r="22" s="397" customFormat="1" ht="12.75" spans="1:14">
      <c r="A22" s="407" t="s">
        <v>276</v>
      </c>
      <c r="B22" s="408"/>
      <c r="C22" s="409"/>
      <c r="D22" s="409"/>
      <c r="E22" s="409"/>
      <c r="F22" s="409"/>
      <c r="G22" s="409"/>
      <c r="H22" s="409"/>
      <c r="I22" s="409"/>
      <c r="J22" s="409"/>
      <c r="K22" s="409"/>
      <c r="L22" s="409"/>
      <c r="M22" s="409"/>
      <c r="N22" s="409"/>
    </row>
    <row r="23" s="397" customFormat="1" ht="12.75" spans="1:14">
      <c r="A23" s="407" t="s">
        <v>2047</v>
      </c>
      <c r="B23" s="410" t="s">
        <v>199</v>
      </c>
      <c r="C23" s="410" t="s">
        <v>199</v>
      </c>
      <c r="D23" s="410" t="s">
        <v>199</v>
      </c>
      <c r="E23" s="410" t="s">
        <v>199</v>
      </c>
      <c r="F23" s="410" t="s">
        <v>199</v>
      </c>
      <c r="G23" s="410" t="s">
        <v>199</v>
      </c>
      <c r="H23" s="410" t="s">
        <v>199</v>
      </c>
      <c r="I23" s="410" t="s">
        <v>199</v>
      </c>
      <c r="J23" s="410" t="s">
        <v>199</v>
      </c>
      <c r="K23" s="410" t="s">
        <v>199</v>
      </c>
      <c r="L23" s="410" t="s">
        <v>199</v>
      </c>
      <c r="M23" s="410" t="s">
        <v>199</v>
      </c>
      <c r="N23" s="410" t="s">
        <v>199</v>
      </c>
    </row>
    <row r="24" ht="16.5" spans="1:14">
      <c r="A24" s="411" t="s">
        <v>2048</v>
      </c>
      <c r="B24" s="410" t="s">
        <v>199</v>
      </c>
      <c r="C24" s="410" t="s">
        <v>199</v>
      </c>
      <c r="D24" s="410" t="s">
        <v>199</v>
      </c>
      <c r="E24" s="410" t="s">
        <v>199</v>
      </c>
      <c r="F24" s="410" t="s">
        <v>199</v>
      </c>
      <c r="G24" s="410" t="s">
        <v>199</v>
      </c>
      <c r="H24" s="410" t="s">
        <v>199</v>
      </c>
      <c r="I24" s="410" t="s">
        <v>199</v>
      </c>
      <c r="J24" s="410" t="s">
        <v>199</v>
      </c>
      <c r="K24" s="410" t="s">
        <v>199</v>
      </c>
      <c r="L24" s="410" t="s">
        <v>199</v>
      </c>
      <c r="M24" s="410" t="s">
        <v>199</v>
      </c>
      <c r="N24" s="410" t="s">
        <v>199</v>
      </c>
    </row>
  </sheetData>
  <mergeCells count="7">
    <mergeCell ref="A5:D5"/>
    <mergeCell ref="C10:N10"/>
    <mergeCell ref="A10:A11"/>
    <mergeCell ref="A12:A14"/>
    <mergeCell ref="A15:A17"/>
    <mergeCell ref="B10:B11"/>
    <mergeCell ref="A1:D4"/>
  </mergeCells>
  <conditionalFormatting sqref="B18:B22">
    <cfRule type="cellIs" dxfId="1" priority="1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5">
    <tabColor theme="8" tint="0.399975585192419"/>
  </sheetPr>
  <dimension ref="A1:Q31"/>
  <sheetViews>
    <sheetView showGridLines="0" workbookViewId="0">
      <selection activeCell="A1" sqref="A1:D4"/>
    </sheetView>
  </sheetViews>
  <sheetFormatPr defaultColWidth="9" defaultRowHeight="13.5"/>
  <cols>
    <col min="1" max="1" width="20.8166666666667" style="173" customWidth="1"/>
    <col min="2" max="2" width="14" style="173" customWidth="1"/>
    <col min="3" max="3" width="11.6333333333333" style="173" customWidth="1"/>
    <col min="4" max="4" width="9.725" style="173" customWidth="1"/>
    <col min="5" max="15" width="7.90833333333333" style="173" customWidth="1"/>
    <col min="16" max="16369" width="8.90833333333333" style="158"/>
    <col min="16370" max="16384" width="9" style="158"/>
  </cols>
  <sheetData>
    <row r="1" s="159" customFormat="1" ht="11.25" spans="1:17">
      <c r="A1" s="202" t="s">
        <v>185</v>
      </c>
      <c r="B1" s="291"/>
      <c r="C1" s="291"/>
      <c r="D1" s="291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="159" customFormat="1" ht="11.25" spans="1:17">
      <c r="A2" s="291"/>
      <c r="B2" s="291"/>
      <c r="C2" s="291"/>
      <c r="D2" s="291"/>
      <c r="E2" s="12"/>
      <c r="F2" s="13" t="s">
        <v>1659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="159" customFormat="1" ht="11.25" spans="1:17">
      <c r="A3" s="291"/>
      <c r="B3" s="291"/>
      <c r="C3" s="291"/>
      <c r="D3" s="291"/>
      <c r="E3" s="12"/>
      <c r="F3" s="13" t="s">
        <v>1660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s="159" customFormat="1" ht="11.25" spans="1:17">
      <c r="A4" s="291"/>
      <c r="B4" s="291"/>
      <c r="C4" s="291"/>
      <c r="D4" s="291"/>
      <c r="E4" s="12"/>
      <c r="F4" s="13"/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="159" customFormat="1" ht="11.25" spans="1:17">
      <c r="A5" s="292" t="s">
        <v>1618</v>
      </c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s="159" customFormat="1" spans="1:17">
      <c r="A6" s="1"/>
      <c r="B6" s="1"/>
      <c r="C6" s="1"/>
      <c r="D6" s="1"/>
      <c r="E6"/>
      <c r="F6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s="159" customFormat="1" spans="1:17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8" s="159" customFormat="1" ht="11.25"/>
    <row r="9" ht="26" customHeight="1" spans="1:17">
      <c r="A9" s="354" t="s">
        <v>2049</v>
      </c>
    </row>
    <row r="10" spans="1:17">
      <c r="A10" s="355" t="s">
        <v>1899</v>
      </c>
      <c r="B10" s="356" t="s">
        <v>2050</v>
      </c>
      <c r="C10" s="356" t="s">
        <v>281</v>
      </c>
      <c r="D10" s="355"/>
      <c r="E10" s="355"/>
      <c r="F10" s="355"/>
      <c r="G10" s="355"/>
      <c r="H10" s="355"/>
      <c r="I10" s="355"/>
      <c r="J10" s="355"/>
      <c r="K10" s="355"/>
      <c r="L10" s="355"/>
      <c r="M10" s="355"/>
      <c r="N10" s="355"/>
      <c r="O10" s="355"/>
    </row>
    <row r="11" spans="1:17">
      <c r="A11" s="355"/>
      <c r="B11" s="357"/>
      <c r="C11" s="357"/>
      <c r="D11" s="355" t="s">
        <v>304</v>
      </c>
      <c r="E11" s="355" t="s">
        <v>305</v>
      </c>
      <c r="F11" s="355" t="s">
        <v>306</v>
      </c>
      <c r="G11" s="355" t="s">
        <v>307</v>
      </c>
      <c r="H11" s="355" t="s">
        <v>308</v>
      </c>
      <c r="I11" s="355" t="s">
        <v>309</v>
      </c>
      <c r="J11" s="355" t="s">
        <v>310</v>
      </c>
      <c r="K11" s="355" t="s">
        <v>311</v>
      </c>
      <c r="L11" s="355" t="s">
        <v>312</v>
      </c>
      <c r="M11" s="355" t="s">
        <v>313</v>
      </c>
      <c r="N11" s="355" t="s">
        <v>314</v>
      </c>
      <c r="O11" s="355" t="s">
        <v>315</v>
      </c>
    </row>
    <row r="12" s="351" customFormat="1" ht="19" customHeight="1" spans="1:17">
      <c r="A12" s="358" t="s">
        <v>2051</v>
      </c>
      <c r="B12" s="359">
        <v>2025</v>
      </c>
      <c r="C12" s="360" t="s">
        <v>199</v>
      </c>
      <c r="D12" s="361" t="s">
        <v>1421</v>
      </c>
      <c r="E12" s="361" t="s">
        <v>1421</v>
      </c>
      <c r="F12" s="361" t="s">
        <v>1421</v>
      </c>
      <c r="G12" s="361" t="s">
        <v>1421</v>
      </c>
      <c r="H12" s="361" t="s">
        <v>1421</v>
      </c>
      <c r="I12" s="361" t="s">
        <v>1421</v>
      </c>
      <c r="J12" s="361" t="s">
        <v>1421</v>
      </c>
      <c r="K12" s="361" t="s">
        <v>1421</v>
      </c>
      <c r="L12" s="361" t="s">
        <v>1421</v>
      </c>
      <c r="M12" s="361" t="s">
        <v>1421</v>
      </c>
      <c r="N12" s="361" t="s">
        <v>1421</v>
      </c>
      <c r="O12" s="361" t="s">
        <v>1421</v>
      </c>
    </row>
    <row r="13" s="351" customFormat="1" ht="19" customHeight="1" spans="1:17">
      <c r="A13" s="358"/>
      <c r="B13" s="359">
        <v>2026</v>
      </c>
      <c r="C13" s="360" t="s">
        <v>199</v>
      </c>
      <c r="D13" s="364" t="s">
        <v>29</v>
      </c>
      <c r="E13" s="364" t="s">
        <v>29</v>
      </c>
      <c r="F13" s="364" t="s">
        <v>29</v>
      </c>
      <c r="G13" s="364" t="s">
        <v>29</v>
      </c>
      <c r="H13" s="364" t="s">
        <v>29</v>
      </c>
      <c r="I13" s="364" t="s">
        <v>29</v>
      </c>
      <c r="J13" s="364" t="s">
        <v>29</v>
      </c>
      <c r="K13" s="364" t="s">
        <v>29</v>
      </c>
      <c r="L13" s="364" t="s">
        <v>29</v>
      </c>
      <c r="M13" s="364" t="s">
        <v>29</v>
      </c>
      <c r="N13" s="364" t="s">
        <v>29</v>
      </c>
      <c r="O13" s="364" t="s">
        <v>29</v>
      </c>
    </row>
    <row r="14" s="351" customFormat="1" ht="19" customHeight="1" spans="1:17">
      <c r="A14" s="358"/>
      <c r="B14" s="362" t="s">
        <v>1919</v>
      </c>
      <c r="C14" s="360" t="s">
        <v>199</v>
      </c>
      <c r="D14" s="360" t="s">
        <v>199</v>
      </c>
      <c r="E14" s="360" t="s">
        <v>199</v>
      </c>
      <c r="F14" s="360" t="s">
        <v>199</v>
      </c>
      <c r="G14" s="360" t="s">
        <v>199</v>
      </c>
      <c r="H14" s="360" t="s">
        <v>199</v>
      </c>
      <c r="I14" s="360" t="s">
        <v>199</v>
      </c>
      <c r="J14" s="360" t="s">
        <v>199</v>
      </c>
      <c r="K14" s="360" t="s">
        <v>199</v>
      </c>
      <c r="L14" s="360" t="s">
        <v>199</v>
      </c>
      <c r="M14" s="360" t="s">
        <v>199</v>
      </c>
      <c r="N14" s="360" t="s">
        <v>199</v>
      </c>
      <c r="O14" s="360" t="s">
        <v>199</v>
      </c>
    </row>
    <row r="15" s="351" customFormat="1" ht="19" customHeight="1" spans="1:17">
      <c r="A15" s="359"/>
      <c r="B15" s="362" t="s">
        <v>1920</v>
      </c>
      <c r="C15" s="360" t="s">
        <v>199</v>
      </c>
      <c r="D15" s="360" t="s">
        <v>199</v>
      </c>
      <c r="E15" s="360" t="s">
        <v>199</v>
      </c>
      <c r="F15" s="360" t="s">
        <v>199</v>
      </c>
      <c r="G15" s="360" t="s">
        <v>199</v>
      </c>
      <c r="H15" s="360" t="s">
        <v>199</v>
      </c>
      <c r="I15" s="363" t="s">
        <v>199</v>
      </c>
      <c r="J15" s="360" t="s">
        <v>199</v>
      </c>
      <c r="K15" s="360" t="s">
        <v>199</v>
      </c>
      <c r="L15" s="360" t="s">
        <v>199</v>
      </c>
      <c r="M15" s="360" t="s">
        <v>199</v>
      </c>
      <c r="N15" s="360" t="s">
        <v>199</v>
      </c>
      <c r="O15" s="360" t="s">
        <v>199</v>
      </c>
    </row>
    <row r="16" s="351" customFormat="1" ht="19" customHeight="1" spans="1:17">
      <c r="A16" s="358" t="s">
        <v>2052</v>
      </c>
      <c r="B16" s="359">
        <v>2025</v>
      </c>
      <c r="C16" s="360" t="s">
        <v>199</v>
      </c>
      <c r="D16" s="361" t="s">
        <v>1421</v>
      </c>
      <c r="E16" s="361" t="s">
        <v>1421</v>
      </c>
      <c r="F16" s="361" t="s">
        <v>1421</v>
      </c>
      <c r="G16" s="361" t="s">
        <v>1421</v>
      </c>
      <c r="H16" s="361" t="s">
        <v>1421</v>
      </c>
      <c r="I16" s="361" t="s">
        <v>1421</v>
      </c>
      <c r="J16" s="361" t="s">
        <v>1421</v>
      </c>
      <c r="K16" s="361" t="s">
        <v>1421</v>
      </c>
      <c r="L16" s="361" t="s">
        <v>1421</v>
      </c>
      <c r="M16" s="361" t="s">
        <v>1421</v>
      </c>
      <c r="N16" s="361" t="s">
        <v>1421</v>
      </c>
      <c r="O16" s="361" t="s">
        <v>1421</v>
      </c>
    </row>
    <row r="17" s="351" customFormat="1" ht="19" customHeight="1" spans="1:15">
      <c r="A17" s="358"/>
      <c r="B17" s="359">
        <v>2026</v>
      </c>
      <c r="C17" s="360" t="s">
        <v>199</v>
      </c>
      <c r="D17" s="364" t="s">
        <v>29</v>
      </c>
      <c r="E17" s="364" t="s">
        <v>29</v>
      </c>
      <c r="F17" s="364" t="s">
        <v>29</v>
      </c>
      <c r="G17" s="364" t="s">
        <v>29</v>
      </c>
      <c r="H17" s="364" t="s">
        <v>29</v>
      </c>
      <c r="I17" s="364" t="s">
        <v>29</v>
      </c>
      <c r="J17" s="364" t="s">
        <v>29</v>
      </c>
      <c r="K17" s="364" t="s">
        <v>29</v>
      </c>
      <c r="L17" s="364" t="s">
        <v>29</v>
      </c>
      <c r="M17" s="364" t="s">
        <v>29</v>
      </c>
      <c r="N17" s="364" t="s">
        <v>29</v>
      </c>
      <c r="O17" s="364" t="s">
        <v>29</v>
      </c>
    </row>
    <row r="18" s="351" customFormat="1" ht="19" customHeight="1" spans="1:15">
      <c r="A18" s="358"/>
      <c r="B18" s="362" t="s">
        <v>1919</v>
      </c>
      <c r="C18" s="360" t="s">
        <v>199</v>
      </c>
      <c r="D18" s="360" t="s">
        <v>199</v>
      </c>
      <c r="E18" s="360" t="s">
        <v>199</v>
      </c>
      <c r="F18" s="360" t="s">
        <v>199</v>
      </c>
      <c r="G18" s="360" t="s">
        <v>199</v>
      </c>
      <c r="H18" s="360" t="s">
        <v>199</v>
      </c>
      <c r="I18" s="360" t="s">
        <v>199</v>
      </c>
      <c r="J18" s="360" t="s">
        <v>199</v>
      </c>
      <c r="K18" s="360" t="s">
        <v>199</v>
      </c>
      <c r="L18" s="360" t="s">
        <v>199</v>
      </c>
      <c r="M18" s="360" t="s">
        <v>199</v>
      </c>
      <c r="N18" s="360" t="s">
        <v>199</v>
      </c>
      <c r="O18" s="360" t="s">
        <v>199</v>
      </c>
    </row>
    <row r="19" s="351" customFormat="1" ht="19" customHeight="1" spans="1:15">
      <c r="A19" s="359"/>
      <c r="B19" s="362" t="s">
        <v>1920</v>
      </c>
      <c r="C19" s="360" t="s">
        <v>199</v>
      </c>
      <c r="D19" s="360" t="s">
        <v>199</v>
      </c>
      <c r="E19" s="363" t="s">
        <v>199</v>
      </c>
      <c r="F19" s="360" t="s">
        <v>199</v>
      </c>
      <c r="G19" s="360" t="s">
        <v>199</v>
      </c>
      <c r="H19" s="360" t="s">
        <v>199</v>
      </c>
      <c r="I19" s="360" t="s">
        <v>199</v>
      </c>
      <c r="J19" s="360" t="s">
        <v>199</v>
      </c>
      <c r="K19" s="360" t="s">
        <v>199</v>
      </c>
      <c r="L19" s="360" t="s">
        <v>199</v>
      </c>
      <c r="M19" s="360" t="s">
        <v>199</v>
      </c>
      <c r="N19" s="360" t="s">
        <v>199</v>
      </c>
      <c r="O19" s="360" t="s">
        <v>199</v>
      </c>
    </row>
    <row r="20" s="351" customFormat="1" ht="19" customHeight="1" spans="1:15">
      <c r="A20" s="359" t="s">
        <v>2053</v>
      </c>
      <c r="B20" s="362"/>
      <c r="C20" s="360">
        <f t="shared" ref="C20:C30" si="0">O20</f>
        <v>0</v>
      </c>
      <c r="D20" s="361"/>
      <c r="E20" s="361"/>
      <c r="F20" s="361"/>
      <c r="G20" s="361"/>
      <c r="H20" s="361"/>
      <c r="I20" s="361"/>
      <c r="J20" s="361"/>
      <c r="K20" s="361"/>
      <c r="L20" s="361"/>
      <c r="M20" s="361"/>
      <c r="N20" s="361"/>
      <c r="O20" s="395">
        <f t="shared" ref="O20:O30" si="1">SUM(D20:N20)</f>
        <v>0</v>
      </c>
    </row>
    <row r="21" s="351" customFormat="1" ht="19" customHeight="1" spans="1:15">
      <c r="A21" s="359" t="s">
        <v>2054</v>
      </c>
      <c r="B21" s="362"/>
      <c r="C21" s="360">
        <f t="shared" si="0"/>
        <v>0</v>
      </c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95">
        <f t="shared" si="1"/>
        <v>0</v>
      </c>
    </row>
    <row r="22" s="351" customFormat="1" ht="19" customHeight="1" spans="1:15">
      <c r="A22" s="359" t="s">
        <v>2055</v>
      </c>
      <c r="B22" s="362"/>
      <c r="C22" s="360">
        <f t="shared" si="0"/>
        <v>0</v>
      </c>
      <c r="D22" s="361"/>
      <c r="E22" s="361"/>
      <c r="F22" s="361"/>
      <c r="G22" s="361"/>
      <c r="H22" s="361"/>
      <c r="I22" s="361"/>
      <c r="J22" s="361"/>
      <c r="K22" s="361"/>
      <c r="L22" s="361"/>
      <c r="M22" s="361"/>
      <c r="N22" s="361"/>
      <c r="O22" s="395">
        <f t="shared" si="1"/>
        <v>0</v>
      </c>
    </row>
    <row r="23" s="351" customFormat="1" ht="19" customHeight="1" spans="1:15">
      <c r="A23" s="359" t="s">
        <v>2056</v>
      </c>
      <c r="B23" s="362"/>
      <c r="C23" s="360">
        <f t="shared" si="0"/>
        <v>0</v>
      </c>
      <c r="D23" s="361"/>
      <c r="E23" s="361"/>
      <c r="F23" s="361"/>
      <c r="G23" s="361"/>
      <c r="H23" s="361"/>
      <c r="I23" s="361"/>
      <c r="J23" s="361"/>
      <c r="K23" s="361"/>
      <c r="L23" s="361"/>
      <c r="M23" s="361"/>
      <c r="N23" s="361"/>
      <c r="O23" s="395">
        <f t="shared" si="1"/>
        <v>0</v>
      </c>
    </row>
    <row r="24" s="351" customFormat="1" ht="19" customHeight="1" spans="1:15">
      <c r="A24" s="359" t="s">
        <v>2057</v>
      </c>
      <c r="B24" s="362"/>
      <c r="C24" s="360">
        <f t="shared" si="0"/>
        <v>0</v>
      </c>
      <c r="D24" s="361"/>
      <c r="E24" s="361"/>
      <c r="F24" s="361"/>
      <c r="G24" s="361"/>
      <c r="H24" s="361"/>
      <c r="I24" s="361"/>
      <c r="J24" s="361"/>
      <c r="K24" s="361"/>
      <c r="L24" s="361"/>
      <c r="M24" s="361"/>
      <c r="N24" s="361"/>
      <c r="O24" s="395">
        <f t="shared" si="1"/>
        <v>0</v>
      </c>
    </row>
    <row r="25" s="351" customFormat="1" ht="19" customHeight="1" spans="1:15">
      <c r="A25" s="359" t="s">
        <v>2058</v>
      </c>
      <c r="B25" s="362"/>
      <c r="C25" s="360">
        <f t="shared" si="0"/>
        <v>0</v>
      </c>
      <c r="D25" s="361"/>
      <c r="E25" s="361"/>
      <c r="F25" s="361"/>
      <c r="G25" s="361"/>
      <c r="H25" s="361"/>
      <c r="I25" s="361"/>
      <c r="J25" s="361"/>
      <c r="K25" s="361"/>
      <c r="L25" s="361"/>
      <c r="M25" s="361"/>
      <c r="N25" s="361"/>
      <c r="O25" s="395">
        <f t="shared" si="1"/>
        <v>0</v>
      </c>
    </row>
    <row r="26" s="351" customFormat="1" ht="19" customHeight="1" spans="1:15">
      <c r="A26" s="359" t="s">
        <v>2059</v>
      </c>
      <c r="B26" s="362"/>
      <c r="C26" s="360">
        <f t="shared" si="0"/>
        <v>0</v>
      </c>
      <c r="D26" s="361"/>
      <c r="E26" s="361"/>
      <c r="F26" s="361"/>
      <c r="G26" s="361"/>
      <c r="H26" s="361"/>
      <c r="I26" s="361"/>
      <c r="J26" s="361"/>
      <c r="K26" s="361"/>
      <c r="L26" s="361"/>
      <c r="M26" s="361"/>
      <c r="N26" s="361"/>
      <c r="O26" s="395">
        <f t="shared" si="1"/>
        <v>0</v>
      </c>
    </row>
    <row r="27" s="351" customFormat="1" ht="19" customHeight="1" spans="1:15">
      <c r="A27" s="359" t="s">
        <v>2060</v>
      </c>
      <c r="B27" s="362"/>
      <c r="C27" s="360">
        <f t="shared" si="0"/>
        <v>0</v>
      </c>
      <c r="D27" s="361"/>
      <c r="E27" s="361"/>
      <c r="F27" s="361"/>
      <c r="G27" s="361"/>
      <c r="H27" s="361"/>
      <c r="I27" s="361"/>
      <c r="J27" s="361"/>
      <c r="K27" s="361"/>
      <c r="L27" s="361"/>
      <c r="M27" s="361"/>
      <c r="N27" s="361"/>
      <c r="O27" s="395">
        <f t="shared" si="1"/>
        <v>0</v>
      </c>
    </row>
    <row r="28" s="351" customFormat="1" ht="19" customHeight="1" spans="1:15">
      <c r="A28" s="359" t="s">
        <v>2061</v>
      </c>
      <c r="B28" s="362"/>
      <c r="C28" s="360">
        <f t="shared" si="0"/>
        <v>0</v>
      </c>
      <c r="D28" s="361"/>
      <c r="E28" s="361"/>
      <c r="F28" s="361"/>
      <c r="G28" s="361"/>
      <c r="H28" s="361"/>
      <c r="I28" s="361"/>
      <c r="J28" s="361"/>
      <c r="K28" s="361"/>
      <c r="L28" s="361"/>
      <c r="M28" s="361"/>
      <c r="N28" s="361"/>
      <c r="O28" s="395">
        <f t="shared" si="1"/>
        <v>0</v>
      </c>
    </row>
    <row r="29" s="351" customFormat="1" ht="19" customHeight="1" spans="1:15">
      <c r="A29" s="359" t="s">
        <v>2062</v>
      </c>
      <c r="B29" s="362"/>
      <c r="C29" s="360">
        <f t="shared" si="0"/>
        <v>0</v>
      </c>
      <c r="D29" s="361"/>
      <c r="E29" s="361"/>
      <c r="F29" s="361"/>
      <c r="G29" s="361"/>
      <c r="H29" s="361"/>
      <c r="I29" s="361"/>
      <c r="J29" s="361"/>
      <c r="K29" s="361"/>
      <c r="L29" s="361"/>
      <c r="M29" s="361"/>
      <c r="N29" s="361"/>
      <c r="O29" s="395">
        <f t="shared" si="1"/>
        <v>0</v>
      </c>
    </row>
    <row r="30" s="351" customFormat="1" ht="19" customHeight="1" spans="1:15">
      <c r="A30" s="359" t="s">
        <v>2063</v>
      </c>
      <c r="B30" s="362"/>
      <c r="C30" s="360">
        <f t="shared" si="0"/>
        <v>0</v>
      </c>
      <c r="D30" s="361"/>
      <c r="E30" s="361"/>
      <c r="F30" s="361"/>
      <c r="G30" s="361"/>
      <c r="H30" s="361"/>
      <c r="I30" s="361"/>
      <c r="J30" s="361"/>
      <c r="K30" s="361"/>
      <c r="L30" s="361"/>
      <c r="M30" s="361"/>
      <c r="N30" s="361"/>
      <c r="O30" s="395">
        <f t="shared" si="1"/>
        <v>0</v>
      </c>
    </row>
    <row r="31" s="351" customFormat="1" ht="19" customHeight="1" spans="1:15">
      <c r="A31" s="396" t="s">
        <v>281</v>
      </c>
      <c r="B31" s="362">
        <f t="shared" ref="B31:O31" si="2">SUM(B16:B30)</f>
        <v>4051</v>
      </c>
      <c r="C31" s="362">
        <f t="shared" si="2"/>
        <v>0</v>
      </c>
      <c r="D31" s="361">
        <f t="shared" si="2"/>
        <v>0</v>
      </c>
      <c r="E31" s="361">
        <f t="shared" si="2"/>
        <v>0</v>
      </c>
      <c r="F31" s="361">
        <f t="shared" si="2"/>
        <v>0</v>
      </c>
      <c r="G31" s="361">
        <f t="shared" si="2"/>
        <v>0</v>
      </c>
      <c r="H31" s="361">
        <f t="shared" si="2"/>
        <v>0</v>
      </c>
      <c r="I31" s="361">
        <f t="shared" si="2"/>
        <v>0</v>
      </c>
      <c r="J31" s="361">
        <f t="shared" si="2"/>
        <v>0</v>
      </c>
      <c r="K31" s="361">
        <f t="shared" si="2"/>
        <v>0</v>
      </c>
      <c r="L31" s="361">
        <f t="shared" si="2"/>
        <v>0</v>
      </c>
      <c r="M31" s="361">
        <f t="shared" si="2"/>
        <v>0</v>
      </c>
      <c r="N31" s="361">
        <f t="shared" si="2"/>
        <v>0</v>
      </c>
      <c r="O31" s="361">
        <f t="shared" si="2"/>
        <v>0</v>
      </c>
    </row>
  </sheetData>
  <autoFilter xmlns:etc="http://www.wps.cn/officeDocument/2017/etCustomData" ref="A9:O31" etc:filterBottomFollowUsedRange="0">
    <extLst/>
  </autoFilter>
  <mergeCells count="8">
    <mergeCell ref="A5:D5"/>
    <mergeCell ref="D10:O10"/>
    <mergeCell ref="A10:A11"/>
    <mergeCell ref="A12:A15"/>
    <mergeCell ref="A16:A19"/>
    <mergeCell ref="B10:B11"/>
    <mergeCell ref="C10:C11"/>
    <mergeCell ref="A1:D4"/>
  </mergeCells>
  <hyperlinks>
    <hyperlink ref="A1" location="目录!A1" display="← 返回目录"/>
  </hyperlinks>
  <pageMargins left="0.7" right="0.7" top="0.75" bottom="0.75" header="0.3" footer="0.3"/>
  <pageSetup paperSize="1" orientation="portrait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9">
    <tabColor theme="6" tint="0.399975585192419"/>
  </sheetPr>
  <dimension ref="A1:Q27"/>
  <sheetViews>
    <sheetView workbookViewId="0">
      <selection activeCell="A1" sqref="A1:D4"/>
    </sheetView>
  </sheetViews>
  <sheetFormatPr defaultColWidth="8.90833333333333" defaultRowHeight="13.5"/>
  <cols>
    <col min="1" max="1" width="13.3666666666667" customWidth="1"/>
    <col min="4" max="4" width="13.9083333333333" customWidth="1"/>
  </cols>
  <sheetData>
    <row r="1" s="159" customFormat="1" ht="11.25" spans="1:17">
      <c r="A1" s="202" t="s">
        <v>185</v>
      </c>
      <c r="B1" s="291"/>
      <c r="C1" s="291"/>
      <c r="D1" s="291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="159" customFormat="1" ht="11.25" spans="1:17">
      <c r="A2" s="291"/>
      <c r="B2" s="291"/>
      <c r="C2" s="291"/>
      <c r="D2" s="291"/>
      <c r="E2" s="12"/>
      <c r="F2" s="13" t="s">
        <v>1659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="159" customFormat="1" ht="11.25" spans="1:17">
      <c r="A3" s="291"/>
      <c r="B3" s="291"/>
      <c r="C3" s="291"/>
      <c r="D3" s="291"/>
      <c r="E3" s="12"/>
      <c r="F3" s="13" t="s">
        <v>1660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s="159" customFormat="1" ht="11.25" spans="1:17">
      <c r="A4" s="291"/>
      <c r="B4" s="291"/>
      <c r="C4" s="291"/>
      <c r="D4" s="291"/>
      <c r="E4" s="12"/>
      <c r="F4" s="13"/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="159" customFormat="1" ht="11.25" spans="1:17">
      <c r="A5" s="292" t="s">
        <v>1661</v>
      </c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s="159" customFormat="1" spans="1:17">
      <c r="A6" s="1"/>
      <c r="B6" s="1"/>
      <c r="C6" s="1"/>
      <c r="D6" s="1"/>
      <c r="E6"/>
      <c r="F6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s="159" customFormat="1" spans="1:17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8" s="159" customFormat="1" ht="11.25"/>
    <row r="9" s="376" customFormat="1" ht="11.25" spans="1:17">
      <c r="A9" s="375"/>
      <c r="B9" s="375"/>
      <c r="C9" s="375"/>
      <c r="D9" s="375"/>
      <c r="E9" s="375"/>
      <c r="F9" s="375"/>
    </row>
    <row r="10" s="159" customFormat="1" ht="11.25" spans="1:17">
      <c r="A10" s="377" t="s">
        <v>333</v>
      </c>
      <c r="B10" s="378" t="s">
        <v>1925</v>
      </c>
      <c r="C10" s="378" t="s">
        <v>281</v>
      </c>
      <c r="D10" s="315"/>
      <c r="E10" s="315"/>
      <c r="F10" s="315"/>
      <c r="G10" s="315"/>
      <c r="H10" s="315"/>
      <c r="I10" s="315"/>
      <c r="J10" s="315"/>
      <c r="K10" s="315"/>
      <c r="L10" s="315"/>
      <c r="M10" s="315"/>
      <c r="N10" s="315"/>
      <c r="O10" s="315"/>
    </row>
    <row r="11" s="159" customFormat="1" ht="11.25" spans="1:17">
      <c r="A11" s="377"/>
      <c r="B11" s="378"/>
      <c r="C11" s="378"/>
      <c r="D11" s="315" t="s">
        <v>304</v>
      </c>
      <c r="E11" s="315" t="s">
        <v>305</v>
      </c>
      <c r="F11" s="315" t="s">
        <v>306</v>
      </c>
      <c r="G11" s="315" t="s">
        <v>307</v>
      </c>
      <c r="H11" s="315" t="s">
        <v>308</v>
      </c>
      <c r="I11" s="315" t="s">
        <v>309</v>
      </c>
      <c r="J11" s="315" t="s">
        <v>310</v>
      </c>
      <c r="K11" s="315" t="s">
        <v>311</v>
      </c>
      <c r="L11" s="315" t="s">
        <v>312</v>
      </c>
      <c r="M11" s="315" t="s">
        <v>313</v>
      </c>
      <c r="N11" s="315" t="s">
        <v>314</v>
      </c>
      <c r="O11" s="315" t="s">
        <v>315</v>
      </c>
    </row>
    <row r="12" s="159" customFormat="1" ht="11.25" spans="1:17">
      <c r="A12" s="358" t="s">
        <v>2064</v>
      </c>
      <c r="B12" s="380">
        <v>2025</v>
      </c>
      <c r="C12" s="380"/>
      <c r="D12" s="381" t="s">
        <v>1421</v>
      </c>
      <c r="E12" s="381" t="s">
        <v>1421</v>
      </c>
      <c r="F12" s="381" t="s">
        <v>1421</v>
      </c>
      <c r="G12" s="381" t="s">
        <v>1421</v>
      </c>
      <c r="H12" s="381" t="s">
        <v>1421</v>
      </c>
      <c r="I12" s="381" t="s">
        <v>1421</v>
      </c>
      <c r="J12" s="381" t="s">
        <v>1421</v>
      </c>
      <c r="K12" s="381" t="s">
        <v>1421</v>
      </c>
      <c r="L12" s="381" t="s">
        <v>1421</v>
      </c>
      <c r="M12" s="381" t="s">
        <v>1421</v>
      </c>
      <c r="N12" s="381" t="s">
        <v>1421</v>
      </c>
      <c r="O12" s="381" t="s">
        <v>1421</v>
      </c>
    </row>
    <row r="13" s="159" customFormat="1" ht="11.25" spans="1:17">
      <c r="A13" s="358"/>
      <c r="B13" s="380">
        <v>2026</v>
      </c>
      <c r="C13" s="380"/>
      <c r="D13" s="386" t="s">
        <v>1465</v>
      </c>
      <c r="E13" s="386" t="s">
        <v>1465</v>
      </c>
      <c r="F13" s="386" t="s">
        <v>1465</v>
      </c>
      <c r="G13" s="386" t="s">
        <v>1465</v>
      </c>
      <c r="H13" s="386" t="s">
        <v>1465</v>
      </c>
      <c r="I13" s="386" t="s">
        <v>1465</v>
      </c>
      <c r="J13" s="386" t="s">
        <v>1465</v>
      </c>
      <c r="K13" s="386" t="s">
        <v>1465</v>
      </c>
      <c r="L13" s="386" t="s">
        <v>1465</v>
      </c>
      <c r="M13" s="386" t="s">
        <v>1465</v>
      </c>
      <c r="N13" s="386" t="s">
        <v>1465</v>
      </c>
      <c r="O13" s="386" t="s">
        <v>1465</v>
      </c>
    </row>
    <row r="14" s="159" customFormat="1" ht="11.25" spans="1:17">
      <c r="A14" s="359"/>
      <c r="B14" s="380" t="s">
        <v>287</v>
      </c>
      <c r="C14" s="380"/>
      <c r="D14" s="381" t="s">
        <v>199</v>
      </c>
      <c r="E14" s="381" t="s">
        <v>199</v>
      </c>
      <c r="F14" s="381" t="s">
        <v>199</v>
      </c>
      <c r="G14" s="381" t="s">
        <v>199</v>
      </c>
      <c r="H14" s="381" t="s">
        <v>199</v>
      </c>
      <c r="I14" s="381" t="s">
        <v>199</v>
      </c>
      <c r="J14" s="381" t="s">
        <v>199</v>
      </c>
      <c r="K14" s="381" t="s">
        <v>199</v>
      </c>
      <c r="L14" s="381" t="s">
        <v>199</v>
      </c>
      <c r="M14" s="381" t="s">
        <v>199</v>
      </c>
      <c r="N14" s="381" t="s">
        <v>199</v>
      </c>
      <c r="O14" s="381" t="s">
        <v>199</v>
      </c>
    </row>
    <row r="15" s="159" customFormat="1" ht="11.25" spans="1:17">
      <c r="A15" s="358" t="s">
        <v>2065</v>
      </c>
      <c r="B15" s="380">
        <v>2025</v>
      </c>
      <c r="C15" s="380"/>
      <c r="D15" s="381" t="s">
        <v>1421</v>
      </c>
      <c r="E15" s="381" t="s">
        <v>1421</v>
      </c>
      <c r="F15" s="381" t="s">
        <v>1421</v>
      </c>
      <c r="G15" s="381" t="s">
        <v>1421</v>
      </c>
      <c r="H15" s="381" t="s">
        <v>1421</v>
      </c>
      <c r="I15" s="381" t="s">
        <v>1421</v>
      </c>
      <c r="J15" s="381" t="s">
        <v>1421</v>
      </c>
      <c r="K15" s="381" t="s">
        <v>1421</v>
      </c>
      <c r="L15" s="381" t="s">
        <v>1421</v>
      </c>
      <c r="M15" s="381" t="s">
        <v>1421</v>
      </c>
      <c r="N15" s="381" t="s">
        <v>1421</v>
      </c>
      <c r="O15" s="381" t="s">
        <v>1421</v>
      </c>
    </row>
    <row r="16" s="159" customFormat="1" ht="11.25" spans="1:17">
      <c r="A16" s="358"/>
      <c r="B16" s="380">
        <v>2026</v>
      </c>
      <c r="C16" s="380"/>
      <c r="D16" s="386" t="s">
        <v>1465</v>
      </c>
      <c r="E16" s="386" t="s">
        <v>1465</v>
      </c>
      <c r="F16" s="386" t="s">
        <v>1465</v>
      </c>
      <c r="G16" s="386" t="s">
        <v>1465</v>
      </c>
      <c r="H16" s="386" t="s">
        <v>1465</v>
      </c>
      <c r="I16" s="386" t="s">
        <v>1465</v>
      </c>
      <c r="J16" s="386" t="s">
        <v>1465</v>
      </c>
      <c r="K16" s="386" t="s">
        <v>1465</v>
      </c>
      <c r="L16" s="386" t="s">
        <v>1465</v>
      </c>
      <c r="M16" s="386" t="s">
        <v>1465</v>
      </c>
      <c r="N16" s="386" t="s">
        <v>1465</v>
      </c>
      <c r="O16" s="386" t="s">
        <v>1465</v>
      </c>
    </row>
    <row r="17" s="159" customFormat="1" ht="11.25" spans="1:15">
      <c r="A17" s="359"/>
      <c r="B17" s="380" t="s">
        <v>287</v>
      </c>
      <c r="C17" s="380"/>
      <c r="D17" s="381" t="s">
        <v>199</v>
      </c>
      <c r="E17" s="381" t="s">
        <v>199</v>
      </c>
      <c r="F17" s="381" t="s">
        <v>199</v>
      </c>
      <c r="G17" s="381" t="s">
        <v>199</v>
      </c>
      <c r="H17" s="381" t="s">
        <v>199</v>
      </c>
      <c r="I17" s="381" t="s">
        <v>199</v>
      </c>
      <c r="J17" s="381" t="s">
        <v>199</v>
      </c>
      <c r="K17" s="381" t="s">
        <v>199</v>
      </c>
      <c r="L17" s="381" t="s">
        <v>199</v>
      </c>
      <c r="M17" s="381" t="s">
        <v>199</v>
      </c>
      <c r="N17" s="381" t="s">
        <v>199</v>
      </c>
      <c r="O17" s="381" t="s">
        <v>199</v>
      </c>
    </row>
    <row r="18" s="159" customFormat="1" ht="15" customHeight="1" spans="1:15">
      <c r="A18" s="394" t="s">
        <v>2066</v>
      </c>
      <c r="B18" s="389"/>
      <c r="C18" s="389"/>
      <c r="D18" s="389"/>
      <c r="E18" s="389"/>
      <c r="F18" s="381"/>
      <c r="G18" s="390"/>
      <c r="H18" s="391"/>
      <c r="I18" s="391"/>
      <c r="J18" s="391"/>
      <c r="K18" s="391"/>
      <c r="L18" s="391"/>
      <c r="M18" s="391"/>
      <c r="N18" s="391"/>
      <c r="O18" s="391"/>
    </row>
    <row r="19" s="159" customFormat="1" ht="15" customHeight="1" spans="1:15">
      <c r="A19" s="394" t="s">
        <v>2067</v>
      </c>
      <c r="B19" s="389"/>
      <c r="C19" s="389"/>
      <c r="D19" s="389"/>
      <c r="E19" s="389"/>
      <c r="F19" s="381"/>
      <c r="G19" s="390"/>
      <c r="H19" s="391"/>
      <c r="I19" s="391"/>
      <c r="J19" s="391"/>
      <c r="K19" s="391"/>
      <c r="L19" s="391"/>
      <c r="M19" s="391"/>
      <c r="N19" s="391"/>
      <c r="O19" s="391"/>
    </row>
    <row r="20" s="159" customFormat="1" ht="15" customHeight="1" spans="1:15">
      <c r="A20" s="394" t="s">
        <v>2068</v>
      </c>
      <c r="B20" s="389"/>
      <c r="C20" s="389"/>
      <c r="D20" s="389"/>
      <c r="E20" s="389"/>
      <c r="F20" s="381"/>
      <c r="G20" s="390"/>
      <c r="H20" s="391"/>
      <c r="I20" s="391"/>
      <c r="J20" s="391"/>
      <c r="K20" s="391"/>
      <c r="L20" s="391"/>
      <c r="M20" s="391"/>
      <c r="N20" s="391"/>
      <c r="O20" s="391"/>
    </row>
    <row r="21" s="159" customFormat="1" ht="15" customHeight="1" spans="1:15">
      <c r="A21" s="394" t="s">
        <v>2069</v>
      </c>
      <c r="B21" s="389"/>
      <c r="C21" s="389"/>
      <c r="D21" s="389"/>
      <c r="E21" s="389"/>
      <c r="F21" s="381"/>
      <c r="G21" s="390"/>
      <c r="H21" s="391"/>
      <c r="I21" s="391"/>
      <c r="J21" s="391"/>
      <c r="K21" s="391"/>
      <c r="L21" s="391"/>
      <c r="M21" s="391"/>
      <c r="N21" s="391"/>
      <c r="O21" s="391"/>
    </row>
    <row r="22" s="159" customFormat="1" ht="15" customHeight="1" spans="1:15">
      <c r="A22" s="387" t="s">
        <v>254</v>
      </c>
      <c r="B22" s="389"/>
      <c r="C22" s="389"/>
      <c r="D22" s="389"/>
      <c r="E22" s="389"/>
      <c r="F22" s="381"/>
      <c r="G22" s="390"/>
      <c r="H22" s="391"/>
      <c r="I22" s="391"/>
      <c r="J22" s="391"/>
      <c r="K22" s="391"/>
      <c r="L22" s="391"/>
      <c r="M22" s="391"/>
      <c r="N22" s="391"/>
      <c r="O22" s="391"/>
    </row>
    <row r="23" s="159" customFormat="1" ht="15" customHeight="1" spans="1:15">
      <c r="A23" s="387" t="s">
        <v>255</v>
      </c>
      <c r="B23" s="389"/>
      <c r="C23" s="389"/>
      <c r="D23" s="389"/>
      <c r="E23" s="389"/>
      <c r="F23" s="381"/>
      <c r="G23" s="390"/>
      <c r="H23" s="391"/>
      <c r="I23" s="391"/>
      <c r="J23" s="391"/>
      <c r="K23" s="391"/>
      <c r="L23" s="391"/>
      <c r="M23" s="391"/>
      <c r="N23" s="391"/>
      <c r="O23" s="391"/>
    </row>
    <row r="24" s="159" customFormat="1" ht="15" customHeight="1" spans="1:15">
      <c r="A24" s="387" t="s">
        <v>2070</v>
      </c>
      <c r="B24" s="389"/>
      <c r="C24" s="389"/>
      <c r="D24" s="389"/>
      <c r="E24" s="389"/>
      <c r="F24" s="381"/>
      <c r="G24" s="390"/>
      <c r="H24" s="391"/>
      <c r="I24" s="391"/>
      <c r="J24" s="391"/>
      <c r="K24" s="391"/>
      <c r="L24" s="391"/>
      <c r="M24" s="391"/>
      <c r="N24" s="391"/>
      <c r="O24" s="391"/>
    </row>
    <row r="25" s="159" customFormat="1" ht="15" customHeight="1" spans="1:15">
      <c r="A25" s="387" t="s">
        <v>2071</v>
      </c>
      <c r="B25" s="389"/>
      <c r="C25" s="389"/>
      <c r="D25" s="389"/>
      <c r="E25" s="389"/>
      <c r="F25" s="381"/>
      <c r="G25" s="390"/>
      <c r="H25" s="391"/>
      <c r="I25" s="391"/>
      <c r="J25" s="391"/>
      <c r="K25" s="391"/>
      <c r="L25" s="391"/>
      <c r="M25" s="391"/>
      <c r="N25" s="391"/>
      <c r="O25" s="391"/>
    </row>
    <row r="26" s="159" customFormat="1" ht="15" customHeight="1" spans="1:15">
      <c r="A26" s="387" t="s">
        <v>2072</v>
      </c>
      <c r="B26" s="389"/>
      <c r="C26" s="389"/>
      <c r="D26" s="389"/>
      <c r="E26" s="389"/>
      <c r="F26" s="381"/>
      <c r="G26" s="390"/>
      <c r="H26" s="391"/>
      <c r="I26" s="391"/>
      <c r="J26" s="391"/>
      <c r="K26" s="391"/>
      <c r="L26" s="391"/>
      <c r="M26" s="391"/>
      <c r="N26" s="391"/>
      <c r="O26" s="391"/>
    </row>
    <row r="27" s="159" customFormat="1" ht="15" customHeight="1" spans="1:15">
      <c r="A27" s="387" t="s">
        <v>2073</v>
      </c>
      <c r="B27" s="389"/>
      <c r="C27" s="389"/>
      <c r="D27" s="389"/>
      <c r="E27" s="389"/>
      <c r="F27" s="381"/>
      <c r="G27" s="390"/>
      <c r="H27" s="391"/>
      <c r="I27" s="391"/>
      <c r="J27" s="391"/>
      <c r="K27" s="391"/>
      <c r="L27" s="391"/>
      <c r="M27" s="391"/>
      <c r="N27" s="391"/>
      <c r="O27" s="391"/>
    </row>
  </sheetData>
  <mergeCells count="8">
    <mergeCell ref="A5:D5"/>
    <mergeCell ref="D10:O10"/>
    <mergeCell ref="A10:A11"/>
    <mergeCell ref="A12:A14"/>
    <mergeCell ref="A15:A17"/>
    <mergeCell ref="B10:B11"/>
    <mergeCell ref="C10:C11"/>
    <mergeCell ref="A1:D4"/>
  </mergeCells>
  <conditionalFormatting sqref="A12">
    <cfRule type="cellIs" dxfId="1" priority="1" operator="lessThan">
      <formula>0</formula>
    </cfRule>
  </conditionalFormatting>
  <conditionalFormatting sqref="A15">
    <cfRule type="cellIs" dxfId="1" priority="2" operator="lessThan">
      <formula>0</formula>
    </cfRule>
  </conditionalFormatting>
  <conditionalFormatting sqref="A18:A27">
    <cfRule type="cellIs" dxfId="1" priority="3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0">
    <tabColor theme="6" tint="0.399975585192419"/>
  </sheetPr>
  <dimension ref="A1:Q29"/>
  <sheetViews>
    <sheetView zoomScale="85" zoomScaleNormal="85" workbookViewId="0">
      <selection activeCell="A1" sqref="A1:D4"/>
    </sheetView>
  </sheetViews>
  <sheetFormatPr defaultColWidth="8.90833333333333" defaultRowHeight="13.5"/>
  <cols>
    <col min="1" max="1" width="20.0916666666667" customWidth="1"/>
  </cols>
  <sheetData>
    <row r="1" spans="1:17">
      <c r="A1" s="202" t="s">
        <v>185</v>
      </c>
      <c r="B1" s="374"/>
      <c r="C1" s="374"/>
      <c r="D1" s="374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pans="1:17">
      <c r="A2" s="374"/>
      <c r="B2" s="374"/>
      <c r="C2" s="374"/>
      <c r="D2" s="374"/>
      <c r="E2" s="12"/>
      <c r="F2" s="13" t="s">
        <v>1659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pans="1:17">
      <c r="A3" s="374"/>
      <c r="B3" s="374"/>
      <c r="C3" s="374"/>
      <c r="D3" s="374"/>
      <c r="E3" s="12"/>
      <c r="F3" s="13" t="s">
        <v>1660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spans="1:17">
      <c r="A4" s="374"/>
      <c r="B4" s="374"/>
      <c r="C4" s="374"/>
      <c r="D4" s="374"/>
      <c r="E4" s="12"/>
      <c r="F4" s="13"/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pans="1:17">
      <c r="A5" s="292" t="s">
        <v>1661</v>
      </c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spans="1:17">
      <c r="A6" s="1"/>
      <c r="B6" s="1"/>
      <c r="C6" s="1"/>
      <c r="D6" s="1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</row>
    <row r="8" spans="1:17">
      <c r="A8" s="159"/>
      <c r="B8" s="159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</row>
    <row r="9" spans="1:17">
      <c r="A9" s="375"/>
      <c r="B9" s="375"/>
      <c r="C9" s="375"/>
      <c r="D9" s="375"/>
      <c r="E9" s="375"/>
      <c r="F9" s="375"/>
      <c r="G9" s="376"/>
      <c r="H9" s="376"/>
      <c r="I9" s="376"/>
      <c r="J9" s="376"/>
      <c r="K9" s="376"/>
      <c r="L9" s="376"/>
      <c r="M9" s="376"/>
      <c r="N9" s="376"/>
      <c r="O9" s="376"/>
      <c r="P9" s="376"/>
      <c r="Q9" s="376"/>
    </row>
    <row r="10" spans="1:17">
      <c r="A10" s="377" t="s">
        <v>333</v>
      </c>
      <c r="B10" s="378" t="s">
        <v>1925</v>
      </c>
      <c r="C10" s="378" t="s">
        <v>281</v>
      </c>
      <c r="D10" s="315"/>
      <c r="E10" s="315"/>
      <c r="F10" s="315"/>
      <c r="G10" s="315"/>
      <c r="H10" s="315"/>
      <c r="I10" s="315"/>
      <c r="J10" s="315"/>
      <c r="K10" s="315"/>
      <c r="L10" s="315"/>
      <c r="M10" s="315"/>
      <c r="N10" s="315"/>
      <c r="O10" s="315"/>
      <c r="P10" s="159"/>
      <c r="Q10" s="159"/>
    </row>
    <row r="11" spans="1:17">
      <c r="A11" s="377"/>
      <c r="B11" s="378"/>
      <c r="C11" s="378"/>
      <c r="D11" s="315" t="s">
        <v>304</v>
      </c>
      <c r="E11" s="315" t="s">
        <v>305</v>
      </c>
      <c r="F11" s="315" t="s">
        <v>306</v>
      </c>
      <c r="G11" s="315" t="s">
        <v>307</v>
      </c>
      <c r="H11" s="315" t="s">
        <v>308</v>
      </c>
      <c r="I11" s="315" t="s">
        <v>309</v>
      </c>
      <c r="J11" s="315" t="s">
        <v>310</v>
      </c>
      <c r="K11" s="315" t="s">
        <v>311</v>
      </c>
      <c r="L11" s="315" t="s">
        <v>312</v>
      </c>
      <c r="M11" s="315" t="s">
        <v>313</v>
      </c>
      <c r="N11" s="315" t="s">
        <v>314</v>
      </c>
      <c r="O11" s="315" t="s">
        <v>315</v>
      </c>
      <c r="P11" s="159"/>
      <c r="Q11" s="159"/>
    </row>
    <row r="12" spans="1:17">
      <c r="A12" s="379" t="s">
        <v>2074</v>
      </c>
      <c r="B12" s="380">
        <v>2025</v>
      </c>
      <c r="C12" s="380"/>
      <c r="D12" s="381" t="s">
        <v>1421</v>
      </c>
      <c r="E12" s="381" t="s">
        <v>1421</v>
      </c>
      <c r="F12" s="381" t="s">
        <v>1421</v>
      </c>
      <c r="G12" s="381" t="s">
        <v>1421</v>
      </c>
      <c r="H12" s="381" t="s">
        <v>1421</v>
      </c>
      <c r="I12" s="381" t="s">
        <v>1421</v>
      </c>
      <c r="J12" s="381" t="s">
        <v>1421</v>
      </c>
      <c r="K12" s="381" t="s">
        <v>1421</v>
      </c>
      <c r="L12" s="381" t="s">
        <v>1421</v>
      </c>
      <c r="M12" s="381" t="s">
        <v>1421</v>
      </c>
      <c r="N12" s="381" t="s">
        <v>1421</v>
      </c>
      <c r="O12" s="381" t="s">
        <v>1421</v>
      </c>
      <c r="P12" s="159"/>
      <c r="Q12" s="159"/>
    </row>
    <row r="13" spans="1:17">
      <c r="A13" s="382"/>
      <c r="B13" s="380">
        <v>2026</v>
      </c>
      <c r="C13" s="380" t="s">
        <v>2075</v>
      </c>
      <c r="D13" s="381" t="s">
        <v>199</v>
      </c>
      <c r="E13" s="381" t="s">
        <v>199</v>
      </c>
      <c r="F13" s="381" t="s">
        <v>199</v>
      </c>
      <c r="G13" s="381" t="s">
        <v>199</v>
      </c>
      <c r="H13" s="381" t="s">
        <v>199</v>
      </c>
      <c r="I13" s="381" t="s">
        <v>199</v>
      </c>
      <c r="J13" s="381" t="s">
        <v>199</v>
      </c>
      <c r="K13" s="381" t="s">
        <v>199</v>
      </c>
      <c r="L13" s="381" t="s">
        <v>199</v>
      </c>
      <c r="M13" s="381" t="s">
        <v>199</v>
      </c>
      <c r="N13" s="381" t="s">
        <v>199</v>
      </c>
      <c r="O13" s="381" t="s">
        <v>199</v>
      </c>
      <c r="P13" s="159"/>
      <c r="Q13" s="159"/>
    </row>
    <row r="14" spans="1:17">
      <c r="A14" s="383"/>
      <c r="B14" s="380" t="s">
        <v>287</v>
      </c>
      <c r="C14" s="380"/>
      <c r="D14" s="381" t="s">
        <v>199</v>
      </c>
      <c r="E14" s="381" t="s">
        <v>199</v>
      </c>
      <c r="F14" s="381" t="s">
        <v>199</v>
      </c>
      <c r="G14" s="381" t="s">
        <v>199</v>
      </c>
      <c r="H14" s="381" t="s">
        <v>199</v>
      </c>
      <c r="I14" s="381" t="s">
        <v>199</v>
      </c>
      <c r="J14" s="381" t="s">
        <v>199</v>
      </c>
      <c r="K14" s="381" t="s">
        <v>199</v>
      </c>
      <c r="L14" s="381" t="s">
        <v>199</v>
      </c>
      <c r="M14" s="381" t="s">
        <v>199</v>
      </c>
      <c r="N14" s="381" t="s">
        <v>199</v>
      </c>
      <c r="O14" s="381" t="s">
        <v>199</v>
      </c>
      <c r="P14" s="159"/>
      <c r="Q14" s="159"/>
    </row>
    <row r="15" spans="1:17">
      <c r="A15" s="384" t="s">
        <v>2076</v>
      </c>
      <c r="B15" s="380">
        <v>2025</v>
      </c>
      <c r="C15" s="380"/>
      <c r="D15" s="381" t="s">
        <v>1421</v>
      </c>
      <c r="E15" s="381" t="s">
        <v>1421</v>
      </c>
      <c r="F15" s="381" t="s">
        <v>1421</v>
      </c>
      <c r="G15" s="381" t="s">
        <v>1421</v>
      </c>
      <c r="H15" s="381" t="s">
        <v>1421</v>
      </c>
      <c r="I15" s="381" t="s">
        <v>1421</v>
      </c>
      <c r="J15" s="381" t="s">
        <v>1421</v>
      </c>
      <c r="K15" s="381" t="s">
        <v>1421</v>
      </c>
      <c r="L15" s="381" t="s">
        <v>1421</v>
      </c>
      <c r="M15" s="381" t="s">
        <v>1421</v>
      </c>
      <c r="N15" s="381" t="s">
        <v>1421</v>
      </c>
      <c r="O15" s="381" t="s">
        <v>1421</v>
      </c>
      <c r="P15" s="159"/>
      <c r="Q15" s="159"/>
    </row>
    <row r="16" spans="1:17">
      <c r="A16" s="385"/>
      <c r="B16" s="380">
        <v>2026</v>
      </c>
      <c r="C16" s="380"/>
      <c r="D16" s="386" t="s">
        <v>1465</v>
      </c>
      <c r="E16" s="386" t="s">
        <v>1465</v>
      </c>
      <c r="F16" s="386" t="s">
        <v>1465</v>
      </c>
      <c r="G16" s="386" t="s">
        <v>1465</v>
      </c>
      <c r="H16" s="386" t="s">
        <v>1465</v>
      </c>
      <c r="I16" s="386" t="s">
        <v>1465</v>
      </c>
      <c r="J16" s="386" t="s">
        <v>1465</v>
      </c>
      <c r="K16" s="386" t="s">
        <v>1465</v>
      </c>
      <c r="L16" s="386" t="s">
        <v>1465</v>
      </c>
      <c r="M16" s="386" t="s">
        <v>1465</v>
      </c>
      <c r="N16" s="386" t="s">
        <v>1465</v>
      </c>
      <c r="O16" s="386" t="s">
        <v>1465</v>
      </c>
      <c r="P16" s="159"/>
      <c r="Q16" s="159"/>
    </row>
    <row r="17" spans="1:17">
      <c r="A17" s="387"/>
      <c r="B17" s="380" t="s">
        <v>287</v>
      </c>
      <c r="C17" s="380"/>
      <c r="D17" s="381" t="s">
        <v>199</v>
      </c>
      <c r="E17" s="381" t="s">
        <v>199</v>
      </c>
      <c r="F17" s="381" t="s">
        <v>199</v>
      </c>
      <c r="G17" s="381" t="s">
        <v>199</v>
      </c>
      <c r="H17" s="381" t="s">
        <v>199</v>
      </c>
      <c r="I17" s="381" t="s">
        <v>199</v>
      </c>
      <c r="J17" s="381" t="s">
        <v>199</v>
      </c>
      <c r="K17" s="381" t="s">
        <v>199</v>
      </c>
      <c r="L17" s="381" t="s">
        <v>199</v>
      </c>
      <c r="M17" s="381" t="s">
        <v>199</v>
      </c>
      <c r="N17" s="381" t="s">
        <v>199</v>
      </c>
      <c r="O17" s="381" t="s">
        <v>199</v>
      </c>
      <c r="P17" s="159"/>
      <c r="Q17" s="159"/>
    </row>
    <row r="18" spans="1:17">
      <c r="A18" s="388" t="s">
        <v>2077</v>
      </c>
      <c r="B18" s="389"/>
      <c r="C18" s="389"/>
      <c r="D18" s="389"/>
      <c r="E18" s="389"/>
      <c r="F18" s="381"/>
      <c r="G18" s="390"/>
      <c r="H18" s="391"/>
      <c r="I18" s="391"/>
      <c r="J18" s="391"/>
      <c r="K18" s="391"/>
      <c r="L18" s="391"/>
      <c r="M18" s="391"/>
      <c r="N18" s="391"/>
      <c r="O18" s="391"/>
      <c r="P18" s="159"/>
      <c r="Q18" s="159"/>
    </row>
    <row r="19" spans="1:17">
      <c r="A19" s="392" t="s">
        <v>2078</v>
      </c>
      <c r="B19" s="389"/>
      <c r="C19" s="389"/>
      <c r="D19" s="389"/>
      <c r="E19" s="389"/>
      <c r="F19" s="381"/>
      <c r="G19" s="390"/>
      <c r="H19" s="391"/>
      <c r="I19" s="391"/>
      <c r="J19" s="391"/>
      <c r="K19" s="391"/>
      <c r="L19" s="391"/>
      <c r="M19" s="391"/>
      <c r="N19" s="391"/>
      <c r="O19" s="391"/>
      <c r="P19" s="159"/>
      <c r="Q19" s="159"/>
    </row>
    <row r="20" spans="1:17">
      <c r="A20" s="388" t="s">
        <v>462</v>
      </c>
      <c r="B20" s="389"/>
      <c r="C20" s="389"/>
      <c r="D20" s="389"/>
      <c r="E20" s="389"/>
      <c r="F20" s="381"/>
      <c r="G20" s="390"/>
      <c r="H20" s="391"/>
      <c r="I20" s="391"/>
      <c r="J20" s="391"/>
      <c r="K20" s="391"/>
      <c r="L20" s="391"/>
      <c r="M20" s="391"/>
      <c r="N20" s="391"/>
      <c r="O20" s="391"/>
      <c r="P20" s="159"/>
      <c r="Q20" s="159"/>
    </row>
    <row r="21" ht="21" customHeight="1" spans="1:17">
      <c r="A21" s="379" t="s">
        <v>2079</v>
      </c>
      <c r="B21" s="380">
        <v>2025</v>
      </c>
      <c r="C21" s="380"/>
      <c r="D21" s="381" t="s">
        <v>1421</v>
      </c>
      <c r="E21" s="381" t="s">
        <v>1421</v>
      </c>
      <c r="F21" s="381" t="s">
        <v>1421</v>
      </c>
      <c r="G21" s="381" t="s">
        <v>1421</v>
      </c>
      <c r="H21" s="381" t="s">
        <v>1421</v>
      </c>
      <c r="I21" s="381" t="s">
        <v>1421</v>
      </c>
      <c r="J21" s="381" t="s">
        <v>1421</v>
      </c>
      <c r="K21" s="381" t="s">
        <v>1421</v>
      </c>
      <c r="L21" s="381" t="s">
        <v>1421</v>
      </c>
      <c r="M21" s="381" t="s">
        <v>1421</v>
      </c>
      <c r="N21" s="381" t="s">
        <v>1421</v>
      </c>
      <c r="O21" s="381" t="s">
        <v>1421</v>
      </c>
      <c r="P21" s="159"/>
      <c r="Q21" s="159"/>
    </row>
    <row r="22" spans="1:17">
      <c r="A22" s="382"/>
      <c r="B22" s="380">
        <v>2026</v>
      </c>
      <c r="C22" s="380" t="s">
        <v>2075</v>
      </c>
      <c r="D22" s="381" t="s">
        <v>199</v>
      </c>
      <c r="E22" s="381" t="s">
        <v>199</v>
      </c>
      <c r="F22" s="381" t="s">
        <v>199</v>
      </c>
      <c r="G22" s="381" t="s">
        <v>199</v>
      </c>
      <c r="H22" s="381" t="s">
        <v>199</v>
      </c>
      <c r="I22" s="381" t="s">
        <v>199</v>
      </c>
      <c r="J22" s="381" t="s">
        <v>199</v>
      </c>
      <c r="K22" s="381" t="s">
        <v>199</v>
      </c>
      <c r="L22" s="381" t="s">
        <v>199</v>
      </c>
      <c r="M22" s="381" t="s">
        <v>199</v>
      </c>
      <c r="N22" s="381" t="s">
        <v>199</v>
      </c>
      <c r="O22" s="381" t="s">
        <v>199</v>
      </c>
      <c r="P22" s="159"/>
      <c r="Q22" s="159"/>
    </row>
    <row r="23" spans="1:17">
      <c r="A23" s="383"/>
      <c r="B23" s="380" t="s">
        <v>287</v>
      </c>
      <c r="C23" s="380"/>
      <c r="D23" s="381" t="s">
        <v>199</v>
      </c>
      <c r="E23" s="381" t="s">
        <v>199</v>
      </c>
      <c r="F23" s="381" t="s">
        <v>199</v>
      </c>
      <c r="G23" s="381" t="s">
        <v>199</v>
      </c>
      <c r="H23" s="381" t="s">
        <v>199</v>
      </c>
      <c r="I23" s="381" t="s">
        <v>199</v>
      </c>
      <c r="J23" s="381" t="s">
        <v>199</v>
      </c>
      <c r="K23" s="381" t="s">
        <v>199</v>
      </c>
      <c r="L23" s="381" t="s">
        <v>199</v>
      </c>
      <c r="M23" s="381" t="s">
        <v>199</v>
      </c>
      <c r="N23" s="381" t="s">
        <v>199</v>
      </c>
      <c r="O23" s="381" t="s">
        <v>199</v>
      </c>
      <c r="P23" s="159"/>
      <c r="Q23" s="159"/>
    </row>
    <row r="24" spans="1:17">
      <c r="A24" s="388" t="s">
        <v>2080</v>
      </c>
      <c r="B24" s="389"/>
      <c r="C24" s="389"/>
      <c r="D24" s="389"/>
      <c r="E24" s="389"/>
      <c r="F24" s="381"/>
      <c r="G24" s="390"/>
      <c r="H24" s="391"/>
      <c r="I24" s="391"/>
      <c r="J24" s="391"/>
      <c r="K24" s="391"/>
      <c r="L24" s="391"/>
      <c r="M24" s="391"/>
      <c r="N24" s="391"/>
      <c r="O24" s="391"/>
      <c r="P24" s="159"/>
      <c r="Q24" s="159"/>
    </row>
    <row r="25" spans="1:17">
      <c r="A25" s="388" t="s">
        <v>2081</v>
      </c>
      <c r="B25" s="389"/>
      <c r="C25" s="389"/>
      <c r="D25" s="389"/>
      <c r="E25" s="389"/>
      <c r="F25" s="381"/>
      <c r="G25" s="390"/>
      <c r="H25" s="391"/>
      <c r="I25" s="391"/>
      <c r="J25" s="391"/>
      <c r="K25" s="391"/>
      <c r="L25" s="391"/>
      <c r="M25" s="391"/>
      <c r="N25" s="391"/>
      <c r="O25" s="391"/>
      <c r="P25" s="159"/>
      <c r="Q25" s="159"/>
    </row>
    <row r="26" spans="1:17">
      <c r="A26" s="388" t="s">
        <v>2082</v>
      </c>
      <c r="B26" s="389"/>
      <c r="C26" s="389"/>
      <c r="D26" s="389"/>
      <c r="E26" s="389"/>
      <c r="F26" s="381"/>
      <c r="G26" s="390"/>
      <c r="H26" s="391"/>
      <c r="I26" s="391"/>
      <c r="J26" s="391"/>
      <c r="K26" s="391"/>
      <c r="L26" s="391"/>
      <c r="M26" s="391"/>
      <c r="N26" s="391"/>
      <c r="O26" s="391"/>
      <c r="P26" s="159"/>
      <c r="Q26" s="159"/>
    </row>
    <row r="27" spans="1:17">
      <c r="A27" s="388" t="s">
        <v>2083</v>
      </c>
      <c r="B27" s="389"/>
      <c r="C27" s="389"/>
      <c r="D27" s="389"/>
      <c r="E27" s="389"/>
      <c r="F27" s="381"/>
      <c r="G27" s="390"/>
      <c r="H27" s="391"/>
      <c r="I27" s="391"/>
      <c r="J27" s="391"/>
      <c r="K27" s="391"/>
      <c r="L27" s="391"/>
      <c r="M27" s="391"/>
      <c r="N27" s="391"/>
      <c r="O27" s="391"/>
      <c r="P27" s="159"/>
      <c r="Q27" s="159"/>
    </row>
    <row r="28" spans="1:17">
      <c r="A28" s="388" t="s">
        <v>462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</row>
    <row r="29" spans="1:17">
      <c r="A29" s="393" t="s">
        <v>281</v>
      </c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</row>
  </sheetData>
  <mergeCells count="9">
    <mergeCell ref="A5:D5"/>
    <mergeCell ref="D10:O10"/>
    <mergeCell ref="A10:A11"/>
    <mergeCell ref="A12:A14"/>
    <mergeCell ref="A15:A17"/>
    <mergeCell ref="A21:A23"/>
    <mergeCell ref="B10:B11"/>
    <mergeCell ref="C10:C11"/>
    <mergeCell ref="A1:D4"/>
  </mergeCells>
  <conditionalFormatting sqref="A12">
    <cfRule type="cellIs" dxfId="1" priority="1" operator="lessThan">
      <formula>0</formula>
    </cfRule>
  </conditionalFormatting>
  <conditionalFormatting sqref="A15 A18:A21 A24:A27">
    <cfRule type="cellIs" dxfId="1" priority="2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6">
    <tabColor theme="8" tint="0.399975585192419"/>
  </sheetPr>
  <dimension ref="A1:AE33"/>
  <sheetViews>
    <sheetView showGridLines="0" zoomScale="80" zoomScaleNormal="80" workbookViewId="0">
      <selection activeCell="A1" sqref="A1:D4"/>
    </sheetView>
  </sheetViews>
  <sheetFormatPr defaultColWidth="8.90833333333333" defaultRowHeight="13.5"/>
  <cols>
    <col min="1" max="1" width="20.6333333333333" style="352" customWidth="1"/>
    <col min="2" max="3" width="14.0916666666667" style="352" customWidth="1"/>
    <col min="4" max="5" width="6.725" style="352" customWidth="1"/>
    <col min="6" max="7" width="10.725" style="352" customWidth="1"/>
    <col min="8" max="17" width="13" style="352" customWidth="1"/>
    <col min="18" max="18" width="14.0916666666667" style="352" customWidth="1"/>
    <col min="19" max="19" width="10.725" style="173" customWidth="1"/>
    <col min="20" max="20" width="9.63333333333333" style="173" customWidth="1"/>
    <col min="21" max="22" width="10.725" style="173" customWidth="1"/>
    <col min="23" max="28" width="13" style="173" customWidth="1"/>
    <col min="29" max="30" width="10.725" style="173" customWidth="1"/>
    <col min="31" max="31" width="14.0916666666667" style="173" customWidth="1"/>
    <col min="32" max="16384" width="8.90833333333333" style="353"/>
  </cols>
  <sheetData>
    <row r="1" s="159" customFormat="1" ht="11.25" spans="1:17">
      <c r="A1" s="202" t="s">
        <v>185</v>
      </c>
      <c r="B1" s="291"/>
      <c r="C1" s="291"/>
      <c r="D1" s="291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="159" customFormat="1" ht="11.25" spans="1:17">
      <c r="A2" s="291"/>
      <c r="B2" s="291"/>
      <c r="C2" s="291"/>
      <c r="D2" s="291"/>
      <c r="E2" s="12"/>
      <c r="F2" s="13" t="s">
        <v>1659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="159" customFormat="1" ht="11.25" spans="1:17">
      <c r="A3" s="291"/>
      <c r="B3" s="291"/>
      <c r="C3" s="291"/>
      <c r="D3" s="291"/>
      <c r="E3" s="12"/>
      <c r="F3" s="13" t="s">
        <v>1660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s="159" customFormat="1" ht="11.25" spans="1:17">
      <c r="A4" s="291"/>
      <c r="B4" s="291"/>
      <c r="C4" s="291"/>
      <c r="D4" s="291"/>
      <c r="E4" s="12"/>
      <c r="F4" s="13"/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="159" customFormat="1" ht="11.25" spans="1:17">
      <c r="A5" s="292" t="s">
        <v>1618</v>
      </c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s="159" customFormat="1" spans="1:17">
      <c r="A6" s="1"/>
      <c r="B6" s="1"/>
      <c r="C6" s="1"/>
      <c r="D6" s="1"/>
      <c r="E6"/>
      <c r="F6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s="159" customFormat="1" spans="1:17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8" s="159" customFormat="1" ht="11.25"/>
    <row r="9" s="158" customFormat="1" ht="26" customHeight="1" spans="1:17">
      <c r="A9" s="354" t="s">
        <v>2049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</row>
    <row r="10" s="158" customFormat="1" spans="1:17">
      <c r="A10" s="355" t="s">
        <v>1899</v>
      </c>
      <c r="B10" s="356" t="s">
        <v>2050</v>
      </c>
      <c r="C10" s="356" t="s">
        <v>281</v>
      </c>
      <c r="D10" s="355"/>
      <c r="E10" s="355"/>
      <c r="F10" s="355"/>
      <c r="G10" s="355"/>
      <c r="H10" s="355"/>
      <c r="I10" s="355"/>
      <c r="J10" s="355"/>
      <c r="K10" s="355"/>
      <c r="L10" s="355"/>
      <c r="M10" s="355"/>
      <c r="N10" s="355"/>
      <c r="O10" s="355"/>
    </row>
    <row r="11" s="158" customFormat="1" spans="1:17">
      <c r="A11" s="355"/>
      <c r="B11" s="357"/>
      <c r="C11" s="357"/>
      <c r="D11" s="355" t="s">
        <v>304</v>
      </c>
      <c r="E11" s="355" t="s">
        <v>305</v>
      </c>
      <c r="F11" s="355" t="s">
        <v>306</v>
      </c>
      <c r="G11" s="355" t="s">
        <v>307</v>
      </c>
      <c r="H11" s="355" t="s">
        <v>308</v>
      </c>
      <c r="I11" s="355" t="s">
        <v>309</v>
      </c>
      <c r="J11" s="355" t="s">
        <v>310</v>
      </c>
      <c r="K11" s="355" t="s">
        <v>311</v>
      </c>
      <c r="L11" s="355" t="s">
        <v>312</v>
      </c>
      <c r="M11" s="355" t="s">
        <v>313</v>
      </c>
      <c r="N11" s="355" t="s">
        <v>314</v>
      </c>
      <c r="O11" s="355" t="s">
        <v>315</v>
      </c>
    </row>
    <row r="12" s="351" customFormat="1" ht="19" customHeight="1" spans="1:17">
      <c r="A12" s="358" t="s">
        <v>2084</v>
      </c>
      <c r="B12" s="359">
        <v>2025</v>
      </c>
      <c r="C12" s="360" t="s">
        <v>199</v>
      </c>
      <c r="D12" s="361" t="s">
        <v>1421</v>
      </c>
      <c r="E12" s="361" t="s">
        <v>1421</v>
      </c>
      <c r="F12" s="361" t="s">
        <v>1421</v>
      </c>
      <c r="G12" s="361" t="s">
        <v>1421</v>
      </c>
      <c r="H12" s="361" t="s">
        <v>1421</v>
      </c>
      <c r="I12" s="361" t="s">
        <v>1421</v>
      </c>
      <c r="J12" s="361" t="s">
        <v>1421</v>
      </c>
      <c r="K12" s="361" t="s">
        <v>1421</v>
      </c>
      <c r="L12" s="361" t="s">
        <v>1421</v>
      </c>
      <c r="M12" s="361" t="s">
        <v>1421</v>
      </c>
      <c r="N12" s="361" t="s">
        <v>1421</v>
      </c>
      <c r="O12" s="361" t="s">
        <v>1421</v>
      </c>
    </row>
    <row r="13" s="351" customFormat="1" ht="19" customHeight="1" spans="1:17">
      <c r="A13" s="358"/>
      <c r="B13" s="359">
        <v>2026</v>
      </c>
      <c r="C13" s="360" t="s">
        <v>199</v>
      </c>
      <c r="D13" s="360" t="s">
        <v>199</v>
      </c>
      <c r="E13" s="360" t="s">
        <v>199</v>
      </c>
      <c r="F13" s="360" t="s">
        <v>199</v>
      </c>
      <c r="G13" s="360" t="s">
        <v>199</v>
      </c>
      <c r="H13" s="360" t="s">
        <v>199</v>
      </c>
      <c r="I13" s="360" t="s">
        <v>199</v>
      </c>
      <c r="J13" s="360" t="s">
        <v>199</v>
      </c>
      <c r="K13" s="360" t="s">
        <v>199</v>
      </c>
      <c r="L13" s="360" t="s">
        <v>199</v>
      </c>
      <c r="M13" s="360" t="s">
        <v>199</v>
      </c>
      <c r="N13" s="360" t="s">
        <v>199</v>
      </c>
      <c r="O13" s="360" t="s">
        <v>199</v>
      </c>
    </row>
    <row r="14" s="351" customFormat="1" ht="19" customHeight="1" spans="1:17">
      <c r="A14" s="358"/>
      <c r="B14" s="362" t="s">
        <v>1919</v>
      </c>
      <c r="C14" s="360" t="s">
        <v>199</v>
      </c>
      <c r="D14" s="360" t="s">
        <v>199</v>
      </c>
      <c r="E14" s="360" t="s">
        <v>199</v>
      </c>
      <c r="F14" s="360" t="s">
        <v>199</v>
      </c>
      <c r="G14" s="360" t="s">
        <v>199</v>
      </c>
      <c r="H14" s="360" t="s">
        <v>199</v>
      </c>
      <c r="I14" s="360" t="s">
        <v>199</v>
      </c>
      <c r="J14" s="360" t="s">
        <v>199</v>
      </c>
      <c r="K14" s="360" t="s">
        <v>199</v>
      </c>
      <c r="L14" s="360" t="s">
        <v>199</v>
      </c>
      <c r="M14" s="360" t="s">
        <v>199</v>
      </c>
      <c r="N14" s="360" t="s">
        <v>199</v>
      </c>
      <c r="O14" s="360" t="s">
        <v>199</v>
      </c>
    </row>
    <row r="15" s="351" customFormat="1" ht="19" customHeight="1" spans="1:17">
      <c r="A15" s="359"/>
      <c r="B15" s="362" t="s">
        <v>1920</v>
      </c>
      <c r="C15" s="360" t="s">
        <v>199</v>
      </c>
      <c r="D15" s="360" t="s">
        <v>199</v>
      </c>
      <c r="E15" s="360" t="s">
        <v>199</v>
      </c>
      <c r="F15" s="360" t="s">
        <v>199</v>
      </c>
      <c r="G15" s="360" t="s">
        <v>199</v>
      </c>
      <c r="H15" s="360" t="s">
        <v>199</v>
      </c>
      <c r="I15" s="363" t="s">
        <v>199</v>
      </c>
      <c r="J15" s="360" t="s">
        <v>199</v>
      </c>
      <c r="K15" s="360" t="s">
        <v>199</v>
      </c>
      <c r="L15" s="360" t="s">
        <v>199</v>
      </c>
      <c r="M15" s="360" t="s">
        <v>199</v>
      </c>
      <c r="N15" s="360" t="s">
        <v>199</v>
      </c>
      <c r="O15" s="360" t="s">
        <v>199</v>
      </c>
    </row>
    <row r="16" s="351" customFormat="1" ht="19" customHeight="1" spans="1:17">
      <c r="A16" s="358" t="s">
        <v>2085</v>
      </c>
      <c r="B16" s="359">
        <v>2025</v>
      </c>
      <c r="C16" s="360" t="s">
        <v>199</v>
      </c>
      <c r="D16" s="361" t="s">
        <v>1421</v>
      </c>
      <c r="E16" s="361" t="s">
        <v>1421</v>
      </c>
      <c r="F16" s="361" t="s">
        <v>1421</v>
      </c>
      <c r="G16" s="361" t="s">
        <v>1421</v>
      </c>
      <c r="H16" s="361" t="s">
        <v>1421</v>
      </c>
      <c r="I16" s="361" t="s">
        <v>1421</v>
      </c>
      <c r="J16" s="361" t="s">
        <v>1421</v>
      </c>
      <c r="K16" s="361" t="s">
        <v>1421</v>
      </c>
      <c r="L16" s="361" t="s">
        <v>1421</v>
      </c>
      <c r="M16" s="361" t="s">
        <v>1421</v>
      </c>
      <c r="N16" s="361" t="s">
        <v>1421</v>
      </c>
      <c r="O16" s="361" t="s">
        <v>1421</v>
      </c>
    </row>
    <row r="17" s="351" customFormat="1" ht="19" customHeight="1" spans="1:31">
      <c r="A17" s="358"/>
      <c r="B17" s="359">
        <v>2026</v>
      </c>
      <c r="C17" s="360" t="s">
        <v>199</v>
      </c>
      <c r="D17" s="364" t="s">
        <v>29</v>
      </c>
      <c r="E17" s="364" t="s">
        <v>29</v>
      </c>
      <c r="F17" s="364" t="s">
        <v>29</v>
      </c>
      <c r="G17" s="364" t="s">
        <v>29</v>
      </c>
      <c r="H17" s="364" t="s">
        <v>29</v>
      </c>
      <c r="I17" s="364" t="s">
        <v>29</v>
      </c>
      <c r="J17" s="364" t="s">
        <v>29</v>
      </c>
      <c r="K17" s="364" t="s">
        <v>29</v>
      </c>
      <c r="L17" s="364" t="s">
        <v>29</v>
      </c>
      <c r="M17" s="364" t="s">
        <v>29</v>
      </c>
      <c r="N17" s="364" t="s">
        <v>29</v>
      </c>
      <c r="O17" s="364" t="s">
        <v>29</v>
      </c>
    </row>
    <row r="18" s="351" customFormat="1" ht="19" customHeight="1" spans="1:31">
      <c r="A18" s="358"/>
      <c r="B18" s="362" t="s">
        <v>1919</v>
      </c>
      <c r="C18" s="360" t="s">
        <v>199</v>
      </c>
      <c r="D18" s="360" t="s">
        <v>199</v>
      </c>
      <c r="E18" s="360" t="s">
        <v>199</v>
      </c>
      <c r="F18" s="360" t="s">
        <v>199</v>
      </c>
      <c r="G18" s="360" t="s">
        <v>199</v>
      </c>
      <c r="H18" s="360" t="s">
        <v>199</v>
      </c>
      <c r="I18" s="360" t="s">
        <v>199</v>
      </c>
      <c r="J18" s="360" t="s">
        <v>199</v>
      </c>
      <c r="K18" s="360" t="s">
        <v>199</v>
      </c>
      <c r="L18" s="360" t="s">
        <v>199</v>
      </c>
      <c r="M18" s="360" t="s">
        <v>199</v>
      </c>
      <c r="N18" s="360" t="s">
        <v>199</v>
      </c>
      <c r="O18" s="360" t="s">
        <v>199</v>
      </c>
    </row>
    <row r="19" s="351" customFormat="1" ht="19" customHeight="1" spans="1:31">
      <c r="A19" s="359"/>
      <c r="B19" s="362" t="s">
        <v>1920</v>
      </c>
      <c r="C19" s="360" t="s">
        <v>199</v>
      </c>
      <c r="D19" s="360" t="s">
        <v>199</v>
      </c>
      <c r="E19" s="360" t="s">
        <v>199</v>
      </c>
      <c r="F19" s="360" t="s">
        <v>199</v>
      </c>
      <c r="G19" s="360" t="s">
        <v>199</v>
      </c>
      <c r="H19" s="360" t="s">
        <v>199</v>
      </c>
      <c r="I19" s="363" t="s">
        <v>199</v>
      </c>
      <c r="J19" s="360" t="s">
        <v>199</v>
      </c>
      <c r="K19" s="360" t="s">
        <v>199</v>
      </c>
      <c r="L19" s="360" t="s">
        <v>199</v>
      </c>
      <c r="M19" s="360" t="s">
        <v>199</v>
      </c>
      <c r="N19" s="360" t="s">
        <v>199</v>
      </c>
      <c r="O19" s="360" t="s">
        <v>199</v>
      </c>
    </row>
    <row r="20" s="351" customFormat="1" ht="19" customHeight="1" spans="1:31">
      <c r="A20" s="358" t="s">
        <v>2086</v>
      </c>
      <c r="B20" s="359">
        <v>2025</v>
      </c>
      <c r="C20" s="360" t="s">
        <v>199</v>
      </c>
      <c r="D20" s="361" t="s">
        <v>1421</v>
      </c>
      <c r="E20" s="361" t="s">
        <v>1421</v>
      </c>
      <c r="F20" s="361" t="s">
        <v>1421</v>
      </c>
      <c r="G20" s="361" t="s">
        <v>1421</v>
      </c>
      <c r="H20" s="361" t="s">
        <v>1421</v>
      </c>
      <c r="I20" s="361" t="s">
        <v>1421</v>
      </c>
      <c r="J20" s="361" t="s">
        <v>1421</v>
      </c>
      <c r="K20" s="361" t="s">
        <v>1421</v>
      </c>
      <c r="L20" s="361" t="s">
        <v>1421</v>
      </c>
      <c r="M20" s="361" t="s">
        <v>1421</v>
      </c>
      <c r="N20" s="361" t="s">
        <v>1421</v>
      </c>
      <c r="O20" s="361" t="s">
        <v>1421</v>
      </c>
    </row>
    <row r="21" s="351" customFormat="1" ht="19" customHeight="1" spans="1:31">
      <c r="A21" s="358"/>
      <c r="B21" s="359">
        <v>2026</v>
      </c>
      <c r="C21" s="360" t="s">
        <v>199</v>
      </c>
      <c r="D21" s="360" t="s">
        <v>199</v>
      </c>
      <c r="E21" s="360" t="s">
        <v>199</v>
      </c>
      <c r="F21" s="360" t="s">
        <v>199</v>
      </c>
      <c r="G21" s="360" t="s">
        <v>199</v>
      </c>
      <c r="H21" s="360" t="s">
        <v>199</v>
      </c>
      <c r="I21" s="360" t="s">
        <v>199</v>
      </c>
      <c r="J21" s="360" t="s">
        <v>199</v>
      </c>
      <c r="K21" s="360" t="s">
        <v>199</v>
      </c>
      <c r="L21" s="360" t="s">
        <v>199</v>
      </c>
      <c r="M21" s="360" t="s">
        <v>199</v>
      </c>
      <c r="N21" s="360" t="s">
        <v>199</v>
      </c>
      <c r="O21" s="360" t="s">
        <v>199</v>
      </c>
    </row>
    <row r="22" s="351" customFormat="1" ht="19" customHeight="1" spans="1:31">
      <c r="A22" s="358"/>
      <c r="B22" s="362" t="s">
        <v>1919</v>
      </c>
      <c r="C22" s="360" t="s">
        <v>199</v>
      </c>
      <c r="D22" s="360" t="s">
        <v>199</v>
      </c>
      <c r="E22" s="360" t="s">
        <v>199</v>
      </c>
      <c r="F22" s="360" t="s">
        <v>199</v>
      </c>
      <c r="G22" s="360" t="s">
        <v>199</v>
      </c>
      <c r="H22" s="360" t="s">
        <v>199</v>
      </c>
      <c r="I22" s="360" t="s">
        <v>199</v>
      </c>
      <c r="J22" s="360" t="s">
        <v>199</v>
      </c>
      <c r="K22" s="360" t="s">
        <v>199</v>
      </c>
      <c r="L22" s="360" t="s">
        <v>199</v>
      </c>
      <c r="M22" s="360" t="s">
        <v>199</v>
      </c>
      <c r="N22" s="360" t="s">
        <v>199</v>
      </c>
      <c r="O22" s="360" t="s">
        <v>199</v>
      </c>
    </row>
    <row r="23" s="351" customFormat="1" ht="19" customHeight="1" spans="1:31">
      <c r="A23" s="359"/>
      <c r="B23" s="362" t="s">
        <v>1920</v>
      </c>
      <c r="C23" s="360" t="s">
        <v>199</v>
      </c>
      <c r="D23" s="360" t="s">
        <v>199</v>
      </c>
      <c r="E23" s="360" t="s">
        <v>199</v>
      </c>
      <c r="F23" s="360" t="s">
        <v>199</v>
      </c>
      <c r="G23" s="360" t="s">
        <v>199</v>
      </c>
      <c r="H23" s="360" t="s">
        <v>199</v>
      </c>
      <c r="I23" s="363" t="s">
        <v>199</v>
      </c>
      <c r="J23" s="360" t="s">
        <v>199</v>
      </c>
      <c r="K23" s="360" t="s">
        <v>199</v>
      </c>
      <c r="L23" s="360" t="s">
        <v>199</v>
      </c>
      <c r="M23" s="360" t="s">
        <v>199</v>
      </c>
      <c r="N23" s="360" t="s">
        <v>199</v>
      </c>
      <c r="O23" s="360" t="s">
        <v>199</v>
      </c>
    </row>
    <row r="24" s="351" customFormat="1" ht="19" customHeight="1" spans="1:31">
      <c r="A24" s="358" t="s">
        <v>2087</v>
      </c>
      <c r="B24" s="359">
        <v>2025</v>
      </c>
      <c r="C24" s="360" t="s">
        <v>199</v>
      </c>
      <c r="D24" s="361" t="s">
        <v>1421</v>
      </c>
      <c r="E24" s="361" t="s">
        <v>1421</v>
      </c>
      <c r="F24" s="361" t="s">
        <v>1421</v>
      </c>
      <c r="G24" s="361" t="s">
        <v>1421</v>
      </c>
      <c r="H24" s="361" t="s">
        <v>1421</v>
      </c>
      <c r="I24" s="361" t="s">
        <v>1421</v>
      </c>
      <c r="J24" s="361" t="s">
        <v>1421</v>
      </c>
      <c r="K24" s="361" t="s">
        <v>1421</v>
      </c>
      <c r="L24" s="361" t="s">
        <v>1421</v>
      </c>
      <c r="M24" s="361" t="s">
        <v>1421</v>
      </c>
      <c r="N24" s="361" t="s">
        <v>1421</v>
      </c>
      <c r="O24" s="361" t="s">
        <v>1421</v>
      </c>
    </row>
    <row r="25" s="351" customFormat="1" ht="19" customHeight="1" spans="1:31">
      <c r="A25" s="358"/>
      <c r="B25" s="359">
        <v>2026</v>
      </c>
      <c r="C25" s="360" t="s">
        <v>199</v>
      </c>
      <c r="D25" s="364" t="s">
        <v>29</v>
      </c>
      <c r="E25" s="364" t="s">
        <v>29</v>
      </c>
      <c r="F25" s="364" t="s">
        <v>29</v>
      </c>
      <c r="G25" s="364" t="s">
        <v>29</v>
      </c>
      <c r="H25" s="364" t="s">
        <v>29</v>
      </c>
      <c r="I25" s="364" t="s">
        <v>29</v>
      </c>
      <c r="J25" s="364" t="s">
        <v>29</v>
      </c>
      <c r="K25" s="364" t="s">
        <v>29</v>
      </c>
      <c r="L25" s="364" t="s">
        <v>29</v>
      </c>
      <c r="M25" s="364" t="s">
        <v>29</v>
      </c>
      <c r="N25" s="364" t="s">
        <v>29</v>
      </c>
      <c r="O25" s="364" t="s">
        <v>29</v>
      </c>
    </row>
    <row r="26" s="351" customFormat="1" ht="19" customHeight="1" spans="1:31">
      <c r="A26" s="358"/>
      <c r="B26" s="362" t="s">
        <v>1919</v>
      </c>
      <c r="C26" s="360" t="s">
        <v>199</v>
      </c>
      <c r="D26" s="360" t="s">
        <v>199</v>
      </c>
      <c r="E26" s="360" t="s">
        <v>199</v>
      </c>
      <c r="F26" s="360" t="s">
        <v>199</v>
      </c>
      <c r="G26" s="360" t="s">
        <v>199</v>
      </c>
      <c r="H26" s="360" t="s">
        <v>199</v>
      </c>
      <c r="I26" s="360" t="s">
        <v>199</v>
      </c>
      <c r="J26" s="360" t="s">
        <v>199</v>
      </c>
      <c r="K26" s="360" t="s">
        <v>199</v>
      </c>
      <c r="L26" s="360" t="s">
        <v>199</v>
      </c>
      <c r="M26" s="360" t="s">
        <v>199</v>
      </c>
      <c r="N26" s="360" t="s">
        <v>199</v>
      </c>
      <c r="O26" s="360" t="s">
        <v>199</v>
      </c>
    </row>
    <row r="27" s="351" customFormat="1" ht="19" customHeight="1" spans="1:31">
      <c r="A27" s="359"/>
      <c r="B27" s="362" t="s">
        <v>1920</v>
      </c>
      <c r="C27" s="360" t="s">
        <v>199</v>
      </c>
      <c r="D27" s="360" t="s">
        <v>199</v>
      </c>
      <c r="E27" s="363" t="s">
        <v>199</v>
      </c>
      <c r="F27" s="360" t="s">
        <v>199</v>
      </c>
      <c r="G27" s="360" t="s">
        <v>199</v>
      </c>
      <c r="H27" s="360" t="s">
        <v>199</v>
      </c>
      <c r="I27" s="360" t="s">
        <v>199</v>
      </c>
      <c r="J27" s="360" t="s">
        <v>199</v>
      </c>
      <c r="K27" s="360" t="s">
        <v>199</v>
      </c>
      <c r="L27" s="360" t="s">
        <v>199</v>
      </c>
      <c r="M27" s="360" t="s">
        <v>199</v>
      </c>
      <c r="N27" s="360" t="s">
        <v>199</v>
      </c>
      <c r="O27" s="360" t="s">
        <v>199</v>
      </c>
    </row>
    <row r="28" s="351" customFormat="1" ht="19" customHeight="1" spans="1:31">
      <c r="A28" s="358" t="s">
        <v>281</v>
      </c>
      <c r="B28" s="359">
        <v>2025</v>
      </c>
      <c r="C28" s="360" t="s">
        <v>199</v>
      </c>
      <c r="D28" s="360" t="s">
        <v>199</v>
      </c>
      <c r="E28" s="360" t="s">
        <v>199</v>
      </c>
      <c r="F28" s="360" t="s">
        <v>199</v>
      </c>
      <c r="G28" s="360" t="s">
        <v>199</v>
      </c>
      <c r="H28" s="360" t="s">
        <v>199</v>
      </c>
      <c r="I28" s="360" t="s">
        <v>199</v>
      </c>
      <c r="J28" s="360" t="s">
        <v>199</v>
      </c>
      <c r="K28" s="360" t="s">
        <v>199</v>
      </c>
      <c r="L28" s="360" t="s">
        <v>199</v>
      </c>
      <c r="M28" s="360" t="s">
        <v>199</v>
      </c>
      <c r="N28" s="360" t="s">
        <v>199</v>
      </c>
      <c r="O28" s="360" t="s">
        <v>199</v>
      </c>
    </row>
    <row r="29" s="351" customFormat="1" ht="19" customHeight="1" spans="1:31">
      <c r="A29" s="358"/>
      <c r="B29" s="359">
        <v>2026</v>
      </c>
      <c r="C29" s="360" t="s">
        <v>199</v>
      </c>
      <c r="D29" s="360" t="s">
        <v>199</v>
      </c>
      <c r="E29" s="360" t="s">
        <v>199</v>
      </c>
      <c r="F29" s="360" t="s">
        <v>199</v>
      </c>
      <c r="G29" s="360" t="s">
        <v>199</v>
      </c>
      <c r="H29" s="360" t="s">
        <v>199</v>
      </c>
      <c r="I29" s="360" t="s">
        <v>199</v>
      </c>
      <c r="J29" s="360" t="s">
        <v>199</v>
      </c>
      <c r="K29" s="360" t="s">
        <v>199</v>
      </c>
      <c r="L29" s="360" t="s">
        <v>199</v>
      </c>
      <c r="M29" s="360" t="s">
        <v>199</v>
      </c>
      <c r="N29" s="360" t="s">
        <v>199</v>
      </c>
      <c r="O29" s="360" t="s">
        <v>199</v>
      </c>
    </row>
    <row r="30" s="351" customFormat="1" ht="19" customHeight="1" spans="1:31">
      <c r="A30" s="358"/>
      <c r="B30" s="362" t="s">
        <v>1919</v>
      </c>
      <c r="C30" s="360" t="s">
        <v>199</v>
      </c>
      <c r="D30" s="360" t="s">
        <v>199</v>
      </c>
      <c r="E30" s="360" t="s">
        <v>199</v>
      </c>
      <c r="F30" s="360" t="s">
        <v>199</v>
      </c>
      <c r="G30" s="360" t="s">
        <v>199</v>
      </c>
      <c r="H30" s="360" t="s">
        <v>199</v>
      </c>
      <c r="I30" s="360" t="s">
        <v>199</v>
      </c>
      <c r="J30" s="360" t="s">
        <v>199</v>
      </c>
      <c r="K30" s="360" t="s">
        <v>199</v>
      </c>
      <c r="L30" s="360" t="s">
        <v>199</v>
      </c>
      <c r="M30" s="360" t="s">
        <v>199</v>
      </c>
      <c r="N30" s="360" t="s">
        <v>199</v>
      </c>
      <c r="O30" s="360" t="s">
        <v>199</v>
      </c>
    </row>
    <row r="31" s="351" customFormat="1" ht="19" customHeight="1" spans="1:31">
      <c r="A31" s="359"/>
      <c r="B31" s="362" t="s">
        <v>1920</v>
      </c>
      <c r="C31" s="360" t="s">
        <v>199</v>
      </c>
      <c r="D31" s="360" t="s">
        <v>199</v>
      </c>
      <c r="E31" s="363" t="s">
        <v>199</v>
      </c>
      <c r="F31" s="360" t="s">
        <v>199</v>
      </c>
      <c r="G31" s="360" t="s">
        <v>199</v>
      </c>
      <c r="H31" s="360" t="s">
        <v>199</v>
      </c>
      <c r="I31" s="360" t="s">
        <v>199</v>
      </c>
      <c r="J31" s="360" t="s">
        <v>199</v>
      </c>
      <c r="K31" s="360" t="s">
        <v>199</v>
      </c>
      <c r="L31" s="360" t="s">
        <v>199</v>
      </c>
      <c r="M31" s="360" t="s">
        <v>199</v>
      </c>
      <c r="N31" s="360" t="s">
        <v>199</v>
      </c>
      <c r="O31" s="360" t="s">
        <v>199</v>
      </c>
    </row>
    <row r="32" spans="1:31">
      <c r="A32" s="365"/>
      <c r="B32" s="366"/>
      <c r="C32" s="366"/>
      <c r="D32" s="366"/>
      <c r="E32" s="366"/>
      <c r="F32" s="366"/>
      <c r="G32" s="366"/>
      <c r="H32" s="366"/>
      <c r="I32" s="366"/>
      <c r="J32" s="366"/>
      <c r="K32" s="366"/>
      <c r="L32" s="366"/>
      <c r="M32" s="366"/>
      <c r="N32" s="366"/>
      <c r="O32" s="366"/>
      <c r="P32" s="366"/>
      <c r="Q32" s="366"/>
      <c r="R32" s="367"/>
      <c r="S32" s="368"/>
      <c r="T32" s="368"/>
      <c r="U32" s="368"/>
      <c r="V32" s="368"/>
      <c r="W32" s="368"/>
      <c r="X32" s="368"/>
      <c r="Y32" s="368"/>
      <c r="Z32" s="368"/>
      <c r="AA32" s="368"/>
      <c r="AB32" s="368"/>
      <c r="AC32" s="369"/>
      <c r="AD32" s="370" t="s">
        <v>2088</v>
      </c>
      <c r="AE32" s="371" t="s">
        <v>2089</v>
      </c>
    </row>
    <row r="33" spans="1:2">
      <c r="A33" s="372" t="s">
        <v>2090</v>
      </c>
      <c r="B33" s="373"/>
    </row>
  </sheetData>
  <mergeCells count="12">
    <mergeCell ref="A5:D5"/>
    <mergeCell ref="D10:O10"/>
    <mergeCell ref="A32:P32"/>
    <mergeCell ref="A10:A11"/>
    <mergeCell ref="A12:A15"/>
    <mergeCell ref="A16:A19"/>
    <mergeCell ref="A20:A23"/>
    <mergeCell ref="A24:A27"/>
    <mergeCell ref="A28:A31"/>
    <mergeCell ref="B10:B11"/>
    <mergeCell ref="C10:C11"/>
    <mergeCell ref="A1:D4"/>
  </mergeCells>
  <hyperlinks>
    <hyperlink ref="A1" location="目录!A1" display="← 返回目录"/>
  </hyperlinks>
  <pageMargins left="0.7" right="0.7" top="0.75" bottom="0.75" header="0.3" footer="0.3"/>
  <pageSetup paperSize="1" orientation="portrait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8">
    <tabColor theme="8" tint="0.399975585192419"/>
  </sheetPr>
  <dimension ref="A1:AH23"/>
  <sheetViews>
    <sheetView showGridLines="0" workbookViewId="0">
      <selection activeCell="A1" sqref="A1:D4"/>
    </sheetView>
  </sheetViews>
  <sheetFormatPr defaultColWidth="9" defaultRowHeight="16.5"/>
  <cols>
    <col min="1" max="1" width="8.36666666666667" style="324" customWidth="1"/>
    <col min="2" max="2" width="8.26666666666667" style="324" customWidth="1"/>
    <col min="3" max="3" width="3.725" style="324" customWidth="1"/>
    <col min="4" max="4" width="21.6333333333333" style="324" customWidth="1"/>
    <col min="5" max="6" width="10.0916666666667" style="324" customWidth="1"/>
    <col min="7" max="8" width="6.09166666666667" style="324" customWidth="1"/>
    <col min="9" max="9" width="8.54166666666667" style="324" customWidth="1"/>
    <col min="10" max="14" width="9" style="324" customWidth="1"/>
    <col min="15" max="16" width="10.6333333333333" style="324" customWidth="1"/>
    <col min="17" max="20" width="9" style="324" customWidth="1"/>
    <col min="21" max="21" width="11.5416666666667" style="324" customWidth="1"/>
    <col min="22" max="33" width="9.09166666666667" style="324" customWidth="1"/>
    <col min="34" max="34" width="11.9083333333333" style="324" customWidth="1"/>
    <col min="35" max="16384" width="9" style="324"/>
  </cols>
  <sheetData>
    <row r="1" s="159" customFormat="1" ht="11.25" spans="1:34">
      <c r="A1" s="202" t="s">
        <v>185</v>
      </c>
      <c r="B1" s="291"/>
      <c r="C1" s="291"/>
      <c r="D1" s="291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8"/>
      <c r="Q1" s="70"/>
    </row>
    <row r="2" s="159" customFormat="1" ht="11.25" spans="1:34">
      <c r="A2" s="291"/>
      <c r="B2" s="291"/>
      <c r="C2" s="291"/>
      <c r="D2" s="291"/>
      <c r="E2" s="12"/>
      <c r="F2" s="13" t="s">
        <v>1659</v>
      </c>
      <c r="G2" s="13"/>
      <c r="H2" s="13"/>
      <c r="I2" s="13"/>
      <c r="J2" s="13"/>
      <c r="K2" s="13"/>
      <c r="L2" s="13"/>
      <c r="M2" s="14"/>
      <c r="N2" s="14"/>
      <c r="O2" s="14"/>
      <c r="P2" s="14"/>
      <c r="Q2" s="71"/>
    </row>
    <row r="3" s="159" customFormat="1" ht="11.25" spans="1:34">
      <c r="A3" s="291"/>
      <c r="B3" s="291"/>
      <c r="C3" s="291"/>
      <c r="D3" s="291"/>
      <c r="E3" s="12"/>
      <c r="F3" s="13" t="s">
        <v>1660</v>
      </c>
      <c r="G3" s="13"/>
      <c r="H3" s="13"/>
      <c r="I3" s="13"/>
      <c r="J3" s="13"/>
      <c r="K3" s="13"/>
      <c r="L3" s="13"/>
      <c r="M3" s="15"/>
      <c r="N3" s="15"/>
      <c r="O3" s="15"/>
      <c r="P3" s="14"/>
      <c r="Q3" s="71"/>
    </row>
    <row r="4" s="159" customFormat="1" ht="11.25" spans="1:34">
      <c r="A4" s="291"/>
      <c r="B4" s="291"/>
      <c r="C4" s="291"/>
      <c r="D4" s="291"/>
      <c r="E4" s="12"/>
      <c r="F4" s="13"/>
      <c r="G4" s="13"/>
      <c r="H4" s="13"/>
      <c r="I4" s="13"/>
      <c r="J4" s="13"/>
      <c r="K4" s="13"/>
      <c r="L4" s="13"/>
      <c r="M4" s="15"/>
      <c r="N4" s="15"/>
      <c r="O4" s="15"/>
      <c r="P4" s="14"/>
      <c r="Q4" s="71"/>
    </row>
    <row r="5" s="159" customFormat="1" ht="11.25" spans="1:34">
      <c r="A5" s="292" t="s">
        <v>1993</v>
      </c>
      <c r="B5" s="292"/>
      <c r="C5" s="292"/>
      <c r="D5" s="292"/>
      <c r="E5" s="26" t="s">
        <v>1567</v>
      </c>
      <c r="F5" s="27"/>
      <c r="G5" s="27"/>
      <c r="H5" s="28"/>
      <c r="I5" s="28"/>
      <c r="J5" s="28"/>
      <c r="K5" s="28"/>
      <c r="L5" s="28"/>
      <c r="M5" s="29"/>
      <c r="N5" s="29"/>
      <c r="O5" s="29"/>
      <c r="P5" s="30"/>
      <c r="Q5" s="325"/>
    </row>
    <row r="6" s="159" customFormat="1" ht="13.5" spans="1:34">
      <c r="A6" s="1"/>
      <c r="B6" s="1"/>
      <c r="C6" s="1"/>
      <c r="D6" s="1"/>
      <c r="E6"/>
      <c r="F6"/>
      <c r="G6" s="32"/>
      <c r="H6" s="1"/>
      <c r="I6" s="1"/>
      <c r="J6" s="1"/>
      <c r="K6" s="1"/>
      <c r="L6" s="1"/>
      <c r="M6" s="1"/>
      <c r="N6" s="1"/>
      <c r="O6" s="1"/>
      <c r="P6" s="1"/>
      <c r="Q6" s="1"/>
    </row>
    <row r="7" s="159" customFormat="1" ht="13.5" spans="1:34">
      <c r="A7" s="36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 s="1"/>
      <c r="P7"/>
      <c r="Q7"/>
    </row>
    <row r="8" s="159" customFormat="1" ht="11.25"/>
    <row r="9" spans="1:34">
      <c r="A9" s="326" t="s">
        <v>2091</v>
      </c>
      <c r="B9" s="327"/>
      <c r="C9" s="327"/>
      <c r="D9" s="327"/>
      <c r="E9" s="327"/>
      <c r="F9" s="327"/>
      <c r="G9" s="327"/>
      <c r="H9" s="327"/>
      <c r="I9" s="328"/>
      <c r="K9" s="328"/>
    </row>
    <row r="10" spans="1:34">
      <c r="A10" s="329" t="s">
        <v>187</v>
      </c>
      <c r="B10" s="329" t="s">
        <v>188</v>
      </c>
      <c r="C10" s="330" t="s">
        <v>0</v>
      </c>
      <c r="D10" s="331" t="s">
        <v>221</v>
      </c>
      <c r="E10" s="332" t="s">
        <v>1458</v>
      </c>
      <c r="F10" s="332" t="s">
        <v>1459</v>
      </c>
      <c r="G10" s="332" t="s">
        <v>222</v>
      </c>
      <c r="H10" s="332" t="s">
        <v>223</v>
      </c>
      <c r="I10" s="333" t="s">
        <v>2092</v>
      </c>
      <c r="J10" s="333"/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  <c r="V10" s="334" t="s">
        <v>2093</v>
      </c>
      <c r="W10" s="334"/>
      <c r="X10" s="334"/>
      <c r="Y10" s="334"/>
      <c r="Z10" s="334"/>
      <c r="AA10" s="334"/>
      <c r="AB10" s="334"/>
      <c r="AC10" s="334"/>
      <c r="AD10" s="334"/>
      <c r="AE10" s="334"/>
      <c r="AF10" s="334"/>
      <c r="AG10" s="334"/>
      <c r="AH10" s="334"/>
    </row>
    <row r="11" spans="1:34">
      <c r="A11" s="335"/>
      <c r="B11" s="335"/>
      <c r="C11" s="336"/>
      <c r="D11" s="337"/>
      <c r="E11" s="338"/>
      <c r="F11" s="338"/>
      <c r="G11" s="338"/>
      <c r="H11" s="338"/>
      <c r="I11" s="339">
        <v>1</v>
      </c>
      <c r="J11" s="339">
        <v>2</v>
      </c>
      <c r="K11" s="339">
        <v>3</v>
      </c>
      <c r="L11" s="339">
        <v>4</v>
      </c>
      <c r="M11" s="339">
        <v>5</v>
      </c>
      <c r="N11" s="339">
        <v>6</v>
      </c>
      <c r="O11" s="339">
        <v>7</v>
      </c>
      <c r="P11" s="339">
        <v>8</v>
      </c>
      <c r="Q11" s="339">
        <v>9</v>
      </c>
      <c r="R11" s="339">
        <v>10</v>
      </c>
      <c r="S11" s="339">
        <v>11</v>
      </c>
      <c r="T11" s="339">
        <v>12</v>
      </c>
      <c r="U11" s="340" t="s">
        <v>281</v>
      </c>
      <c r="V11" s="339">
        <v>1</v>
      </c>
      <c r="W11" s="339">
        <v>2</v>
      </c>
      <c r="X11" s="339">
        <v>3</v>
      </c>
      <c r="Y11" s="339">
        <v>4</v>
      </c>
      <c r="Z11" s="339">
        <v>5</v>
      </c>
      <c r="AA11" s="339">
        <v>6</v>
      </c>
      <c r="AB11" s="339">
        <v>7</v>
      </c>
      <c r="AC11" s="339">
        <v>8</v>
      </c>
      <c r="AD11" s="339">
        <v>9</v>
      </c>
      <c r="AE11" s="339">
        <v>10</v>
      </c>
      <c r="AF11" s="339">
        <v>11</v>
      </c>
      <c r="AG11" s="339">
        <v>12</v>
      </c>
      <c r="AH11" s="341" t="s">
        <v>281</v>
      </c>
    </row>
    <row r="12" s="323" customFormat="1" spans="1:34">
      <c r="A12" s="342" t="s">
        <v>196</v>
      </c>
      <c r="B12" s="342" t="s">
        <v>197</v>
      </c>
      <c r="C12" s="343">
        <v>1</v>
      </c>
      <c r="D12" s="344" t="s">
        <v>267</v>
      </c>
      <c r="E12" s="344"/>
      <c r="F12" s="344"/>
      <c r="G12" s="344"/>
      <c r="H12" s="344"/>
      <c r="I12" s="345">
        <v>409833.394652428</v>
      </c>
      <c r="J12" s="345">
        <v>341472.42834426</v>
      </c>
      <c r="K12" s="345">
        <v>493572.671223262</v>
      </c>
      <c r="L12" s="345">
        <v>457700.551999481</v>
      </c>
      <c r="M12" s="345">
        <v>540002.705839249</v>
      </c>
      <c r="N12" s="345">
        <v>736772.233728617</v>
      </c>
      <c r="O12" s="345">
        <v>759619.194031821</v>
      </c>
      <c r="P12" s="345">
        <v>787804.352204775</v>
      </c>
      <c r="Q12" s="345">
        <v>714404.680015852</v>
      </c>
      <c r="R12" s="345">
        <v>622270.851431182</v>
      </c>
      <c r="S12" s="345">
        <v>543740.321980275</v>
      </c>
      <c r="T12" s="345">
        <v>550130.955607402</v>
      </c>
      <c r="U12" s="345">
        <f t="shared" ref="U12:U20" si="0">SUM(I12:T12)</f>
        <v>6957324.3410586</v>
      </c>
      <c r="V12" s="345">
        <v>-138980.070855625</v>
      </c>
      <c r="W12" s="345">
        <v>-93904.6559188526</v>
      </c>
      <c r="X12" s="345">
        <v>331741.609947301</v>
      </c>
      <c r="Y12" s="345">
        <v>369127.045503018</v>
      </c>
      <c r="Z12" s="345">
        <v>552149.692627044</v>
      </c>
      <c r="AA12" s="345">
        <v>297757.146396396</v>
      </c>
      <c r="AB12" s="345">
        <v>309238.92124966</v>
      </c>
      <c r="AC12" s="345">
        <v>412272.158221356</v>
      </c>
      <c r="AD12" s="345">
        <v>573499.729605049</v>
      </c>
      <c r="AE12" s="345">
        <v>508306.738117315</v>
      </c>
      <c r="AF12" s="345">
        <v>253445.445493573</v>
      </c>
      <c r="AG12" s="345">
        <v>382985.89717651</v>
      </c>
      <c r="AH12" s="345">
        <f t="shared" ref="AH12:AH20" si="1">SUM(V12:AG12)</f>
        <v>3757639.65756274</v>
      </c>
    </row>
    <row r="13" s="323" customFormat="1" spans="1:34">
      <c r="A13" s="342" t="s">
        <v>196</v>
      </c>
      <c r="B13" s="342" t="s">
        <v>197</v>
      </c>
      <c r="C13" s="343">
        <v>2</v>
      </c>
      <c r="D13" s="344" t="s">
        <v>269</v>
      </c>
      <c r="E13" s="344"/>
      <c r="F13" s="344"/>
      <c r="G13" s="344"/>
      <c r="H13" s="344"/>
      <c r="I13" s="345"/>
      <c r="J13" s="345"/>
      <c r="K13" s="345"/>
      <c r="L13" s="345"/>
      <c r="M13" s="345"/>
      <c r="N13" s="345"/>
      <c r="O13" s="345"/>
      <c r="P13" s="345"/>
      <c r="Q13" s="345"/>
      <c r="R13" s="345"/>
      <c r="S13" s="345"/>
      <c r="T13" s="345"/>
      <c r="U13" s="345">
        <f t="shared" si="0"/>
        <v>0</v>
      </c>
      <c r="V13" s="345">
        <v>666666.67</v>
      </c>
      <c r="W13" s="345">
        <v>666666.67</v>
      </c>
      <c r="X13" s="345">
        <v>666666.67</v>
      </c>
      <c r="Y13" s="345">
        <v>666666.67</v>
      </c>
      <c r="Z13" s="345">
        <v>666666.67</v>
      </c>
      <c r="AA13" s="345">
        <v>666666.67</v>
      </c>
      <c r="AB13" s="345">
        <v>666666.67</v>
      </c>
      <c r="AC13" s="345">
        <v>0</v>
      </c>
      <c r="AD13" s="345">
        <v>0</v>
      </c>
      <c r="AE13" s="345">
        <v>0</v>
      </c>
      <c r="AF13" s="345">
        <v>0</v>
      </c>
      <c r="AG13" s="345">
        <v>0</v>
      </c>
      <c r="AH13" s="345">
        <f t="shared" si="1"/>
        <v>4666666.69</v>
      </c>
    </row>
    <row r="14" s="323" customFormat="1" spans="1:34">
      <c r="A14" s="342" t="s">
        <v>196</v>
      </c>
      <c r="B14" s="342" t="s">
        <v>197</v>
      </c>
      <c r="C14" s="343">
        <v>3</v>
      </c>
      <c r="D14" s="344" t="s">
        <v>270</v>
      </c>
      <c r="E14" s="344"/>
      <c r="F14" s="344"/>
      <c r="G14" s="344"/>
      <c r="H14" s="344"/>
      <c r="I14" s="345">
        <v>-420732.8</v>
      </c>
      <c r="J14" s="345">
        <v>17820.0464</v>
      </c>
      <c r="K14" s="345">
        <v>25000</v>
      </c>
      <c r="L14" s="345">
        <v>-81640</v>
      </c>
      <c r="M14" s="345">
        <v>-291440</v>
      </c>
      <c r="N14" s="345">
        <v>51940</v>
      </c>
      <c r="O14" s="345">
        <v>-85080</v>
      </c>
      <c r="P14" s="345">
        <v>43500</v>
      </c>
      <c r="Q14" s="345">
        <v>59000</v>
      </c>
      <c r="R14" s="345">
        <v>78600</v>
      </c>
      <c r="S14" s="345">
        <v>-3000</v>
      </c>
      <c r="T14" s="345">
        <v>77480.4</v>
      </c>
      <c r="U14" s="345">
        <f t="shared" si="0"/>
        <v>-528552.3536</v>
      </c>
      <c r="V14" s="345">
        <v>-44269.11</v>
      </c>
      <c r="W14" s="345">
        <v>-140038.21</v>
      </c>
      <c r="X14" s="345">
        <v>-155293.05</v>
      </c>
      <c r="Y14" s="345">
        <v>-134076.34</v>
      </c>
      <c r="Z14" s="345">
        <v>-44415.57</v>
      </c>
      <c r="AA14" s="345">
        <v>94290.91</v>
      </c>
      <c r="AB14" s="345">
        <v>133464.53</v>
      </c>
      <c r="AC14" s="345">
        <v>113435.82</v>
      </c>
      <c r="AD14" s="345">
        <v>169682.73</v>
      </c>
      <c r="AE14" s="345">
        <v>196562.31</v>
      </c>
      <c r="AF14" s="345">
        <v>124218.03</v>
      </c>
      <c r="AG14" s="345">
        <v>142558.51</v>
      </c>
      <c r="AH14" s="345">
        <f t="shared" si="1"/>
        <v>456120.56</v>
      </c>
    </row>
    <row r="15" s="323" customFormat="1" spans="1:34">
      <c r="A15" s="342" t="s">
        <v>196</v>
      </c>
      <c r="B15" s="342" t="s">
        <v>197</v>
      </c>
      <c r="C15" s="343">
        <v>4</v>
      </c>
      <c r="D15" s="344" t="s">
        <v>271</v>
      </c>
      <c r="E15" s="344"/>
      <c r="F15" s="344"/>
      <c r="G15" s="344"/>
      <c r="H15" s="344"/>
      <c r="I15" s="345">
        <v>0</v>
      </c>
      <c r="J15" s="345">
        <v>0</v>
      </c>
      <c r="K15" s="345">
        <v>0</v>
      </c>
      <c r="L15" s="345">
        <v>0</v>
      </c>
      <c r="M15" s="345">
        <v>0</v>
      </c>
      <c r="N15" s="345">
        <v>0</v>
      </c>
      <c r="O15" s="345">
        <v>0</v>
      </c>
      <c r="P15" s="345">
        <v>0</v>
      </c>
      <c r="Q15" s="345">
        <v>0</v>
      </c>
      <c r="R15" s="345">
        <v>0</v>
      </c>
      <c r="S15" s="345">
        <v>0</v>
      </c>
      <c r="T15" s="345">
        <v>0</v>
      </c>
      <c r="U15" s="345">
        <f t="shared" si="0"/>
        <v>0</v>
      </c>
      <c r="V15" s="345">
        <v>0</v>
      </c>
      <c r="W15" s="345">
        <v>0</v>
      </c>
      <c r="X15" s="345">
        <v>0</v>
      </c>
      <c r="Y15" s="345">
        <v>0</v>
      </c>
      <c r="Z15" s="345">
        <v>0</v>
      </c>
      <c r="AA15" s="345">
        <v>0</v>
      </c>
      <c r="AB15" s="345">
        <v>0</v>
      </c>
      <c r="AC15" s="345">
        <v>0</v>
      </c>
      <c r="AD15" s="345">
        <v>0</v>
      </c>
      <c r="AE15" s="345">
        <v>0</v>
      </c>
      <c r="AF15" s="345">
        <v>0</v>
      </c>
      <c r="AG15" s="345">
        <v>0</v>
      </c>
      <c r="AH15" s="345">
        <f t="shared" si="1"/>
        <v>0</v>
      </c>
    </row>
    <row r="16" s="323" customFormat="1" spans="1:34">
      <c r="A16" s="342" t="s">
        <v>196</v>
      </c>
      <c r="B16" s="342" t="s">
        <v>197</v>
      </c>
      <c r="C16" s="343">
        <v>5</v>
      </c>
      <c r="D16" s="346" t="s">
        <v>2007</v>
      </c>
      <c r="E16" s="346"/>
      <c r="F16" s="346"/>
      <c r="G16" s="346"/>
      <c r="H16" s="346"/>
      <c r="I16" s="345">
        <v>130410.27459344</v>
      </c>
      <c r="J16" s="345">
        <v>133801.016465648</v>
      </c>
      <c r="K16" s="345">
        <v>248115.721164132</v>
      </c>
      <c r="L16" s="345">
        <v>361673.502983482</v>
      </c>
      <c r="M16" s="345">
        <v>451353.71977627</v>
      </c>
      <c r="N16" s="345">
        <v>488805.913623338</v>
      </c>
      <c r="O16" s="345">
        <v>531020.259307781</v>
      </c>
      <c r="P16" s="345">
        <v>545863.016228112</v>
      </c>
      <c r="Q16" s="345">
        <v>553046.173439272</v>
      </c>
      <c r="R16" s="345">
        <v>420940.402120957</v>
      </c>
      <c r="S16" s="345">
        <v>306322.070482914</v>
      </c>
      <c r="T16" s="345">
        <v>189819.651558836</v>
      </c>
      <c r="U16" s="345">
        <f t="shared" si="0"/>
        <v>4361171.72174418</v>
      </c>
      <c r="V16" s="345">
        <v>131917.21</v>
      </c>
      <c r="W16" s="345">
        <v>126942.211117197</v>
      </c>
      <c r="X16" s="345">
        <v>238813.812354562</v>
      </c>
      <c r="Y16" s="345">
        <v>368400.152358734</v>
      </c>
      <c r="Z16" s="345">
        <v>494474.232243076</v>
      </c>
      <c r="AA16" s="345">
        <v>550155.0961166</v>
      </c>
      <c r="AB16" s="345">
        <v>542403.542169421</v>
      </c>
      <c r="AC16" s="345">
        <v>552317.13600195</v>
      </c>
      <c r="AD16" s="345">
        <v>543120.622032411</v>
      </c>
      <c r="AE16" s="345">
        <v>469672.807602</v>
      </c>
      <c r="AF16" s="345">
        <v>275988.829659511</v>
      </c>
      <c r="AG16" s="345">
        <v>108476.097047414</v>
      </c>
      <c r="AH16" s="345">
        <f t="shared" si="1"/>
        <v>4402681.74870288</v>
      </c>
    </row>
    <row r="17" s="323" customFormat="1" spans="1:34">
      <c r="A17" s="342" t="s">
        <v>196</v>
      </c>
      <c r="B17" s="342" t="s">
        <v>197</v>
      </c>
      <c r="C17" s="343">
        <v>6</v>
      </c>
      <c r="D17" s="346" t="s">
        <v>2008</v>
      </c>
      <c r="E17" s="346"/>
      <c r="F17" s="346"/>
      <c r="G17" s="346"/>
      <c r="H17" s="346"/>
      <c r="I17" s="345">
        <v>0</v>
      </c>
      <c r="J17" s="345">
        <v>0</v>
      </c>
      <c r="K17" s="345">
        <v>0</v>
      </c>
      <c r="L17" s="345">
        <v>0</v>
      </c>
      <c r="M17" s="345">
        <v>0</v>
      </c>
      <c r="N17" s="345">
        <v>0</v>
      </c>
      <c r="O17" s="345">
        <v>0</v>
      </c>
      <c r="P17" s="345">
        <v>0</v>
      </c>
      <c r="Q17" s="345">
        <v>0</v>
      </c>
      <c r="R17" s="345">
        <v>0</v>
      </c>
      <c r="S17" s="345">
        <v>0</v>
      </c>
      <c r="T17" s="345">
        <v>0</v>
      </c>
      <c r="U17" s="345">
        <f t="shared" si="0"/>
        <v>0</v>
      </c>
      <c r="V17" s="345"/>
      <c r="W17" s="345"/>
      <c r="X17" s="345"/>
      <c r="Y17" s="345"/>
      <c r="Z17" s="345"/>
      <c r="AA17" s="345"/>
      <c r="AB17" s="345"/>
      <c r="AC17" s="345"/>
      <c r="AD17" s="345"/>
      <c r="AE17" s="345"/>
      <c r="AF17" s="345"/>
      <c r="AG17" s="345"/>
      <c r="AH17" s="345">
        <f t="shared" si="1"/>
        <v>0</v>
      </c>
    </row>
    <row r="18" s="323" customFormat="1" spans="1:34">
      <c r="A18" s="342" t="s">
        <v>196</v>
      </c>
      <c r="B18" s="342" t="s">
        <v>197</v>
      </c>
      <c r="C18" s="343">
        <v>7</v>
      </c>
      <c r="D18" s="346" t="s">
        <v>273</v>
      </c>
      <c r="E18" s="346"/>
      <c r="F18" s="346"/>
      <c r="G18" s="346"/>
      <c r="H18" s="346"/>
      <c r="I18" s="345"/>
      <c r="J18" s="345"/>
      <c r="K18" s="345"/>
      <c r="L18" s="345"/>
      <c r="M18" s="345"/>
      <c r="N18" s="345"/>
      <c r="O18" s="345"/>
      <c r="P18" s="345"/>
      <c r="Q18" s="345"/>
      <c r="R18" s="345"/>
      <c r="S18" s="345"/>
      <c r="T18" s="345"/>
      <c r="U18" s="345">
        <f t="shared" si="0"/>
        <v>0</v>
      </c>
      <c r="V18" s="345">
        <v>0</v>
      </c>
      <c r="W18" s="345">
        <v>0</v>
      </c>
      <c r="X18" s="345">
        <v>0</v>
      </c>
      <c r="Y18" s="345">
        <v>0</v>
      </c>
      <c r="Z18" s="345">
        <v>0</v>
      </c>
      <c r="AA18" s="345">
        <v>0</v>
      </c>
      <c r="AB18" s="345">
        <v>0</v>
      </c>
      <c r="AC18" s="345">
        <v>0</v>
      </c>
      <c r="AD18" s="345">
        <v>0</v>
      </c>
      <c r="AE18" s="345">
        <v>0</v>
      </c>
      <c r="AF18" s="345">
        <v>0</v>
      </c>
      <c r="AG18" s="345">
        <v>0</v>
      </c>
      <c r="AH18" s="345">
        <f t="shared" si="1"/>
        <v>0</v>
      </c>
    </row>
    <row r="19" s="323" customFormat="1" spans="1:34">
      <c r="A19" s="342" t="s">
        <v>196</v>
      </c>
      <c r="B19" s="342" t="s">
        <v>197</v>
      </c>
      <c r="C19" s="343">
        <v>8</v>
      </c>
      <c r="D19" s="346" t="s">
        <v>274</v>
      </c>
      <c r="E19" s="346"/>
      <c r="F19" s="346"/>
      <c r="G19" s="346"/>
      <c r="H19" s="346"/>
      <c r="I19" s="345"/>
      <c r="J19" s="345"/>
      <c r="K19" s="345"/>
      <c r="L19" s="345"/>
      <c r="M19" s="345"/>
      <c r="N19" s="345"/>
      <c r="O19" s="345"/>
      <c r="P19" s="345"/>
      <c r="Q19" s="345"/>
      <c r="R19" s="345"/>
      <c r="S19" s="345"/>
      <c r="T19" s="345"/>
      <c r="U19" s="345">
        <f t="shared" si="0"/>
        <v>0</v>
      </c>
      <c r="V19" s="345">
        <v>0</v>
      </c>
      <c r="W19" s="345">
        <v>0</v>
      </c>
      <c r="X19" s="345">
        <v>0</v>
      </c>
      <c r="Y19" s="345">
        <v>0</v>
      </c>
      <c r="Z19" s="345">
        <v>0</v>
      </c>
      <c r="AA19" s="345">
        <v>0</v>
      </c>
      <c r="AB19" s="345">
        <v>0</v>
      </c>
      <c r="AC19" s="345">
        <v>0</v>
      </c>
      <c r="AD19" s="345">
        <v>0</v>
      </c>
      <c r="AE19" s="345">
        <v>0</v>
      </c>
      <c r="AF19" s="345">
        <v>0</v>
      </c>
      <c r="AG19" s="345">
        <v>0</v>
      </c>
      <c r="AH19" s="345">
        <f t="shared" si="1"/>
        <v>0</v>
      </c>
    </row>
    <row r="20" s="323" customFormat="1" spans="1:34">
      <c r="A20" s="342" t="s">
        <v>196</v>
      </c>
      <c r="B20" s="342" t="s">
        <v>197</v>
      </c>
      <c r="C20" s="343">
        <v>9</v>
      </c>
      <c r="D20" s="344" t="s">
        <v>2094</v>
      </c>
      <c r="E20" s="344"/>
      <c r="F20" s="344"/>
      <c r="G20" s="344"/>
      <c r="H20" s="344"/>
      <c r="I20" s="345">
        <v>-4200</v>
      </c>
      <c r="J20" s="345">
        <v>8175.38</v>
      </c>
      <c r="K20" s="345">
        <v>-13552.05</v>
      </c>
      <c r="L20" s="345">
        <v>-277842.94</v>
      </c>
      <c r="M20" s="345">
        <v>-166770.53</v>
      </c>
      <c r="N20" s="345">
        <v>630410.9</v>
      </c>
      <c r="O20" s="345">
        <v>-78929.64</v>
      </c>
      <c r="P20" s="345">
        <v>-84087.43</v>
      </c>
      <c r="Q20" s="345">
        <v>-96197.31</v>
      </c>
      <c r="R20" s="345">
        <v>-92253.6</v>
      </c>
      <c r="S20" s="345">
        <v>-143153.55</v>
      </c>
      <c r="T20" s="345">
        <v>-143153.55</v>
      </c>
      <c r="U20" s="345">
        <f t="shared" si="0"/>
        <v>-461554.32</v>
      </c>
      <c r="V20" s="345">
        <v>-4200</v>
      </c>
      <c r="W20" s="345">
        <v>8175.38</v>
      </c>
      <c r="X20" s="345">
        <v>-13552.05</v>
      </c>
      <c r="Y20" s="345">
        <v>-277842.94</v>
      </c>
      <c r="Z20" s="345">
        <v>-166770.53</v>
      </c>
      <c r="AA20" s="345">
        <v>630410.9</v>
      </c>
      <c r="AB20" s="345">
        <v>-78929.64</v>
      </c>
      <c r="AC20" s="345">
        <v>-84087.43</v>
      </c>
      <c r="AD20" s="345">
        <v>-96197.31</v>
      </c>
      <c r="AE20" s="345">
        <v>-92253.6</v>
      </c>
      <c r="AF20" s="345">
        <v>-143153.55</v>
      </c>
      <c r="AG20" s="345">
        <v>-151476.89</v>
      </c>
      <c r="AH20" s="345">
        <f t="shared" si="1"/>
        <v>-469877.66</v>
      </c>
    </row>
    <row r="21" s="323" customFormat="1" ht="17.25" spans="1:34">
      <c r="A21" s="342" t="s">
        <v>196</v>
      </c>
      <c r="B21" s="342" t="s">
        <v>197</v>
      </c>
      <c r="C21" s="343"/>
      <c r="D21" s="347" t="s">
        <v>276</v>
      </c>
      <c r="E21" s="347"/>
      <c r="F21" s="347"/>
      <c r="G21" s="347"/>
      <c r="H21" s="347"/>
      <c r="I21" s="348">
        <f t="shared" ref="I21:AH21" si="2">SUM(I12:I20)</f>
        <v>115310.869245868</v>
      </c>
      <c r="J21" s="348">
        <f t="shared" si="2"/>
        <v>501268.871209908</v>
      </c>
      <c r="K21" s="348">
        <f t="shared" si="2"/>
        <v>753136.342387394</v>
      </c>
      <c r="L21" s="348">
        <f t="shared" si="2"/>
        <v>459891.114982963</v>
      </c>
      <c r="M21" s="348">
        <f t="shared" si="2"/>
        <v>533145.895615519</v>
      </c>
      <c r="N21" s="348">
        <f t="shared" si="2"/>
        <v>1907929.04735195</v>
      </c>
      <c r="O21" s="348">
        <f t="shared" si="2"/>
        <v>1126629.8133396</v>
      </c>
      <c r="P21" s="348">
        <f t="shared" si="2"/>
        <v>1293079.93843289</v>
      </c>
      <c r="Q21" s="348">
        <f t="shared" si="2"/>
        <v>1230253.54345512</v>
      </c>
      <c r="R21" s="348">
        <f t="shared" si="2"/>
        <v>1029557.65355214</v>
      </c>
      <c r="S21" s="348">
        <f t="shared" si="2"/>
        <v>703908.842463189</v>
      </c>
      <c r="T21" s="348">
        <f t="shared" si="2"/>
        <v>674277.457166238</v>
      </c>
      <c r="U21" s="348">
        <f t="shared" si="2"/>
        <v>10328389.3892028</v>
      </c>
      <c r="V21" s="348">
        <f t="shared" si="2"/>
        <v>611134.699144375</v>
      </c>
      <c r="W21" s="348">
        <f t="shared" si="2"/>
        <v>567841.395198345</v>
      </c>
      <c r="X21" s="348">
        <f t="shared" si="2"/>
        <v>1068376.99230186</v>
      </c>
      <c r="Y21" s="348">
        <f t="shared" si="2"/>
        <v>992274.587861752</v>
      </c>
      <c r="Z21" s="348">
        <f t="shared" si="2"/>
        <v>1502104.49487012</v>
      </c>
      <c r="AA21" s="348">
        <f t="shared" si="2"/>
        <v>2239280.722513</v>
      </c>
      <c r="AB21" s="348">
        <f t="shared" si="2"/>
        <v>1572844.02341908</v>
      </c>
      <c r="AC21" s="348">
        <f t="shared" si="2"/>
        <v>993937.684223306</v>
      </c>
      <c r="AD21" s="348">
        <f t="shared" si="2"/>
        <v>1190105.77163746</v>
      </c>
      <c r="AE21" s="348">
        <f t="shared" si="2"/>
        <v>1082288.25571931</v>
      </c>
      <c r="AF21" s="348">
        <f t="shared" si="2"/>
        <v>510498.755153084</v>
      </c>
      <c r="AG21" s="348">
        <f t="shared" si="2"/>
        <v>482543.614223924</v>
      </c>
      <c r="AH21" s="348">
        <f t="shared" si="2"/>
        <v>12813230.9962656</v>
      </c>
    </row>
    <row r="22" spans="1:34">
      <c r="D22" s="349"/>
      <c r="E22" s="349"/>
      <c r="F22" s="349"/>
      <c r="G22" s="349"/>
      <c r="H22" s="349"/>
    </row>
    <row r="23" s="323" customFormat="1" spans="1:34">
      <c r="A23" s="350" t="s">
        <v>2095</v>
      </c>
      <c r="E23" s="350"/>
      <c r="F23" s="350"/>
      <c r="G23" s="350"/>
      <c r="H23" s="350"/>
    </row>
  </sheetData>
  <mergeCells count="13">
    <mergeCell ref="A5:D5"/>
    <mergeCell ref="A9:D9"/>
    <mergeCell ref="I10:U10"/>
    <mergeCell ref="V10:AH10"/>
    <mergeCell ref="A10:A11"/>
    <mergeCell ref="B10:B11"/>
    <mergeCell ref="C10:C11"/>
    <mergeCell ref="D10:D11"/>
    <mergeCell ref="E10:E11"/>
    <mergeCell ref="F10:F11"/>
    <mergeCell ref="G10:G11"/>
    <mergeCell ref="H10:H11"/>
    <mergeCell ref="A1:D4"/>
  </mergeCells>
  <hyperlinks>
    <hyperlink ref="A1" location="目录!A1" display="← 返回目录"/>
  </hyperlinks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0">
    <tabColor theme="8" tint="0.399975585192419"/>
  </sheetPr>
  <dimension ref="A1:S24"/>
  <sheetViews>
    <sheetView showGridLines="0" zoomScale="80" zoomScaleNormal="80" workbookViewId="0">
      <selection activeCell="A1" sqref="A1:D4"/>
    </sheetView>
  </sheetViews>
  <sheetFormatPr defaultColWidth="8.63333333333333" defaultRowHeight="15"/>
  <cols>
    <col min="1" max="1" width="12.0916666666667" style="288" customWidth="1"/>
    <col min="2" max="2" width="13.6333333333333" style="288" customWidth="1"/>
    <col min="3" max="3" width="16.8166666666667" style="288" customWidth="1"/>
    <col min="4" max="4" width="28.0916666666667" style="288" customWidth="1"/>
    <col min="5" max="5" width="28.5416666666667" style="288" customWidth="1"/>
    <col min="6" max="7" width="13.3666666666667" style="288" customWidth="1"/>
    <col min="8" max="8" width="13.3666666666667" style="289" customWidth="1"/>
    <col min="9" max="10" width="10.6333333333333" style="290"/>
    <col min="11" max="16384" width="8.63333333333333" style="290"/>
  </cols>
  <sheetData>
    <row r="1" s="159" customFormat="1" ht="11.25" spans="1:19">
      <c r="A1" s="202" t="s">
        <v>185</v>
      </c>
      <c r="B1" s="291"/>
      <c r="C1" s="291"/>
      <c r="D1" s="291"/>
      <c r="E1" s="7" t="s">
        <v>1404</v>
      </c>
      <c r="F1" s="8" t="s">
        <v>1405</v>
      </c>
      <c r="G1" s="8"/>
      <c r="H1" s="8"/>
    </row>
    <row r="2" s="159" customFormat="1" ht="11.25" spans="1:19">
      <c r="A2" s="291"/>
      <c r="B2" s="291"/>
      <c r="C2" s="291"/>
      <c r="D2" s="291"/>
      <c r="E2" s="12"/>
      <c r="F2" s="13" t="s">
        <v>1659</v>
      </c>
      <c r="G2" s="13"/>
      <c r="H2" s="13"/>
    </row>
    <row r="3" s="159" customFormat="1" ht="11.25" spans="1:19">
      <c r="A3" s="291"/>
      <c r="B3" s="291"/>
      <c r="C3" s="291"/>
      <c r="D3" s="291"/>
      <c r="E3" s="12"/>
      <c r="F3" s="13" t="s">
        <v>1660</v>
      </c>
      <c r="G3" s="13"/>
      <c r="H3" s="13"/>
    </row>
    <row r="4" s="159" customFormat="1" ht="11.25" spans="1:19">
      <c r="A4" s="291"/>
      <c r="B4" s="291"/>
      <c r="C4" s="291"/>
      <c r="D4" s="291"/>
      <c r="E4" s="12"/>
      <c r="F4" s="13"/>
      <c r="G4" s="13"/>
      <c r="H4" s="13"/>
    </row>
    <row r="5" s="159" customFormat="1" ht="11.25" spans="1:19">
      <c r="A5" s="292" t="s">
        <v>1993</v>
      </c>
      <c r="B5" s="292"/>
      <c r="C5" s="292"/>
      <c r="D5" s="292"/>
      <c r="E5" s="26" t="s">
        <v>1567</v>
      </c>
      <c r="F5" s="27"/>
      <c r="G5" s="27"/>
      <c r="H5" s="28"/>
    </row>
    <row r="6" s="159" customFormat="1" ht="13.5" spans="1:19">
      <c r="A6" s="1"/>
      <c r="B6" s="1"/>
      <c r="C6" s="1"/>
      <c r="D6" s="1"/>
      <c r="E6"/>
      <c r="F6"/>
      <c r="G6" s="32"/>
      <c r="H6" s="1"/>
    </row>
    <row r="7" s="159" customFormat="1" ht="11.25" spans="1:19">
      <c r="A7" s="36" t="s">
        <v>1411</v>
      </c>
      <c r="B7" s="37" t="s">
        <v>1412</v>
      </c>
      <c r="C7" s="36" t="s">
        <v>187</v>
      </c>
      <c r="D7" s="37" t="s">
        <v>1413</v>
      </c>
      <c r="E7" s="36" t="s">
        <v>188</v>
      </c>
      <c r="F7" s="37" t="s">
        <v>1396</v>
      </c>
      <c r="G7" s="36" t="s">
        <v>5</v>
      </c>
      <c r="H7" s="37" t="s">
        <v>1413</v>
      </c>
      <c r="I7" s="36" t="s">
        <v>1364</v>
      </c>
      <c r="J7" s="37" t="s">
        <v>1396</v>
      </c>
      <c r="K7" s="36" t="s">
        <v>1414</v>
      </c>
      <c r="L7" s="38" t="s">
        <v>1359</v>
      </c>
    </row>
    <row r="8" spans="1:19">
      <c r="A8" s="293"/>
      <c r="B8" s="294"/>
      <c r="C8" s="295"/>
      <c r="D8" s="296"/>
      <c r="E8" s="297"/>
      <c r="F8" s="298"/>
      <c r="G8" s="299"/>
      <c r="H8" s="300"/>
    </row>
    <row r="9" ht="20.25" spans="1:19">
      <c r="A9" s="301" t="s">
        <v>2096</v>
      </c>
      <c r="B9" s="302"/>
      <c r="C9" s="303"/>
      <c r="D9" s="304"/>
      <c r="E9" s="305"/>
      <c r="G9" s="306"/>
      <c r="H9" s="307"/>
    </row>
    <row r="10" ht="13.5" spans="1:19">
      <c r="A10" s="308" t="s">
        <v>2097</v>
      </c>
      <c r="B10" s="309"/>
      <c r="C10" s="310"/>
      <c r="D10" s="304"/>
      <c r="E10" s="305"/>
      <c r="F10" s="311"/>
      <c r="G10" s="306"/>
      <c r="H10" s="307"/>
    </row>
    <row r="11" spans="1:19">
      <c r="A11" s="311" t="s">
        <v>2098</v>
      </c>
      <c r="B11" s="309"/>
      <c r="C11" s="312"/>
      <c r="D11" s="304"/>
      <c r="E11" s="305"/>
      <c r="G11" s="306"/>
      <c r="H11" s="307"/>
    </row>
    <row r="12" ht="13.5" spans="1:19">
      <c r="A12" s="313" t="s">
        <v>2099</v>
      </c>
      <c r="B12" s="309"/>
      <c r="C12" s="312"/>
      <c r="D12" s="304"/>
      <c r="E12" s="305"/>
      <c r="F12" s="305"/>
      <c r="G12" s="306"/>
      <c r="H12" s="307"/>
    </row>
    <row r="13" ht="13.5" spans="1:19">
      <c r="A13" s="314" t="s">
        <v>187</v>
      </c>
      <c r="B13" s="314" t="s">
        <v>188</v>
      </c>
      <c r="C13" s="314" t="s">
        <v>2100</v>
      </c>
      <c r="D13" s="314" t="s">
        <v>2101</v>
      </c>
      <c r="E13" s="314" t="s">
        <v>2102</v>
      </c>
      <c r="F13" s="314" t="s">
        <v>2103</v>
      </c>
      <c r="G13" s="314" t="s">
        <v>2104</v>
      </c>
      <c r="H13" s="315" t="s">
        <v>304</v>
      </c>
      <c r="I13" s="315" t="s">
        <v>305</v>
      </c>
      <c r="J13" s="315" t="s">
        <v>306</v>
      </c>
      <c r="K13" s="315" t="s">
        <v>307</v>
      </c>
      <c r="L13" s="315" t="s">
        <v>308</v>
      </c>
      <c r="M13" s="315" t="s">
        <v>309</v>
      </c>
      <c r="N13" s="315" t="s">
        <v>310</v>
      </c>
      <c r="O13" s="315" t="s">
        <v>311</v>
      </c>
      <c r="P13" s="315" t="s">
        <v>312</v>
      </c>
      <c r="Q13" s="315" t="s">
        <v>313</v>
      </c>
      <c r="R13" s="315" t="s">
        <v>314</v>
      </c>
      <c r="S13" s="315" t="s">
        <v>315</v>
      </c>
    </row>
    <row r="14" spans="1:19">
      <c r="A14" s="316" t="s">
        <v>326</v>
      </c>
      <c r="B14" s="316" t="s">
        <v>377</v>
      </c>
      <c r="C14" s="317" t="s">
        <v>382</v>
      </c>
      <c r="D14" s="318" t="s">
        <v>267</v>
      </c>
      <c r="E14" s="319" t="s">
        <v>178</v>
      </c>
      <c r="F14" s="320" t="s">
        <v>2043</v>
      </c>
      <c r="G14" s="316" t="s">
        <v>2105</v>
      </c>
      <c r="H14" s="321">
        <v>-40501.26</v>
      </c>
      <c r="I14" s="321">
        <v>-23249.67</v>
      </c>
      <c r="J14" s="321"/>
      <c r="K14" s="321"/>
      <c r="L14" s="321"/>
      <c r="M14" s="321"/>
      <c r="N14" s="321"/>
      <c r="O14" s="321"/>
      <c r="P14" s="321"/>
      <c r="Q14" s="321"/>
      <c r="R14" s="321"/>
      <c r="S14" s="321"/>
    </row>
    <row r="15" spans="1:19">
      <c r="A15" s="316"/>
      <c r="B15" s="316"/>
      <c r="C15" s="317"/>
      <c r="D15" s="318" t="s">
        <v>269</v>
      </c>
      <c r="E15" s="319"/>
      <c r="F15" s="320"/>
      <c r="G15" s="316"/>
      <c r="H15" s="321"/>
      <c r="I15" s="321"/>
      <c r="J15" s="321"/>
      <c r="K15" s="321"/>
      <c r="L15" s="321"/>
      <c r="M15" s="321"/>
      <c r="N15" s="321"/>
      <c r="O15" s="321"/>
      <c r="P15" s="321"/>
      <c r="Q15" s="321"/>
      <c r="R15" s="321"/>
      <c r="S15" s="321"/>
    </row>
    <row r="16" spans="1:19">
      <c r="A16" s="316"/>
      <c r="B16" s="316"/>
      <c r="C16" s="317"/>
      <c r="D16" s="318" t="s">
        <v>270</v>
      </c>
      <c r="E16" s="319"/>
      <c r="F16" s="320"/>
      <c r="G16" s="316"/>
      <c r="H16" s="321"/>
      <c r="I16" s="321"/>
      <c r="J16" s="321"/>
      <c r="K16" s="321"/>
      <c r="L16" s="321"/>
      <c r="M16" s="321"/>
      <c r="N16" s="321"/>
      <c r="O16" s="321"/>
      <c r="P16" s="321"/>
      <c r="Q16" s="321"/>
      <c r="R16" s="321"/>
      <c r="S16" s="321"/>
    </row>
    <row r="17" spans="1:19">
      <c r="A17" s="316"/>
      <c r="B17" s="316"/>
      <c r="C17" s="316"/>
      <c r="D17" s="318" t="s">
        <v>271</v>
      </c>
      <c r="E17" s="319"/>
      <c r="F17" s="320"/>
      <c r="G17" s="316"/>
      <c r="H17" s="321"/>
      <c r="I17" s="321"/>
      <c r="J17" s="321"/>
      <c r="K17" s="321"/>
      <c r="L17" s="321"/>
      <c r="M17" s="321"/>
      <c r="N17" s="321"/>
      <c r="O17" s="321"/>
      <c r="P17" s="321"/>
      <c r="Q17" s="321"/>
      <c r="R17" s="321"/>
      <c r="S17" s="321"/>
    </row>
    <row r="18" spans="1:19">
      <c r="A18" s="316"/>
      <c r="B18" s="316"/>
      <c r="C18" s="316"/>
      <c r="D18" s="318" t="s">
        <v>2007</v>
      </c>
      <c r="E18" s="319"/>
      <c r="F18" s="320"/>
      <c r="G18" s="316"/>
      <c r="H18" s="321"/>
      <c r="I18" s="321"/>
      <c r="J18" s="321"/>
      <c r="K18" s="321"/>
      <c r="L18" s="321"/>
      <c r="M18" s="321"/>
      <c r="N18" s="321"/>
      <c r="O18" s="321"/>
      <c r="P18" s="321"/>
      <c r="Q18" s="321"/>
      <c r="R18" s="321"/>
      <c r="S18" s="321"/>
    </row>
    <row r="19" spans="1:19">
      <c r="A19" s="316"/>
      <c r="B19" s="316"/>
      <c r="C19" s="316"/>
      <c r="D19" s="318" t="s">
        <v>2008</v>
      </c>
      <c r="E19" s="319"/>
      <c r="F19" s="320"/>
      <c r="G19" s="316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</row>
    <row r="20" spans="1:19">
      <c r="A20" s="316"/>
      <c r="B20" s="316"/>
      <c r="C20" s="316"/>
      <c r="D20" s="318" t="s">
        <v>273</v>
      </c>
      <c r="E20" s="319"/>
      <c r="F20" s="320"/>
      <c r="G20" s="316"/>
      <c r="H20" s="321"/>
      <c r="I20" s="321"/>
      <c r="J20" s="321"/>
      <c r="K20" s="321"/>
      <c r="L20" s="321"/>
      <c r="M20" s="321"/>
      <c r="N20" s="321"/>
      <c r="O20" s="321"/>
      <c r="P20" s="321"/>
      <c r="Q20" s="321"/>
      <c r="R20" s="321"/>
      <c r="S20" s="321"/>
    </row>
    <row r="21" spans="1:19">
      <c r="A21" s="318"/>
      <c r="B21" s="318"/>
      <c r="C21" s="318"/>
      <c r="D21" s="318" t="s">
        <v>274</v>
      </c>
      <c r="E21" s="318"/>
      <c r="F21" s="318"/>
      <c r="G21" s="318"/>
      <c r="H21" s="321"/>
      <c r="I21" s="321"/>
      <c r="J21" s="321"/>
      <c r="K21" s="321"/>
      <c r="L21" s="321"/>
      <c r="M21" s="321"/>
      <c r="N21" s="321"/>
      <c r="O21" s="321"/>
      <c r="P21" s="321"/>
      <c r="Q21" s="321"/>
      <c r="R21" s="321"/>
      <c r="S21" s="321"/>
    </row>
    <row r="22" spans="1:19">
      <c r="A22" s="318"/>
      <c r="B22" s="318"/>
      <c r="C22" s="318"/>
      <c r="D22" s="318" t="s">
        <v>2094</v>
      </c>
      <c r="E22" s="318"/>
      <c r="F22" s="318"/>
      <c r="G22" s="318"/>
      <c r="H22" s="321"/>
      <c r="I22" s="321"/>
      <c r="J22" s="321"/>
      <c r="K22" s="321"/>
      <c r="L22" s="321"/>
      <c r="M22" s="321"/>
      <c r="N22" s="321"/>
      <c r="O22" s="321"/>
      <c r="P22" s="321"/>
      <c r="Q22" s="321"/>
      <c r="R22" s="321"/>
      <c r="S22" s="321"/>
    </row>
    <row r="23" spans="1:19">
      <c r="A23" s="318"/>
      <c r="B23" s="318"/>
      <c r="C23" s="318"/>
      <c r="D23" s="318"/>
      <c r="E23" s="318"/>
      <c r="F23" s="318"/>
      <c r="G23" s="318"/>
      <c r="H23" s="321"/>
      <c r="I23" s="321"/>
      <c r="J23" s="321"/>
      <c r="K23" s="321"/>
      <c r="L23" s="321"/>
      <c r="M23" s="321"/>
      <c r="N23" s="321"/>
      <c r="O23" s="321"/>
      <c r="P23" s="321"/>
      <c r="Q23" s="321"/>
      <c r="R23" s="321"/>
      <c r="S23" s="321"/>
    </row>
    <row r="24" spans="1:19">
      <c r="A24" s="318"/>
      <c r="B24" s="318"/>
      <c r="C24" s="318"/>
      <c r="D24" s="322" t="s">
        <v>281</v>
      </c>
      <c r="E24" s="318"/>
      <c r="F24" s="318"/>
      <c r="G24" s="318"/>
      <c r="H24" s="321"/>
      <c r="I24" s="321"/>
      <c r="J24" s="321"/>
      <c r="K24" s="321"/>
      <c r="L24" s="321"/>
      <c r="M24" s="321"/>
      <c r="N24" s="321"/>
      <c r="O24" s="321"/>
      <c r="P24" s="321"/>
      <c r="Q24" s="321"/>
      <c r="R24" s="321"/>
      <c r="S24" s="321"/>
    </row>
  </sheetData>
  <sheetProtection autoFilter="0"/>
  <autoFilter xmlns:etc="http://www.wps.cn/officeDocument/2017/etCustomData" ref="A13:G24" etc:filterBottomFollowUsedRange="0">
    <extLst/>
  </autoFilter>
  <mergeCells count="2">
    <mergeCell ref="A5:D5"/>
    <mergeCell ref="A1:D4"/>
  </mergeCells>
  <dataValidations count="1">
    <dataValidation type="list" allowBlank="1" showInputMessage="1" showErrorMessage="1" sqref="E8 B14:F20">
      <formula1>#REF!</formula1>
    </dataValidation>
  </dataValidations>
  <hyperlinks>
    <hyperlink ref="A1" location="目录!A1" display="← 返回目录"/>
  </hyperlinks>
  <pageMargins left="0.75" right="0.75" top="1" bottom="1" header="0.5" footer="0.5"/>
  <pageSetup paperSize="9" orientation="portrait"/>
  <headerFooter/>
  <legacy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1">
    <tabColor theme="8" tint="0.399975585192419"/>
  </sheetPr>
  <dimension ref="A1:X54"/>
  <sheetViews>
    <sheetView showGridLines="0" workbookViewId="0">
      <selection activeCell="A1" sqref="A1:F4"/>
    </sheetView>
  </sheetViews>
  <sheetFormatPr defaultColWidth="8.90833333333333" defaultRowHeight="12"/>
  <cols>
    <col min="1" max="2" width="17.45" style="272" customWidth="1"/>
    <col min="3" max="5" width="13" style="272" customWidth="1"/>
    <col min="6" max="11" width="12" style="273" customWidth="1"/>
    <col min="12" max="13" width="11.9083333333333" style="272" customWidth="1"/>
    <col min="14" max="14" width="10.725" style="272" customWidth="1"/>
    <col min="15" max="17" width="11.9083333333333" style="272" customWidth="1"/>
    <col min="18" max="18" width="13" style="272" customWidth="1"/>
    <col min="19" max="19" width="11.9083333333333" style="272" customWidth="1"/>
    <col min="20" max="20" width="13" style="272" customWidth="1"/>
    <col min="21" max="21" width="11.9083333333333" style="272" customWidth="1"/>
    <col min="22" max="23" width="10.725" style="272" customWidth="1"/>
    <col min="24" max="24" width="14.0916666666667" style="272" customWidth="1"/>
    <col min="25" max="16384" width="8.90833333333333" style="272"/>
  </cols>
  <sheetData>
    <row r="1" s="157" customFormat="1" ht="19" customHeight="1" spans="1:24">
      <c r="A1" s="202" t="s">
        <v>185</v>
      </c>
      <c r="B1" s="163"/>
      <c r="C1" s="163"/>
      <c r="D1" s="163"/>
      <c r="E1" s="163"/>
      <c r="F1" s="163"/>
      <c r="G1" s="164" t="s">
        <v>1404</v>
      </c>
      <c r="H1" s="165" t="s">
        <v>1405</v>
      </c>
      <c r="I1" s="165"/>
      <c r="J1" s="165"/>
    </row>
    <row r="2" s="157" customFormat="1" ht="19" customHeight="1" spans="1:24">
      <c r="A2" s="163"/>
      <c r="B2" s="163"/>
      <c r="C2" s="163"/>
      <c r="D2" s="163"/>
      <c r="E2" s="163"/>
      <c r="F2" s="163"/>
      <c r="G2" s="166"/>
      <c r="H2" s="167" t="s">
        <v>1700</v>
      </c>
      <c r="I2" s="167"/>
      <c r="J2" s="167"/>
    </row>
    <row r="3" s="157" customFormat="1" ht="19" customHeight="1" spans="1:24">
      <c r="A3" s="163"/>
      <c r="B3" s="163"/>
      <c r="C3" s="163"/>
      <c r="D3" s="163"/>
      <c r="E3" s="163"/>
      <c r="F3" s="163"/>
      <c r="G3" s="166"/>
      <c r="H3" s="167" t="s">
        <v>1660</v>
      </c>
      <c r="I3" s="167"/>
      <c r="J3" s="167"/>
    </row>
    <row r="4" s="157" customFormat="1" ht="19" customHeight="1" spans="1:24">
      <c r="A4" s="163"/>
      <c r="B4" s="163"/>
      <c r="C4" s="163"/>
      <c r="D4" s="163"/>
      <c r="E4" s="163"/>
      <c r="F4" s="163"/>
      <c r="G4" s="166"/>
      <c r="H4" s="167"/>
      <c r="I4" s="167"/>
      <c r="J4" s="167"/>
    </row>
    <row r="5" s="157" customFormat="1" ht="19" customHeight="1" spans="1:24">
      <c r="A5" s="168" t="s">
        <v>2106</v>
      </c>
      <c r="B5" s="168"/>
      <c r="C5" s="168"/>
      <c r="D5" s="168"/>
      <c r="E5" s="168"/>
      <c r="F5" s="168"/>
      <c r="G5" s="169" t="s">
        <v>1567</v>
      </c>
      <c r="H5" s="170"/>
      <c r="I5" s="170"/>
      <c r="J5" s="171"/>
    </row>
    <row r="6" s="157" customFormat="1" ht="13.5" spans="1:24">
      <c r="A6" s="220"/>
      <c r="B6" s="220"/>
      <c r="C6" s="167"/>
      <c r="D6" s="167"/>
      <c r="E6" s="167"/>
      <c r="F6" s="167"/>
      <c r="G6" s="221"/>
      <c r="H6" s="221"/>
      <c r="I6" s="222"/>
      <c r="J6" s="167"/>
    </row>
    <row r="7" s="271" customFormat="1" ht="36" spans="1:24">
      <c r="A7" s="274" t="s">
        <v>278</v>
      </c>
      <c r="B7" s="274" t="s">
        <v>2107</v>
      </c>
      <c r="C7" s="274" t="s">
        <v>1459</v>
      </c>
      <c r="D7" s="274" t="s">
        <v>222</v>
      </c>
      <c r="E7" s="274" t="s">
        <v>223</v>
      </c>
      <c r="F7" s="275" t="s">
        <v>2108</v>
      </c>
      <c r="G7" s="275" t="s">
        <v>2109</v>
      </c>
      <c r="H7" s="275" t="s">
        <v>2110</v>
      </c>
      <c r="I7" s="275" t="s">
        <v>2111</v>
      </c>
      <c r="J7" s="275" t="s">
        <v>2112</v>
      </c>
      <c r="K7" s="275" t="s">
        <v>2113</v>
      </c>
      <c r="L7" s="274" t="s">
        <v>304</v>
      </c>
      <c r="M7" s="274" t="s">
        <v>305</v>
      </c>
      <c r="N7" s="274" t="s">
        <v>306</v>
      </c>
      <c r="O7" s="274" t="s">
        <v>307</v>
      </c>
      <c r="P7" s="274" t="s">
        <v>308</v>
      </c>
      <c r="Q7" s="274" t="s">
        <v>309</v>
      </c>
      <c r="R7" s="274" t="s">
        <v>310</v>
      </c>
      <c r="S7" s="274" t="s">
        <v>311</v>
      </c>
      <c r="T7" s="274" t="s">
        <v>312</v>
      </c>
      <c r="U7" s="274" t="s">
        <v>313</v>
      </c>
      <c r="V7" s="274" t="s">
        <v>314</v>
      </c>
      <c r="W7" s="274" t="s">
        <v>315</v>
      </c>
      <c r="X7" s="274" t="s">
        <v>281</v>
      </c>
    </row>
    <row r="8" s="90" customFormat="1" spans="1:24">
      <c r="A8" s="276" t="s">
        <v>2114</v>
      </c>
      <c r="B8" s="276"/>
      <c r="C8" s="277">
        <f t="shared" ref="C8:C10" si="0">SUM(F8:K8)</f>
        <v>7707150</v>
      </c>
      <c r="D8" s="277"/>
      <c r="E8" s="277"/>
      <c r="F8" s="278">
        <v>396000</v>
      </c>
      <c r="G8" s="278">
        <v>150000</v>
      </c>
      <c r="H8" s="279">
        <v>2416500</v>
      </c>
      <c r="I8" s="279">
        <v>3650000</v>
      </c>
      <c r="J8" s="279">
        <v>404650</v>
      </c>
      <c r="K8" s="279">
        <v>690000</v>
      </c>
      <c r="L8" s="280">
        <v>6000</v>
      </c>
      <c r="M8" s="280">
        <v>0</v>
      </c>
      <c r="N8" s="280">
        <v>1235000</v>
      </c>
      <c r="O8" s="280">
        <v>186750</v>
      </c>
      <c r="P8" s="280">
        <v>27600</v>
      </c>
      <c r="Q8" s="280">
        <v>27600</v>
      </c>
      <c r="R8" s="280">
        <v>2092550</v>
      </c>
      <c r="S8" s="280">
        <v>298800</v>
      </c>
      <c r="T8" s="280">
        <v>2450100</v>
      </c>
      <c r="U8" s="280">
        <v>77000</v>
      </c>
      <c r="V8" s="280">
        <v>694500</v>
      </c>
      <c r="W8" s="280">
        <v>611250</v>
      </c>
      <c r="X8" s="281">
        <f t="shared" ref="X8:X10" si="1">SUM(L8:W8)</f>
        <v>7707150</v>
      </c>
    </row>
    <row r="9" s="90" customFormat="1" spans="1:24">
      <c r="A9" s="276" t="s">
        <v>2115</v>
      </c>
      <c r="B9" s="276"/>
      <c r="C9" s="277">
        <f t="shared" si="0"/>
        <v>9233534.33777778</v>
      </c>
      <c r="D9" s="277"/>
      <c r="E9" s="277"/>
      <c r="F9" s="278">
        <f t="shared" ref="F9:W9" si="2">F54</f>
        <v>744500</v>
      </c>
      <c r="G9" s="278">
        <f t="shared" si="2"/>
        <v>502700</v>
      </c>
      <c r="H9" s="278">
        <f t="shared" si="2"/>
        <v>2400181.22222222</v>
      </c>
      <c r="I9" s="278">
        <f t="shared" si="2"/>
        <v>3260000</v>
      </c>
      <c r="J9" s="278">
        <f t="shared" si="2"/>
        <v>1340505.91555556</v>
      </c>
      <c r="K9" s="278">
        <f t="shared" si="2"/>
        <v>985647.2</v>
      </c>
      <c r="L9" s="278">
        <f t="shared" si="2"/>
        <v>750106.268888889</v>
      </c>
      <c r="M9" s="278">
        <f t="shared" si="2"/>
        <v>426745.157777778</v>
      </c>
      <c r="N9" s="278">
        <f t="shared" si="2"/>
        <v>724478.491111111</v>
      </c>
      <c r="O9" s="278">
        <f t="shared" si="2"/>
        <v>678478.491111111</v>
      </c>
      <c r="P9" s="278">
        <f t="shared" si="2"/>
        <v>888978.491111111</v>
      </c>
      <c r="Q9" s="278">
        <f t="shared" si="2"/>
        <v>841778.491111111</v>
      </c>
      <c r="R9" s="278">
        <f t="shared" si="2"/>
        <v>1279367.49111111</v>
      </c>
      <c r="S9" s="278">
        <f t="shared" si="2"/>
        <v>722478.491111111</v>
      </c>
      <c r="T9" s="278">
        <f t="shared" si="2"/>
        <v>1043178.49111111</v>
      </c>
      <c r="U9" s="278">
        <f t="shared" si="2"/>
        <v>847978.491111111</v>
      </c>
      <c r="V9" s="278">
        <f t="shared" si="2"/>
        <v>586087.491111111</v>
      </c>
      <c r="W9" s="278">
        <f t="shared" si="2"/>
        <v>443878.491111111</v>
      </c>
      <c r="X9" s="281">
        <f t="shared" si="1"/>
        <v>9233534.33777778</v>
      </c>
    </row>
    <row r="10" s="90" customFormat="1" spans="1:24">
      <c r="A10" s="276" t="s">
        <v>2116</v>
      </c>
      <c r="B10" s="276"/>
      <c r="C10" s="277">
        <f t="shared" si="0"/>
        <v>-1526384.33777778</v>
      </c>
      <c r="D10" s="277"/>
      <c r="E10" s="277"/>
      <c r="F10" s="278">
        <f t="shared" ref="F10:W10" si="3">F8-F9</f>
        <v>-348500</v>
      </c>
      <c r="G10" s="278">
        <f t="shared" si="3"/>
        <v>-352700</v>
      </c>
      <c r="H10" s="278">
        <f t="shared" si="3"/>
        <v>16318.777777778</v>
      </c>
      <c r="I10" s="278">
        <f t="shared" si="3"/>
        <v>390000</v>
      </c>
      <c r="J10" s="278">
        <f t="shared" si="3"/>
        <v>-935855.915555556</v>
      </c>
      <c r="K10" s="278">
        <f t="shared" si="3"/>
        <v>-295647.2</v>
      </c>
      <c r="L10" s="278">
        <f t="shared" si="3"/>
        <v>-744106.268888889</v>
      </c>
      <c r="M10" s="278">
        <f t="shared" si="3"/>
        <v>-426745.157777778</v>
      </c>
      <c r="N10" s="278">
        <f t="shared" si="3"/>
        <v>510521.508888889</v>
      </c>
      <c r="O10" s="278">
        <f t="shared" si="3"/>
        <v>-491728.491111111</v>
      </c>
      <c r="P10" s="278">
        <f t="shared" si="3"/>
        <v>-861378.491111111</v>
      </c>
      <c r="Q10" s="278">
        <f t="shared" si="3"/>
        <v>-814178.491111111</v>
      </c>
      <c r="R10" s="278">
        <f t="shared" si="3"/>
        <v>813182.508888889</v>
      </c>
      <c r="S10" s="278">
        <f t="shared" si="3"/>
        <v>-423678.491111111</v>
      </c>
      <c r="T10" s="278">
        <f t="shared" si="3"/>
        <v>1406921.50888889</v>
      </c>
      <c r="U10" s="278">
        <f t="shared" si="3"/>
        <v>-770978.491111111</v>
      </c>
      <c r="V10" s="278">
        <f t="shared" si="3"/>
        <v>108412.508888889</v>
      </c>
      <c r="W10" s="278">
        <f t="shared" si="3"/>
        <v>167371.508888889</v>
      </c>
      <c r="X10" s="281">
        <f t="shared" si="1"/>
        <v>-1526384.33777778</v>
      </c>
    </row>
    <row r="11" s="90" customFormat="1" spans="1:24">
      <c r="A11" s="282" t="s">
        <v>2117</v>
      </c>
      <c r="B11" s="282"/>
      <c r="C11" s="283"/>
      <c r="D11" s="284"/>
      <c r="E11" s="284"/>
      <c r="F11" s="284"/>
      <c r="G11" s="284"/>
      <c r="H11" s="284"/>
      <c r="I11" s="284"/>
      <c r="J11" s="284"/>
      <c r="K11" s="28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5"/>
    </row>
    <row r="12" ht="16.5" spans="1:24">
      <c r="A12" s="286" t="s">
        <v>383</v>
      </c>
      <c r="B12" s="286"/>
      <c r="C12" s="277">
        <f t="shared" ref="C12:C54" si="4">SUM(F12:K12)</f>
        <v>0</v>
      </c>
      <c r="D12" s="277"/>
      <c r="E12" s="277"/>
      <c r="F12" s="278">
        <v>0</v>
      </c>
      <c r="G12" s="278">
        <v>0</v>
      </c>
      <c r="H12" s="278">
        <v>0</v>
      </c>
      <c r="I12" s="278">
        <v>0</v>
      </c>
      <c r="J12" s="278">
        <v>0</v>
      </c>
      <c r="K12" s="278">
        <v>0</v>
      </c>
      <c r="L12" s="281">
        <v>0</v>
      </c>
      <c r="M12" s="281">
        <v>0</v>
      </c>
      <c r="N12" s="281">
        <v>0</v>
      </c>
      <c r="O12" s="281">
        <v>0</v>
      </c>
      <c r="P12" s="281">
        <v>0</v>
      </c>
      <c r="Q12" s="281">
        <v>0</v>
      </c>
      <c r="R12" s="281">
        <v>0</v>
      </c>
      <c r="S12" s="281">
        <v>0</v>
      </c>
      <c r="T12" s="281">
        <v>0</v>
      </c>
      <c r="U12" s="281">
        <v>0</v>
      </c>
      <c r="V12" s="281">
        <v>0</v>
      </c>
      <c r="W12" s="281">
        <v>0</v>
      </c>
      <c r="X12" s="281">
        <f t="shared" ref="X12:X54" si="5">SUM(L12:W12)</f>
        <v>0</v>
      </c>
    </row>
    <row r="13" ht="16.5" spans="1:24">
      <c r="A13" s="286" t="s">
        <v>1890</v>
      </c>
      <c r="B13" s="286"/>
      <c r="C13" s="277">
        <f t="shared" si="4"/>
        <v>0</v>
      </c>
      <c r="D13" s="277"/>
      <c r="E13" s="277"/>
      <c r="F13" s="278">
        <v>0</v>
      </c>
      <c r="G13" s="278">
        <v>0</v>
      </c>
      <c r="H13" s="278">
        <v>0</v>
      </c>
      <c r="I13" s="278">
        <v>0</v>
      </c>
      <c r="J13" s="278">
        <v>0</v>
      </c>
      <c r="K13" s="278">
        <v>0</v>
      </c>
      <c r="L13" s="281">
        <v>0</v>
      </c>
      <c r="M13" s="281">
        <v>0</v>
      </c>
      <c r="N13" s="281">
        <v>0</v>
      </c>
      <c r="O13" s="281">
        <v>0</v>
      </c>
      <c r="P13" s="281">
        <v>0</v>
      </c>
      <c r="Q13" s="281">
        <v>0</v>
      </c>
      <c r="R13" s="281">
        <v>0</v>
      </c>
      <c r="S13" s="281">
        <v>0</v>
      </c>
      <c r="T13" s="281">
        <v>0</v>
      </c>
      <c r="U13" s="281">
        <v>0</v>
      </c>
      <c r="V13" s="281">
        <v>0</v>
      </c>
      <c r="W13" s="281">
        <v>0</v>
      </c>
      <c r="X13" s="281">
        <f t="shared" si="5"/>
        <v>0</v>
      </c>
    </row>
    <row r="14" ht="16.5" spans="1:24">
      <c r="A14" s="286" t="s">
        <v>1891</v>
      </c>
      <c r="B14" s="286"/>
      <c r="C14" s="277">
        <f t="shared" si="4"/>
        <v>0</v>
      </c>
      <c r="D14" s="277"/>
      <c r="E14" s="277"/>
      <c r="F14" s="278">
        <v>0</v>
      </c>
      <c r="G14" s="278">
        <v>0</v>
      </c>
      <c r="H14" s="278">
        <v>0</v>
      </c>
      <c r="I14" s="278">
        <v>0</v>
      </c>
      <c r="J14" s="278">
        <v>0</v>
      </c>
      <c r="K14" s="278">
        <v>0</v>
      </c>
      <c r="L14" s="281">
        <v>0</v>
      </c>
      <c r="M14" s="281">
        <v>0</v>
      </c>
      <c r="N14" s="281">
        <v>0</v>
      </c>
      <c r="O14" s="281">
        <v>0</v>
      </c>
      <c r="P14" s="281">
        <v>0</v>
      </c>
      <c r="Q14" s="281">
        <v>0</v>
      </c>
      <c r="R14" s="281">
        <v>0</v>
      </c>
      <c r="S14" s="281">
        <v>0</v>
      </c>
      <c r="T14" s="281">
        <v>0</v>
      </c>
      <c r="U14" s="281">
        <v>0</v>
      </c>
      <c r="V14" s="281">
        <v>0</v>
      </c>
      <c r="W14" s="281">
        <v>0</v>
      </c>
      <c r="X14" s="281">
        <f t="shared" si="5"/>
        <v>0</v>
      </c>
    </row>
    <row r="15" ht="16.5" spans="1:24">
      <c r="A15" s="286" t="s">
        <v>1893</v>
      </c>
      <c r="B15" s="286"/>
      <c r="C15" s="277">
        <f t="shared" si="4"/>
        <v>279889</v>
      </c>
      <c r="D15" s="277"/>
      <c r="E15" s="277"/>
      <c r="F15" s="278">
        <v>19000</v>
      </c>
      <c r="G15" s="278">
        <v>16000</v>
      </c>
      <c r="H15" s="278">
        <v>110000</v>
      </c>
      <c r="I15" s="278">
        <v>85000</v>
      </c>
      <c r="J15" s="278">
        <v>24889</v>
      </c>
      <c r="K15" s="278">
        <v>25000</v>
      </c>
      <c r="L15" s="281">
        <v>65000</v>
      </c>
      <c r="M15" s="281">
        <v>0</v>
      </c>
      <c r="N15" s="281">
        <v>28000</v>
      </c>
      <c r="O15" s="281">
        <v>25000</v>
      </c>
      <c r="P15" s="281">
        <v>7000</v>
      </c>
      <c r="Q15" s="281">
        <v>4000</v>
      </c>
      <c r="R15" s="281">
        <v>41889</v>
      </c>
      <c r="S15" s="281">
        <v>27000</v>
      </c>
      <c r="T15" s="281">
        <v>53000</v>
      </c>
      <c r="U15" s="281">
        <v>9000</v>
      </c>
      <c r="V15" s="281">
        <v>3000</v>
      </c>
      <c r="W15" s="281">
        <v>17000</v>
      </c>
      <c r="X15" s="281">
        <f t="shared" si="5"/>
        <v>279889</v>
      </c>
    </row>
    <row r="16" ht="16.5" spans="1:24">
      <c r="A16" s="286" t="s">
        <v>386</v>
      </c>
      <c r="B16" s="286"/>
      <c r="C16" s="277">
        <f t="shared" si="4"/>
        <v>0</v>
      </c>
      <c r="D16" s="277"/>
      <c r="E16" s="277"/>
      <c r="F16" s="278">
        <v>0</v>
      </c>
      <c r="G16" s="278">
        <v>0</v>
      </c>
      <c r="H16" s="278">
        <v>0</v>
      </c>
      <c r="I16" s="278">
        <v>0</v>
      </c>
      <c r="J16" s="278">
        <v>0</v>
      </c>
      <c r="K16" s="278">
        <v>0</v>
      </c>
      <c r="L16" s="281">
        <v>0</v>
      </c>
      <c r="M16" s="281">
        <v>0</v>
      </c>
      <c r="N16" s="281">
        <v>0</v>
      </c>
      <c r="O16" s="281">
        <v>0</v>
      </c>
      <c r="P16" s="281">
        <v>0</v>
      </c>
      <c r="Q16" s="281">
        <v>0</v>
      </c>
      <c r="R16" s="281">
        <v>0</v>
      </c>
      <c r="S16" s="281">
        <v>0</v>
      </c>
      <c r="T16" s="281">
        <v>0</v>
      </c>
      <c r="U16" s="281">
        <v>0</v>
      </c>
      <c r="V16" s="281">
        <v>0</v>
      </c>
      <c r="W16" s="281">
        <v>0</v>
      </c>
      <c r="X16" s="281">
        <f t="shared" si="5"/>
        <v>0</v>
      </c>
    </row>
    <row r="17" ht="16.5" spans="1:24">
      <c r="A17" s="286" t="s">
        <v>416</v>
      </c>
      <c r="B17" s="286"/>
      <c r="C17" s="277">
        <f t="shared" si="4"/>
        <v>0</v>
      </c>
      <c r="D17" s="277"/>
      <c r="E17" s="277"/>
      <c r="F17" s="278">
        <v>0</v>
      </c>
      <c r="G17" s="278">
        <v>0</v>
      </c>
      <c r="H17" s="278">
        <v>0</v>
      </c>
      <c r="I17" s="278">
        <v>0</v>
      </c>
      <c r="J17" s="278">
        <v>0</v>
      </c>
      <c r="K17" s="278">
        <v>0</v>
      </c>
      <c r="L17" s="281">
        <v>0</v>
      </c>
      <c r="M17" s="281">
        <v>0</v>
      </c>
      <c r="N17" s="281">
        <v>0</v>
      </c>
      <c r="O17" s="281">
        <v>0</v>
      </c>
      <c r="P17" s="281">
        <v>0</v>
      </c>
      <c r="Q17" s="281">
        <v>0</v>
      </c>
      <c r="R17" s="281">
        <v>0</v>
      </c>
      <c r="S17" s="281">
        <v>0</v>
      </c>
      <c r="T17" s="281">
        <v>0</v>
      </c>
      <c r="U17" s="281">
        <v>0</v>
      </c>
      <c r="V17" s="281">
        <v>0</v>
      </c>
      <c r="W17" s="281">
        <v>0</v>
      </c>
      <c r="X17" s="281">
        <f t="shared" si="5"/>
        <v>0</v>
      </c>
    </row>
    <row r="18" ht="16.5" spans="1:24">
      <c r="A18" s="286" t="s">
        <v>423</v>
      </c>
      <c r="B18" s="286"/>
      <c r="C18" s="277">
        <f t="shared" si="4"/>
        <v>0</v>
      </c>
      <c r="D18" s="277"/>
      <c r="E18" s="277"/>
      <c r="F18" s="278">
        <v>0</v>
      </c>
      <c r="G18" s="278">
        <v>0</v>
      </c>
      <c r="H18" s="278">
        <v>0</v>
      </c>
      <c r="I18" s="278">
        <v>0</v>
      </c>
      <c r="J18" s="278">
        <v>0</v>
      </c>
      <c r="K18" s="278">
        <v>0</v>
      </c>
      <c r="L18" s="281">
        <v>0</v>
      </c>
      <c r="M18" s="281">
        <v>0</v>
      </c>
      <c r="N18" s="281">
        <v>0</v>
      </c>
      <c r="O18" s="281">
        <v>0</v>
      </c>
      <c r="P18" s="281">
        <v>0</v>
      </c>
      <c r="Q18" s="281">
        <v>0</v>
      </c>
      <c r="R18" s="281">
        <v>0</v>
      </c>
      <c r="S18" s="281">
        <v>0</v>
      </c>
      <c r="T18" s="281">
        <v>0</v>
      </c>
      <c r="U18" s="281">
        <v>0</v>
      </c>
      <c r="V18" s="281">
        <v>0</v>
      </c>
      <c r="W18" s="281">
        <v>0</v>
      </c>
      <c r="X18" s="281">
        <f t="shared" si="5"/>
        <v>0</v>
      </c>
    </row>
    <row r="19" ht="16.5" spans="1:24">
      <c r="A19" s="286" t="s">
        <v>424</v>
      </c>
      <c r="B19" s="286"/>
      <c r="C19" s="277">
        <f t="shared" si="4"/>
        <v>0</v>
      </c>
      <c r="D19" s="277"/>
      <c r="E19" s="277"/>
      <c r="F19" s="278">
        <v>0</v>
      </c>
      <c r="G19" s="278">
        <v>0</v>
      </c>
      <c r="H19" s="278">
        <v>0</v>
      </c>
      <c r="I19" s="278">
        <v>0</v>
      </c>
      <c r="J19" s="278">
        <v>0</v>
      </c>
      <c r="K19" s="278">
        <v>0</v>
      </c>
      <c r="L19" s="281">
        <v>0</v>
      </c>
      <c r="M19" s="281">
        <v>0</v>
      </c>
      <c r="N19" s="281">
        <v>0</v>
      </c>
      <c r="O19" s="281">
        <v>0</v>
      </c>
      <c r="P19" s="281">
        <v>0</v>
      </c>
      <c r="Q19" s="281">
        <v>0</v>
      </c>
      <c r="R19" s="281">
        <v>0</v>
      </c>
      <c r="S19" s="281">
        <v>0</v>
      </c>
      <c r="T19" s="281">
        <v>0</v>
      </c>
      <c r="U19" s="281">
        <v>0</v>
      </c>
      <c r="V19" s="281">
        <v>0</v>
      </c>
      <c r="W19" s="281">
        <v>0</v>
      </c>
      <c r="X19" s="281">
        <f t="shared" si="5"/>
        <v>0</v>
      </c>
    </row>
    <row r="20" ht="16.5" spans="1:24">
      <c r="A20" s="286" t="s">
        <v>2118</v>
      </c>
      <c r="B20" s="286"/>
      <c r="C20" s="277">
        <f t="shared" si="4"/>
        <v>314400</v>
      </c>
      <c r="D20" s="277"/>
      <c r="E20" s="277"/>
      <c r="F20" s="278">
        <v>43100</v>
      </c>
      <c r="G20" s="278">
        <v>0</v>
      </c>
      <c r="H20" s="278">
        <v>52600</v>
      </c>
      <c r="I20" s="278">
        <v>98400</v>
      </c>
      <c r="J20" s="278">
        <v>67200</v>
      </c>
      <c r="K20" s="278">
        <v>53100</v>
      </c>
      <c r="L20" s="281">
        <v>21600</v>
      </c>
      <c r="M20" s="281">
        <v>21600</v>
      </c>
      <c r="N20" s="281">
        <v>22850</v>
      </c>
      <c r="O20" s="281">
        <v>26550</v>
      </c>
      <c r="P20" s="281">
        <v>26550</v>
      </c>
      <c r="Q20" s="281">
        <v>26550</v>
      </c>
      <c r="R20" s="281">
        <v>27850</v>
      </c>
      <c r="S20" s="281">
        <v>27850</v>
      </c>
      <c r="T20" s="281">
        <v>27850</v>
      </c>
      <c r="U20" s="281">
        <v>27850</v>
      </c>
      <c r="V20" s="281">
        <v>28650</v>
      </c>
      <c r="W20" s="281">
        <v>28650</v>
      </c>
      <c r="X20" s="281">
        <f t="shared" si="5"/>
        <v>314400</v>
      </c>
    </row>
    <row r="21" ht="16.5" spans="1:24">
      <c r="A21" s="286" t="s">
        <v>417</v>
      </c>
      <c r="B21" s="286"/>
      <c r="C21" s="277">
        <f t="shared" si="4"/>
        <v>50400</v>
      </c>
      <c r="D21" s="277"/>
      <c r="E21" s="277"/>
      <c r="F21" s="278">
        <v>12000</v>
      </c>
      <c r="G21" s="278">
        <v>0</v>
      </c>
      <c r="H21" s="278">
        <v>12000</v>
      </c>
      <c r="I21" s="278">
        <v>12000</v>
      </c>
      <c r="J21" s="278">
        <v>14400</v>
      </c>
      <c r="K21" s="278">
        <v>0</v>
      </c>
      <c r="L21" s="281">
        <v>4200</v>
      </c>
      <c r="M21" s="281">
        <v>4200</v>
      </c>
      <c r="N21" s="281">
        <v>4200</v>
      </c>
      <c r="O21" s="281">
        <v>4200</v>
      </c>
      <c r="P21" s="281">
        <v>4200</v>
      </c>
      <c r="Q21" s="281">
        <v>4200</v>
      </c>
      <c r="R21" s="281">
        <v>4200</v>
      </c>
      <c r="S21" s="281">
        <v>4200</v>
      </c>
      <c r="T21" s="281">
        <v>4200</v>
      </c>
      <c r="U21" s="281">
        <v>4200</v>
      </c>
      <c r="V21" s="281">
        <v>4200</v>
      </c>
      <c r="W21" s="281">
        <v>4200</v>
      </c>
      <c r="X21" s="281">
        <f t="shared" si="5"/>
        <v>50400</v>
      </c>
    </row>
    <row r="22" ht="16.5" spans="1:24">
      <c r="A22" s="286" t="s">
        <v>1910</v>
      </c>
      <c r="B22" s="286"/>
      <c r="C22" s="277">
        <f t="shared" si="4"/>
        <v>12000</v>
      </c>
      <c r="D22" s="277"/>
      <c r="E22" s="277"/>
      <c r="F22" s="278">
        <v>0</v>
      </c>
      <c r="G22" s="278">
        <v>0</v>
      </c>
      <c r="H22" s="278">
        <v>0</v>
      </c>
      <c r="I22" s="278">
        <v>8000</v>
      </c>
      <c r="J22" s="278">
        <v>2000</v>
      </c>
      <c r="K22" s="278">
        <v>2000</v>
      </c>
      <c r="L22" s="281">
        <v>0</v>
      </c>
      <c r="M22" s="281">
        <v>3000</v>
      </c>
      <c r="N22" s="281">
        <v>0</v>
      </c>
      <c r="O22" s="281">
        <v>3000</v>
      </c>
      <c r="P22" s="281">
        <v>0</v>
      </c>
      <c r="Q22" s="281">
        <v>0</v>
      </c>
      <c r="R22" s="281">
        <v>0</v>
      </c>
      <c r="S22" s="281">
        <v>0</v>
      </c>
      <c r="T22" s="281">
        <v>6000</v>
      </c>
      <c r="U22" s="281">
        <v>0</v>
      </c>
      <c r="V22" s="281">
        <v>0</v>
      </c>
      <c r="W22" s="281">
        <v>0</v>
      </c>
      <c r="X22" s="281">
        <f t="shared" si="5"/>
        <v>12000</v>
      </c>
    </row>
    <row r="23" ht="16.5" spans="1:24">
      <c r="A23" s="286" t="s">
        <v>2119</v>
      </c>
      <c r="B23" s="286"/>
      <c r="C23" s="277">
        <f t="shared" si="4"/>
        <v>0</v>
      </c>
      <c r="D23" s="277"/>
      <c r="E23" s="277"/>
      <c r="F23" s="278">
        <v>0</v>
      </c>
      <c r="G23" s="278">
        <v>0</v>
      </c>
      <c r="H23" s="278">
        <v>0</v>
      </c>
      <c r="I23" s="278">
        <v>0</v>
      </c>
      <c r="J23" s="278">
        <v>0</v>
      </c>
      <c r="K23" s="278">
        <v>0</v>
      </c>
      <c r="L23" s="281">
        <v>0</v>
      </c>
      <c r="M23" s="281">
        <v>0</v>
      </c>
      <c r="N23" s="281">
        <v>0</v>
      </c>
      <c r="O23" s="281">
        <v>0</v>
      </c>
      <c r="P23" s="281">
        <v>0</v>
      </c>
      <c r="Q23" s="281">
        <v>0</v>
      </c>
      <c r="R23" s="281">
        <v>0</v>
      </c>
      <c r="S23" s="281">
        <v>0</v>
      </c>
      <c r="T23" s="281">
        <v>0</v>
      </c>
      <c r="U23" s="281">
        <v>0</v>
      </c>
      <c r="V23" s="281">
        <v>0</v>
      </c>
      <c r="W23" s="281">
        <v>0</v>
      </c>
      <c r="X23" s="281">
        <f t="shared" si="5"/>
        <v>0</v>
      </c>
    </row>
    <row r="24" ht="16.5" spans="1:24">
      <c r="A24" s="286" t="s">
        <v>2002</v>
      </c>
      <c r="B24" s="286"/>
      <c r="C24" s="277">
        <f t="shared" si="4"/>
        <v>0</v>
      </c>
      <c r="D24" s="277"/>
      <c r="E24" s="277"/>
      <c r="F24" s="278">
        <v>0</v>
      </c>
      <c r="G24" s="278">
        <v>0</v>
      </c>
      <c r="H24" s="278">
        <v>0</v>
      </c>
      <c r="I24" s="278">
        <v>0</v>
      </c>
      <c r="J24" s="278">
        <v>0</v>
      </c>
      <c r="K24" s="278">
        <v>0</v>
      </c>
      <c r="L24" s="281">
        <v>0</v>
      </c>
      <c r="M24" s="281">
        <v>0</v>
      </c>
      <c r="N24" s="281">
        <v>0</v>
      </c>
      <c r="O24" s="281">
        <v>0</v>
      </c>
      <c r="P24" s="281">
        <v>0</v>
      </c>
      <c r="Q24" s="281">
        <v>0</v>
      </c>
      <c r="R24" s="281">
        <v>0</v>
      </c>
      <c r="S24" s="281">
        <v>0</v>
      </c>
      <c r="T24" s="281">
        <v>0</v>
      </c>
      <c r="U24" s="281">
        <v>0</v>
      </c>
      <c r="V24" s="281">
        <v>0</v>
      </c>
      <c r="W24" s="281">
        <v>0</v>
      </c>
      <c r="X24" s="281">
        <f t="shared" si="5"/>
        <v>0</v>
      </c>
    </row>
    <row r="25" ht="16.5" spans="1:24">
      <c r="A25" s="286" t="s">
        <v>2120</v>
      </c>
      <c r="B25" s="286"/>
      <c r="C25" s="277">
        <f t="shared" si="4"/>
        <v>0</v>
      </c>
      <c r="D25" s="277"/>
      <c r="E25" s="277"/>
      <c r="F25" s="278">
        <v>0</v>
      </c>
      <c r="G25" s="278">
        <v>0</v>
      </c>
      <c r="H25" s="278">
        <v>0</v>
      </c>
      <c r="I25" s="278">
        <v>0</v>
      </c>
      <c r="J25" s="278">
        <v>0</v>
      </c>
      <c r="K25" s="278">
        <v>0</v>
      </c>
      <c r="L25" s="281">
        <v>0</v>
      </c>
      <c r="M25" s="281">
        <v>0</v>
      </c>
      <c r="N25" s="281">
        <v>0</v>
      </c>
      <c r="O25" s="281">
        <v>0</v>
      </c>
      <c r="P25" s="281">
        <v>0</v>
      </c>
      <c r="Q25" s="281">
        <v>0</v>
      </c>
      <c r="R25" s="281">
        <v>0</v>
      </c>
      <c r="S25" s="281">
        <v>0</v>
      </c>
      <c r="T25" s="281">
        <v>0</v>
      </c>
      <c r="U25" s="281">
        <v>0</v>
      </c>
      <c r="V25" s="281">
        <v>0</v>
      </c>
      <c r="W25" s="281">
        <v>0</v>
      </c>
      <c r="X25" s="281">
        <f t="shared" si="5"/>
        <v>0</v>
      </c>
    </row>
    <row r="26" ht="16.5" spans="1:24">
      <c r="A26" s="286" t="s">
        <v>2121</v>
      </c>
      <c r="B26" s="286"/>
      <c r="C26" s="277">
        <f t="shared" si="4"/>
        <v>0</v>
      </c>
      <c r="D26" s="277"/>
      <c r="E26" s="277"/>
      <c r="F26" s="278">
        <v>0</v>
      </c>
      <c r="G26" s="278">
        <v>0</v>
      </c>
      <c r="H26" s="278">
        <v>0</v>
      </c>
      <c r="I26" s="278">
        <v>0</v>
      </c>
      <c r="J26" s="278">
        <v>0</v>
      </c>
      <c r="K26" s="278">
        <v>0</v>
      </c>
      <c r="L26" s="281">
        <v>0</v>
      </c>
      <c r="M26" s="281">
        <v>0</v>
      </c>
      <c r="N26" s="281">
        <v>0</v>
      </c>
      <c r="O26" s="281">
        <v>0</v>
      </c>
      <c r="P26" s="281">
        <v>0</v>
      </c>
      <c r="Q26" s="281">
        <v>0</v>
      </c>
      <c r="R26" s="281">
        <v>0</v>
      </c>
      <c r="S26" s="281">
        <v>0</v>
      </c>
      <c r="T26" s="281">
        <v>0</v>
      </c>
      <c r="U26" s="281">
        <v>0</v>
      </c>
      <c r="V26" s="281">
        <v>0</v>
      </c>
      <c r="W26" s="281">
        <v>0</v>
      </c>
      <c r="X26" s="281">
        <f t="shared" si="5"/>
        <v>0</v>
      </c>
    </row>
    <row r="27" ht="16.5" spans="1:24">
      <c r="A27" s="286" t="s">
        <v>437</v>
      </c>
      <c r="B27" s="286"/>
      <c r="C27" s="277">
        <f t="shared" si="4"/>
        <v>111500</v>
      </c>
      <c r="D27" s="277"/>
      <c r="E27" s="277"/>
      <c r="F27" s="278">
        <v>24000</v>
      </c>
      <c r="G27" s="278">
        <v>75500</v>
      </c>
      <c r="H27" s="278">
        <v>0</v>
      </c>
      <c r="I27" s="278">
        <v>4200</v>
      </c>
      <c r="J27" s="278">
        <v>4200</v>
      </c>
      <c r="K27" s="278">
        <v>3600</v>
      </c>
      <c r="L27" s="281">
        <v>3000</v>
      </c>
      <c r="M27" s="281">
        <v>1000</v>
      </c>
      <c r="N27" s="281">
        <v>11000</v>
      </c>
      <c r="O27" s="281">
        <v>2000</v>
      </c>
      <c r="P27" s="281">
        <v>1000</v>
      </c>
      <c r="Q27" s="281">
        <v>1000</v>
      </c>
      <c r="R27" s="281">
        <v>74000</v>
      </c>
      <c r="S27" s="281">
        <v>2500</v>
      </c>
      <c r="T27" s="281">
        <v>11500</v>
      </c>
      <c r="U27" s="281">
        <v>1500</v>
      </c>
      <c r="V27" s="281">
        <v>1500</v>
      </c>
      <c r="W27" s="281">
        <v>1500</v>
      </c>
      <c r="X27" s="281">
        <f t="shared" si="5"/>
        <v>111500</v>
      </c>
    </row>
    <row r="28" ht="16.5" spans="1:24">
      <c r="A28" s="286" t="s">
        <v>162</v>
      </c>
      <c r="B28" s="286"/>
      <c r="C28" s="277">
        <f t="shared" si="4"/>
        <v>0</v>
      </c>
      <c r="D28" s="277"/>
      <c r="E28" s="277"/>
      <c r="F28" s="278">
        <v>0</v>
      </c>
      <c r="G28" s="278">
        <v>0</v>
      </c>
      <c r="H28" s="278">
        <v>0</v>
      </c>
      <c r="I28" s="278">
        <v>0</v>
      </c>
      <c r="J28" s="278">
        <v>0</v>
      </c>
      <c r="K28" s="278">
        <v>0</v>
      </c>
      <c r="L28" s="281">
        <v>0</v>
      </c>
      <c r="M28" s="281">
        <v>0</v>
      </c>
      <c r="N28" s="281">
        <v>0</v>
      </c>
      <c r="O28" s="281">
        <v>0</v>
      </c>
      <c r="P28" s="281">
        <v>0</v>
      </c>
      <c r="Q28" s="281">
        <v>0</v>
      </c>
      <c r="R28" s="281">
        <v>0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>
        <f t="shared" si="5"/>
        <v>0</v>
      </c>
    </row>
    <row r="29" ht="16.5" spans="1:24">
      <c r="A29" s="286" t="s">
        <v>460</v>
      </c>
      <c r="B29" s="286"/>
      <c r="C29" s="277">
        <f t="shared" si="4"/>
        <v>70700</v>
      </c>
      <c r="D29" s="277"/>
      <c r="E29" s="277"/>
      <c r="F29" s="278">
        <v>18000</v>
      </c>
      <c r="G29" s="278">
        <v>15000</v>
      </c>
      <c r="H29" s="278">
        <v>9600</v>
      </c>
      <c r="I29" s="278">
        <v>12000</v>
      </c>
      <c r="J29" s="278">
        <v>12000</v>
      </c>
      <c r="K29" s="278">
        <v>4100</v>
      </c>
      <c r="L29" s="281">
        <v>3400</v>
      </c>
      <c r="M29" s="281">
        <v>3100</v>
      </c>
      <c r="N29" s="281">
        <v>5100</v>
      </c>
      <c r="O29" s="281">
        <v>5100</v>
      </c>
      <c r="P29" s="281">
        <v>5100</v>
      </c>
      <c r="Q29" s="281">
        <v>5100</v>
      </c>
      <c r="R29" s="281">
        <v>8100</v>
      </c>
      <c r="S29" s="281">
        <v>8300</v>
      </c>
      <c r="T29" s="281">
        <v>8100</v>
      </c>
      <c r="U29" s="281">
        <v>8100</v>
      </c>
      <c r="V29" s="281">
        <v>8100</v>
      </c>
      <c r="W29" s="281">
        <v>3100</v>
      </c>
      <c r="X29" s="281">
        <f t="shared" si="5"/>
        <v>70700</v>
      </c>
    </row>
    <row r="30" ht="16.5" spans="1:24">
      <c r="A30" s="286" t="s">
        <v>2122</v>
      </c>
      <c r="B30" s="286"/>
      <c r="C30" s="277">
        <f t="shared" si="4"/>
        <v>721008.56</v>
      </c>
      <c r="D30" s="277"/>
      <c r="E30" s="277"/>
      <c r="F30" s="278">
        <v>0</v>
      </c>
      <c r="G30" s="278">
        <v>96000</v>
      </c>
      <c r="H30" s="278">
        <v>119600</v>
      </c>
      <c r="I30" s="278">
        <v>198000</v>
      </c>
      <c r="J30" s="278">
        <v>181761.36</v>
      </c>
      <c r="K30" s="278">
        <v>125647.2</v>
      </c>
      <c r="L30" s="281">
        <v>60517.38</v>
      </c>
      <c r="M30" s="281">
        <v>51317.38</v>
      </c>
      <c r="N30" s="281">
        <v>51317.38</v>
      </c>
      <c r="O30" s="281">
        <v>51317.38</v>
      </c>
      <c r="P30" s="281">
        <v>51317.38</v>
      </c>
      <c r="Q30" s="281">
        <v>51317.38</v>
      </c>
      <c r="R30" s="281">
        <v>67317.38</v>
      </c>
      <c r="S30" s="281">
        <v>67317.38</v>
      </c>
      <c r="T30" s="281">
        <v>67317.38</v>
      </c>
      <c r="U30" s="281">
        <v>67317.38</v>
      </c>
      <c r="V30" s="281">
        <v>67317.38</v>
      </c>
      <c r="W30" s="281">
        <v>67317.38</v>
      </c>
      <c r="X30" s="281">
        <f t="shared" si="5"/>
        <v>721008.56</v>
      </c>
    </row>
    <row r="31" ht="16.5" spans="1:24">
      <c r="A31" s="286" t="s">
        <v>483</v>
      </c>
      <c r="B31" s="286"/>
      <c r="C31" s="277">
        <f t="shared" si="4"/>
        <v>836200</v>
      </c>
      <c r="D31" s="277"/>
      <c r="E31" s="277"/>
      <c r="F31" s="278">
        <v>119800</v>
      </c>
      <c r="G31" s="278">
        <v>81200</v>
      </c>
      <c r="H31" s="278">
        <v>123000</v>
      </c>
      <c r="I31" s="278">
        <v>194400</v>
      </c>
      <c r="J31" s="278">
        <v>133400</v>
      </c>
      <c r="K31" s="278">
        <v>184400</v>
      </c>
      <c r="L31" s="281">
        <v>43000</v>
      </c>
      <c r="M31" s="281">
        <v>44000</v>
      </c>
      <c r="N31" s="281">
        <v>52600</v>
      </c>
      <c r="O31" s="281">
        <v>65600</v>
      </c>
      <c r="P31" s="281">
        <v>73600</v>
      </c>
      <c r="Q31" s="281">
        <v>77600</v>
      </c>
      <c r="R31" s="281">
        <v>87800</v>
      </c>
      <c r="S31" s="281">
        <v>83800</v>
      </c>
      <c r="T31" s="281">
        <v>80800</v>
      </c>
      <c r="U31" s="281">
        <v>83800</v>
      </c>
      <c r="V31" s="281">
        <v>72800</v>
      </c>
      <c r="W31" s="281">
        <v>70800</v>
      </c>
      <c r="X31" s="281">
        <f t="shared" si="5"/>
        <v>836200</v>
      </c>
    </row>
    <row r="32" ht="16.5" spans="1:24">
      <c r="A32" s="286" t="s">
        <v>1984</v>
      </c>
      <c r="B32" s="286"/>
      <c r="C32" s="277">
        <f t="shared" si="4"/>
        <v>0</v>
      </c>
      <c r="D32" s="277"/>
      <c r="E32" s="277"/>
      <c r="F32" s="278">
        <v>0</v>
      </c>
      <c r="G32" s="278">
        <v>0</v>
      </c>
      <c r="H32" s="278">
        <v>0</v>
      </c>
      <c r="I32" s="278">
        <v>0</v>
      </c>
      <c r="J32" s="278">
        <v>0</v>
      </c>
      <c r="K32" s="278">
        <v>0</v>
      </c>
      <c r="L32" s="281">
        <v>0</v>
      </c>
      <c r="M32" s="281">
        <v>0</v>
      </c>
      <c r="N32" s="281">
        <v>0</v>
      </c>
      <c r="O32" s="281">
        <v>0</v>
      </c>
      <c r="P32" s="281">
        <v>0</v>
      </c>
      <c r="Q32" s="281">
        <v>0</v>
      </c>
      <c r="R32" s="281">
        <v>0</v>
      </c>
      <c r="S32" s="281">
        <v>0</v>
      </c>
      <c r="T32" s="281">
        <v>0</v>
      </c>
      <c r="U32" s="281">
        <v>0</v>
      </c>
      <c r="V32" s="281">
        <v>0</v>
      </c>
      <c r="W32" s="281">
        <v>0</v>
      </c>
      <c r="X32" s="281">
        <f t="shared" si="5"/>
        <v>0</v>
      </c>
    </row>
    <row r="33" ht="16.5" spans="1:24">
      <c r="A33" s="286" t="s">
        <v>166</v>
      </c>
      <c r="B33" s="286"/>
      <c r="C33" s="277">
        <f t="shared" si="4"/>
        <v>126527.777777778</v>
      </c>
      <c r="D33" s="277"/>
      <c r="E33" s="277"/>
      <c r="F33" s="278">
        <v>0</v>
      </c>
      <c r="G33" s="278">
        <v>0</v>
      </c>
      <c r="H33" s="278">
        <v>82472.2222222222</v>
      </c>
      <c r="I33" s="278">
        <v>0</v>
      </c>
      <c r="J33" s="278">
        <v>44055.5555555556</v>
      </c>
      <c r="K33" s="278">
        <v>0</v>
      </c>
      <c r="L33" s="281">
        <v>888.888888888889</v>
      </c>
      <c r="M33" s="281">
        <v>9527.77777777778</v>
      </c>
      <c r="N33" s="281">
        <v>11611.1111111111</v>
      </c>
      <c r="O33" s="281">
        <v>11611.1111111111</v>
      </c>
      <c r="P33" s="281">
        <v>11611.1111111111</v>
      </c>
      <c r="Q33" s="281">
        <v>11611.1111111111</v>
      </c>
      <c r="R33" s="281">
        <v>11611.1111111111</v>
      </c>
      <c r="S33" s="281">
        <v>11611.1111111111</v>
      </c>
      <c r="T33" s="281">
        <v>11611.1111111111</v>
      </c>
      <c r="U33" s="281">
        <v>11611.1111111111</v>
      </c>
      <c r="V33" s="281">
        <v>11611.1111111111</v>
      </c>
      <c r="W33" s="281">
        <v>11611.1111111111</v>
      </c>
      <c r="X33" s="281">
        <f t="shared" si="5"/>
        <v>126527.777777778</v>
      </c>
    </row>
    <row r="34" ht="16.5" spans="1:24">
      <c r="A34" s="286" t="s">
        <v>1981</v>
      </c>
      <c r="B34" s="286"/>
      <c r="C34" s="277">
        <f t="shared" si="4"/>
        <v>0</v>
      </c>
      <c r="D34" s="277"/>
      <c r="E34" s="277"/>
      <c r="F34" s="278">
        <v>0</v>
      </c>
      <c r="G34" s="278">
        <v>0</v>
      </c>
      <c r="H34" s="278">
        <v>0</v>
      </c>
      <c r="I34" s="278">
        <v>0</v>
      </c>
      <c r="J34" s="278">
        <v>0</v>
      </c>
      <c r="K34" s="278">
        <v>0</v>
      </c>
      <c r="L34" s="281">
        <v>0</v>
      </c>
      <c r="M34" s="281">
        <v>0</v>
      </c>
      <c r="N34" s="281">
        <v>0</v>
      </c>
      <c r="O34" s="281">
        <v>0</v>
      </c>
      <c r="P34" s="281">
        <v>0</v>
      </c>
      <c r="Q34" s="281">
        <v>0</v>
      </c>
      <c r="R34" s="281">
        <v>0</v>
      </c>
      <c r="S34" s="281">
        <v>0</v>
      </c>
      <c r="T34" s="281">
        <v>0</v>
      </c>
      <c r="U34" s="281">
        <v>0</v>
      </c>
      <c r="V34" s="281">
        <v>0</v>
      </c>
      <c r="W34" s="281">
        <v>0</v>
      </c>
      <c r="X34" s="281">
        <f t="shared" si="5"/>
        <v>0</v>
      </c>
    </row>
    <row r="35" ht="16.5" spans="1:24">
      <c r="A35" s="286" t="s">
        <v>1894</v>
      </c>
      <c r="B35" s="286"/>
      <c r="C35" s="277">
        <f t="shared" si="4"/>
        <v>0</v>
      </c>
      <c r="D35" s="277"/>
      <c r="E35" s="277"/>
      <c r="F35" s="278">
        <v>0</v>
      </c>
      <c r="G35" s="278">
        <v>0</v>
      </c>
      <c r="H35" s="278">
        <v>0</v>
      </c>
      <c r="I35" s="278">
        <v>0</v>
      </c>
      <c r="J35" s="278">
        <v>0</v>
      </c>
      <c r="K35" s="278">
        <v>0</v>
      </c>
      <c r="L35" s="281">
        <v>0</v>
      </c>
      <c r="M35" s="281">
        <v>0</v>
      </c>
      <c r="N35" s="281">
        <v>0</v>
      </c>
      <c r="O35" s="281">
        <v>0</v>
      </c>
      <c r="P35" s="281">
        <v>0</v>
      </c>
      <c r="Q35" s="281">
        <v>0</v>
      </c>
      <c r="R35" s="281">
        <v>0</v>
      </c>
      <c r="S35" s="281">
        <v>0</v>
      </c>
      <c r="T35" s="281">
        <v>0</v>
      </c>
      <c r="U35" s="281">
        <v>0</v>
      </c>
      <c r="V35" s="281">
        <v>0</v>
      </c>
      <c r="W35" s="281">
        <v>0</v>
      </c>
      <c r="X35" s="281">
        <f t="shared" si="5"/>
        <v>0</v>
      </c>
    </row>
    <row r="36" ht="16.5" spans="1:24">
      <c r="A36" s="286" t="s">
        <v>2123</v>
      </c>
      <c r="B36" s="286"/>
      <c r="C36" s="277">
        <f t="shared" si="4"/>
        <v>0</v>
      </c>
      <c r="D36" s="277"/>
      <c r="E36" s="277"/>
      <c r="F36" s="278">
        <v>0</v>
      </c>
      <c r="G36" s="278">
        <v>0</v>
      </c>
      <c r="H36" s="278">
        <v>0</v>
      </c>
      <c r="I36" s="278">
        <v>0</v>
      </c>
      <c r="J36" s="278">
        <v>0</v>
      </c>
      <c r="K36" s="278">
        <v>0</v>
      </c>
      <c r="L36" s="281">
        <v>0</v>
      </c>
      <c r="M36" s="281">
        <v>0</v>
      </c>
      <c r="N36" s="281">
        <v>0</v>
      </c>
      <c r="O36" s="281">
        <v>0</v>
      </c>
      <c r="P36" s="281">
        <v>0</v>
      </c>
      <c r="Q36" s="281">
        <v>0</v>
      </c>
      <c r="R36" s="281">
        <v>0</v>
      </c>
      <c r="S36" s="281">
        <v>0</v>
      </c>
      <c r="T36" s="281">
        <v>0</v>
      </c>
      <c r="U36" s="281">
        <v>0</v>
      </c>
      <c r="V36" s="281">
        <v>0</v>
      </c>
      <c r="W36" s="281">
        <v>0</v>
      </c>
      <c r="X36" s="281">
        <f t="shared" si="5"/>
        <v>0</v>
      </c>
    </row>
    <row r="37" ht="16.5" spans="1:24">
      <c r="A37" s="286" t="s">
        <v>2124</v>
      </c>
      <c r="B37" s="286"/>
      <c r="C37" s="277">
        <f t="shared" si="4"/>
        <v>119000</v>
      </c>
      <c r="D37" s="277"/>
      <c r="E37" s="277"/>
      <c r="F37" s="278">
        <v>0</v>
      </c>
      <c r="G37" s="278">
        <v>0</v>
      </c>
      <c r="H37" s="278">
        <v>4000</v>
      </c>
      <c r="I37" s="278">
        <v>76000</v>
      </c>
      <c r="J37" s="278">
        <v>39000</v>
      </c>
      <c r="K37" s="278">
        <v>0</v>
      </c>
      <c r="L37" s="281">
        <v>20000</v>
      </c>
      <c r="M37" s="281">
        <v>0</v>
      </c>
      <c r="N37" s="281">
        <v>13000</v>
      </c>
      <c r="O37" s="281">
        <v>61000</v>
      </c>
      <c r="P37" s="281">
        <v>0</v>
      </c>
      <c r="Q37" s="281">
        <v>0</v>
      </c>
      <c r="R37" s="281">
        <v>0</v>
      </c>
      <c r="S37" s="281">
        <v>0</v>
      </c>
      <c r="T37" s="281">
        <v>5000</v>
      </c>
      <c r="U37" s="281">
        <v>10000</v>
      </c>
      <c r="V37" s="281">
        <v>0</v>
      </c>
      <c r="W37" s="281">
        <v>10000</v>
      </c>
      <c r="X37" s="281">
        <f t="shared" si="5"/>
        <v>119000</v>
      </c>
    </row>
    <row r="38" ht="16.5" spans="1:24">
      <c r="A38" s="286" t="s">
        <v>462</v>
      </c>
      <c r="B38" s="286"/>
      <c r="C38" s="277">
        <f t="shared" si="4"/>
        <v>0</v>
      </c>
      <c r="D38" s="277"/>
      <c r="E38" s="277"/>
      <c r="F38" s="278">
        <v>0</v>
      </c>
      <c r="G38" s="278">
        <v>0</v>
      </c>
      <c r="H38" s="278">
        <v>0</v>
      </c>
      <c r="I38" s="278">
        <v>0</v>
      </c>
      <c r="J38" s="278">
        <v>0</v>
      </c>
      <c r="K38" s="278">
        <v>0</v>
      </c>
      <c r="L38" s="281">
        <v>0</v>
      </c>
      <c r="M38" s="281">
        <v>0</v>
      </c>
      <c r="N38" s="281">
        <v>0</v>
      </c>
      <c r="O38" s="281">
        <v>0</v>
      </c>
      <c r="P38" s="281">
        <v>0</v>
      </c>
      <c r="Q38" s="281">
        <v>0</v>
      </c>
      <c r="R38" s="281">
        <v>0</v>
      </c>
      <c r="S38" s="281">
        <v>0</v>
      </c>
      <c r="T38" s="281">
        <v>0</v>
      </c>
      <c r="U38" s="281">
        <v>0</v>
      </c>
      <c r="V38" s="281">
        <v>0</v>
      </c>
      <c r="W38" s="281">
        <v>0</v>
      </c>
      <c r="X38" s="281">
        <f t="shared" si="5"/>
        <v>0</v>
      </c>
    </row>
    <row r="39" ht="16.5" spans="1:24">
      <c r="A39" s="286" t="s">
        <v>1982</v>
      </c>
      <c r="B39" s="286"/>
      <c r="C39" s="277">
        <f t="shared" si="4"/>
        <v>0</v>
      </c>
      <c r="D39" s="277"/>
      <c r="E39" s="277"/>
      <c r="F39" s="278">
        <v>0</v>
      </c>
      <c r="G39" s="278">
        <v>0</v>
      </c>
      <c r="H39" s="278">
        <v>0</v>
      </c>
      <c r="I39" s="278">
        <v>0</v>
      </c>
      <c r="J39" s="278">
        <v>0</v>
      </c>
      <c r="K39" s="278">
        <v>0</v>
      </c>
      <c r="L39" s="281">
        <v>0</v>
      </c>
      <c r="M39" s="281">
        <v>0</v>
      </c>
      <c r="N39" s="281">
        <v>0</v>
      </c>
      <c r="O39" s="281">
        <v>0</v>
      </c>
      <c r="P39" s="281">
        <v>0</v>
      </c>
      <c r="Q39" s="281">
        <v>0</v>
      </c>
      <c r="R39" s="281">
        <v>0</v>
      </c>
      <c r="S39" s="281">
        <v>0</v>
      </c>
      <c r="T39" s="281">
        <v>0</v>
      </c>
      <c r="U39" s="281">
        <v>0</v>
      </c>
      <c r="V39" s="281">
        <v>0</v>
      </c>
      <c r="W39" s="281">
        <v>0</v>
      </c>
      <c r="X39" s="281">
        <f t="shared" si="5"/>
        <v>0</v>
      </c>
    </row>
    <row r="40" ht="16.5" spans="1:24">
      <c r="A40" s="286" t="s">
        <v>1983</v>
      </c>
      <c r="B40" s="286"/>
      <c r="C40" s="277">
        <f t="shared" si="4"/>
        <v>0</v>
      </c>
      <c r="D40" s="277"/>
      <c r="E40" s="277"/>
      <c r="F40" s="278">
        <v>0</v>
      </c>
      <c r="G40" s="278">
        <v>0</v>
      </c>
      <c r="H40" s="278">
        <v>0</v>
      </c>
      <c r="I40" s="278">
        <v>0</v>
      </c>
      <c r="J40" s="278">
        <v>0</v>
      </c>
      <c r="K40" s="278">
        <v>0</v>
      </c>
      <c r="L40" s="281">
        <v>0</v>
      </c>
      <c r="M40" s="281">
        <v>0</v>
      </c>
      <c r="N40" s="281">
        <v>0</v>
      </c>
      <c r="O40" s="281">
        <v>0</v>
      </c>
      <c r="P40" s="281">
        <v>0</v>
      </c>
      <c r="Q40" s="281">
        <v>0</v>
      </c>
      <c r="R40" s="281">
        <v>0</v>
      </c>
      <c r="S40" s="281">
        <v>0</v>
      </c>
      <c r="T40" s="281">
        <v>0</v>
      </c>
      <c r="U40" s="281">
        <v>0</v>
      </c>
      <c r="V40" s="281">
        <v>0</v>
      </c>
      <c r="W40" s="281">
        <v>0</v>
      </c>
      <c r="X40" s="281">
        <f t="shared" si="5"/>
        <v>0</v>
      </c>
    </row>
    <row r="41" ht="16.5" spans="1:24">
      <c r="A41" s="286" t="s">
        <v>451</v>
      </c>
      <c r="B41" s="286"/>
      <c r="C41" s="277">
        <f t="shared" si="4"/>
        <v>0</v>
      </c>
      <c r="D41" s="277"/>
      <c r="E41" s="277"/>
      <c r="F41" s="278">
        <v>0</v>
      </c>
      <c r="G41" s="278">
        <v>0</v>
      </c>
      <c r="H41" s="278">
        <v>0</v>
      </c>
      <c r="I41" s="278">
        <v>0</v>
      </c>
      <c r="J41" s="278">
        <v>0</v>
      </c>
      <c r="K41" s="278">
        <v>0</v>
      </c>
      <c r="L41" s="281">
        <v>0</v>
      </c>
      <c r="M41" s="281">
        <v>0</v>
      </c>
      <c r="N41" s="281">
        <v>0</v>
      </c>
      <c r="O41" s="281">
        <v>0</v>
      </c>
      <c r="P41" s="281">
        <v>0</v>
      </c>
      <c r="Q41" s="281">
        <v>0</v>
      </c>
      <c r="R41" s="281">
        <v>0</v>
      </c>
      <c r="S41" s="281">
        <v>0</v>
      </c>
      <c r="T41" s="281">
        <v>0</v>
      </c>
      <c r="U41" s="281">
        <v>0</v>
      </c>
      <c r="V41" s="281">
        <v>0</v>
      </c>
      <c r="W41" s="281">
        <v>0</v>
      </c>
      <c r="X41" s="281">
        <f t="shared" si="5"/>
        <v>0</v>
      </c>
    </row>
    <row r="42" ht="16.5" spans="1:24">
      <c r="A42" s="286" t="s">
        <v>2003</v>
      </c>
      <c r="B42" s="286"/>
      <c r="C42" s="277">
        <f t="shared" si="4"/>
        <v>0</v>
      </c>
      <c r="D42" s="277"/>
      <c r="E42" s="277"/>
      <c r="F42" s="278">
        <v>0</v>
      </c>
      <c r="G42" s="278">
        <v>0</v>
      </c>
      <c r="H42" s="278">
        <v>0</v>
      </c>
      <c r="I42" s="278">
        <v>0</v>
      </c>
      <c r="J42" s="278">
        <v>0</v>
      </c>
      <c r="K42" s="278">
        <v>0</v>
      </c>
      <c r="L42" s="281">
        <v>0</v>
      </c>
      <c r="M42" s="281">
        <v>0</v>
      </c>
      <c r="N42" s="281">
        <v>0</v>
      </c>
      <c r="O42" s="281">
        <v>0</v>
      </c>
      <c r="P42" s="281">
        <v>0</v>
      </c>
      <c r="Q42" s="281">
        <v>0</v>
      </c>
      <c r="R42" s="281">
        <v>0</v>
      </c>
      <c r="S42" s="281">
        <v>0</v>
      </c>
      <c r="T42" s="281">
        <v>0</v>
      </c>
      <c r="U42" s="281">
        <v>0</v>
      </c>
      <c r="V42" s="281">
        <v>0</v>
      </c>
      <c r="W42" s="281">
        <v>0</v>
      </c>
      <c r="X42" s="281">
        <f t="shared" si="5"/>
        <v>0</v>
      </c>
    </row>
    <row r="43" ht="16.5" spans="1:24">
      <c r="A43" s="286" t="s">
        <v>2004</v>
      </c>
      <c r="B43" s="286"/>
      <c r="C43" s="277">
        <f t="shared" si="4"/>
        <v>0</v>
      </c>
      <c r="D43" s="277"/>
      <c r="E43" s="277"/>
      <c r="F43" s="278">
        <v>0</v>
      </c>
      <c r="G43" s="278">
        <v>0</v>
      </c>
      <c r="H43" s="278">
        <v>0</v>
      </c>
      <c r="I43" s="278">
        <v>0</v>
      </c>
      <c r="J43" s="278">
        <v>0</v>
      </c>
      <c r="K43" s="278">
        <v>0</v>
      </c>
      <c r="L43" s="281">
        <v>0</v>
      </c>
      <c r="M43" s="281">
        <v>0</v>
      </c>
      <c r="N43" s="281">
        <v>0</v>
      </c>
      <c r="O43" s="281">
        <v>0</v>
      </c>
      <c r="P43" s="281">
        <v>0</v>
      </c>
      <c r="Q43" s="281">
        <v>0</v>
      </c>
      <c r="R43" s="281">
        <v>0</v>
      </c>
      <c r="S43" s="281">
        <v>0</v>
      </c>
      <c r="T43" s="281">
        <v>0</v>
      </c>
      <c r="U43" s="281">
        <v>0</v>
      </c>
      <c r="V43" s="281">
        <v>0</v>
      </c>
      <c r="W43" s="281">
        <v>0</v>
      </c>
      <c r="X43" s="281">
        <f t="shared" si="5"/>
        <v>0</v>
      </c>
    </row>
    <row r="44" ht="16.5" spans="1:24">
      <c r="A44" s="286" t="s">
        <v>475</v>
      </c>
      <c r="B44" s="286"/>
      <c r="C44" s="277">
        <f t="shared" si="4"/>
        <v>0</v>
      </c>
      <c r="D44" s="277"/>
      <c r="E44" s="277"/>
      <c r="F44" s="278">
        <v>0</v>
      </c>
      <c r="G44" s="278">
        <v>0</v>
      </c>
      <c r="H44" s="278">
        <v>0</v>
      </c>
      <c r="I44" s="278">
        <v>0</v>
      </c>
      <c r="J44" s="278">
        <v>0</v>
      </c>
      <c r="K44" s="278">
        <v>0</v>
      </c>
      <c r="L44" s="281">
        <v>0</v>
      </c>
      <c r="M44" s="281">
        <v>0</v>
      </c>
      <c r="N44" s="281">
        <v>0</v>
      </c>
      <c r="O44" s="281">
        <v>0</v>
      </c>
      <c r="P44" s="281">
        <v>0</v>
      </c>
      <c r="Q44" s="281">
        <v>0</v>
      </c>
      <c r="R44" s="281">
        <v>0</v>
      </c>
      <c r="S44" s="281">
        <v>0</v>
      </c>
      <c r="T44" s="281">
        <v>0</v>
      </c>
      <c r="U44" s="281">
        <v>0</v>
      </c>
      <c r="V44" s="281">
        <v>0</v>
      </c>
      <c r="W44" s="281">
        <v>0</v>
      </c>
      <c r="X44" s="281">
        <f t="shared" si="5"/>
        <v>0</v>
      </c>
    </row>
    <row r="45" ht="16.5" spans="1:24">
      <c r="A45" s="286" t="s">
        <v>2005</v>
      </c>
      <c r="B45" s="286"/>
      <c r="C45" s="277">
        <f t="shared" si="4"/>
        <v>0</v>
      </c>
      <c r="D45" s="277"/>
      <c r="E45" s="277"/>
      <c r="F45" s="278">
        <v>0</v>
      </c>
      <c r="G45" s="278">
        <v>0</v>
      </c>
      <c r="H45" s="278">
        <v>0</v>
      </c>
      <c r="I45" s="278">
        <v>0</v>
      </c>
      <c r="J45" s="278">
        <v>0</v>
      </c>
      <c r="K45" s="278">
        <v>0</v>
      </c>
      <c r="L45" s="281">
        <v>0</v>
      </c>
      <c r="M45" s="281">
        <v>0</v>
      </c>
      <c r="N45" s="281">
        <v>0</v>
      </c>
      <c r="O45" s="281">
        <v>0</v>
      </c>
      <c r="P45" s="281">
        <v>0</v>
      </c>
      <c r="Q45" s="281">
        <v>0</v>
      </c>
      <c r="R45" s="281">
        <v>0</v>
      </c>
      <c r="S45" s="281">
        <v>0</v>
      </c>
      <c r="T45" s="281">
        <v>0</v>
      </c>
      <c r="U45" s="281">
        <v>0</v>
      </c>
      <c r="V45" s="281">
        <v>0</v>
      </c>
      <c r="W45" s="281">
        <v>0</v>
      </c>
      <c r="X45" s="281">
        <f t="shared" si="5"/>
        <v>0</v>
      </c>
    </row>
    <row r="46" ht="16.5" spans="1:24">
      <c r="A46" s="286" t="s">
        <v>2006</v>
      </c>
      <c r="B46" s="286"/>
      <c r="C46" s="277">
        <f t="shared" si="4"/>
        <v>0</v>
      </c>
      <c r="D46" s="277"/>
      <c r="E46" s="277"/>
      <c r="F46" s="278">
        <v>0</v>
      </c>
      <c r="G46" s="278">
        <v>0</v>
      </c>
      <c r="H46" s="278">
        <v>0</v>
      </c>
      <c r="I46" s="278">
        <v>0</v>
      </c>
      <c r="J46" s="278">
        <v>0</v>
      </c>
      <c r="K46" s="278">
        <v>0</v>
      </c>
      <c r="L46" s="281">
        <v>0</v>
      </c>
      <c r="M46" s="281">
        <v>0</v>
      </c>
      <c r="N46" s="281">
        <v>0</v>
      </c>
      <c r="O46" s="281">
        <v>0</v>
      </c>
      <c r="P46" s="281">
        <v>0</v>
      </c>
      <c r="Q46" s="281">
        <v>0</v>
      </c>
      <c r="R46" s="281">
        <v>0</v>
      </c>
      <c r="S46" s="281">
        <v>0</v>
      </c>
      <c r="T46" s="281">
        <v>0</v>
      </c>
      <c r="U46" s="281">
        <v>0</v>
      </c>
      <c r="V46" s="281">
        <v>0</v>
      </c>
      <c r="W46" s="281">
        <v>0</v>
      </c>
      <c r="X46" s="281">
        <f t="shared" si="5"/>
        <v>0</v>
      </c>
    </row>
    <row r="47" ht="16.5" spans="1:24">
      <c r="A47" s="286" t="s">
        <v>2125</v>
      </c>
      <c r="B47" s="286"/>
      <c r="C47" s="277">
        <f t="shared" si="4"/>
        <v>16000</v>
      </c>
      <c r="D47" s="277"/>
      <c r="E47" s="277"/>
      <c r="F47" s="278">
        <v>16000</v>
      </c>
      <c r="G47" s="278">
        <v>0</v>
      </c>
      <c r="H47" s="278">
        <v>0</v>
      </c>
      <c r="I47" s="278">
        <v>0</v>
      </c>
      <c r="J47" s="278">
        <v>0</v>
      </c>
      <c r="K47" s="278">
        <v>0</v>
      </c>
      <c r="L47" s="281">
        <v>0</v>
      </c>
      <c r="M47" s="281">
        <v>0</v>
      </c>
      <c r="N47" s="281">
        <v>8000</v>
      </c>
      <c r="O47" s="281">
        <v>0</v>
      </c>
      <c r="P47" s="281">
        <v>0</v>
      </c>
      <c r="Q47" s="281">
        <v>0</v>
      </c>
      <c r="R47" s="281">
        <v>0</v>
      </c>
      <c r="S47" s="281">
        <v>0</v>
      </c>
      <c r="T47" s="281">
        <v>8000</v>
      </c>
      <c r="U47" s="281">
        <v>0</v>
      </c>
      <c r="V47" s="281">
        <v>0</v>
      </c>
      <c r="W47" s="281">
        <v>0</v>
      </c>
      <c r="X47" s="281">
        <f t="shared" si="5"/>
        <v>16000</v>
      </c>
    </row>
    <row r="48" ht="16.5" spans="1:24">
      <c r="A48" s="286" t="s">
        <v>393</v>
      </c>
      <c r="B48" s="286"/>
      <c r="C48" s="277">
        <f t="shared" si="4"/>
        <v>58300</v>
      </c>
      <c r="D48" s="277"/>
      <c r="E48" s="277"/>
      <c r="F48" s="278">
        <v>13000</v>
      </c>
      <c r="G48" s="278">
        <v>4000</v>
      </c>
      <c r="H48" s="278">
        <v>6200</v>
      </c>
      <c r="I48" s="278">
        <v>16500</v>
      </c>
      <c r="J48" s="278">
        <v>15000</v>
      </c>
      <c r="K48" s="278">
        <v>3600</v>
      </c>
      <c r="L48" s="281">
        <v>2600</v>
      </c>
      <c r="M48" s="281">
        <v>2500</v>
      </c>
      <c r="N48" s="281">
        <v>7100</v>
      </c>
      <c r="O48" s="281">
        <v>3800</v>
      </c>
      <c r="P48" s="281">
        <v>6900</v>
      </c>
      <c r="Q48" s="281">
        <v>3100</v>
      </c>
      <c r="R48" s="281">
        <v>8100</v>
      </c>
      <c r="S48" s="281">
        <v>3600</v>
      </c>
      <c r="T48" s="281">
        <v>8100</v>
      </c>
      <c r="U48" s="281">
        <v>5900</v>
      </c>
      <c r="V48" s="281">
        <v>3600</v>
      </c>
      <c r="W48" s="281">
        <v>3000</v>
      </c>
      <c r="X48" s="281">
        <f t="shared" si="5"/>
        <v>58300</v>
      </c>
    </row>
    <row r="49" ht="16.5" spans="1:24">
      <c r="A49" s="286" t="s">
        <v>2126</v>
      </c>
      <c r="B49" s="286"/>
      <c r="C49" s="277">
        <f t="shared" si="4"/>
        <v>6517609</v>
      </c>
      <c r="D49" s="277"/>
      <c r="E49" s="277"/>
      <c r="F49" s="278">
        <v>479600</v>
      </c>
      <c r="G49" s="278">
        <v>215000</v>
      </c>
      <c r="H49" s="278">
        <v>1880709</v>
      </c>
      <c r="I49" s="278">
        <v>2555500</v>
      </c>
      <c r="J49" s="278">
        <v>802600</v>
      </c>
      <c r="K49" s="278">
        <v>584200</v>
      </c>
      <c r="L49" s="281">
        <v>525900</v>
      </c>
      <c r="M49" s="281">
        <v>286500</v>
      </c>
      <c r="N49" s="281">
        <v>509700</v>
      </c>
      <c r="O49" s="281">
        <v>419300</v>
      </c>
      <c r="P49" s="281">
        <v>701700</v>
      </c>
      <c r="Q49" s="281">
        <v>657300</v>
      </c>
      <c r="R49" s="281">
        <v>948500</v>
      </c>
      <c r="S49" s="281">
        <v>486300</v>
      </c>
      <c r="T49" s="281">
        <v>751700</v>
      </c>
      <c r="U49" s="281">
        <v>618700</v>
      </c>
      <c r="V49" s="281">
        <v>385309</v>
      </c>
      <c r="W49" s="281">
        <v>226700</v>
      </c>
      <c r="X49" s="281">
        <f t="shared" si="5"/>
        <v>6517609</v>
      </c>
    </row>
    <row r="50" ht="16.5" spans="1:24">
      <c r="A50" s="286" t="s">
        <v>2007</v>
      </c>
      <c r="B50" s="286"/>
      <c r="C50" s="277">
        <f t="shared" si="4"/>
        <v>0</v>
      </c>
      <c r="D50" s="277"/>
      <c r="E50" s="277"/>
      <c r="F50" s="278">
        <v>0</v>
      </c>
      <c r="G50" s="278">
        <v>0</v>
      </c>
      <c r="H50" s="278">
        <v>0</v>
      </c>
      <c r="I50" s="278">
        <v>0</v>
      </c>
      <c r="J50" s="278">
        <v>0</v>
      </c>
      <c r="K50" s="278">
        <v>0</v>
      </c>
      <c r="L50" s="281">
        <v>0</v>
      </c>
      <c r="M50" s="281">
        <v>0</v>
      </c>
      <c r="N50" s="281">
        <v>0</v>
      </c>
      <c r="O50" s="281">
        <v>0</v>
      </c>
      <c r="P50" s="281">
        <v>0</v>
      </c>
      <c r="Q50" s="281">
        <v>0</v>
      </c>
      <c r="R50" s="281">
        <v>0</v>
      </c>
      <c r="S50" s="281">
        <v>0</v>
      </c>
      <c r="T50" s="281">
        <v>0</v>
      </c>
      <c r="U50" s="281">
        <v>0</v>
      </c>
      <c r="V50" s="281">
        <v>0</v>
      </c>
      <c r="W50" s="281">
        <v>0</v>
      </c>
      <c r="X50" s="281">
        <f t="shared" si="5"/>
        <v>0</v>
      </c>
    </row>
    <row r="51" ht="16.5" spans="1:24">
      <c r="A51" s="286" t="s">
        <v>2008</v>
      </c>
      <c r="B51" s="286"/>
      <c r="C51" s="277">
        <f t="shared" si="4"/>
        <v>0</v>
      </c>
      <c r="D51" s="277"/>
      <c r="E51" s="277"/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81">
        <v>0</v>
      </c>
      <c r="M51" s="281">
        <v>0</v>
      </c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>
        <f t="shared" si="5"/>
        <v>0</v>
      </c>
    </row>
    <row r="52" ht="16.5" spans="1:24">
      <c r="A52" s="286" t="s">
        <v>2127</v>
      </c>
      <c r="B52" s="286"/>
      <c r="C52" s="277">
        <f t="shared" si="4"/>
        <v>0</v>
      </c>
      <c r="D52" s="277"/>
      <c r="E52" s="277"/>
      <c r="F52" s="278">
        <v>0</v>
      </c>
      <c r="G52" s="278">
        <v>0</v>
      </c>
      <c r="H52" s="278">
        <v>0</v>
      </c>
      <c r="I52" s="278">
        <v>0</v>
      </c>
      <c r="J52" s="278">
        <v>0</v>
      </c>
      <c r="K52" s="278">
        <v>0</v>
      </c>
      <c r="L52" s="281">
        <v>0</v>
      </c>
      <c r="M52" s="281">
        <v>0</v>
      </c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X52" s="281">
        <f t="shared" si="5"/>
        <v>0</v>
      </c>
    </row>
    <row r="53" ht="16.5" spans="1:24">
      <c r="A53" s="286" t="s">
        <v>466</v>
      </c>
      <c r="B53" s="286"/>
      <c r="C53" s="277">
        <f t="shared" si="4"/>
        <v>0</v>
      </c>
      <c r="D53" s="277"/>
      <c r="E53" s="277"/>
      <c r="F53" s="278">
        <v>0</v>
      </c>
      <c r="G53" s="278">
        <v>0</v>
      </c>
      <c r="H53" s="278">
        <v>0</v>
      </c>
      <c r="I53" s="278">
        <v>0</v>
      </c>
      <c r="J53" s="278">
        <v>0</v>
      </c>
      <c r="K53" s="278">
        <v>0</v>
      </c>
      <c r="L53" s="281">
        <v>0</v>
      </c>
      <c r="M53" s="281">
        <v>0</v>
      </c>
      <c r="N53" s="281">
        <v>0</v>
      </c>
      <c r="O53" s="281">
        <v>0</v>
      </c>
      <c r="P53" s="281">
        <v>0</v>
      </c>
      <c r="Q53" s="281">
        <v>0</v>
      </c>
      <c r="R53" s="281">
        <v>0</v>
      </c>
      <c r="S53" s="281">
        <v>0</v>
      </c>
      <c r="T53" s="281">
        <v>0</v>
      </c>
      <c r="U53" s="281">
        <v>0</v>
      </c>
      <c r="V53" s="281">
        <v>0</v>
      </c>
      <c r="W53" s="281">
        <v>0</v>
      </c>
      <c r="X53" s="281">
        <f t="shared" si="5"/>
        <v>0</v>
      </c>
    </row>
    <row r="54" ht="16.5" spans="1:24">
      <c r="A54" s="287" t="s">
        <v>276</v>
      </c>
      <c r="B54" s="287"/>
      <c r="C54" s="277">
        <f t="shared" si="4"/>
        <v>9233534.33777778</v>
      </c>
      <c r="D54" s="277"/>
      <c r="E54" s="277"/>
      <c r="F54" s="278">
        <f t="shared" ref="F54:W54" si="6">SUM(F12:F53)</f>
        <v>744500</v>
      </c>
      <c r="G54" s="278">
        <f t="shared" si="6"/>
        <v>502700</v>
      </c>
      <c r="H54" s="278">
        <f t="shared" si="6"/>
        <v>2400181.22222222</v>
      </c>
      <c r="I54" s="278">
        <f t="shared" si="6"/>
        <v>3260000</v>
      </c>
      <c r="J54" s="278">
        <f t="shared" si="6"/>
        <v>1340505.91555556</v>
      </c>
      <c r="K54" s="278">
        <f t="shared" si="6"/>
        <v>985647.2</v>
      </c>
      <c r="L54" s="278">
        <f t="shared" si="6"/>
        <v>750106.268888889</v>
      </c>
      <c r="M54" s="278">
        <f t="shared" si="6"/>
        <v>426745.157777778</v>
      </c>
      <c r="N54" s="278">
        <f t="shared" si="6"/>
        <v>724478.491111111</v>
      </c>
      <c r="O54" s="278">
        <f t="shared" si="6"/>
        <v>678478.491111111</v>
      </c>
      <c r="P54" s="278">
        <f t="shared" si="6"/>
        <v>888978.491111111</v>
      </c>
      <c r="Q54" s="278">
        <f t="shared" si="6"/>
        <v>841778.491111111</v>
      </c>
      <c r="R54" s="278">
        <f t="shared" si="6"/>
        <v>1279367.49111111</v>
      </c>
      <c r="S54" s="278">
        <f t="shared" si="6"/>
        <v>722478.491111111</v>
      </c>
      <c r="T54" s="278">
        <f t="shared" si="6"/>
        <v>1043178.49111111</v>
      </c>
      <c r="U54" s="278">
        <f t="shared" si="6"/>
        <v>847978.491111111</v>
      </c>
      <c r="V54" s="278">
        <f t="shared" si="6"/>
        <v>586087.491111111</v>
      </c>
      <c r="W54" s="278">
        <f t="shared" si="6"/>
        <v>443878.491111111</v>
      </c>
      <c r="X54" s="281">
        <f t="shared" si="5"/>
        <v>9233534.33777778</v>
      </c>
    </row>
  </sheetData>
  <mergeCells count="3">
    <mergeCell ref="A5:F5"/>
    <mergeCell ref="C11:X11"/>
    <mergeCell ref="A1:F4"/>
  </mergeCells>
  <conditionalFormatting sqref="C8:E54">
    <cfRule type="cellIs" dxfId="4" priority="1" operator="lessThan">
      <formula>0</formula>
    </cfRule>
  </conditionalFormatting>
  <hyperlinks>
    <hyperlink ref="A1" location="目录!A1" display="← 返回目录"/>
  </hyperlinks>
  <pageMargins left="0.75" right="0.75" top="1" bottom="1" header="0.5" footer="0.5"/>
  <pageSetup paperSize="9" orientation="portrait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2">
    <tabColor theme="8" tint="0.399975585192419"/>
  </sheetPr>
  <dimension ref="A1:Q86"/>
  <sheetViews>
    <sheetView showGridLines="0" zoomScale="90" zoomScaleNormal="90" topLeftCell="A41" workbookViewId="0">
      <selection activeCell="A80" sqref="$A80:$XFD86"/>
    </sheetView>
  </sheetViews>
  <sheetFormatPr defaultColWidth="9" defaultRowHeight="15"/>
  <cols>
    <col min="1" max="1" width="19.0916666666667" style="212" customWidth="1"/>
    <col min="2" max="2" width="36.6333333333333" style="213" customWidth="1"/>
    <col min="3" max="6" width="11.6333333333333" style="214" customWidth="1" outlineLevel="1"/>
    <col min="7" max="7" width="13.1833333333333" style="214" customWidth="1" outlineLevel="1"/>
    <col min="8" max="10" width="11.6333333333333" style="214" customWidth="1" outlineLevel="1"/>
    <col min="11" max="11" width="13.1833333333333" style="214" customWidth="1" outlineLevel="1"/>
    <col min="12" max="12" width="11.6333333333333" style="214" customWidth="1" outlineLevel="1"/>
    <col min="13" max="13" width="13" style="214" customWidth="1" outlineLevel="1"/>
    <col min="14" max="14" width="13.725" style="214" customWidth="1" outlineLevel="1"/>
    <col min="15" max="15" width="13.1833333333333" style="214" customWidth="1"/>
    <col min="16" max="16384" width="9" style="213"/>
  </cols>
  <sheetData>
    <row r="1" s="157" customFormat="1" ht="19" customHeight="1" spans="1:17">
      <c r="A1" s="202" t="s">
        <v>185</v>
      </c>
      <c r="B1" s="163"/>
      <c r="C1" s="163"/>
      <c r="D1" s="164" t="s">
        <v>1404</v>
      </c>
      <c r="E1" s="165" t="s">
        <v>1405</v>
      </c>
      <c r="F1" s="165"/>
      <c r="G1" s="165"/>
      <c r="H1" s="215"/>
      <c r="I1" s="216"/>
    </row>
    <row r="2" s="157" customFormat="1" ht="19" customHeight="1" spans="1:17">
      <c r="A2" s="163"/>
      <c r="B2" s="163"/>
      <c r="C2" s="163"/>
      <c r="D2" s="166"/>
      <c r="E2" s="167" t="s">
        <v>1700</v>
      </c>
      <c r="F2" s="167"/>
      <c r="G2" s="167"/>
      <c r="I2" s="217"/>
    </row>
    <row r="3" s="157" customFormat="1" ht="19" customHeight="1" spans="1:17">
      <c r="A3" s="163"/>
      <c r="B3" s="163"/>
      <c r="C3" s="163"/>
      <c r="D3" s="166"/>
      <c r="E3" s="167" t="s">
        <v>1660</v>
      </c>
      <c r="F3" s="167"/>
      <c r="G3" s="167"/>
      <c r="I3" s="217"/>
    </row>
    <row r="4" s="157" customFormat="1" ht="19" customHeight="1" spans="1:17">
      <c r="A4" s="163"/>
      <c r="B4" s="163"/>
      <c r="C4" s="163"/>
      <c r="D4" s="166"/>
      <c r="E4" s="167"/>
      <c r="F4" s="167"/>
      <c r="G4" s="167"/>
      <c r="I4" s="217"/>
    </row>
    <row r="5" s="157" customFormat="1" ht="19" customHeight="1" spans="1:17">
      <c r="A5" s="168" t="s">
        <v>2106</v>
      </c>
      <c r="B5" s="168"/>
      <c r="C5" s="168"/>
      <c r="D5" s="169" t="s">
        <v>1567</v>
      </c>
      <c r="E5" s="170"/>
      <c r="F5" s="170"/>
      <c r="G5" s="171"/>
      <c r="H5" s="218"/>
      <c r="I5" s="219"/>
    </row>
    <row r="6" s="157" customFormat="1" ht="13.5" spans="1:17">
      <c r="A6" s="220"/>
      <c r="B6" s="167"/>
      <c r="C6" s="167"/>
      <c r="D6" s="221"/>
      <c r="E6" s="221"/>
      <c r="F6" s="222"/>
      <c r="G6" s="167"/>
    </row>
    <row r="7" s="157" customFormat="1" ht="13.5" spans="1:17">
      <c r="A7" s="223" t="s">
        <v>1411</v>
      </c>
      <c r="B7" s="223" t="s">
        <v>187</v>
      </c>
      <c r="C7" s="168" t="s">
        <v>1413</v>
      </c>
      <c r="D7" s="223" t="s">
        <v>188</v>
      </c>
      <c r="E7" s="168" t="s">
        <v>1396</v>
      </c>
      <c r="F7" s="223" t="s">
        <v>5</v>
      </c>
      <c r="G7" s="168" t="s">
        <v>1413</v>
      </c>
      <c r="H7" s="223" t="s">
        <v>2128</v>
      </c>
      <c r="I7" s="224" t="s">
        <v>1463</v>
      </c>
      <c r="J7" s="223" t="s">
        <v>1364</v>
      </c>
      <c r="K7" s="168" t="s">
        <v>1396</v>
      </c>
      <c r="L7" s="223" t="s">
        <v>1414</v>
      </c>
      <c r="M7" s="225" t="s">
        <v>1359</v>
      </c>
      <c r="Q7" s="220"/>
    </row>
    <row r="8" s="210" customFormat="1" spans="1:17">
      <c r="A8" s="226"/>
      <c r="B8" s="227"/>
      <c r="C8" s="228"/>
      <c r="D8" s="229"/>
      <c r="E8" s="230"/>
      <c r="F8" s="231"/>
      <c r="G8" s="214"/>
    </row>
    <row r="9" s="210" customFormat="1" spans="1:17">
      <c r="A9" s="226"/>
      <c r="B9" s="227"/>
      <c r="C9" s="228"/>
      <c r="D9" s="229"/>
      <c r="E9" s="230"/>
      <c r="F9" s="231"/>
      <c r="G9" s="214"/>
    </row>
    <row r="10" spans="1:17">
      <c r="A10" s="232" t="s">
        <v>2129</v>
      </c>
      <c r="B10" s="233" t="s">
        <v>278</v>
      </c>
      <c r="C10" s="234" t="s">
        <v>2130</v>
      </c>
      <c r="D10" s="234" t="s">
        <v>2131</v>
      </c>
      <c r="E10" s="234" t="s">
        <v>2132</v>
      </c>
      <c r="F10" s="234" t="s">
        <v>2133</v>
      </c>
      <c r="G10" s="234" t="s">
        <v>2134</v>
      </c>
      <c r="H10" s="234" t="s">
        <v>2135</v>
      </c>
      <c r="I10" s="234" t="s">
        <v>2136</v>
      </c>
      <c r="J10" s="234" t="s">
        <v>2137</v>
      </c>
      <c r="K10" s="234" t="s">
        <v>2138</v>
      </c>
      <c r="L10" s="234" t="s">
        <v>2139</v>
      </c>
      <c r="M10" s="234" t="s">
        <v>2140</v>
      </c>
      <c r="N10" s="234" t="s">
        <v>2141</v>
      </c>
      <c r="O10" s="232" t="s">
        <v>433</v>
      </c>
    </row>
    <row r="11" spans="1:17">
      <c r="A11" s="235" t="s">
        <v>2142</v>
      </c>
      <c r="B11" s="236"/>
      <c r="C11" s="232"/>
      <c r="D11" s="234"/>
      <c r="E11" s="234"/>
      <c r="F11" s="234"/>
      <c r="G11" s="232"/>
      <c r="H11" s="234"/>
      <c r="I11" s="234"/>
      <c r="J11" s="234"/>
      <c r="K11" s="234"/>
      <c r="L11" s="234"/>
      <c r="M11" s="232"/>
      <c r="N11" s="232"/>
      <c r="O11" s="234"/>
    </row>
    <row r="12" spans="1:17">
      <c r="A12" s="237" t="s">
        <v>2143</v>
      </c>
      <c r="B12" s="233" t="s">
        <v>2144</v>
      </c>
      <c r="C12" s="234"/>
      <c r="D12" s="234"/>
      <c r="E12" s="234"/>
      <c r="F12" s="234"/>
      <c r="G12" s="234"/>
      <c r="H12" s="234"/>
      <c r="I12" s="234"/>
      <c r="J12" s="234"/>
      <c r="K12" s="234">
        <v>200000</v>
      </c>
      <c r="L12" s="234"/>
      <c r="M12" s="234"/>
      <c r="N12" s="234"/>
      <c r="O12" s="234">
        <v>200000</v>
      </c>
    </row>
    <row r="13" spans="1:17">
      <c r="A13" s="238"/>
      <c r="B13" s="233" t="s">
        <v>2145</v>
      </c>
      <c r="C13" s="234"/>
      <c r="D13" s="234"/>
      <c r="E13" s="234"/>
      <c r="F13" s="234"/>
      <c r="G13" s="234"/>
      <c r="H13" s="234"/>
      <c r="I13" s="234"/>
      <c r="J13" s="234"/>
      <c r="K13" s="234">
        <v>12</v>
      </c>
      <c r="L13" s="234"/>
      <c r="M13" s="234"/>
      <c r="N13" s="234"/>
      <c r="O13" s="234">
        <v>12</v>
      </c>
    </row>
    <row r="14" spans="1:17">
      <c r="A14" s="239"/>
      <c r="B14" s="233" t="s">
        <v>2146</v>
      </c>
      <c r="C14" s="234">
        <v>0</v>
      </c>
      <c r="D14" s="234">
        <v>0</v>
      </c>
      <c r="E14" s="234"/>
      <c r="F14" s="234">
        <v>0</v>
      </c>
      <c r="G14" s="234">
        <v>0</v>
      </c>
      <c r="H14" s="234">
        <v>0</v>
      </c>
      <c r="I14" s="234">
        <v>0</v>
      </c>
      <c r="J14" s="234">
        <v>0</v>
      </c>
      <c r="K14" s="234">
        <v>2400000</v>
      </c>
      <c r="L14" s="234">
        <v>0</v>
      </c>
      <c r="M14" s="234">
        <v>0</v>
      </c>
      <c r="N14" s="234">
        <v>0</v>
      </c>
      <c r="O14" s="234">
        <v>2400000</v>
      </c>
    </row>
    <row r="15" spans="1:17">
      <c r="A15" s="240"/>
      <c r="B15" s="241"/>
      <c r="C15" s="232"/>
      <c r="D15" s="232"/>
      <c r="E15" s="234"/>
      <c r="F15" s="234"/>
      <c r="G15" s="234"/>
      <c r="H15" s="234"/>
      <c r="I15" s="234"/>
      <c r="J15" s="234"/>
      <c r="K15" s="234"/>
      <c r="L15" s="234"/>
      <c r="M15" s="234"/>
      <c r="N15" s="232"/>
      <c r="O15" s="234">
        <v>0</v>
      </c>
    </row>
    <row r="16" spans="1:17">
      <c r="A16" s="237" t="s">
        <v>2147</v>
      </c>
      <c r="B16" s="233" t="s">
        <v>2148</v>
      </c>
      <c r="C16" s="234"/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>
        <v>0</v>
      </c>
    </row>
    <row r="17" spans="1:15">
      <c r="A17" s="238"/>
      <c r="B17" s="233" t="s">
        <v>2149</v>
      </c>
      <c r="C17" s="234"/>
      <c r="D17" s="234"/>
      <c r="E17" s="234"/>
      <c r="F17" s="234"/>
      <c r="G17" s="234"/>
      <c r="H17" s="234"/>
      <c r="I17" s="234"/>
      <c r="J17" s="234"/>
      <c r="K17" s="234"/>
      <c r="L17" s="234"/>
      <c r="M17" s="234"/>
      <c r="N17" s="234"/>
      <c r="O17" s="234">
        <v>0</v>
      </c>
    </row>
    <row r="18" spans="1:15">
      <c r="A18" s="239"/>
      <c r="B18" s="233" t="s">
        <v>2150</v>
      </c>
      <c r="C18" s="234">
        <v>0</v>
      </c>
      <c r="D18" s="234">
        <v>0</v>
      </c>
      <c r="E18" s="234"/>
      <c r="F18" s="234">
        <v>0</v>
      </c>
      <c r="G18" s="234">
        <v>0</v>
      </c>
      <c r="H18" s="234">
        <v>0</v>
      </c>
      <c r="I18" s="234">
        <v>0</v>
      </c>
      <c r="J18" s="234">
        <v>0</v>
      </c>
      <c r="K18" s="234">
        <v>0</v>
      </c>
      <c r="L18" s="234">
        <v>0</v>
      </c>
      <c r="M18" s="234">
        <v>0</v>
      </c>
      <c r="N18" s="234">
        <v>0</v>
      </c>
      <c r="O18" s="234">
        <v>0</v>
      </c>
    </row>
    <row r="19" spans="1:15">
      <c r="A19" s="240"/>
      <c r="B19" s="241"/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>
        <v>0</v>
      </c>
    </row>
    <row r="20" spans="1:15">
      <c r="A20" s="237" t="s">
        <v>2151</v>
      </c>
      <c r="B20" s="233" t="s">
        <v>2152</v>
      </c>
      <c r="C20" s="234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>
        <v>0</v>
      </c>
    </row>
    <row r="21" spans="1:15">
      <c r="A21" s="238"/>
      <c r="B21" s="233" t="s">
        <v>2153</v>
      </c>
      <c r="C21" s="234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>
        <v>0</v>
      </c>
    </row>
    <row r="22" spans="1:15">
      <c r="A22" s="239"/>
      <c r="B22" s="233" t="s">
        <v>2154</v>
      </c>
      <c r="C22" s="234">
        <v>0</v>
      </c>
      <c r="D22" s="234">
        <v>0</v>
      </c>
      <c r="E22" s="234"/>
      <c r="F22" s="234">
        <v>0</v>
      </c>
      <c r="G22" s="234">
        <v>0</v>
      </c>
      <c r="H22" s="234">
        <v>0</v>
      </c>
      <c r="I22" s="234">
        <v>0</v>
      </c>
      <c r="J22" s="234">
        <v>0</v>
      </c>
      <c r="K22" s="234">
        <v>0</v>
      </c>
      <c r="L22" s="234">
        <v>0</v>
      </c>
      <c r="M22" s="234">
        <v>0</v>
      </c>
      <c r="N22" s="234">
        <v>0</v>
      </c>
      <c r="O22" s="234">
        <v>0</v>
      </c>
    </row>
    <row r="23" spans="1:15">
      <c r="A23" s="240"/>
      <c r="B23" s="241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>
        <v>0</v>
      </c>
    </row>
    <row r="24" spans="1:15">
      <c r="A24" s="237" t="s">
        <v>2155</v>
      </c>
      <c r="B24" s="233" t="s">
        <v>2156</v>
      </c>
      <c r="C24" s="234"/>
      <c r="D24" s="234"/>
      <c r="E24" s="234"/>
      <c r="F24" s="234"/>
      <c r="G24" s="234"/>
      <c r="H24" s="234"/>
      <c r="I24" s="234"/>
      <c r="J24" s="234"/>
      <c r="K24" s="234">
        <v>3000</v>
      </c>
      <c r="L24" s="234"/>
      <c r="M24" s="234"/>
      <c r="N24" s="234"/>
      <c r="O24" s="234">
        <v>3000</v>
      </c>
    </row>
    <row r="25" spans="1:15">
      <c r="A25" s="238"/>
      <c r="B25" s="233" t="s">
        <v>2157</v>
      </c>
      <c r="C25" s="234"/>
      <c r="D25" s="234"/>
      <c r="E25" s="234"/>
      <c r="F25" s="234"/>
      <c r="G25" s="234"/>
      <c r="H25" s="234"/>
      <c r="I25" s="234"/>
      <c r="J25" s="234"/>
      <c r="K25" s="234">
        <v>5.5</v>
      </c>
      <c r="L25" s="234"/>
      <c r="M25" s="234"/>
      <c r="N25" s="234"/>
      <c r="O25" s="234">
        <v>5.5</v>
      </c>
    </row>
    <row r="26" spans="1:15">
      <c r="A26" s="239"/>
      <c r="B26" s="233" t="s">
        <v>2158</v>
      </c>
      <c r="C26" s="234">
        <v>0</v>
      </c>
      <c r="D26" s="234">
        <v>0</v>
      </c>
      <c r="E26" s="234">
        <v>0</v>
      </c>
      <c r="F26" s="234">
        <v>0</v>
      </c>
      <c r="G26" s="234">
        <v>0</v>
      </c>
      <c r="H26" s="234">
        <v>0</v>
      </c>
      <c r="I26" s="234">
        <v>0</v>
      </c>
      <c r="J26" s="234">
        <v>0</v>
      </c>
      <c r="K26" s="234">
        <v>16500</v>
      </c>
      <c r="L26" s="234">
        <v>0</v>
      </c>
      <c r="M26" s="234">
        <v>0</v>
      </c>
      <c r="N26" s="234">
        <v>0</v>
      </c>
      <c r="O26" s="234">
        <v>16500</v>
      </c>
    </row>
    <row r="27" spans="1:15">
      <c r="A27" s="242" t="s">
        <v>281</v>
      </c>
      <c r="B27" s="243" t="s">
        <v>2159</v>
      </c>
      <c r="C27" s="244">
        <v>0</v>
      </c>
      <c r="D27" s="244">
        <v>0</v>
      </c>
      <c r="E27" s="244">
        <v>0</v>
      </c>
      <c r="F27" s="244">
        <v>0</v>
      </c>
      <c r="G27" s="244">
        <v>0</v>
      </c>
      <c r="H27" s="244">
        <v>0</v>
      </c>
      <c r="I27" s="244">
        <v>0</v>
      </c>
      <c r="J27" s="244">
        <v>0</v>
      </c>
      <c r="K27" s="244">
        <v>2416500</v>
      </c>
      <c r="L27" s="244">
        <v>0</v>
      </c>
      <c r="M27" s="244">
        <v>0</v>
      </c>
      <c r="N27" s="244">
        <v>0</v>
      </c>
      <c r="O27" s="244">
        <v>2416500</v>
      </c>
    </row>
    <row r="28" spans="1:15">
      <c r="A28" s="245" t="s">
        <v>2160</v>
      </c>
      <c r="B28" s="246"/>
      <c r="C28" s="246"/>
      <c r="D28" s="246"/>
      <c r="E28" s="246"/>
      <c r="F28" s="246"/>
      <c r="G28" s="246"/>
      <c r="H28" s="246"/>
      <c r="I28" s="246"/>
      <c r="J28" s="246"/>
      <c r="K28" s="246"/>
      <c r="L28" s="246"/>
      <c r="M28" s="246"/>
      <c r="N28" s="246"/>
      <c r="O28" s="247"/>
    </row>
    <row r="29" spans="1:15">
      <c r="A29" s="240" t="s">
        <v>383</v>
      </c>
      <c r="B29" s="248" t="s">
        <v>2161</v>
      </c>
      <c r="C29" s="234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>
        <v>0</v>
      </c>
    </row>
    <row r="30" spans="1:15">
      <c r="A30" s="249" t="s">
        <v>1893</v>
      </c>
      <c r="B30" s="248" t="s">
        <v>2162</v>
      </c>
      <c r="C30" s="234"/>
      <c r="D30" s="234"/>
      <c r="E30" s="234"/>
      <c r="F30" s="234"/>
      <c r="G30" s="234"/>
      <c r="H30" s="234"/>
      <c r="I30" s="234"/>
      <c r="J30" s="234"/>
      <c r="K30" s="234">
        <v>45000</v>
      </c>
      <c r="L30" s="234"/>
      <c r="M30" s="234"/>
      <c r="N30" s="234"/>
      <c r="O30" s="234">
        <v>110000</v>
      </c>
    </row>
    <row r="31" spans="1:15">
      <c r="A31" s="250" t="s">
        <v>2118</v>
      </c>
      <c r="B31" s="248" t="s">
        <v>2163</v>
      </c>
      <c r="C31" s="234">
        <v>2000</v>
      </c>
      <c r="D31" s="234">
        <v>2000</v>
      </c>
      <c r="E31" s="234">
        <v>2000</v>
      </c>
      <c r="F31" s="234">
        <v>5000</v>
      </c>
      <c r="G31" s="234">
        <v>5000</v>
      </c>
      <c r="H31" s="234">
        <v>5000</v>
      </c>
      <c r="I31" s="234">
        <v>5000</v>
      </c>
      <c r="J31" s="234">
        <v>5000</v>
      </c>
      <c r="K31" s="234">
        <v>5000</v>
      </c>
      <c r="L31" s="234">
        <v>5000</v>
      </c>
      <c r="M31" s="234">
        <v>5000</v>
      </c>
      <c r="N31" s="234">
        <v>5000</v>
      </c>
      <c r="O31" s="234">
        <v>51000</v>
      </c>
    </row>
    <row r="32" spans="1:15">
      <c r="A32" s="250" t="s">
        <v>2118</v>
      </c>
      <c r="B32" s="248" t="s">
        <v>2164</v>
      </c>
      <c r="C32" s="234"/>
      <c r="D32" s="234"/>
      <c r="E32" s="234"/>
      <c r="F32" s="234"/>
      <c r="G32" s="234"/>
      <c r="H32" s="234"/>
      <c r="I32" s="234"/>
      <c r="J32" s="234"/>
      <c r="K32" s="234"/>
      <c r="L32" s="234"/>
      <c r="M32" s="234">
        <v>800</v>
      </c>
      <c r="N32" s="234">
        <v>800</v>
      </c>
      <c r="O32" s="234">
        <v>1600</v>
      </c>
    </row>
    <row r="33" spans="1:15">
      <c r="A33" s="250" t="s">
        <v>2122</v>
      </c>
      <c r="B33" s="248" t="s">
        <v>2165</v>
      </c>
      <c r="C33" s="234">
        <v>9200</v>
      </c>
      <c r="D33" s="234">
        <v>9200</v>
      </c>
      <c r="E33" s="234">
        <v>9200</v>
      </c>
      <c r="F33" s="234">
        <v>9200</v>
      </c>
      <c r="G33" s="234">
        <v>9200</v>
      </c>
      <c r="H33" s="234">
        <v>9200</v>
      </c>
      <c r="I33" s="234">
        <v>9200</v>
      </c>
      <c r="J33" s="234">
        <v>9200</v>
      </c>
      <c r="K33" s="234">
        <v>9200</v>
      </c>
      <c r="L33" s="234">
        <v>9200</v>
      </c>
      <c r="M33" s="234">
        <v>9200</v>
      </c>
      <c r="N33" s="234">
        <v>9200</v>
      </c>
      <c r="O33" s="234">
        <v>119600</v>
      </c>
    </row>
    <row r="34" spans="1:15">
      <c r="A34" s="250" t="s">
        <v>2122</v>
      </c>
      <c r="B34" s="248" t="s">
        <v>2166</v>
      </c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>
        <v>0</v>
      </c>
    </row>
    <row r="35" spans="1:15">
      <c r="A35" s="250" t="s">
        <v>483</v>
      </c>
      <c r="B35" s="248" t="s">
        <v>1736</v>
      </c>
      <c r="C35" s="234">
        <v>5000</v>
      </c>
      <c r="D35" s="234">
        <v>7000</v>
      </c>
      <c r="E35" s="234">
        <v>8000</v>
      </c>
      <c r="F35" s="234">
        <v>12000</v>
      </c>
      <c r="G35" s="234">
        <v>12000</v>
      </c>
      <c r="H35" s="234">
        <v>15000</v>
      </c>
      <c r="I35" s="234">
        <v>15000</v>
      </c>
      <c r="J35" s="234">
        <v>15000</v>
      </c>
      <c r="K35" s="234">
        <v>10000</v>
      </c>
      <c r="L35" s="234">
        <v>7000</v>
      </c>
      <c r="M35" s="234">
        <v>7000</v>
      </c>
      <c r="N35" s="234">
        <v>7000</v>
      </c>
      <c r="O35" s="234">
        <v>123000</v>
      </c>
    </row>
    <row r="36" spans="1:15">
      <c r="A36" s="250" t="s">
        <v>483</v>
      </c>
      <c r="B36" s="248" t="s">
        <v>1735</v>
      </c>
      <c r="C36" s="234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>
        <v>0</v>
      </c>
    </row>
    <row r="37" spans="1:15">
      <c r="A37" s="250" t="s">
        <v>417</v>
      </c>
      <c r="B37" s="248" t="s">
        <v>2167</v>
      </c>
      <c r="C37" s="234">
        <v>1000</v>
      </c>
      <c r="D37" s="234">
        <v>1000</v>
      </c>
      <c r="E37" s="234">
        <v>1000</v>
      </c>
      <c r="F37" s="234">
        <v>1000</v>
      </c>
      <c r="G37" s="234">
        <v>1000</v>
      </c>
      <c r="H37" s="234">
        <v>1000</v>
      </c>
      <c r="I37" s="234">
        <v>1000</v>
      </c>
      <c r="J37" s="234">
        <v>1000</v>
      </c>
      <c r="K37" s="234">
        <v>1000</v>
      </c>
      <c r="L37" s="234">
        <v>1000</v>
      </c>
      <c r="M37" s="234">
        <v>1000</v>
      </c>
      <c r="N37" s="234">
        <v>1000</v>
      </c>
      <c r="O37" s="234">
        <v>12000</v>
      </c>
    </row>
    <row r="38" spans="1:15">
      <c r="A38" s="250" t="s">
        <v>1910</v>
      </c>
      <c r="B38" s="248" t="s">
        <v>2168</v>
      </c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>
        <v>0</v>
      </c>
    </row>
    <row r="39" spans="1:15">
      <c r="A39" s="250" t="s">
        <v>2119</v>
      </c>
      <c r="B39" s="248" t="s">
        <v>2169</v>
      </c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>
        <v>0</v>
      </c>
    </row>
    <row r="40" spans="1:15">
      <c r="A40" s="250" t="s">
        <v>437</v>
      </c>
      <c r="B40" s="248" t="s">
        <v>2170</v>
      </c>
      <c r="C40" s="234"/>
      <c r="D40" s="234"/>
      <c r="E40" s="234"/>
      <c r="F40" s="234"/>
      <c r="G40" s="234"/>
      <c r="H40" s="234"/>
      <c r="I40" s="234"/>
      <c r="J40" s="234"/>
      <c r="K40" s="234"/>
      <c r="L40" s="234"/>
      <c r="M40" s="234"/>
      <c r="N40" s="234"/>
      <c r="O40" s="234">
        <v>0</v>
      </c>
    </row>
    <row r="41" spans="1:15">
      <c r="A41" s="250" t="s">
        <v>393</v>
      </c>
      <c r="B41" s="248" t="s">
        <v>2171</v>
      </c>
      <c r="C41" s="234">
        <v>200</v>
      </c>
      <c r="D41" s="234">
        <v>200</v>
      </c>
      <c r="E41" s="234">
        <v>300</v>
      </c>
      <c r="F41" s="234">
        <v>500</v>
      </c>
      <c r="G41" s="234">
        <v>600</v>
      </c>
      <c r="H41" s="234">
        <v>800</v>
      </c>
      <c r="I41" s="234">
        <v>800</v>
      </c>
      <c r="J41" s="234">
        <v>800</v>
      </c>
      <c r="K41" s="234">
        <v>800</v>
      </c>
      <c r="L41" s="234">
        <v>600</v>
      </c>
      <c r="M41" s="234">
        <v>300</v>
      </c>
      <c r="N41" s="234">
        <v>200</v>
      </c>
      <c r="O41" s="234">
        <v>6200</v>
      </c>
    </row>
    <row r="42" spans="1:15">
      <c r="A42" s="250" t="s">
        <v>2126</v>
      </c>
      <c r="B42" s="248" t="s">
        <v>2172</v>
      </c>
      <c r="C42" s="234">
        <v>500</v>
      </c>
      <c r="D42" s="234">
        <v>500</v>
      </c>
      <c r="E42" s="234">
        <v>500</v>
      </c>
      <c r="F42" s="234">
        <v>500</v>
      </c>
      <c r="G42" s="234">
        <v>500</v>
      </c>
      <c r="H42" s="234">
        <v>500</v>
      </c>
      <c r="I42" s="234">
        <v>500</v>
      </c>
      <c r="J42" s="234">
        <v>500</v>
      </c>
      <c r="K42" s="234">
        <v>500</v>
      </c>
      <c r="L42" s="234">
        <v>500</v>
      </c>
      <c r="M42" s="234">
        <v>500</v>
      </c>
      <c r="N42" s="234">
        <v>500</v>
      </c>
      <c r="O42" s="234">
        <v>6000</v>
      </c>
    </row>
    <row r="43" spans="1:15">
      <c r="A43" s="250" t="s">
        <v>2126</v>
      </c>
      <c r="B43" s="248" t="s">
        <v>2173</v>
      </c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>
        <v>9</v>
      </c>
      <c r="N43" s="234"/>
      <c r="O43" s="234">
        <v>9</v>
      </c>
    </row>
    <row r="44" spans="1:15">
      <c r="A44" s="250" t="s">
        <v>2126</v>
      </c>
      <c r="B44" s="248" t="s">
        <v>2174</v>
      </c>
      <c r="C44" s="234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>
        <v>0</v>
      </c>
    </row>
    <row r="45" spans="1:15">
      <c r="A45" s="250" t="s">
        <v>2126</v>
      </c>
      <c r="B45" s="248" t="s">
        <v>2175</v>
      </c>
      <c r="C45" s="234">
        <v>500</v>
      </c>
      <c r="D45" s="234">
        <v>500</v>
      </c>
      <c r="E45" s="234">
        <v>3000</v>
      </c>
      <c r="F45" s="234">
        <v>500</v>
      </c>
      <c r="G45" s="234">
        <v>500</v>
      </c>
      <c r="H45" s="234">
        <v>500</v>
      </c>
      <c r="I45" s="234">
        <v>500</v>
      </c>
      <c r="J45" s="234">
        <v>500</v>
      </c>
      <c r="K45" s="234">
        <v>500</v>
      </c>
      <c r="L45" s="234">
        <v>500</v>
      </c>
      <c r="M45" s="234">
        <v>500</v>
      </c>
      <c r="N45" s="234">
        <v>500</v>
      </c>
      <c r="O45" s="234">
        <v>8500</v>
      </c>
    </row>
    <row r="46" spans="1:15">
      <c r="A46" s="250" t="s">
        <v>2126</v>
      </c>
      <c r="B46" s="248" t="s">
        <v>2176</v>
      </c>
      <c r="C46" s="234">
        <v>40000</v>
      </c>
      <c r="D46" s="234">
        <v>50000</v>
      </c>
      <c r="E46" s="234">
        <v>80000</v>
      </c>
      <c r="F46" s="234">
        <v>110000</v>
      </c>
      <c r="G46" s="234">
        <v>160000</v>
      </c>
      <c r="H46" s="234">
        <v>170000</v>
      </c>
      <c r="I46" s="234">
        <v>200000</v>
      </c>
      <c r="J46" s="234">
        <v>170000</v>
      </c>
      <c r="K46" s="234">
        <v>100000</v>
      </c>
      <c r="L46" s="234">
        <v>30000</v>
      </c>
      <c r="M46" s="234">
        <v>50000</v>
      </c>
      <c r="N46" s="234">
        <v>50000</v>
      </c>
      <c r="O46" s="234">
        <v>1230000</v>
      </c>
    </row>
    <row r="47" spans="1:15">
      <c r="A47" s="250" t="s">
        <v>2126</v>
      </c>
      <c r="B47" s="248" t="s">
        <v>2177</v>
      </c>
      <c r="C47" s="234">
        <v>4000</v>
      </c>
      <c r="D47" s="234">
        <v>4000</v>
      </c>
      <c r="E47" s="234">
        <v>8000</v>
      </c>
      <c r="F47" s="234">
        <v>10000</v>
      </c>
      <c r="G47" s="234">
        <v>12000</v>
      </c>
      <c r="H47" s="234">
        <v>12000</v>
      </c>
      <c r="I47" s="234">
        <v>15000</v>
      </c>
      <c r="J47" s="234">
        <v>20000</v>
      </c>
      <c r="K47" s="234">
        <v>15000</v>
      </c>
      <c r="L47" s="234">
        <v>12000</v>
      </c>
      <c r="M47" s="234">
        <v>12000</v>
      </c>
      <c r="N47" s="234">
        <v>8000</v>
      </c>
      <c r="O47" s="234">
        <v>135000</v>
      </c>
    </row>
    <row r="48" spans="1:15">
      <c r="A48" s="250" t="s">
        <v>2126</v>
      </c>
      <c r="B48" s="248" t="s">
        <v>2178</v>
      </c>
      <c r="C48" s="234">
        <v>2000</v>
      </c>
      <c r="D48" s="234">
        <v>5000</v>
      </c>
      <c r="E48" s="234">
        <v>5000</v>
      </c>
      <c r="F48" s="234">
        <v>8000</v>
      </c>
      <c r="G48" s="234">
        <v>10000</v>
      </c>
      <c r="H48" s="234">
        <v>10000</v>
      </c>
      <c r="I48" s="234">
        <v>12000</v>
      </c>
      <c r="J48" s="234">
        <v>12000</v>
      </c>
      <c r="K48" s="234">
        <v>10000</v>
      </c>
      <c r="L48" s="234">
        <v>5000</v>
      </c>
      <c r="M48" s="234">
        <v>9000</v>
      </c>
      <c r="N48" s="234">
        <v>5000</v>
      </c>
      <c r="O48" s="234">
        <v>96000</v>
      </c>
    </row>
    <row r="49" spans="1:15">
      <c r="A49" s="250" t="s">
        <v>2126</v>
      </c>
      <c r="B49" s="248" t="s">
        <v>2179</v>
      </c>
      <c r="C49" s="234">
        <v>3000</v>
      </c>
      <c r="D49" s="232" t="s">
        <v>199</v>
      </c>
      <c r="E49" s="234"/>
      <c r="F49" s="234"/>
      <c r="G49" s="234"/>
      <c r="H49" s="234"/>
      <c r="I49" s="234">
        <v>75000</v>
      </c>
      <c r="J49" s="234"/>
      <c r="K49" s="234"/>
      <c r="L49" s="234">
        <v>180000</v>
      </c>
      <c r="M49" s="234"/>
      <c r="N49" s="234"/>
      <c r="O49" s="234">
        <v>398000</v>
      </c>
    </row>
    <row r="50" spans="1:15">
      <c r="A50" s="250" t="s">
        <v>2126</v>
      </c>
      <c r="B50" s="248" t="s">
        <v>2180</v>
      </c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>
        <v>0</v>
      </c>
    </row>
    <row r="51" spans="1:15">
      <c r="A51" s="250" t="s">
        <v>2126</v>
      </c>
      <c r="B51" s="248" t="s">
        <v>2181</v>
      </c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>
        <v>0</v>
      </c>
    </row>
    <row r="52" spans="1:15">
      <c r="A52" s="250" t="s">
        <v>2126</v>
      </c>
      <c r="B52" s="248" t="s">
        <v>2182</v>
      </c>
      <c r="C52" s="234">
        <v>600</v>
      </c>
      <c r="D52" s="234">
        <v>600</v>
      </c>
      <c r="E52" s="234">
        <v>600</v>
      </c>
      <c r="F52" s="234">
        <v>600</v>
      </c>
      <c r="G52" s="234">
        <v>600</v>
      </c>
      <c r="H52" s="234">
        <v>600</v>
      </c>
      <c r="I52" s="234">
        <v>600</v>
      </c>
      <c r="J52" s="234">
        <v>600</v>
      </c>
      <c r="K52" s="234">
        <v>600</v>
      </c>
      <c r="L52" s="234">
        <v>600</v>
      </c>
      <c r="M52" s="234">
        <v>600</v>
      </c>
      <c r="N52" s="234">
        <v>600</v>
      </c>
      <c r="O52" s="234">
        <v>7200</v>
      </c>
    </row>
    <row r="53" spans="1:15">
      <c r="A53" s="250" t="s">
        <v>460</v>
      </c>
      <c r="B53" s="248" t="s">
        <v>2183</v>
      </c>
      <c r="C53" s="234">
        <v>800</v>
      </c>
      <c r="D53" s="234">
        <v>800</v>
      </c>
      <c r="E53" s="234">
        <v>800</v>
      </c>
      <c r="F53" s="234">
        <v>800</v>
      </c>
      <c r="G53" s="234">
        <v>800</v>
      </c>
      <c r="H53" s="234">
        <v>800</v>
      </c>
      <c r="I53" s="234">
        <v>800</v>
      </c>
      <c r="J53" s="234">
        <v>800</v>
      </c>
      <c r="K53" s="234">
        <v>800</v>
      </c>
      <c r="L53" s="234">
        <v>800</v>
      </c>
      <c r="M53" s="234">
        <v>800</v>
      </c>
      <c r="N53" s="234">
        <v>800</v>
      </c>
      <c r="O53" s="234">
        <v>9600</v>
      </c>
    </row>
    <row r="54" spans="1:15">
      <c r="A54" s="250" t="s">
        <v>2124</v>
      </c>
      <c r="B54" s="248" t="s">
        <v>2184</v>
      </c>
      <c r="C54" s="234"/>
      <c r="D54" s="234"/>
      <c r="E54" s="234">
        <v>4000</v>
      </c>
      <c r="F54" s="234">
        <v>0</v>
      </c>
      <c r="G54" s="234">
        <v>0</v>
      </c>
      <c r="H54" s="234">
        <v>0</v>
      </c>
      <c r="I54" s="234">
        <v>0</v>
      </c>
      <c r="J54" s="234">
        <v>0</v>
      </c>
      <c r="K54" s="234">
        <v>0</v>
      </c>
      <c r="L54" s="234">
        <v>0</v>
      </c>
      <c r="M54" s="234">
        <v>0</v>
      </c>
      <c r="N54" s="234">
        <v>0</v>
      </c>
      <c r="O54" s="234">
        <v>4000</v>
      </c>
    </row>
    <row r="55" spans="1:15">
      <c r="A55" s="249" t="s">
        <v>166</v>
      </c>
      <c r="B55" s="248" t="s">
        <v>2185</v>
      </c>
      <c r="C55" s="234">
        <v>888.888888888889</v>
      </c>
      <c r="D55" s="251">
        <v>7416.66666666667</v>
      </c>
      <c r="E55" s="251">
        <v>7416.66666666667</v>
      </c>
      <c r="F55" s="251">
        <v>7416.66666666667</v>
      </c>
      <c r="G55" s="251">
        <v>7416.66666666667</v>
      </c>
      <c r="H55" s="251">
        <v>7416.66666666667</v>
      </c>
      <c r="I55" s="251">
        <v>7416.66666666667</v>
      </c>
      <c r="J55" s="251">
        <v>7416.66666666667</v>
      </c>
      <c r="K55" s="251">
        <v>7416.66666666667</v>
      </c>
      <c r="L55" s="251">
        <v>7416.66666666667</v>
      </c>
      <c r="M55" s="251">
        <v>7416.66666666667</v>
      </c>
      <c r="N55" s="251">
        <v>7416.66666666667</v>
      </c>
      <c r="O55" s="234">
        <v>82472.2222222222</v>
      </c>
    </row>
    <row r="56" spans="1:15">
      <c r="A56" s="242" t="s">
        <v>281</v>
      </c>
      <c r="B56" s="252" t="s">
        <v>2186</v>
      </c>
      <c r="C56" s="244">
        <v>69688.8888888889</v>
      </c>
      <c r="D56" s="244">
        <v>88216.6666666667</v>
      </c>
      <c r="E56" s="244">
        <v>129816.666666667</v>
      </c>
      <c r="F56" s="244">
        <v>165516.666666667</v>
      </c>
      <c r="G56" s="244">
        <v>219616.666666667</v>
      </c>
      <c r="H56" s="244">
        <v>232816.666666667</v>
      </c>
      <c r="I56" s="244">
        <v>342816.666666667</v>
      </c>
      <c r="J56" s="244">
        <v>242816.666666667</v>
      </c>
      <c r="K56" s="244">
        <v>205816.666666667</v>
      </c>
      <c r="L56" s="244">
        <v>259616.666666667</v>
      </c>
      <c r="M56" s="244">
        <v>104125.666666667</v>
      </c>
      <c r="N56" s="244">
        <v>96016.6666666667</v>
      </c>
      <c r="O56" s="244">
        <v>2400181.22222222</v>
      </c>
    </row>
    <row r="57" spans="1:15">
      <c r="A57" s="242" t="s">
        <v>2075</v>
      </c>
      <c r="B57" s="252" t="s">
        <v>2187</v>
      </c>
      <c r="C57" s="244">
        <v>-69688.8888888889</v>
      </c>
      <c r="D57" s="244">
        <v>-88216.6666666667</v>
      </c>
      <c r="E57" s="244">
        <v>-129816.666666667</v>
      </c>
      <c r="F57" s="244">
        <v>-165516.666666667</v>
      </c>
      <c r="G57" s="244">
        <v>-219616.666666667</v>
      </c>
      <c r="H57" s="244">
        <v>-232816.666666667</v>
      </c>
      <c r="I57" s="244">
        <v>-342816.666666667</v>
      </c>
      <c r="J57" s="244">
        <v>-242816.666666667</v>
      </c>
      <c r="K57" s="244">
        <v>2210683.33333333</v>
      </c>
      <c r="L57" s="244">
        <v>-259616.666666667</v>
      </c>
      <c r="M57" s="244">
        <v>-104125.666666667</v>
      </c>
      <c r="N57" s="244">
        <v>-96016.6666666667</v>
      </c>
      <c r="O57" s="244">
        <v>16318.777777778</v>
      </c>
    </row>
    <row r="58" s="211" customFormat="1" spans="1:15">
      <c r="A58" s="253"/>
      <c r="C58" s="254"/>
      <c r="D58" s="254"/>
      <c r="E58" s="254"/>
      <c r="F58" s="254"/>
      <c r="G58" s="254"/>
      <c r="H58" s="254"/>
      <c r="I58" s="255"/>
      <c r="J58" s="254"/>
      <c r="K58" s="254"/>
      <c r="L58" s="254"/>
      <c r="M58" s="254"/>
      <c r="N58" s="254"/>
      <c r="O58" s="254"/>
    </row>
    <row r="59" s="211" customFormat="1" spans="1:15">
      <c r="A59" s="253"/>
      <c r="C59" s="254"/>
      <c r="D59" s="254"/>
      <c r="E59" s="254"/>
      <c r="F59" s="254"/>
      <c r="G59" s="254"/>
      <c r="H59" s="254"/>
      <c r="I59" s="255"/>
      <c r="J59" s="254"/>
      <c r="K59" s="254"/>
      <c r="L59" s="254"/>
      <c r="M59" s="254"/>
      <c r="N59" s="254"/>
      <c r="O59" s="254"/>
    </row>
    <row r="60" s="211" customFormat="1" spans="1:15">
      <c r="A60" s="256" t="s">
        <v>2188</v>
      </c>
      <c r="C60" s="254"/>
      <c r="D60" s="254"/>
      <c r="E60" s="254"/>
      <c r="F60" s="254"/>
      <c r="G60" s="254"/>
      <c r="H60" s="254"/>
      <c r="I60" s="254"/>
      <c r="J60" s="254"/>
      <c r="K60" s="254"/>
      <c r="L60" s="254"/>
      <c r="M60" s="254"/>
      <c r="N60" s="254"/>
      <c r="O60" s="254"/>
    </row>
    <row r="61" s="211" customFormat="1" spans="1:15">
      <c r="A61" s="257"/>
      <c r="B61" s="257" t="s">
        <v>2001</v>
      </c>
      <c r="C61" s="258" t="s">
        <v>304</v>
      </c>
      <c r="D61" s="258" t="s">
        <v>305</v>
      </c>
      <c r="E61" s="258" t="s">
        <v>306</v>
      </c>
      <c r="F61" s="258" t="s">
        <v>307</v>
      </c>
      <c r="G61" s="258" t="s">
        <v>308</v>
      </c>
      <c r="H61" s="258" t="s">
        <v>309</v>
      </c>
      <c r="I61" s="258" t="s">
        <v>310</v>
      </c>
      <c r="J61" s="258" t="s">
        <v>311</v>
      </c>
      <c r="K61" s="258" t="s">
        <v>312</v>
      </c>
      <c r="L61" s="258" t="s">
        <v>313</v>
      </c>
      <c r="M61" s="258" t="s">
        <v>314</v>
      </c>
      <c r="N61" s="258" t="s">
        <v>315</v>
      </c>
      <c r="O61" s="258" t="s">
        <v>281</v>
      </c>
    </row>
    <row r="62" s="211" customFormat="1" spans="1:15">
      <c r="A62" s="257"/>
      <c r="B62" s="257" t="s">
        <v>2189</v>
      </c>
      <c r="C62" s="259">
        <v>1000</v>
      </c>
      <c r="D62" s="259">
        <v>1000</v>
      </c>
      <c r="E62" s="259">
        <v>1000</v>
      </c>
      <c r="F62" s="259">
        <v>1000</v>
      </c>
      <c r="G62" s="259">
        <v>1000</v>
      </c>
      <c r="H62" s="259">
        <v>1000</v>
      </c>
      <c r="I62" s="259">
        <v>1000</v>
      </c>
      <c r="J62" s="259">
        <v>1000</v>
      </c>
      <c r="K62" s="259">
        <v>1000</v>
      </c>
      <c r="L62" s="259">
        <v>1000</v>
      </c>
      <c r="M62" s="259">
        <v>1000</v>
      </c>
      <c r="N62" s="259">
        <v>1000</v>
      </c>
      <c r="O62" s="260">
        <v>12000</v>
      </c>
    </row>
    <row r="63" s="211" customFormat="1" spans="1:15">
      <c r="A63" s="257"/>
      <c r="B63" s="257"/>
      <c r="C63" s="259"/>
      <c r="D63" s="259"/>
      <c r="E63" s="259"/>
      <c r="F63" s="259"/>
      <c r="G63" s="259"/>
      <c r="H63" s="259"/>
      <c r="I63" s="259"/>
      <c r="J63" s="259"/>
      <c r="K63" s="259"/>
      <c r="L63" s="259"/>
      <c r="M63" s="259"/>
      <c r="N63" s="259"/>
      <c r="O63" s="260"/>
    </row>
    <row r="64" spans="1:15">
      <c r="A64" s="257"/>
      <c r="B64" s="257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60"/>
    </row>
    <row r="65" spans="1:15">
      <c r="A65" s="257"/>
      <c r="B65" s="257" t="s">
        <v>281</v>
      </c>
      <c r="C65" s="261">
        <f t="shared" ref="C65:O65" si="0">SUM(C62:C64)</f>
        <v>1000</v>
      </c>
      <c r="D65" s="261">
        <f t="shared" si="0"/>
        <v>1000</v>
      </c>
      <c r="E65" s="261">
        <f t="shared" si="0"/>
        <v>1000</v>
      </c>
      <c r="F65" s="261">
        <f t="shared" si="0"/>
        <v>1000</v>
      </c>
      <c r="G65" s="261">
        <f t="shared" si="0"/>
        <v>1000</v>
      </c>
      <c r="H65" s="261">
        <f t="shared" si="0"/>
        <v>1000</v>
      </c>
      <c r="I65" s="261">
        <f t="shared" si="0"/>
        <v>1000</v>
      </c>
      <c r="J65" s="261">
        <f t="shared" si="0"/>
        <v>1000</v>
      </c>
      <c r="K65" s="261">
        <f t="shared" si="0"/>
        <v>1000</v>
      </c>
      <c r="L65" s="261">
        <f t="shared" si="0"/>
        <v>1000</v>
      </c>
      <c r="M65" s="261">
        <f t="shared" si="0"/>
        <v>1000</v>
      </c>
      <c r="N65" s="261">
        <f t="shared" si="0"/>
        <v>1000</v>
      </c>
      <c r="O65" s="261">
        <f t="shared" si="0"/>
        <v>12000</v>
      </c>
    </row>
    <row r="68" spans="1:15">
      <c r="A68" s="256" t="s">
        <v>2190</v>
      </c>
      <c r="B68" s="211"/>
      <c r="C68" s="254"/>
      <c r="D68" s="254"/>
      <c r="E68" s="254"/>
      <c r="F68" s="254"/>
      <c r="G68" s="254"/>
      <c r="H68" s="254"/>
      <c r="I68" s="254"/>
      <c r="J68" s="254"/>
      <c r="K68" s="254"/>
      <c r="L68" s="254"/>
      <c r="M68" s="254"/>
      <c r="N68" s="254"/>
      <c r="O68" s="254"/>
    </row>
    <row r="69" spans="1:15">
      <c r="A69" s="257" t="s">
        <v>2191</v>
      </c>
      <c r="B69" s="257" t="s">
        <v>2192</v>
      </c>
      <c r="C69" s="258" t="s">
        <v>304</v>
      </c>
      <c r="D69" s="258" t="s">
        <v>305</v>
      </c>
      <c r="E69" s="258" t="s">
        <v>306</v>
      </c>
      <c r="F69" s="258" t="s">
        <v>307</v>
      </c>
      <c r="G69" s="258" t="s">
        <v>308</v>
      </c>
      <c r="H69" s="258" t="s">
        <v>309</v>
      </c>
      <c r="I69" s="258" t="s">
        <v>310</v>
      </c>
      <c r="J69" s="258" t="s">
        <v>311</v>
      </c>
      <c r="K69" s="258" t="s">
        <v>312</v>
      </c>
      <c r="L69" s="258" t="s">
        <v>313</v>
      </c>
      <c r="M69" s="258" t="s">
        <v>314</v>
      </c>
      <c r="N69" s="258" t="s">
        <v>315</v>
      </c>
      <c r="O69" s="258" t="s">
        <v>281</v>
      </c>
    </row>
    <row r="70" spans="1:15">
      <c r="A70" s="262" t="s">
        <v>2193</v>
      </c>
      <c r="B70" s="263" t="s">
        <v>2194</v>
      </c>
      <c r="C70" s="264"/>
      <c r="D70" s="264"/>
      <c r="E70" s="264">
        <v>4000</v>
      </c>
      <c r="F70" s="264"/>
      <c r="G70" s="264"/>
      <c r="H70" s="259"/>
      <c r="I70" s="259"/>
      <c r="J70" s="259"/>
      <c r="K70" s="259"/>
      <c r="L70" s="259"/>
      <c r="M70" s="259"/>
      <c r="N70" s="259"/>
      <c r="O70" s="260">
        <v>4000</v>
      </c>
    </row>
    <row r="71" spans="1:15">
      <c r="A71" s="262" t="s">
        <v>2195</v>
      </c>
      <c r="B71" s="263"/>
      <c r="C71" s="264">
        <v>16000</v>
      </c>
      <c r="D71" s="264"/>
      <c r="E71" s="264"/>
      <c r="F71" s="264"/>
      <c r="G71" s="264"/>
      <c r="H71" s="259"/>
      <c r="I71" s="259"/>
      <c r="J71" s="259"/>
      <c r="K71" s="259"/>
      <c r="L71" s="259"/>
      <c r="M71" s="259"/>
      <c r="N71" s="259"/>
      <c r="O71" s="260"/>
    </row>
    <row r="72" spans="1:15">
      <c r="A72" s="262" t="s">
        <v>2196</v>
      </c>
      <c r="B72" s="263"/>
      <c r="C72" s="264">
        <v>16000</v>
      </c>
      <c r="D72" s="264"/>
      <c r="E72" s="264"/>
      <c r="F72" s="264"/>
      <c r="G72" s="264"/>
      <c r="H72" s="259"/>
      <c r="I72" s="259"/>
      <c r="J72" s="259"/>
      <c r="K72" s="259"/>
      <c r="L72" s="259"/>
      <c r="M72" s="259"/>
      <c r="N72" s="259"/>
      <c r="O72" s="260"/>
    </row>
    <row r="73" spans="1:15">
      <c r="A73" s="262" t="s">
        <v>1961</v>
      </c>
      <c r="B73" s="263" t="s">
        <v>2194</v>
      </c>
      <c r="C73" s="264"/>
      <c r="D73" s="264"/>
      <c r="E73" s="264"/>
      <c r="F73" s="264"/>
      <c r="G73" s="264"/>
      <c r="H73" s="259"/>
      <c r="I73" s="259"/>
      <c r="J73" s="259"/>
      <c r="K73" s="259"/>
      <c r="L73" s="259"/>
      <c r="M73" s="259"/>
      <c r="N73" s="259"/>
      <c r="O73" s="260">
        <v>0</v>
      </c>
    </row>
    <row r="74" spans="1:15">
      <c r="A74" s="265" t="s">
        <v>2197</v>
      </c>
      <c r="B74" s="263"/>
      <c r="C74" s="264"/>
      <c r="D74" s="264"/>
      <c r="E74" s="264"/>
      <c r="F74" s="264"/>
      <c r="G74" s="264"/>
      <c r="H74" s="259"/>
      <c r="I74" s="259"/>
      <c r="J74" s="259"/>
      <c r="K74" s="259"/>
      <c r="L74" s="259"/>
      <c r="M74" s="259"/>
      <c r="N74" s="259"/>
      <c r="O74" s="260"/>
    </row>
    <row r="75" spans="1:15">
      <c r="A75" s="265" t="s">
        <v>2198</v>
      </c>
      <c r="B75" s="263"/>
      <c r="C75" s="264"/>
      <c r="D75" s="264"/>
      <c r="E75" s="264"/>
      <c r="F75" s="264"/>
      <c r="G75" s="264"/>
      <c r="H75" s="259"/>
      <c r="I75" s="259"/>
      <c r="J75" s="259"/>
      <c r="K75" s="259"/>
      <c r="L75" s="259"/>
      <c r="M75" s="259"/>
      <c r="N75" s="259"/>
      <c r="O75" s="260"/>
    </row>
    <row r="76" spans="1:15">
      <c r="A76" s="265" t="s">
        <v>2199</v>
      </c>
      <c r="B76" s="263"/>
      <c r="C76" s="264"/>
      <c r="D76" s="264">
        <v>190000</v>
      </c>
      <c r="E76" s="264"/>
      <c r="F76" s="264"/>
      <c r="G76" s="264"/>
      <c r="H76" s="259"/>
      <c r="I76" s="259"/>
      <c r="J76" s="259"/>
      <c r="K76" s="259"/>
      <c r="L76" s="259"/>
      <c r="M76" s="259"/>
      <c r="N76" s="259"/>
      <c r="O76" s="260">
        <v>190000</v>
      </c>
    </row>
    <row r="77" spans="1:15">
      <c r="A77" s="266" t="s">
        <v>2200</v>
      </c>
      <c r="B77" s="267"/>
      <c r="C77" s="264"/>
      <c r="D77" s="264">
        <v>45000</v>
      </c>
      <c r="E77" s="264"/>
      <c r="F77" s="264"/>
      <c r="G77" s="264"/>
      <c r="H77" s="259"/>
      <c r="I77" s="259"/>
      <c r="J77" s="259"/>
      <c r="K77" s="259"/>
      <c r="L77" s="259"/>
      <c r="M77" s="259"/>
      <c r="N77" s="259"/>
      <c r="O77" s="260">
        <v>45000</v>
      </c>
    </row>
    <row r="78" spans="1:15">
      <c r="A78" s="268" t="s">
        <v>281</v>
      </c>
      <c r="B78" s="268"/>
      <c r="C78" s="264">
        <f t="shared" ref="C78:O78" si="1">SUM(C70:C77)</f>
        <v>32000</v>
      </c>
      <c r="D78" s="264">
        <f t="shared" si="1"/>
        <v>235000</v>
      </c>
      <c r="E78" s="264">
        <f t="shared" si="1"/>
        <v>4000</v>
      </c>
      <c r="F78" s="264">
        <f t="shared" si="1"/>
        <v>0</v>
      </c>
      <c r="G78" s="264">
        <f t="shared" si="1"/>
        <v>0</v>
      </c>
      <c r="H78" s="264">
        <f t="shared" si="1"/>
        <v>0</v>
      </c>
      <c r="I78" s="264">
        <f t="shared" si="1"/>
        <v>0</v>
      </c>
      <c r="J78" s="264">
        <f t="shared" si="1"/>
        <v>0</v>
      </c>
      <c r="K78" s="264">
        <f t="shared" si="1"/>
        <v>0</v>
      </c>
      <c r="L78" s="264">
        <f t="shared" si="1"/>
        <v>0</v>
      </c>
      <c r="M78" s="264">
        <f t="shared" si="1"/>
        <v>0</v>
      </c>
      <c r="N78" s="264">
        <f t="shared" si="1"/>
        <v>0</v>
      </c>
      <c r="O78" s="264">
        <f t="shared" si="1"/>
        <v>239000</v>
      </c>
    </row>
    <row r="79" ht="13" customHeight="1"/>
    <row r="80" s="211" customFormat="1" spans="1:15">
      <c r="A80" s="256" t="s">
        <v>2201</v>
      </c>
      <c r="C80" s="254"/>
      <c r="D80" s="254"/>
      <c r="E80" s="254"/>
      <c r="F80" s="254"/>
      <c r="G80" s="254"/>
      <c r="H80" s="254"/>
      <c r="I80" s="254"/>
      <c r="J80" s="254"/>
      <c r="K80" s="254"/>
      <c r="L80" s="254"/>
      <c r="M80" s="254"/>
      <c r="N80" s="254"/>
      <c r="O80" s="254"/>
    </row>
    <row r="81" s="211" customFormat="1" spans="1:15">
      <c r="A81" s="257" t="s">
        <v>2202</v>
      </c>
      <c r="B81" s="257"/>
      <c r="C81" s="258" t="s">
        <v>304</v>
      </c>
      <c r="D81" s="258" t="s">
        <v>305</v>
      </c>
      <c r="E81" s="258" t="s">
        <v>306</v>
      </c>
      <c r="F81" s="258" t="s">
        <v>307</v>
      </c>
      <c r="G81" s="258" t="s">
        <v>308</v>
      </c>
      <c r="H81" s="258" t="s">
        <v>309</v>
      </c>
      <c r="I81" s="258" t="s">
        <v>310</v>
      </c>
      <c r="J81" s="258" t="s">
        <v>311</v>
      </c>
      <c r="K81" s="258" t="s">
        <v>312</v>
      </c>
      <c r="L81" s="258" t="s">
        <v>313</v>
      </c>
      <c r="M81" s="258" t="s">
        <v>314</v>
      </c>
      <c r="N81" s="258" t="s">
        <v>315</v>
      </c>
      <c r="O81" s="258" t="s">
        <v>281</v>
      </c>
    </row>
    <row r="82" s="211" customFormat="1" spans="1:15">
      <c r="A82" s="269" t="s">
        <v>2203</v>
      </c>
      <c r="B82" s="257" t="s">
        <v>2204</v>
      </c>
      <c r="C82" s="259">
        <v>1000</v>
      </c>
      <c r="D82" s="259">
        <v>1000</v>
      </c>
      <c r="E82" s="259">
        <v>1000</v>
      </c>
      <c r="F82" s="259">
        <v>1000</v>
      </c>
      <c r="G82" s="259">
        <v>1000</v>
      </c>
      <c r="H82" s="259">
        <v>1000</v>
      </c>
      <c r="I82" s="259">
        <v>1000</v>
      </c>
      <c r="J82" s="259">
        <v>1000</v>
      </c>
      <c r="K82" s="259">
        <v>1000</v>
      </c>
      <c r="L82" s="259">
        <v>1000</v>
      </c>
      <c r="M82" s="259">
        <v>1000</v>
      </c>
      <c r="N82" s="259">
        <v>1000</v>
      </c>
      <c r="O82" s="260">
        <v>12000</v>
      </c>
    </row>
    <row r="83" s="211" customFormat="1" spans="1:15">
      <c r="A83" s="270"/>
      <c r="B83" s="257" t="s">
        <v>2205</v>
      </c>
      <c r="C83" s="259"/>
      <c r="D83" s="259"/>
      <c r="E83" s="259"/>
      <c r="F83" s="259"/>
      <c r="G83" s="259"/>
      <c r="H83" s="259"/>
      <c r="I83" s="259"/>
      <c r="J83" s="259"/>
      <c r="K83" s="259"/>
      <c r="L83" s="259"/>
      <c r="M83" s="259"/>
      <c r="N83" s="259"/>
      <c r="O83" s="260"/>
    </row>
    <row r="84" s="211" customFormat="1" spans="1:15">
      <c r="A84" s="270"/>
      <c r="B84" s="257" t="s">
        <v>1867</v>
      </c>
      <c r="C84" s="259"/>
      <c r="D84" s="259"/>
      <c r="E84" s="259"/>
      <c r="F84" s="259"/>
      <c r="G84" s="259"/>
      <c r="H84" s="259"/>
      <c r="I84" s="259"/>
      <c r="J84" s="259"/>
      <c r="K84" s="259"/>
      <c r="L84" s="259"/>
      <c r="M84" s="259"/>
      <c r="N84" s="259"/>
      <c r="O84" s="260"/>
    </row>
    <row r="85" spans="1:15">
      <c r="A85" s="257" t="s">
        <v>2206</v>
      </c>
      <c r="B85" s="257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60"/>
    </row>
    <row r="86" spans="1:15">
      <c r="A86" s="257"/>
      <c r="B86" s="257" t="s">
        <v>281</v>
      </c>
      <c r="C86" s="261">
        <f t="shared" ref="C86:O86" si="2">SUM(C82:C85)</f>
        <v>1000</v>
      </c>
      <c r="D86" s="261">
        <f t="shared" si="2"/>
        <v>1000</v>
      </c>
      <c r="E86" s="261">
        <f t="shared" si="2"/>
        <v>1000</v>
      </c>
      <c r="F86" s="261">
        <f t="shared" si="2"/>
        <v>1000</v>
      </c>
      <c r="G86" s="261">
        <f t="shared" si="2"/>
        <v>1000</v>
      </c>
      <c r="H86" s="261">
        <f t="shared" si="2"/>
        <v>1000</v>
      </c>
      <c r="I86" s="261">
        <f t="shared" si="2"/>
        <v>1000</v>
      </c>
      <c r="J86" s="261">
        <f t="shared" si="2"/>
        <v>1000</v>
      </c>
      <c r="K86" s="261">
        <f t="shared" si="2"/>
        <v>1000</v>
      </c>
      <c r="L86" s="261">
        <f t="shared" si="2"/>
        <v>1000</v>
      </c>
      <c r="M86" s="261">
        <f t="shared" si="2"/>
        <v>1000</v>
      </c>
      <c r="N86" s="261">
        <f t="shared" si="2"/>
        <v>1000</v>
      </c>
      <c r="O86" s="261">
        <f t="shared" si="2"/>
        <v>12000</v>
      </c>
    </row>
  </sheetData>
  <mergeCells count="10">
    <mergeCell ref="A5:C5"/>
    <mergeCell ref="A11:B11"/>
    <mergeCell ref="A28:O28"/>
    <mergeCell ref="A78:B78"/>
    <mergeCell ref="A12:A14"/>
    <mergeCell ref="A16:A18"/>
    <mergeCell ref="A20:A22"/>
    <mergeCell ref="A24:A26"/>
    <mergeCell ref="A82:A84"/>
    <mergeCell ref="A1:C4"/>
  </mergeCells>
  <dataValidations count="1">
    <dataValidation type="list" allowBlank="1" showInputMessage="1" showErrorMessage="1" sqref="D8:D9">
      <formula1>#REF!</formula1>
    </dataValidation>
  </dataValidations>
  <hyperlinks>
    <hyperlink ref="A1" location="目录!A1" display="← 返回目录"/>
  </hyperlinks>
  <pageMargins left="0.7" right="0.7" top="0.75" bottom="0.75" header="0.3" footer="0.3"/>
  <headerFooter/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1">
    <tabColor theme="6" tint="0.399975585192419"/>
  </sheetPr>
  <dimension ref="A1:R20"/>
  <sheetViews>
    <sheetView workbookViewId="0">
      <selection activeCell="H35" sqref="H35"/>
    </sheetView>
  </sheetViews>
  <sheetFormatPr defaultColWidth="8.90833333333333" defaultRowHeight="13.5"/>
  <cols>
    <col min="1" max="1" width="8.63333333333333" style="172" customWidth="1"/>
    <col min="2" max="2" width="17.725" style="173" customWidth="1"/>
    <col min="3" max="3" width="12.9083333333333" style="173" customWidth="1"/>
    <col min="4" max="4" width="11.9083333333333" style="172" customWidth="1"/>
    <col min="5" max="5" width="14.1833333333333" style="173" customWidth="1"/>
    <col min="6" max="8" width="11.9083333333333" style="173" customWidth="1"/>
    <col min="9" max="9" width="11.2666666666667" style="173" customWidth="1"/>
    <col min="10" max="10" width="12.2666666666667" style="173" customWidth="1"/>
    <col min="11" max="12" width="10.725" style="173" customWidth="1"/>
    <col min="13" max="13" width="10.725" style="172" customWidth="1"/>
    <col min="14" max="14" width="9.09166666666667" style="173" customWidth="1"/>
    <col min="15" max="15" width="15.45" style="173" customWidth="1"/>
    <col min="16" max="16" width="6.36666666666667" style="158" customWidth="1"/>
    <col min="17" max="24" width="4" style="158" customWidth="1"/>
    <col min="25" max="27" width="5.09166666666667" style="158" customWidth="1"/>
    <col min="28" max="16384" width="8.90833333333333" style="158"/>
  </cols>
  <sheetData>
    <row r="1" s="157" customFormat="1" ht="19" customHeight="1" spans="1:18">
      <c r="A1" s="162" t="s">
        <v>185</v>
      </c>
      <c r="B1" s="163"/>
      <c r="C1" s="163"/>
      <c r="D1" s="163"/>
      <c r="E1" s="163"/>
      <c r="F1" s="163"/>
      <c r="G1" s="164" t="s">
        <v>1404</v>
      </c>
      <c r="H1" s="165" t="s">
        <v>1405</v>
      </c>
      <c r="I1" s="165"/>
      <c r="J1" s="165"/>
    </row>
    <row r="2" s="157" customFormat="1" ht="19" customHeight="1" spans="1:18">
      <c r="A2" s="163"/>
      <c r="B2" s="163"/>
      <c r="C2" s="163"/>
      <c r="D2" s="163"/>
      <c r="E2" s="163"/>
      <c r="F2" s="163"/>
      <c r="G2" s="166"/>
      <c r="H2" s="167" t="s">
        <v>1700</v>
      </c>
      <c r="I2" s="167"/>
      <c r="J2" s="167"/>
    </row>
    <row r="3" s="157" customFormat="1" ht="19" customHeight="1" spans="1:18">
      <c r="A3" s="163"/>
      <c r="B3" s="163"/>
      <c r="C3" s="163"/>
      <c r="D3" s="163"/>
      <c r="E3" s="163"/>
      <c r="F3" s="163"/>
      <c r="G3" s="166"/>
      <c r="H3" s="167" t="s">
        <v>1660</v>
      </c>
      <c r="I3" s="167"/>
      <c r="J3" s="167"/>
    </row>
    <row r="4" s="157" customFormat="1" ht="19" customHeight="1" spans="1:18">
      <c r="A4" s="163"/>
      <c r="B4" s="163"/>
      <c r="C4" s="163"/>
      <c r="D4" s="163"/>
      <c r="E4" s="163"/>
      <c r="F4" s="163"/>
      <c r="G4" s="166"/>
      <c r="H4" s="167"/>
      <c r="I4" s="167"/>
      <c r="J4" s="167"/>
    </row>
    <row r="5" s="157" customFormat="1" ht="19" customHeight="1" spans="1:18">
      <c r="A5" s="168" t="s">
        <v>1993</v>
      </c>
      <c r="B5" s="168"/>
      <c r="C5" s="168"/>
      <c r="D5" s="168"/>
      <c r="E5" s="168"/>
      <c r="F5" s="168"/>
      <c r="G5" s="169" t="s">
        <v>1567</v>
      </c>
      <c r="H5" s="170"/>
      <c r="I5" s="170"/>
      <c r="J5" s="171"/>
    </row>
    <row r="7" s="159" customFormat="1" ht="14" customHeight="1" spans="1:18">
      <c r="A7" s="174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40"/>
      <c r="N7" s="1"/>
      <c r="O7" s="1"/>
      <c r="P7" s="1"/>
      <c r="Q7"/>
      <c r="R7"/>
    </row>
    <row r="8" s="159" customFormat="1" spans="1:18">
      <c r="A8" s="176"/>
      <c r="B8" s="39"/>
      <c r="C8" s="39"/>
      <c r="D8" s="39"/>
      <c r="E8" s="39"/>
      <c r="F8" s="39"/>
      <c r="G8" s="39"/>
      <c r="H8" s="39"/>
      <c r="I8" s="39"/>
      <c r="J8" s="1"/>
      <c r="K8" s="1"/>
      <c r="L8" s="1"/>
      <c r="M8" s="40"/>
      <c r="N8" s="1"/>
      <c r="O8" s="1"/>
      <c r="P8" s="1"/>
      <c r="Q8"/>
      <c r="R8"/>
    </row>
    <row r="10" s="198" customFormat="1" ht="15" customHeight="1" spans="1:18">
      <c r="A10" s="199" t="s">
        <v>2207</v>
      </c>
      <c r="B10" s="177" t="s">
        <v>2208</v>
      </c>
      <c r="C10" s="178" t="s">
        <v>2209</v>
      </c>
      <c r="D10" s="179" t="s">
        <v>2210</v>
      </c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</row>
    <row r="11" s="198" customFormat="1" ht="28.75" customHeight="1" spans="1:18">
      <c r="A11" s="199"/>
      <c r="B11" s="180"/>
      <c r="C11" s="178"/>
      <c r="D11" s="179" t="s">
        <v>304</v>
      </c>
      <c r="E11" s="179" t="s">
        <v>305</v>
      </c>
      <c r="F11" s="179" t="s">
        <v>306</v>
      </c>
      <c r="G11" s="179" t="s">
        <v>307</v>
      </c>
      <c r="H11" s="179" t="s">
        <v>308</v>
      </c>
      <c r="I11" s="179" t="s">
        <v>309</v>
      </c>
      <c r="J11" s="179" t="s">
        <v>310</v>
      </c>
      <c r="K11" s="179" t="s">
        <v>311</v>
      </c>
      <c r="L11" s="179" t="s">
        <v>312</v>
      </c>
      <c r="M11" s="179" t="s">
        <v>313</v>
      </c>
      <c r="N11" s="179" t="s">
        <v>314</v>
      </c>
      <c r="O11" s="179" t="s">
        <v>315</v>
      </c>
    </row>
    <row r="12" s="161" customFormat="1" ht="15" customHeight="1" spans="1:18">
      <c r="A12" s="200" t="s">
        <v>2211</v>
      </c>
      <c r="B12" s="182" t="s">
        <v>2212</v>
      </c>
      <c r="C12" s="201" t="s">
        <v>199</v>
      </c>
      <c r="D12" s="201" t="s">
        <v>199</v>
      </c>
      <c r="E12" s="201" t="s">
        <v>199</v>
      </c>
      <c r="F12" s="201" t="s">
        <v>199</v>
      </c>
      <c r="G12" s="201" t="s">
        <v>199</v>
      </c>
      <c r="H12" s="201" t="s">
        <v>199</v>
      </c>
      <c r="I12" s="201" t="s">
        <v>199</v>
      </c>
      <c r="J12" s="201" t="s">
        <v>199</v>
      </c>
      <c r="K12" s="201" t="s">
        <v>199</v>
      </c>
      <c r="L12" s="201" t="s">
        <v>199</v>
      </c>
      <c r="M12" s="201" t="s">
        <v>199</v>
      </c>
      <c r="N12" s="201" t="s">
        <v>199</v>
      </c>
      <c r="O12" s="201" t="s">
        <v>199</v>
      </c>
    </row>
    <row r="13" s="161" customFormat="1" ht="16.5" spans="1:18">
      <c r="A13" s="200" t="s">
        <v>2211</v>
      </c>
      <c r="B13" s="181" t="s">
        <v>2213</v>
      </c>
      <c r="C13" s="201" t="s">
        <v>199</v>
      </c>
      <c r="D13" s="201" t="s">
        <v>199</v>
      </c>
      <c r="E13" s="201" t="s">
        <v>199</v>
      </c>
      <c r="F13" s="201" t="s">
        <v>199</v>
      </c>
      <c r="G13" s="201" t="s">
        <v>199</v>
      </c>
      <c r="H13" s="201" t="s">
        <v>199</v>
      </c>
      <c r="I13" s="201" t="s">
        <v>199</v>
      </c>
      <c r="J13" s="201" t="s">
        <v>199</v>
      </c>
      <c r="K13" s="201" t="s">
        <v>199</v>
      </c>
      <c r="L13" s="201" t="s">
        <v>199</v>
      </c>
      <c r="M13" s="201" t="s">
        <v>199</v>
      </c>
      <c r="N13" s="201" t="s">
        <v>199</v>
      </c>
      <c r="O13" s="201" t="s">
        <v>199</v>
      </c>
    </row>
    <row r="14" s="161" customFormat="1" ht="16.5" spans="1:18">
      <c r="A14" s="200" t="s">
        <v>2211</v>
      </c>
      <c r="B14" s="181" t="s">
        <v>2214</v>
      </c>
      <c r="C14" s="201" t="s">
        <v>199</v>
      </c>
      <c r="D14" s="201" t="s">
        <v>199</v>
      </c>
      <c r="E14" s="201" t="s">
        <v>199</v>
      </c>
      <c r="F14" s="201" t="s">
        <v>199</v>
      </c>
      <c r="G14" s="201" t="s">
        <v>199</v>
      </c>
      <c r="H14" s="201" t="s">
        <v>199</v>
      </c>
      <c r="I14" s="201" t="s">
        <v>199</v>
      </c>
      <c r="J14" s="201" t="s">
        <v>199</v>
      </c>
      <c r="K14" s="201" t="s">
        <v>199</v>
      </c>
      <c r="L14" s="201" t="s">
        <v>199</v>
      </c>
      <c r="M14" s="201" t="s">
        <v>199</v>
      </c>
      <c r="N14" s="201" t="s">
        <v>199</v>
      </c>
      <c r="O14" s="201" t="s">
        <v>199</v>
      </c>
    </row>
    <row r="15" s="161" customFormat="1" ht="15" customHeight="1" spans="1:18">
      <c r="A15" s="200" t="s">
        <v>2215</v>
      </c>
      <c r="B15" s="182" t="s">
        <v>2212</v>
      </c>
      <c r="C15" s="201" t="s">
        <v>199</v>
      </c>
      <c r="D15" s="201" t="s">
        <v>199</v>
      </c>
      <c r="E15" s="201" t="s">
        <v>199</v>
      </c>
      <c r="F15" s="201" t="s">
        <v>199</v>
      </c>
      <c r="G15" s="201" t="s">
        <v>199</v>
      </c>
      <c r="H15" s="201" t="s">
        <v>199</v>
      </c>
      <c r="I15" s="201" t="s">
        <v>199</v>
      </c>
      <c r="J15" s="201" t="s">
        <v>199</v>
      </c>
      <c r="K15" s="201" t="s">
        <v>199</v>
      </c>
      <c r="L15" s="201" t="s">
        <v>199</v>
      </c>
      <c r="M15" s="201" t="s">
        <v>199</v>
      </c>
      <c r="N15" s="201" t="s">
        <v>199</v>
      </c>
      <c r="O15" s="201" t="s">
        <v>199</v>
      </c>
    </row>
    <row r="16" s="161" customFormat="1" ht="16.5" spans="1:18">
      <c r="A16" s="200" t="s">
        <v>2215</v>
      </c>
      <c r="B16" s="181" t="s">
        <v>2213</v>
      </c>
      <c r="C16" s="201" t="s">
        <v>199</v>
      </c>
      <c r="D16" s="201" t="s">
        <v>199</v>
      </c>
      <c r="E16" s="201" t="s">
        <v>199</v>
      </c>
      <c r="F16" s="201" t="s">
        <v>199</v>
      </c>
      <c r="G16" s="201" t="s">
        <v>199</v>
      </c>
      <c r="H16" s="201" t="s">
        <v>199</v>
      </c>
      <c r="I16" s="201" t="s">
        <v>199</v>
      </c>
      <c r="J16" s="201" t="s">
        <v>199</v>
      </c>
      <c r="K16" s="201" t="s">
        <v>199</v>
      </c>
      <c r="L16" s="201" t="s">
        <v>199</v>
      </c>
      <c r="M16" s="201" t="s">
        <v>199</v>
      </c>
      <c r="N16" s="201" t="s">
        <v>199</v>
      </c>
      <c r="O16" s="201" t="s">
        <v>199</v>
      </c>
    </row>
    <row r="17" s="161" customFormat="1" ht="16.5" spans="1:15">
      <c r="A17" s="200" t="s">
        <v>2215</v>
      </c>
      <c r="B17" s="181" t="s">
        <v>2214</v>
      </c>
      <c r="C17" s="201" t="s">
        <v>199</v>
      </c>
      <c r="D17" s="201" t="s">
        <v>199</v>
      </c>
      <c r="E17" s="201" t="s">
        <v>199</v>
      </c>
      <c r="F17" s="201" t="s">
        <v>199</v>
      </c>
      <c r="G17" s="201" t="s">
        <v>199</v>
      </c>
      <c r="H17" s="201" t="s">
        <v>199</v>
      </c>
      <c r="I17" s="201" t="s">
        <v>199</v>
      </c>
      <c r="J17" s="201" t="s">
        <v>199</v>
      </c>
      <c r="K17" s="201" t="s">
        <v>199</v>
      </c>
      <c r="L17" s="201" t="s">
        <v>199</v>
      </c>
      <c r="M17" s="201" t="s">
        <v>199</v>
      </c>
      <c r="N17" s="201" t="s">
        <v>199</v>
      </c>
      <c r="O17" s="201" t="s">
        <v>199</v>
      </c>
    </row>
    <row r="18" s="161" customFormat="1" ht="15" customHeight="1" spans="1:15">
      <c r="A18" s="200" t="s">
        <v>281</v>
      </c>
      <c r="B18" s="182" t="s">
        <v>2212</v>
      </c>
      <c r="C18" s="201" t="s">
        <v>199</v>
      </c>
      <c r="D18" s="201" t="s">
        <v>199</v>
      </c>
      <c r="E18" s="201" t="s">
        <v>199</v>
      </c>
      <c r="F18" s="201" t="s">
        <v>199</v>
      </c>
      <c r="G18" s="201" t="s">
        <v>199</v>
      </c>
      <c r="H18" s="201" t="s">
        <v>199</v>
      </c>
      <c r="I18" s="201" t="s">
        <v>199</v>
      </c>
      <c r="J18" s="201" t="s">
        <v>199</v>
      </c>
      <c r="K18" s="201" t="s">
        <v>199</v>
      </c>
      <c r="L18" s="201" t="s">
        <v>199</v>
      </c>
      <c r="M18" s="201" t="s">
        <v>199</v>
      </c>
      <c r="N18" s="201" t="s">
        <v>199</v>
      </c>
      <c r="O18" s="201" t="s">
        <v>199</v>
      </c>
    </row>
    <row r="19" s="161" customFormat="1" ht="16.5" spans="1:15">
      <c r="A19" s="200" t="s">
        <v>281</v>
      </c>
      <c r="B19" s="181" t="s">
        <v>2213</v>
      </c>
      <c r="C19" s="201" t="s">
        <v>199</v>
      </c>
      <c r="D19" s="201" t="s">
        <v>199</v>
      </c>
      <c r="E19" s="201" t="s">
        <v>199</v>
      </c>
      <c r="F19" s="201" t="s">
        <v>199</v>
      </c>
      <c r="G19" s="201" t="s">
        <v>199</v>
      </c>
      <c r="H19" s="201" t="s">
        <v>199</v>
      </c>
      <c r="I19" s="201" t="s">
        <v>199</v>
      </c>
      <c r="J19" s="201" t="s">
        <v>199</v>
      </c>
      <c r="K19" s="201" t="s">
        <v>199</v>
      </c>
      <c r="L19" s="201" t="s">
        <v>199</v>
      </c>
      <c r="M19" s="201" t="s">
        <v>199</v>
      </c>
      <c r="N19" s="201" t="s">
        <v>199</v>
      </c>
      <c r="O19" s="201" t="s">
        <v>199</v>
      </c>
    </row>
    <row r="20" s="161" customFormat="1" ht="16.5" spans="1:15">
      <c r="A20" s="200" t="s">
        <v>281</v>
      </c>
      <c r="B20" s="181" t="s">
        <v>2214</v>
      </c>
      <c r="C20" s="201" t="s">
        <v>199</v>
      </c>
      <c r="D20" s="201" t="s">
        <v>199</v>
      </c>
      <c r="E20" s="201" t="s">
        <v>199</v>
      </c>
      <c r="F20" s="201" t="s">
        <v>199</v>
      </c>
      <c r="G20" s="201" t="s">
        <v>199</v>
      </c>
      <c r="H20" s="201" t="s">
        <v>199</v>
      </c>
      <c r="I20" s="201" t="s">
        <v>199</v>
      </c>
      <c r="J20" s="201" t="s">
        <v>199</v>
      </c>
      <c r="K20" s="201" t="s">
        <v>199</v>
      </c>
      <c r="L20" s="201" t="s">
        <v>199</v>
      </c>
      <c r="M20" s="201" t="s">
        <v>199</v>
      </c>
      <c r="N20" s="201" t="s">
        <v>199</v>
      </c>
      <c r="O20" s="201" t="s">
        <v>199</v>
      </c>
    </row>
  </sheetData>
  <mergeCells count="7">
    <mergeCell ref="A5:F5"/>
    <mergeCell ref="A8:I8"/>
    <mergeCell ref="D10:O10"/>
    <mergeCell ref="A10:A11"/>
    <mergeCell ref="B10:B11"/>
    <mergeCell ref="C10:C11"/>
    <mergeCell ref="A1:F4"/>
  </mergeCells>
  <hyperlinks>
    <hyperlink ref="A1" location="目录!A1" display="← 返回目录"/>
  </hyperlinks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3">
    <tabColor theme="6" tint="0.399975585192419"/>
  </sheetPr>
  <dimension ref="A1:AF18"/>
  <sheetViews>
    <sheetView workbookViewId="0">
      <selection activeCell="A10" sqref="A10:Q12"/>
    </sheetView>
  </sheetViews>
  <sheetFormatPr defaultColWidth="8.90833333333333" defaultRowHeight="13.5"/>
  <cols>
    <col min="1" max="1" width="8.63333333333333" style="172" customWidth="1"/>
    <col min="2" max="2" width="10.725" style="173" customWidth="1"/>
    <col min="3" max="3" width="17.45" style="173" customWidth="1"/>
    <col min="4" max="4" width="11.9083333333333" style="172" customWidth="1"/>
    <col min="5" max="5" width="11.0916666666667" style="173" customWidth="1"/>
    <col min="6" max="8" width="11.9083333333333" style="173" customWidth="1"/>
    <col min="9" max="9" width="11.2666666666667" style="173" customWidth="1"/>
    <col min="10" max="10" width="12.2666666666667" style="173" customWidth="1"/>
    <col min="11" max="11" width="10.725" style="173" customWidth="1"/>
    <col min="12" max="12" width="10.725" style="172" customWidth="1"/>
    <col min="13" max="13" width="15.9083333333333" style="173" customWidth="1"/>
    <col min="14" max="14" width="15.45" style="173" customWidth="1"/>
    <col min="15" max="15" width="9" style="158" customWidth="1"/>
    <col min="16" max="16" width="7.45" style="158" customWidth="1"/>
    <col min="17" max="17" width="9.09166666666667" style="158" customWidth="1"/>
    <col min="18" max="19" width="15.45" style="158" customWidth="1"/>
    <col min="20" max="20" width="8.36666666666667" style="158" customWidth="1"/>
    <col min="21" max="32" width="6" style="158" customWidth="1"/>
    <col min="33" max="16384" width="8.90833333333333" style="158"/>
  </cols>
  <sheetData>
    <row r="1" s="157" customFormat="1" ht="19" customHeight="1" spans="1:32">
      <c r="A1" s="162" t="s">
        <v>185</v>
      </c>
      <c r="B1" s="163"/>
      <c r="C1" s="163"/>
      <c r="D1" s="163"/>
      <c r="E1" s="163"/>
      <c r="F1" s="163"/>
      <c r="G1" s="164" t="s">
        <v>1404</v>
      </c>
      <c r="H1" s="165" t="s">
        <v>1405</v>
      </c>
      <c r="I1" s="165"/>
      <c r="J1" s="165"/>
    </row>
    <row r="2" s="157" customFormat="1" ht="19" customHeight="1" spans="1:32">
      <c r="A2" s="163"/>
      <c r="B2" s="163"/>
      <c r="C2" s="163"/>
      <c r="D2" s="163"/>
      <c r="E2" s="163"/>
      <c r="F2" s="163"/>
      <c r="G2" s="166"/>
      <c r="H2" s="167" t="s">
        <v>1700</v>
      </c>
      <c r="I2" s="167"/>
      <c r="J2" s="167"/>
    </row>
    <row r="3" s="157" customFormat="1" ht="19" customHeight="1" spans="1:32">
      <c r="A3" s="163"/>
      <c r="B3" s="163"/>
      <c r="C3" s="163"/>
      <c r="D3" s="163"/>
      <c r="E3" s="163"/>
      <c r="F3" s="163"/>
      <c r="G3" s="166"/>
      <c r="H3" s="167" t="s">
        <v>1660</v>
      </c>
      <c r="I3" s="167"/>
      <c r="J3" s="167"/>
    </row>
    <row r="4" s="157" customFormat="1" ht="19" customHeight="1" spans="1:32">
      <c r="A4" s="163"/>
      <c r="B4" s="163"/>
      <c r="C4" s="163"/>
      <c r="D4" s="163"/>
      <c r="E4" s="163"/>
      <c r="F4" s="163"/>
      <c r="G4" s="166"/>
      <c r="H4" s="167"/>
      <c r="I4" s="167"/>
      <c r="J4" s="167"/>
    </row>
    <row r="5" s="157" customFormat="1" ht="19" customHeight="1" spans="1:32">
      <c r="A5" s="168" t="s">
        <v>1618</v>
      </c>
      <c r="B5" s="168"/>
      <c r="C5" s="168"/>
      <c r="D5" s="168"/>
      <c r="E5" s="168"/>
      <c r="F5" s="168"/>
      <c r="G5" s="169" t="s">
        <v>1567</v>
      </c>
      <c r="H5" s="170"/>
      <c r="I5" s="170"/>
      <c r="J5" s="171"/>
    </row>
    <row r="7" s="159" customFormat="1" ht="14" customHeight="1" spans="1:32">
      <c r="A7" s="174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40"/>
      <c r="M7" s="1"/>
      <c r="N7" s="1"/>
      <c r="O7" s="1"/>
      <c r="P7"/>
      <c r="Q7"/>
    </row>
    <row r="8" s="159" customFormat="1" spans="1:32">
      <c r="A8" s="176"/>
      <c r="B8" s="39"/>
      <c r="C8" s="39"/>
      <c r="D8" s="39"/>
      <c r="E8" s="39"/>
      <c r="F8" s="39"/>
      <c r="G8" s="39"/>
      <c r="H8" s="39"/>
      <c r="I8" s="39"/>
      <c r="J8" s="1"/>
      <c r="K8" s="1"/>
      <c r="L8" s="40"/>
      <c r="M8" s="1"/>
      <c r="N8" s="1"/>
      <c r="O8" s="1"/>
      <c r="P8"/>
      <c r="Q8"/>
    </row>
    <row r="10" s="160" customFormat="1" ht="15" customHeight="1" spans="1:32">
      <c r="A10" s="177" t="s">
        <v>188</v>
      </c>
      <c r="B10" s="177" t="s">
        <v>2216</v>
      </c>
      <c r="C10" s="177" t="s">
        <v>2217</v>
      </c>
      <c r="D10" s="177" t="s">
        <v>2218</v>
      </c>
      <c r="E10" s="177" t="s">
        <v>2219</v>
      </c>
      <c r="F10" s="177" t="s">
        <v>2220</v>
      </c>
      <c r="G10" s="177" t="s">
        <v>2221</v>
      </c>
      <c r="H10" s="177" t="s">
        <v>2222</v>
      </c>
      <c r="I10" s="177" t="s">
        <v>2223</v>
      </c>
      <c r="J10" s="177" t="s">
        <v>2224</v>
      </c>
      <c r="K10" s="177" t="s">
        <v>2225</v>
      </c>
      <c r="L10" s="177" t="s">
        <v>2204</v>
      </c>
      <c r="M10" s="177" t="s">
        <v>2226</v>
      </c>
      <c r="N10" s="177" t="s">
        <v>2227</v>
      </c>
      <c r="O10" s="177" t="s">
        <v>2228</v>
      </c>
      <c r="P10" s="177" t="s">
        <v>2229</v>
      </c>
      <c r="Q10" s="177" t="s">
        <v>2230</v>
      </c>
      <c r="R10" s="177" t="s">
        <v>2231</v>
      </c>
      <c r="S10" s="177" t="s">
        <v>2232</v>
      </c>
      <c r="T10" s="178" t="s">
        <v>2209</v>
      </c>
      <c r="U10" s="179" t="s">
        <v>2210</v>
      </c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</row>
    <row r="11" s="160" customFormat="1" ht="28.75" customHeight="1" spans="1:32">
      <c r="A11" s="180"/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78"/>
      <c r="U11" s="179" t="s">
        <v>304</v>
      </c>
      <c r="V11" s="179" t="s">
        <v>305</v>
      </c>
      <c r="W11" s="179" t="s">
        <v>306</v>
      </c>
      <c r="X11" s="179" t="s">
        <v>307</v>
      </c>
      <c r="Y11" s="179" t="s">
        <v>308</v>
      </c>
      <c r="Z11" s="179" t="s">
        <v>309</v>
      </c>
      <c r="AA11" s="179" t="s">
        <v>310</v>
      </c>
      <c r="AB11" s="179" t="s">
        <v>311</v>
      </c>
      <c r="AC11" s="179" t="s">
        <v>312</v>
      </c>
      <c r="AD11" s="179" t="s">
        <v>313</v>
      </c>
      <c r="AE11" s="179" t="s">
        <v>314</v>
      </c>
      <c r="AF11" s="179" t="s">
        <v>315</v>
      </c>
    </row>
    <row r="12" s="161" customFormat="1" ht="15" customHeight="1" spans="1:32">
      <c r="A12" s="181" t="s">
        <v>343</v>
      </c>
      <c r="B12" s="182" t="s">
        <v>2233</v>
      </c>
      <c r="C12" s="182" t="s">
        <v>2234</v>
      </c>
      <c r="D12" s="182" t="s">
        <v>2235</v>
      </c>
      <c r="E12" s="183">
        <v>3000</v>
      </c>
      <c r="F12" s="183">
        <v>0</v>
      </c>
      <c r="G12" s="183">
        <v>2880</v>
      </c>
      <c r="H12" s="184">
        <v>0</v>
      </c>
      <c r="I12" s="184">
        <v>120</v>
      </c>
      <c r="J12" s="184">
        <v>0</v>
      </c>
      <c r="K12" s="185">
        <v>120</v>
      </c>
      <c r="L12" s="207">
        <v>1</v>
      </c>
      <c r="M12" s="182" t="s">
        <v>2236</v>
      </c>
      <c r="N12" s="182" t="s">
        <v>1820</v>
      </c>
      <c r="O12" s="205">
        <v>0</v>
      </c>
      <c r="P12" s="186">
        <v>60</v>
      </c>
      <c r="Q12" s="186">
        <v>60</v>
      </c>
      <c r="R12" s="187">
        <f t="shared" ref="R12:R18" si="0">+P12-Q12-1</f>
        <v>-1</v>
      </c>
      <c r="S12" s="188" t="s">
        <v>2214</v>
      </c>
      <c r="T12" s="189">
        <f t="shared" ref="T12:T18" si="1">SUM(U12:AF12)</f>
        <v>0</v>
      </c>
      <c r="U12" s="190">
        <f t="shared" ref="U12:U18" si="2">+F12</f>
        <v>0</v>
      </c>
      <c r="V12" s="190">
        <f t="shared" ref="V12:AF12" si="3">+U12</f>
        <v>0</v>
      </c>
      <c r="W12" s="190">
        <f t="shared" si="3"/>
        <v>0</v>
      </c>
      <c r="X12" s="190">
        <f t="shared" si="3"/>
        <v>0</v>
      </c>
      <c r="Y12" s="190">
        <f t="shared" si="3"/>
        <v>0</v>
      </c>
      <c r="Z12" s="190">
        <f t="shared" si="3"/>
        <v>0</v>
      </c>
      <c r="AA12" s="190">
        <f t="shared" si="3"/>
        <v>0</v>
      </c>
      <c r="AB12" s="190">
        <f t="shared" si="3"/>
        <v>0</v>
      </c>
      <c r="AC12" s="190">
        <f t="shared" si="3"/>
        <v>0</v>
      </c>
      <c r="AD12" s="190">
        <f t="shared" si="3"/>
        <v>0</v>
      </c>
      <c r="AE12" s="190">
        <f t="shared" si="3"/>
        <v>0</v>
      </c>
      <c r="AF12" s="190">
        <f t="shared" si="3"/>
        <v>0</v>
      </c>
    </row>
    <row r="13" s="161" customFormat="1" ht="16.5" spans="1:32">
      <c r="A13" s="181" t="s">
        <v>343</v>
      </c>
      <c r="B13" s="182" t="s">
        <v>2237</v>
      </c>
      <c r="C13" s="182" t="s">
        <v>2238</v>
      </c>
      <c r="D13" s="182" t="s">
        <v>2239</v>
      </c>
      <c r="E13" s="183">
        <v>17760</v>
      </c>
      <c r="F13" s="183">
        <v>0</v>
      </c>
      <c r="G13" s="183">
        <v>16860</v>
      </c>
      <c r="H13" s="184">
        <v>0</v>
      </c>
      <c r="I13" s="184">
        <v>900</v>
      </c>
      <c r="J13" s="184">
        <v>0</v>
      </c>
      <c r="K13" s="185">
        <v>900</v>
      </c>
      <c r="L13" s="207">
        <v>1</v>
      </c>
      <c r="M13" s="182" t="s">
        <v>2236</v>
      </c>
      <c r="N13" s="182" t="s">
        <v>1820</v>
      </c>
      <c r="O13" s="205">
        <v>0</v>
      </c>
      <c r="P13" s="186">
        <v>60</v>
      </c>
      <c r="Q13" s="186">
        <v>60</v>
      </c>
      <c r="R13" s="187">
        <f t="shared" si="0"/>
        <v>-1</v>
      </c>
      <c r="S13" s="188" t="s">
        <v>2214</v>
      </c>
      <c r="T13" s="189">
        <f t="shared" si="1"/>
        <v>0</v>
      </c>
      <c r="U13" s="190">
        <f t="shared" si="2"/>
        <v>0</v>
      </c>
      <c r="V13" s="190">
        <f t="shared" ref="V13:AF13" si="4">+U13</f>
        <v>0</v>
      </c>
      <c r="W13" s="190">
        <f t="shared" si="4"/>
        <v>0</v>
      </c>
      <c r="X13" s="190">
        <f t="shared" si="4"/>
        <v>0</v>
      </c>
      <c r="Y13" s="190">
        <f t="shared" si="4"/>
        <v>0</v>
      </c>
      <c r="Z13" s="190">
        <f t="shared" si="4"/>
        <v>0</v>
      </c>
      <c r="AA13" s="190">
        <f t="shared" si="4"/>
        <v>0</v>
      </c>
      <c r="AB13" s="190">
        <f t="shared" si="4"/>
        <v>0</v>
      </c>
      <c r="AC13" s="190">
        <f t="shared" si="4"/>
        <v>0</v>
      </c>
      <c r="AD13" s="190">
        <f t="shared" si="4"/>
        <v>0</v>
      </c>
      <c r="AE13" s="190">
        <f t="shared" si="4"/>
        <v>0</v>
      </c>
      <c r="AF13" s="190">
        <f t="shared" si="4"/>
        <v>0</v>
      </c>
    </row>
    <row r="14" s="161" customFormat="1" ht="16.5" spans="1:32">
      <c r="A14" s="191" t="s">
        <v>343</v>
      </c>
      <c r="B14" s="192" t="s">
        <v>2240</v>
      </c>
      <c r="C14" s="192" t="s">
        <v>2241</v>
      </c>
      <c r="D14" s="192" t="s">
        <v>2242</v>
      </c>
      <c r="E14" s="193">
        <v>2350</v>
      </c>
      <c r="F14" s="193">
        <v>0</v>
      </c>
      <c r="G14" s="193">
        <v>2220</v>
      </c>
      <c r="H14" s="194">
        <v>0</v>
      </c>
      <c r="I14" s="194">
        <v>130</v>
      </c>
      <c r="J14" s="194">
        <v>0</v>
      </c>
      <c r="K14" s="195">
        <v>130</v>
      </c>
      <c r="L14" s="208">
        <v>1</v>
      </c>
      <c r="M14" s="192" t="s">
        <v>2236</v>
      </c>
      <c r="N14" s="192" t="s">
        <v>1793</v>
      </c>
      <c r="O14" s="209">
        <v>0</v>
      </c>
      <c r="P14" s="196">
        <v>60</v>
      </c>
      <c r="Q14" s="196">
        <v>60</v>
      </c>
      <c r="R14" s="187">
        <f t="shared" si="0"/>
        <v>-1</v>
      </c>
      <c r="S14" s="188" t="s">
        <v>2213</v>
      </c>
      <c r="T14" s="197">
        <f t="shared" si="1"/>
        <v>0</v>
      </c>
      <c r="U14" s="190">
        <f t="shared" si="2"/>
        <v>0</v>
      </c>
      <c r="V14" s="190">
        <f t="shared" ref="V14:AF14" si="5">+U14</f>
        <v>0</v>
      </c>
      <c r="W14" s="190">
        <f t="shared" si="5"/>
        <v>0</v>
      </c>
      <c r="X14" s="190">
        <f t="shared" si="5"/>
        <v>0</v>
      </c>
      <c r="Y14" s="190">
        <f t="shared" si="5"/>
        <v>0</v>
      </c>
      <c r="Z14" s="190">
        <f t="shared" si="5"/>
        <v>0</v>
      </c>
      <c r="AA14" s="190">
        <f t="shared" si="5"/>
        <v>0</v>
      </c>
      <c r="AB14" s="190">
        <f t="shared" si="5"/>
        <v>0</v>
      </c>
      <c r="AC14" s="190">
        <f t="shared" si="5"/>
        <v>0</v>
      </c>
      <c r="AD14" s="190">
        <f t="shared" si="5"/>
        <v>0</v>
      </c>
      <c r="AE14" s="190">
        <f t="shared" si="5"/>
        <v>0</v>
      </c>
      <c r="AF14" s="190">
        <f t="shared" si="5"/>
        <v>0</v>
      </c>
    </row>
    <row r="15" s="161" customFormat="1" ht="16.5" spans="1:32">
      <c r="A15" s="191" t="s">
        <v>343</v>
      </c>
      <c r="B15" s="192" t="s">
        <v>2243</v>
      </c>
      <c r="C15" s="192" t="s">
        <v>2244</v>
      </c>
      <c r="D15" s="192" t="s">
        <v>2242</v>
      </c>
      <c r="E15" s="193">
        <v>311436.6</v>
      </c>
      <c r="F15" s="193">
        <v>0</v>
      </c>
      <c r="G15" s="193">
        <v>295860</v>
      </c>
      <c r="H15" s="194">
        <v>0</v>
      </c>
      <c r="I15" s="194">
        <v>15576.6</v>
      </c>
      <c r="J15" s="194">
        <v>0</v>
      </c>
      <c r="K15" s="195">
        <v>15576.6</v>
      </c>
      <c r="L15" s="208">
        <v>1</v>
      </c>
      <c r="M15" s="192" t="s">
        <v>2236</v>
      </c>
      <c r="N15" s="192" t="s">
        <v>1820</v>
      </c>
      <c r="O15" s="209">
        <v>0</v>
      </c>
      <c r="P15" s="196">
        <v>60</v>
      </c>
      <c r="Q15" s="196">
        <v>60</v>
      </c>
      <c r="R15" s="187">
        <f t="shared" si="0"/>
        <v>-1</v>
      </c>
      <c r="S15" s="188" t="s">
        <v>2214</v>
      </c>
      <c r="T15" s="197">
        <f t="shared" si="1"/>
        <v>0</v>
      </c>
      <c r="U15" s="190">
        <f t="shared" si="2"/>
        <v>0</v>
      </c>
      <c r="V15" s="190">
        <f t="shared" ref="V15:AF15" si="6">+U15</f>
        <v>0</v>
      </c>
      <c r="W15" s="190">
        <f t="shared" si="6"/>
        <v>0</v>
      </c>
      <c r="X15" s="190">
        <f t="shared" si="6"/>
        <v>0</v>
      </c>
      <c r="Y15" s="190">
        <f t="shared" si="6"/>
        <v>0</v>
      </c>
      <c r="Z15" s="190">
        <f t="shared" si="6"/>
        <v>0</v>
      </c>
      <c r="AA15" s="190">
        <f t="shared" si="6"/>
        <v>0</v>
      </c>
      <c r="AB15" s="190">
        <f t="shared" si="6"/>
        <v>0</v>
      </c>
      <c r="AC15" s="190">
        <f t="shared" si="6"/>
        <v>0</v>
      </c>
      <c r="AD15" s="190">
        <f t="shared" si="6"/>
        <v>0</v>
      </c>
      <c r="AE15" s="190">
        <f t="shared" si="6"/>
        <v>0</v>
      </c>
      <c r="AF15" s="190">
        <f t="shared" si="6"/>
        <v>0</v>
      </c>
    </row>
    <row r="16" s="161" customFormat="1" ht="16.5" spans="1:32">
      <c r="A16" s="191" t="s">
        <v>343</v>
      </c>
      <c r="B16" s="192" t="s">
        <v>2245</v>
      </c>
      <c r="C16" s="192" t="s">
        <v>2246</v>
      </c>
      <c r="D16" s="192" t="s">
        <v>2247</v>
      </c>
      <c r="E16" s="193">
        <v>9300</v>
      </c>
      <c r="F16" s="193">
        <v>0</v>
      </c>
      <c r="G16" s="193">
        <v>8820</v>
      </c>
      <c r="H16" s="194">
        <v>0</v>
      </c>
      <c r="I16" s="194">
        <v>480</v>
      </c>
      <c r="J16" s="194">
        <v>0</v>
      </c>
      <c r="K16" s="195">
        <v>480</v>
      </c>
      <c r="L16" s="208">
        <v>1</v>
      </c>
      <c r="M16" s="192" t="s">
        <v>2236</v>
      </c>
      <c r="N16" s="192" t="s">
        <v>1820</v>
      </c>
      <c r="O16" s="209">
        <v>0</v>
      </c>
      <c r="P16" s="196">
        <v>60</v>
      </c>
      <c r="Q16" s="196">
        <v>60</v>
      </c>
      <c r="R16" s="187">
        <f t="shared" si="0"/>
        <v>-1</v>
      </c>
      <c r="S16" s="188" t="s">
        <v>2214</v>
      </c>
      <c r="T16" s="197">
        <f t="shared" si="1"/>
        <v>0</v>
      </c>
      <c r="U16" s="190">
        <f t="shared" si="2"/>
        <v>0</v>
      </c>
      <c r="V16" s="190">
        <f t="shared" ref="V16:AF16" si="7">+U16</f>
        <v>0</v>
      </c>
      <c r="W16" s="190">
        <f t="shared" si="7"/>
        <v>0</v>
      </c>
      <c r="X16" s="190">
        <f t="shared" si="7"/>
        <v>0</v>
      </c>
      <c r="Y16" s="190">
        <f t="shared" si="7"/>
        <v>0</v>
      </c>
      <c r="Z16" s="190">
        <f t="shared" si="7"/>
        <v>0</v>
      </c>
      <c r="AA16" s="190">
        <f t="shared" si="7"/>
        <v>0</v>
      </c>
      <c r="AB16" s="190">
        <f t="shared" si="7"/>
        <v>0</v>
      </c>
      <c r="AC16" s="190">
        <f t="shared" si="7"/>
        <v>0</v>
      </c>
      <c r="AD16" s="190">
        <f t="shared" si="7"/>
        <v>0</v>
      </c>
      <c r="AE16" s="190">
        <f t="shared" si="7"/>
        <v>0</v>
      </c>
      <c r="AF16" s="190">
        <f t="shared" si="7"/>
        <v>0</v>
      </c>
    </row>
    <row r="17" s="161" customFormat="1" ht="16.5" spans="1:32">
      <c r="A17" s="191" t="s">
        <v>343</v>
      </c>
      <c r="B17" s="192" t="s">
        <v>2248</v>
      </c>
      <c r="C17" s="192" t="s">
        <v>2249</v>
      </c>
      <c r="D17" s="192" t="s">
        <v>2247</v>
      </c>
      <c r="E17" s="193">
        <v>2650</v>
      </c>
      <c r="F17" s="193">
        <v>0</v>
      </c>
      <c r="G17" s="193">
        <v>2520</v>
      </c>
      <c r="H17" s="194">
        <v>0</v>
      </c>
      <c r="I17" s="194">
        <v>130</v>
      </c>
      <c r="J17" s="194">
        <v>0</v>
      </c>
      <c r="K17" s="195">
        <v>130</v>
      </c>
      <c r="L17" s="208">
        <v>1</v>
      </c>
      <c r="M17" s="192" t="s">
        <v>2236</v>
      </c>
      <c r="N17" s="192" t="s">
        <v>1793</v>
      </c>
      <c r="O17" s="209">
        <v>0</v>
      </c>
      <c r="P17" s="196">
        <v>60</v>
      </c>
      <c r="Q17" s="196">
        <v>60</v>
      </c>
      <c r="R17" s="187">
        <f t="shared" si="0"/>
        <v>-1</v>
      </c>
      <c r="S17" s="188" t="s">
        <v>2213</v>
      </c>
      <c r="T17" s="197">
        <f t="shared" si="1"/>
        <v>0</v>
      </c>
      <c r="U17" s="190">
        <f t="shared" si="2"/>
        <v>0</v>
      </c>
      <c r="V17" s="190">
        <f t="shared" ref="V17:AF17" si="8">+U17</f>
        <v>0</v>
      </c>
      <c r="W17" s="190">
        <f t="shared" si="8"/>
        <v>0</v>
      </c>
      <c r="X17" s="190">
        <f t="shared" si="8"/>
        <v>0</v>
      </c>
      <c r="Y17" s="190">
        <f t="shared" si="8"/>
        <v>0</v>
      </c>
      <c r="Z17" s="190">
        <f t="shared" si="8"/>
        <v>0</v>
      </c>
      <c r="AA17" s="190">
        <f t="shared" si="8"/>
        <v>0</v>
      </c>
      <c r="AB17" s="190">
        <f t="shared" si="8"/>
        <v>0</v>
      </c>
      <c r="AC17" s="190">
        <f t="shared" si="8"/>
        <v>0</v>
      </c>
      <c r="AD17" s="190">
        <f t="shared" si="8"/>
        <v>0</v>
      </c>
      <c r="AE17" s="190">
        <f t="shared" si="8"/>
        <v>0</v>
      </c>
      <c r="AF17" s="190">
        <f t="shared" si="8"/>
        <v>0</v>
      </c>
    </row>
    <row r="18" s="161" customFormat="1" ht="16.5" spans="1:32">
      <c r="A18" s="191" t="s">
        <v>343</v>
      </c>
      <c r="B18" s="192" t="s">
        <v>2250</v>
      </c>
      <c r="C18" s="192" t="s">
        <v>2251</v>
      </c>
      <c r="D18" s="192" t="s">
        <v>2247</v>
      </c>
      <c r="E18" s="193">
        <v>8640</v>
      </c>
      <c r="F18" s="193">
        <v>0</v>
      </c>
      <c r="G18" s="193">
        <v>8220</v>
      </c>
      <c r="H18" s="194">
        <v>0</v>
      </c>
      <c r="I18" s="194">
        <v>420</v>
      </c>
      <c r="J18" s="194">
        <v>0</v>
      </c>
      <c r="K18" s="195">
        <v>420</v>
      </c>
      <c r="L18" s="208">
        <v>1</v>
      </c>
      <c r="M18" s="192" t="s">
        <v>2236</v>
      </c>
      <c r="N18" s="192" t="s">
        <v>1793</v>
      </c>
      <c r="O18" s="209">
        <v>0</v>
      </c>
      <c r="P18" s="196">
        <v>60</v>
      </c>
      <c r="Q18" s="196">
        <v>60</v>
      </c>
      <c r="R18" s="187">
        <f t="shared" si="0"/>
        <v>-1</v>
      </c>
      <c r="S18" s="188" t="s">
        <v>2213</v>
      </c>
      <c r="T18" s="197">
        <f t="shared" si="1"/>
        <v>0</v>
      </c>
      <c r="U18" s="190">
        <f t="shared" si="2"/>
        <v>0</v>
      </c>
      <c r="V18" s="190">
        <f t="shared" ref="V18:AF18" si="9">+U18</f>
        <v>0</v>
      </c>
      <c r="W18" s="190">
        <f t="shared" si="9"/>
        <v>0</v>
      </c>
      <c r="X18" s="190">
        <f t="shared" si="9"/>
        <v>0</v>
      </c>
      <c r="Y18" s="190">
        <f t="shared" si="9"/>
        <v>0</v>
      </c>
      <c r="Z18" s="190">
        <f t="shared" si="9"/>
        <v>0</v>
      </c>
      <c r="AA18" s="190">
        <f t="shared" si="9"/>
        <v>0</v>
      </c>
      <c r="AB18" s="190">
        <f t="shared" si="9"/>
        <v>0</v>
      </c>
      <c r="AC18" s="190">
        <f t="shared" si="9"/>
        <v>0</v>
      </c>
      <c r="AD18" s="190">
        <f t="shared" si="9"/>
        <v>0</v>
      </c>
      <c r="AE18" s="190">
        <f t="shared" si="9"/>
        <v>0</v>
      </c>
      <c r="AF18" s="190">
        <f t="shared" si="9"/>
        <v>0</v>
      </c>
    </row>
  </sheetData>
  <mergeCells count="24">
    <mergeCell ref="A5:F5"/>
    <mergeCell ref="A8:I8"/>
    <mergeCell ref="U10:AF10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A1:F4"/>
  </mergeCells>
  <hyperlinks>
    <hyperlink ref="A1" location="目录!A1" display="← 返回目录"/>
  </hyperlinks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2">
    <tabColor theme="6" tint="0.399975585192419"/>
  </sheetPr>
  <dimension ref="A1:AA13"/>
  <sheetViews>
    <sheetView workbookViewId="0">
      <selection activeCell="A1" sqref="A1:F4"/>
    </sheetView>
  </sheetViews>
  <sheetFormatPr defaultColWidth="8.90833333333333" defaultRowHeight="13.5"/>
  <cols>
    <col min="1" max="1" width="8.63333333333333" style="172" customWidth="1"/>
    <col min="2" max="2" width="10.725" style="173" customWidth="1"/>
    <col min="3" max="3" width="17.45" style="173" customWidth="1"/>
    <col min="4" max="4" width="11.9083333333333" style="172" customWidth="1"/>
    <col min="5" max="5" width="20.5416666666667" style="173" customWidth="1"/>
    <col min="6" max="6" width="15.25" style="173" customWidth="1"/>
    <col min="7" max="7" width="7.75" style="173" customWidth="1"/>
    <col min="8" max="8" width="4.625" style="173" customWidth="1"/>
    <col min="9" max="9" width="7.375" style="173" customWidth="1"/>
    <col min="10" max="10" width="12.2666666666667" style="173" customWidth="1"/>
    <col min="11" max="12" width="10.725" style="173" customWidth="1"/>
    <col min="13" max="13" width="10.725" style="172" customWidth="1"/>
    <col min="14" max="14" width="9.09166666666667" style="173" customWidth="1"/>
    <col min="15" max="15" width="8.36666666666667" style="173" customWidth="1"/>
    <col min="16" max="24" width="4" style="158" customWidth="1"/>
    <col min="25" max="27" width="5.09166666666667" style="158" customWidth="1"/>
    <col min="28" max="16384" width="8.90833333333333" style="158"/>
  </cols>
  <sheetData>
    <row r="1" s="157" customFormat="1" ht="19" customHeight="1" spans="1:27">
      <c r="A1" s="202" t="s">
        <v>185</v>
      </c>
      <c r="B1" s="163"/>
      <c r="C1" s="163"/>
      <c r="D1" s="163"/>
      <c r="E1" s="163"/>
      <c r="F1" s="163"/>
      <c r="G1" s="164" t="s">
        <v>1404</v>
      </c>
      <c r="H1" s="165" t="s">
        <v>1405</v>
      </c>
      <c r="I1" s="165"/>
      <c r="J1" s="165"/>
    </row>
    <row r="2" s="157" customFormat="1" ht="19" customHeight="1" spans="1:27">
      <c r="A2" s="163"/>
      <c r="B2" s="163"/>
      <c r="C2" s="163"/>
      <c r="D2" s="163"/>
      <c r="E2" s="163"/>
      <c r="F2" s="163"/>
      <c r="G2" s="166"/>
      <c r="H2" s="167" t="s">
        <v>1700</v>
      </c>
      <c r="I2" s="167"/>
      <c r="J2" s="167"/>
    </row>
    <row r="3" s="157" customFormat="1" ht="19" customHeight="1" spans="1:27">
      <c r="A3" s="163"/>
      <c r="B3" s="163"/>
      <c r="C3" s="163"/>
      <c r="D3" s="163"/>
      <c r="E3" s="163"/>
      <c r="F3" s="163"/>
      <c r="G3" s="166"/>
      <c r="H3" s="167" t="s">
        <v>1660</v>
      </c>
      <c r="I3" s="167"/>
      <c r="J3" s="167"/>
    </row>
    <row r="4" s="157" customFormat="1" ht="19" customHeight="1" spans="1:27">
      <c r="A4" s="163"/>
      <c r="B4" s="163"/>
      <c r="C4" s="163"/>
      <c r="D4" s="163"/>
      <c r="E4" s="163"/>
      <c r="F4" s="163"/>
      <c r="G4" s="166"/>
      <c r="H4" s="167"/>
      <c r="I4" s="167"/>
      <c r="J4" s="167"/>
    </row>
    <row r="5" s="157" customFormat="1" ht="19" customHeight="1" spans="1:27">
      <c r="A5" s="168" t="s">
        <v>1993</v>
      </c>
      <c r="B5" s="168"/>
      <c r="C5" s="168"/>
      <c r="D5" s="168"/>
      <c r="E5" s="168"/>
      <c r="F5" s="168"/>
      <c r="G5" s="169" t="s">
        <v>1567</v>
      </c>
      <c r="H5" s="170"/>
      <c r="I5" s="170"/>
      <c r="J5" s="171"/>
    </row>
    <row r="7" s="159" customFormat="1" ht="14" customHeight="1" spans="1:27">
      <c r="A7" s="174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40"/>
      <c r="N7" s="1"/>
      <c r="O7" s="1"/>
      <c r="P7" s="1"/>
      <c r="Q7"/>
      <c r="R7"/>
    </row>
    <row r="8" s="159" customFormat="1" spans="1:27">
      <c r="A8" s="176"/>
      <c r="B8" s="39"/>
      <c r="C8" s="39"/>
      <c r="D8" s="39"/>
      <c r="E8" s="39"/>
      <c r="F8" s="39"/>
      <c r="G8" s="39"/>
      <c r="H8" s="39"/>
      <c r="I8" s="39"/>
      <c r="J8" s="1"/>
      <c r="K8" s="1"/>
      <c r="L8" s="1"/>
      <c r="M8" s="40"/>
      <c r="N8" s="1"/>
      <c r="O8" s="1"/>
      <c r="P8" s="1"/>
      <c r="Q8"/>
      <c r="R8"/>
    </row>
    <row r="10" s="198" customFormat="1" ht="15" customHeight="1" spans="1:27">
      <c r="A10" s="199" t="s">
        <v>188</v>
      </c>
      <c r="B10" s="199" t="s">
        <v>2252</v>
      </c>
      <c r="C10" s="199" t="s">
        <v>2253</v>
      </c>
      <c r="D10" s="177" t="s">
        <v>2254</v>
      </c>
      <c r="E10" s="199" t="s">
        <v>2227</v>
      </c>
      <c r="F10" s="199" t="s">
        <v>2232</v>
      </c>
      <c r="G10" s="199" t="s">
        <v>2204</v>
      </c>
      <c r="H10" s="199" t="s">
        <v>2205</v>
      </c>
      <c r="I10" s="199" t="s">
        <v>1867</v>
      </c>
      <c r="J10" s="199" t="s">
        <v>2255</v>
      </c>
      <c r="K10" s="199" t="s">
        <v>2256</v>
      </c>
      <c r="L10" s="177" t="s">
        <v>2257</v>
      </c>
      <c r="M10" s="177" t="s">
        <v>2258</v>
      </c>
      <c r="N10" s="177" t="s">
        <v>2259</v>
      </c>
      <c r="O10" s="178" t="s">
        <v>2209</v>
      </c>
      <c r="P10" s="179" t="s">
        <v>2210</v>
      </c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</row>
    <row r="11" s="198" customFormat="1" ht="28.75" customHeight="1" spans="1:27">
      <c r="A11" s="199"/>
      <c r="B11" s="199"/>
      <c r="C11" s="199"/>
      <c r="D11" s="180"/>
      <c r="E11" s="199"/>
      <c r="F11" s="199"/>
      <c r="G11" s="199"/>
      <c r="H11" s="199"/>
      <c r="I11" s="199"/>
      <c r="J11" s="199"/>
      <c r="K11" s="199"/>
      <c r="L11" s="180"/>
      <c r="M11" s="180"/>
      <c r="N11" s="180"/>
      <c r="O11" s="178"/>
      <c r="P11" s="179" t="s">
        <v>304</v>
      </c>
      <c r="Q11" s="179" t="s">
        <v>305</v>
      </c>
      <c r="R11" s="179" t="s">
        <v>306</v>
      </c>
      <c r="S11" s="179" t="s">
        <v>307</v>
      </c>
      <c r="T11" s="179" t="s">
        <v>308</v>
      </c>
      <c r="U11" s="179" t="s">
        <v>309</v>
      </c>
      <c r="V11" s="179" t="s">
        <v>310</v>
      </c>
      <c r="W11" s="179" t="s">
        <v>311</v>
      </c>
      <c r="X11" s="179" t="s">
        <v>312</v>
      </c>
      <c r="Y11" s="179" t="s">
        <v>313</v>
      </c>
      <c r="Z11" s="179" t="s">
        <v>314</v>
      </c>
      <c r="AA11" s="179" t="s">
        <v>315</v>
      </c>
    </row>
    <row r="12" s="161" customFormat="1" ht="15" customHeight="1" spans="1:27">
      <c r="A12" s="200" t="s">
        <v>343</v>
      </c>
      <c r="B12" s="181"/>
      <c r="C12" s="182" t="s">
        <v>2234</v>
      </c>
      <c r="D12" s="182"/>
      <c r="E12" s="203" t="s">
        <v>1820</v>
      </c>
      <c r="F12" s="204" t="s">
        <v>2214</v>
      </c>
      <c r="G12" s="182"/>
      <c r="H12" s="182"/>
      <c r="I12" s="182"/>
      <c r="J12" s="205">
        <v>0</v>
      </c>
      <c r="K12" s="182"/>
      <c r="L12" s="182"/>
      <c r="M12" s="203" t="s">
        <v>2260</v>
      </c>
      <c r="N12" s="182" t="s">
        <v>199</v>
      </c>
      <c r="O12" s="201" t="s">
        <v>199</v>
      </c>
      <c r="P12" s="201"/>
      <c r="Q12" s="201"/>
      <c r="R12" s="201"/>
      <c r="S12" s="201"/>
      <c r="T12" s="201"/>
      <c r="U12" s="201" t="s">
        <v>199</v>
      </c>
      <c r="V12" s="201" t="s">
        <v>199</v>
      </c>
      <c r="W12" s="201" t="s">
        <v>199</v>
      </c>
      <c r="X12" s="201" t="s">
        <v>199</v>
      </c>
      <c r="Y12" s="201" t="s">
        <v>199</v>
      </c>
      <c r="Z12" s="201" t="s">
        <v>199</v>
      </c>
      <c r="AA12" s="201" t="s">
        <v>199</v>
      </c>
    </row>
    <row r="13" s="161" customFormat="1" ht="17" customHeight="1" spans="1:27">
      <c r="A13" s="200" t="s">
        <v>343</v>
      </c>
      <c r="B13" s="181"/>
      <c r="C13" s="181" t="s">
        <v>2261</v>
      </c>
      <c r="D13" s="181"/>
      <c r="E13" s="206" t="s">
        <v>1775</v>
      </c>
      <c r="F13" s="204" t="s">
        <v>2213</v>
      </c>
      <c r="G13" s="181"/>
      <c r="H13" s="181"/>
      <c r="I13" s="181"/>
      <c r="J13" s="205">
        <v>5</v>
      </c>
      <c r="K13" s="181"/>
      <c r="L13" s="181"/>
      <c r="M13" s="200" t="s">
        <v>2262</v>
      </c>
      <c r="N13" s="181"/>
      <c r="O13" s="201" t="s">
        <v>199</v>
      </c>
      <c r="P13" s="201" t="s">
        <v>199</v>
      </c>
      <c r="Q13" s="201" t="s">
        <v>199</v>
      </c>
      <c r="R13" s="201" t="s">
        <v>199</v>
      </c>
      <c r="S13" s="201" t="s">
        <v>199</v>
      </c>
      <c r="T13" s="201" t="s">
        <v>199</v>
      </c>
      <c r="U13" s="201" t="s">
        <v>199</v>
      </c>
      <c r="V13" s="201" t="s">
        <v>199</v>
      </c>
      <c r="W13" s="201" t="s">
        <v>199</v>
      </c>
      <c r="X13" s="201" t="s">
        <v>199</v>
      </c>
      <c r="Y13" s="201" t="s">
        <v>199</v>
      </c>
      <c r="Z13" s="201" t="s">
        <v>199</v>
      </c>
      <c r="AA13" s="201" t="s">
        <v>199</v>
      </c>
    </row>
  </sheetData>
  <mergeCells count="19">
    <mergeCell ref="A5:F5"/>
    <mergeCell ref="A8:I8"/>
    <mergeCell ref="P10:AA10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A1:F4"/>
  </mergeCells>
  <hyperlinks>
    <hyperlink ref="A1" location="目录!A1" display="← 返回目录"/>
  </hyperlinks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0.599993896298105"/>
  </sheetPr>
  <dimension ref="A1:Y13"/>
  <sheetViews>
    <sheetView workbookViewId="0">
      <pane xSplit="3" ySplit="11" topLeftCell="D12" activePane="bottomRight" state="frozen"/>
      <selection/>
      <selection pane="topRight"/>
      <selection pane="bottomLeft"/>
      <selection pane="bottomRight" activeCell="I10" sqref="I10:J11"/>
    </sheetView>
  </sheetViews>
  <sheetFormatPr defaultColWidth="8.90833333333333" defaultRowHeight="13.5"/>
  <sheetData>
    <row r="1" s="157" customFormat="1" ht="19" customHeight="1" spans="1:25">
      <c r="A1" s="202" t="s">
        <v>185</v>
      </c>
      <c r="B1" s="163"/>
      <c r="C1" s="163"/>
      <c r="D1" s="163"/>
      <c r="E1" s="163"/>
      <c r="F1" s="163"/>
      <c r="G1" s="164" t="s">
        <v>1404</v>
      </c>
      <c r="H1" s="165" t="s">
        <v>1405</v>
      </c>
      <c r="I1" s="165"/>
      <c r="J1" s="165"/>
    </row>
    <row r="2" s="157" customFormat="1" ht="19" customHeight="1" spans="1:25">
      <c r="A2" s="163"/>
      <c r="B2" s="163"/>
      <c r="C2" s="163"/>
      <c r="D2" s="163"/>
      <c r="E2" s="163"/>
      <c r="F2" s="163"/>
      <c r="G2" s="166"/>
      <c r="H2" s="167" t="s">
        <v>1700</v>
      </c>
      <c r="I2" s="167"/>
      <c r="J2" s="167"/>
    </row>
    <row r="3" s="157" customFormat="1" ht="19" customHeight="1" spans="1:25">
      <c r="A3" s="163"/>
      <c r="B3" s="163"/>
      <c r="C3" s="163"/>
      <c r="D3" s="163"/>
      <c r="E3" s="163"/>
      <c r="F3" s="163"/>
      <c r="G3" s="166"/>
      <c r="H3" s="167" t="s">
        <v>1660</v>
      </c>
      <c r="I3" s="167"/>
      <c r="J3" s="167"/>
    </row>
    <row r="4" s="157" customFormat="1" ht="19" customHeight="1" spans="1:25">
      <c r="A4" s="163"/>
      <c r="B4" s="163"/>
      <c r="C4" s="163"/>
      <c r="D4" s="163"/>
      <c r="E4" s="163"/>
      <c r="F4" s="163"/>
      <c r="G4" s="166"/>
      <c r="H4" s="167"/>
      <c r="I4" s="167"/>
      <c r="J4" s="167"/>
    </row>
    <row r="5" s="157" customFormat="1" ht="19" customHeight="1" spans="1:25">
      <c r="A5" s="168" t="s">
        <v>1993</v>
      </c>
      <c r="B5" s="168"/>
      <c r="C5" s="168"/>
      <c r="D5" s="168"/>
      <c r="E5" s="168"/>
      <c r="F5" s="168"/>
      <c r="G5" s="169" t="s">
        <v>1567</v>
      </c>
      <c r="H5" s="170"/>
      <c r="I5" s="170"/>
      <c r="J5" s="171"/>
    </row>
    <row r="6" s="158" customFormat="1" spans="1:25">
      <c r="A6" s="172"/>
      <c r="B6" s="173"/>
      <c r="C6" s="173"/>
      <c r="D6" s="172"/>
      <c r="E6" s="173"/>
      <c r="F6" s="173"/>
      <c r="G6" s="173"/>
      <c r="H6" s="173"/>
      <c r="I6" s="173"/>
      <c r="J6" s="173"/>
      <c r="K6" s="173"/>
      <c r="L6" s="173"/>
      <c r="M6" s="173"/>
    </row>
    <row r="7" s="159" customFormat="1" ht="14" customHeight="1" spans="1:25">
      <c r="A7" s="174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 s="1"/>
      <c r="O7"/>
      <c r="P7"/>
    </row>
    <row r="8" s="159" customFormat="1" spans="1:25">
      <c r="A8" s="176"/>
      <c r="B8" s="39"/>
      <c r="C8" s="39"/>
      <c r="D8" s="39"/>
      <c r="E8" s="39"/>
      <c r="F8" s="39"/>
      <c r="G8" s="39"/>
      <c r="H8" s="39"/>
      <c r="I8" s="39"/>
      <c r="J8" s="1"/>
      <c r="K8" s="1"/>
      <c r="L8" s="1"/>
      <c r="M8" s="1"/>
      <c r="N8" s="1"/>
      <c r="O8"/>
      <c r="P8"/>
    </row>
    <row r="9" s="158" customFormat="1" spans="1:25">
      <c r="A9" s="172"/>
      <c r="B9" s="173"/>
      <c r="C9" s="173"/>
      <c r="D9" s="172"/>
      <c r="E9" s="173"/>
      <c r="F9" s="173"/>
      <c r="G9" s="173"/>
      <c r="H9" s="173"/>
      <c r="I9" s="173"/>
      <c r="J9" s="173"/>
      <c r="K9" s="173"/>
      <c r="L9" s="173"/>
      <c r="M9" s="173"/>
    </row>
    <row r="10" s="198" customFormat="1" ht="15" customHeight="1" spans="1:25">
      <c r="A10" s="199" t="s">
        <v>188</v>
      </c>
      <c r="B10" s="199" t="s">
        <v>2253</v>
      </c>
      <c r="C10" s="199" t="s">
        <v>2254</v>
      </c>
      <c r="D10" s="177" t="s">
        <v>2227</v>
      </c>
      <c r="E10" s="199" t="s">
        <v>2227</v>
      </c>
      <c r="F10" s="199" t="s">
        <v>2263</v>
      </c>
      <c r="G10" s="199" t="s">
        <v>2232</v>
      </c>
      <c r="H10" s="199" t="s">
        <v>2264</v>
      </c>
      <c r="I10" s="199" t="s">
        <v>2265</v>
      </c>
      <c r="J10" s="199" t="s">
        <v>2266</v>
      </c>
      <c r="K10" s="199" t="s">
        <v>2267</v>
      </c>
      <c r="L10" s="177" t="s">
        <v>2268</v>
      </c>
      <c r="M10" s="178" t="s">
        <v>2209</v>
      </c>
      <c r="N10" s="179" t="s">
        <v>2210</v>
      </c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</row>
    <row r="11" s="198" customFormat="1" ht="28.75" customHeight="1" spans="1:25">
      <c r="A11" s="199"/>
      <c r="B11" s="199"/>
      <c r="C11" s="199"/>
      <c r="D11" s="180"/>
      <c r="E11" s="199"/>
      <c r="F11" s="199"/>
      <c r="G11" s="199"/>
      <c r="H11" s="199"/>
      <c r="I11" s="199"/>
      <c r="J11" s="199"/>
      <c r="K11" s="199"/>
      <c r="L11" s="180"/>
      <c r="M11" s="178"/>
      <c r="N11" s="179" t="s">
        <v>304</v>
      </c>
      <c r="O11" s="179" t="s">
        <v>305</v>
      </c>
      <c r="P11" s="179" t="s">
        <v>306</v>
      </c>
      <c r="Q11" s="179" t="s">
        <v>307</v>
      </c>
      <c r="R11" s="179" t="s">
        <v>308</v>
      </c>
      <c r="S11" s="179" t="s">
        <v>309</v>
      </c>
      <c r="T11" s="179" t="s">
        <v>310</v>
      </c>
      <c r="U11" s="179" t="s">
        <v>311</v>
      </c>
      <c r="V11" s="179" t="s">
        <v>312</v>
      </c>
      <c r="W11" s="179" t="s">
        <v>313</v>
      </c>
      <c r="X11" s="179" t="s">
        <v>314</v>
      </c>
      <c r="Y11" s="179" t="s">
        <v>315</v>
      </c>
    </row>
    <row r="12" s="161" customFormat="1" ht="15" customHeight="1" spans="1:25">
      <c r="A12" s="200" t="s">
        <v>343</v>
      </c>
      <c r="B12" s="181"/>
      <c r="C12" s="182"/>
      <c r="D12" s="182"/>
      <c r="E12" s="203"/>
      <c r="F12" s="204" t="s">
        <v>2269</v>
      </c>
      <c r="G12" s="204" t="s">
        <v>2214</v>
      </c>
      <c r="H12" s="182"/>
      <c r="I12" s="182"/>
      <c r="J12" s="205"/>
      <c r="K12" s="182"/>
      <c r="L12" s="182" t="s">
        <v>199</v>
      </c>
      <c r="M12" s="201" t="s">
        <v>199</v>
      </c>
      <c r="N12" s="201" t="s">
        <v>199</v>
      </c>
      <c r="O12" s="201" t="s">
        <v>199</v>
      </c>
      <c r="P12" s="201" t="s">
        <v>199</v>
      </c>
      <c r="Q12" s="201" t="s">
        <v>199</v>
      </c>
      <c r="R12" s="201" t="s">
        <v>199</v>
      </c>
      <c r="S12" s="201" t="s">
        <v>199</v>
      </c>
      <c r="T12" s="201" t="s">
        <v>199</v>
      </c>
      <c r="U12" s="201" t="s">
        <v>199</v>
      </c>
      <c r="V12" s="201" t="s">
        <v>199</v>
      </c>
      <c r="W12" s="201" t="s">
        <v>199</v>
      </c>
      <c r="X12" s="201" t="s">
        <v>199</v>
      </c>
      <c r="Y12" s="201" t="s">
        <v>199</v>
      </c>
    </row>
    <row r="13" s="161" customFormat="1" ht="33" spans="1:25">
      <c r="A13" s="200" t="s">
        <v>343</v>
      </c>
      <c r="B13" s="181"/>
      <c r="C13" s="181"/>
      <c r="D13" s="181"/>
      <c r="E13" s="206"/>
      <c r="F13" s="204"/>
      <c r="G13" s="204" t="s">
        <v>2213</v>
      </c>
      <c r="H13" s="181"/>
      <c r="I13" s="181"/>
      <c r="J13" s="205"/>
      <c r="K13" s="181"/>
      <c r="L13" s="182" t="s">
        <v>199</v>
      </c>
      <c r="M13" s="201" t="s">
        <v>199</v>
      </c>
      <c r="N13" s="201" t="s">
        <v>199</v>
      </c>
      <c r="O13" s="201" t="s">
        <v>199</v>
      </c>
      <c r="P13" s="201" t="s">
        <v>199</v>
      </c>
      <c r="Q13" s="201" t="s">
        <v>199</v>
      </c>
      <c r="R13" s="201" t="s">
        <v>199</v>
      </c>
      <c r="S13" s="201" t="s">
        <v>199</v>
      </c>
      <c r="T13" s="201" t="s">
        <v>199</v>
      </c>
      <c r="U13" s="201" t="s">
        <v>199</v>
      </c>
      <c r="V13" s="201" t="s">
        <v>199</v>
      </c>
      <c r="W13" s="201" t="s">
        <v>199</v>
      </c>
      <c r="X13" s="201" t="s">
        <v>199</v>
      </c>
      <c r="Y13" s="201" t="s">
        <v>199</v>
      </c>
    </row>
  </sheetData>
  <mergeCells count="17">
    <mergeCell ref="A5:F5"/>
    <mergeCell ref="A8:I8"/>
    <mergeCell ref="N10:Y10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A1:F4"/>
  </mergeCells>
  <hyperlinks>
    <hyperlink ref="A1" location="目录!A1" display="← 返回目录"/>
  </hyperlinks>
  <pageMargins left="0.75" right="0.75" top="1" bottom="1" header="0.5" footer="0.5"/>
  <pageSetup paperSize="9" orientation="portrait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"/>
  <sheetViews>
    <sheetView workbookViewId="0">
      <pane xSplit="2" ySplit="11" topLeftCell="C12" activePane="bottomRight" state="frozen"/>
      <selection/>
      <selection pane="topRight"/>
      <selection pane="bottomLeft"/>
      <selection pane="bottomRight" activeCell="A1" sqref="A1:F4"/>
    </sheetView>
  </sheetViews>
  <sheetFormatPr defaultColWidth="8.90833333333333" defaultRowHeight="13.5"/>
  <cols>
    <col min="1" max="1" width="13" customWidth="1"/>
  </cols>
  <sheetData>
    <row r="1" s="157" customFormat="1" ht="19" customHeight="1" spans="1:18">
      <c r="A1" s="162" t="s">
        <v>185</v>
      </c>
      <c r="B1" s="163"/>
      <c r="C1" s="163"/>
      <c r="D1" s="163"/>
      <c r="E1" s="163"/>
      <c r="F1" s="163"/>
      <c r="G1" s="164" t="s">
        <v>1404</v>
      </c>
      <c r="H1" s="165" t="s">
        <v>1405</v>
      </c>
      <c r="I1" s="165"/>
      <c r="J1" s="165"/>
    </row>
    <row r="2" s="157" customFormat="1" ht="19" customHeight="1" spans="1:18">
      <c r="A2" s="163"/>
      <c r="B2" s="163"/>
      <c r="C2" s="163"/>
      <c r="D2" s="163"/>
      <c r="E2" s="163"/>
      <c r="F2" s="163"/>
      <c r="G2" s="166"/>
      <c r="H2" s="167" t="s">
        <v>1700</v>
      </c>
      <c r="I2" s="167"/>
      <c r="J2" s="167"/>
    </row>
    <row r="3" s="157" customFormat="1" ht="19" customHeight="1" spans="1:18">
      <c r="A3" s="163"/>
      <c r="B3" s="163"/>
      <c r="C3" s="163"/>
      <c r="D3" s="163"/>
      <c r="E3" s="163"/>
      <c r="F3" s="163"/>
      <c r="G3" s="166"/>
      <c r="H3" s="167" t="s">
        <v>1660</v>
      </c>
      <c r="I3" s="167"/>
      <c r="J3" s="167"/>
    </row>
    <row r="4" s="157" customFormat="1" ht="19" customHeight="1" spans="1:18">
      <c r="A4" s="163"/>
      <c r="B4" s="163"/>
      <c r="C4" s="163"/>
      <c r="D4" s="163"/>
      <c r="E4" s="163"/>
      <c r="F4" s="163"/>
      <c r="G4" s="166"/>
      <c r="H4" s="167"/>
      <c r="I4" s="167"/>
      <c r="J4" s="167"/>
    </row>
    <row r="5" s="157" customFormat="1" ht="19" customHeight="1" spans="1:18">
      <c r="A5" s="168" t="s">
        <v>1993</v>
      </c>
      <c r="B5" s="168"/>
      <c r="C5" s="168"/>
      <c r="D5" s="168"/>
      <c r="E5" s="168"/>
      <c r="F5" s="168"/>
      <c r="G5" s="169" t="s">
        <v>1567</v>
      </c>
      <c r="H5" s="170"/>
      <c r="I5" s="170"/>
      <c r="J5" s="171"/>
    </row>
    <row r="6" s="158" customFormat="1" spans="1:18">
      <c r="A6" s="172"/>
      <c r="B6" s="173"/>
      <c r="C6" s="173"/>
      <c r="D6" s="172"/>
      <c r="E6" s="173"/>
      <c r="F6" s="173"/>
      <c r="G6" s="173"/>
      <c r="H6" s="173"/>
      <c r="I6" s="173"/>
      <c r="J6" s="173"/>
      <c r="K6" s="173"/>
      <c r="L6" s="173"/>
      <c r="M6" s="172"/>
      <c r="N6" s="173"/>
      <c r="O6" s="173"/>
    </row>
    <row r="7" s="159" customFormat="1" ht="14" customHeight="1" spans="1:18">
      <c r="A7" s="174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40"/>
      <c r="N7" s="1"/>
      <c r="O7" s="1"/>
      <c r="P7" s="1"/>
      <c r="Q7"/>
      <c r="R7"/>
    </row>
    <row r="8" s="159" customFormat="1" spans="1:18">
      <c r="A8" s="176"/>
      <c r="B8" s="39"/>
      <c r="C8" s="39"/>
      <c r="D8" s="39"/>
      <c r="E8" s="39"/>
      <c r="F8" s="39"/>
      <c r="G8" s="39"/>
      <c r="H8" s="39"/>
      <c r="I8" s="39"/>
      <c r="J8" s="1"/>
      <c r="K8" s="1"/>
      <c r="L8" s="1"/>
      <c r="M8" s="40"/>
      <c r="N8" s="1"/>
      <c r="O8" s="1"/>
      <c r="P8" s="1"/>
      <c r="Q8"/>
      <c r="R8"/>
    </row>
    <row r="9" s="158" customFormat="1" spans="1:18">
      <c r="A9" s="172"/>
      <c r="B9" s="173"/>
      <c r="C9" s="173"/>
      <c r="D9" s="172"/>
      <c r="E9" s="173"/>
      <c r="F9" s="173"/>
      <c r="G9" s="173"/>
      <c r="H9" s="173"/>
      <c r="I9" s="173"/>
      <c r="J9" s="173"/>
      <c r="K9" s="173"/>
      <c r="L9" s="173"/>
      <c r="M9" s="172"/>
      <c r="N9" s="173"/>
      <c r="O9" s="173"/>
    </row>
    <row r="10" s="198" customFormat="1" ht="15" customHeight="1" spans="1:18">
      <c r="A10" s="199" t="s">
        <v>2207</v>
      </c>
      <c r="B10" s="177" t="s">
        <v>2208</v>
      </c>
      <c r="C10" s="178" t="s">
        <v>2270</v>
      </c>
      <c r="D10" s="179" t="s">
        <v>2210</v>
      </c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</row>
    <row r="11" s="198" customFormat="1" ht="28.75" customHeight="1" spans="1:18">
      <c r="A11" s="199"/>
      <c r="B11" s="180"/>
      <c r="C11" s="178"/>
      <c r="D11" s="179" t="s">
        <v>304</v>
      </c>
      <c r="E11" s="179" t="s">
        <v>305</v>
      </c>
      <c r="F11" s="179" t="s">
        <v>306</v>
      </c>
      <c r="G11" s="179" t="s">
        <v>307</v>
      </c>
      <c r="H11" s="179" t="s">
        <v>308</v>
      </c>
      <c r="I11" s="179" t="s">
        <v>309</v>
      </c>
      <c r="J11" s="179" t="s">
        <v>310</v>
      </c>
      <c r="K11" s="179" t="s">
        <v>311</v>
      </c>
      <c r="L11" s="179" t="s">
        <v>312</v>
      </c>
      <c r="M11" s="179" t="s">
        <v>313</v>
      </c>
      <c r="N11" s="179" t="s">
        <v>314</v>
      </c>
      <c r="O11" s="179" t="s">
        <v>315</v>
      </c>
    </row>
    <row r="12" s="161" customFormat="1" ht="27" customHeight="1" spans="1:18">
      <c r="A12" s="200" t="s">
        <v>2211</v>
      </c>
      <c r="B12" s="182" t="s">
        <v>2271</v>
      </c>
      <c r="C12" s="201" t="s">
        <v>199</v>
      </c>
      <c r="D12" s="201" t="s">
        <v>199</v>
      </c>
      <c r="E12" s="201" t="s">
        <v>199</v>
      </c>
      <c r="F12" s="201" t="s">
        <v>199</v>
      </c>
      <c r="G12" s="201" t="s">
        <v>199</v>
      </c>
      <c r="H12" s="201" t="s">
        <v>199</v>
      </c>
      <c r="I12" s="201" t="s">
        <v>199</v>
      </c>
      <c r="J12" s="201" t="s">
        <v>199</v>
      </c>
      <c r="K12" s="201" t="s">
        <v>199</v>
      </c>
      <c r="L12" s="201" t="s">
        <v>199</v>
      </c>
      <c r="M12" s="201" t="s">
        <v>199</v>
      </c>
      <c r="N12" s="201" t="s">
        <v>199</v>
      </c>
      <c r="O12" s="201" t="s">
        <v>199</v>
      </c>
    </row>
    <row r="13" s="161" customFormat="1" ht="28.5" spans="1:18">
      <c r="A13" s="200" t="s">
        <v>2211</v>
      </c>
      <c r="B13" s="181" t="s">
        <v>2272</v>
      </c>
      <c r="C13" s="201" t="s">
        <v>199</v>
      </c>
      <c r="D13" s="201" t="s">
        <v>199</v>
      </c>
      <c r="E13" s="201" t="s">
        <v>199</v>
      </c>
      <c r="F13" s="201" t="s">
        <v>199</v>
      </c>
      <c r="G13" s="201" t="s">
        <v>199</v>
      </c>
      <c r="H13" s="201" t="s">
        <v>199</v>
      </c>
      <c r="I13" s="201" t="s">
        <v>199</v>
      </c>
      <c r="J13" s="201" t="s">
        <v>199</v>
      </c>
      <c r="K13" s="201" t="s">
        <v>199</v>
      </c>
      <c r="L13" s="201" t="s">
        <v>199</v>
      </c>
      <c r="M13" s="201" t="s">
        <v>199</v>
      </c>
      <c r="N13" s="201" t="s">
        <v>199</v>
      </c>
      <c r="O13" s="201" t="s">
        <v>199</v>
      </c>
    </row>
    <row r="14" s="161" customFormat="1" ht="28.5" spans="1:18">
      <c r="A14" s="200" t="s">
        <v>2211</v>
      </c>
      <c r="B14" s="181" t="s">
        <v>2273</v>
      </c>
      <c r="C14" s="201" t="s">
        <v>199</v>
      </c>
      <c r="D14" s="201" t="s">
        <v>199</v>
      </c>
      <c r="E14" s="201" t="s">
        <v>199</v>
      </c>
      <c r="F14" s="201" t="s">
        <v>199</v>
      </c>
      <c r="G14" s="201" t="s">
        <v>199</v>
      </c>
      <c r="H14" s="201" t="s">
        <v>199</v>
      </c>
      <c r="I14" s="201" t="s">
        <v>199</v>
      </c>
      <c r="J14" s="201" t="s">
        <v>199</v>
      </c>
      <c r="K14" s="201" t="s">
        <v>199</v>
      </c>
      <c r="L14" s="201" t="s">
        <v>199</v>
      </c>
      <c r="M14" s="201" t="s">
        <v>199</v>
      </c>
      <c r="N14" s="201" t="s">
        <v>199</v>
      </c>
      <c r="O14" s="201" t="s">
        <v>199</v>
      </c>
    </row>
    <row r="15" s="161" customFormat="1" ht="15" customHeight="1" spans="1:18">
      <c r="A15" s="200" t="s">
        <v>2215</v>
      </c>
      <c r="B15" s="182" t="s">
        <v>2271</v>
      </c>
      <c r="C15" s="201" t="s">
        <v>199</v>
      </c>
      <c r="D15" s="201" t="s">
        <v>199</v>
      </c>
      <c r="E15" s="201" t="s">
        <v>199</v>
      </c>
      <c r="F15" s="201" t="s">
        <v>199</v>
      </c>
      <c r="G15" s="201" t="s">
        <v>199</v>
      </c>
      <c r="H15" s="201" t="s">
        <v>199</v>
      </c>
      <c r="I15" s="201" t="s">
        <v>199</v>
      </c>
      <c r="J15" s="201" t="s">
        <v>199</v>
      </c>
      <c r="K15" s="201" t="s">
        <v>199</v>
      </c>
      <c r="L15" s="201" t="s">
        <v>199</v>
      </c>
      <c r="M15" s="201" t="s">
        <v>199</v>
      </c>
      <c r="N15" s="201" t="s">
        <v>199</v>
      </c>
      <c r="O15" s="201" t="s">
        <v>199</v>
      </c>
    </row>
    <row r="16" s="161" customFormat="1" ht="28.5" spans="1:18">
      <c r="A16" s="200" t="s">
        <v>2215</v>
      </c>
      <c r="B16" s="181" t="s">
        <v>2272</v>
      </c>
      <c r="C16" s="201" t="s">
        <v>199</v>
      </c>
      <c r="D16" s="201" t="s">
        <v>199</v>
      </c>
      <c r="E16" s="201" t="s">
        <v>199</v>
      </c>
      <c r="F16" s="201" t="s">
        <v>199</v>
      </c>
      <c r="G16" s="201" t="s">
        <v>199</v>
      </c>
      <c r="H16" s="201" t="s">
        <v>199</v>
      </c>
      <c r="I16" s="201" t="s">
        <v>199</v>
      </c>
      <c r="J16" s="201" t="s">
        <v>199</v>
      </c>
      <c r="K16" s="201" t="s">
        <v>199</v>
      </c>
      <c r="L16" s="201" t="s">
        <v>199</v>
      </c>
      <c r="M16" s="201" t="s">
        <v>199</v>
      </c>
      <c r="N16" s="201" t="s">
        <v>199</v>
      </c>
      <c r="O16" s="201" t="s">
        <v>199</v>
      </c>
    </row>
    <row r="17" s="161" customFormat="1" ht="28.5" spans="1:15">
      <c r="A17" s="200" t="s">
        <v>2215</v>
      </c>
      <c r="B17" s="181" t="s">
        <v>2273</v>
      </c>
      <c r="C17" s="201" t="s">
        <v>199</v>
      </c>
      <c r="D17" s="201" t="s">
        <v>199</v>
      </c>
      <c r="E17" s="201" t="s">
        <v>199</v>
      </c>
      <c r="F17" s="201" t="s">
        <v>199</v>
      </c>
      <c r="G17" s="201" t="s">
        <v>199</v>
      </c>
      <c r="H17" s="201" t="s">
        <v>199</v>
      </c>
      <c r="I17" s="201" t="s">
        <v>199</v>
      </c>
      <c r="J17" s="201" t="s">
        <v>199</v>
      </c>
      <c r="K17" s="201" t="s">
        <v>199</v>
      </c>
      <c r="L17" s="201" t="s">
        <v>199</v>
      </c>
      <c r="M17" s="201" t="s">
        <v>199</v>
      </c>
      <c r="N17" s="201" t="s">
        <v>199</v>
      </c>
      <c r="O17" s="201" t="s">
        <v>199</v>
      </c>
    </row>
    <row r="18" s="161" customFormat="1" ht="15" customHeight="1" spans="1:15">
      <c r="A18" s="200" t="s">
        <v>281</v>
      </c>
      <c r="B18" s="182" t="s">
        <v>2271</v>
      </c>
      <c r="C18" s="201" t="s">
        <v>199</v>
      </c>
      <c r="D18" s="201" t="s">
        <v>199</v>
      </c>
      <c r="E18" s="201" t="s">
        <v>199</v>
      </c>
      <c r="F18" s="201" t="s">
        <v>199</v>
      </c>
      <c r="G18" s="201" t="s">
        <v>199</v>
      </c>
      <c r="H18" s="201" t="s">
        <v>199</v>
      </c>
      <c r="I18" s="201" t="s">
        <v>199</v>
      </c>
      <c r="J18" s="201" t="s">
        <v>199</v>
      </c>
      <c r="K18" s="201" t="s">
        <v>199</v>
      </c>
      <c r="L18" s="201" t="s">
        <v>199</v>
      </c>
      <c r="M18" s="201" t="s">
        <v>199</v>
      </c>
      <c r="N18" s="201" t="s">
        <v>199</v>
      </c>
      <c r="O18" s="201" t="s">
        <v>199</v>
      </c>
    </row>
    <row r="19" s="161" customFormat="1" ht="28.5" spans="1:15">
      <c r="A19" s="200" t="s">
        <v>281</v>
      </c>
      <c r="B19" s="181" t="s">
        <v>2272</v>
      </c>
      <c r="C19" s="201" t="s">
        <v>199</v>
      </c>
      <c r="D19" s="201" t="s">
        <v>199</v>
      </c>
      <c r="E19" s="201" t="s">
        <v>199</v>
      </c>
      <c r="F19" s="201" t="s">
        <v>199</v>
      </c>
      <c r="G19" s="201" t="s">
        <v>199</v>
      </c>
      <c r="H19" s="201" t="s">
        <v>199</v>
      </c>
      <c r="I19" s="201" t="s">
        <v>199</v>
      </c>
      <c r="J19" s="201" t="s">
        <v>199</v>
      </c>
      <c r="K19" s="201" t="s">
        <v>199</v>
      </c>
      <c r="L19" s="201" t="s">
        <v>199</v>
      </c>
      <c r="M19" s="201" t="s">
        <v>199</v>
      </c>
      <c r="N19" s="201" t="s">
        <v>199</v>
      </c>
      <c r="O19" s="201" t="s">
        <v>199</v>
      </c>
    </row>
    <row r="20" s="161" customFormat="1" ht="28.5" spans="1:15">
      <c r="A20" s="200" t="s">
        <v>281</v>
      </c>
      <c r="B20" s="181" t="s">
        <v>2273</v>
      </c>
      <c r="C20" s="201" t="s">
        <v>199</v>
      </c>
      <c r="D20" s="201" t="s">
        <v>199</v>
      </c>
      <c r="E20" s="201" t="s">
        <v>199</v>
      </c>
      <c r="F20" s="201" t="s">
        <v>199</v>
      </c>
      <c r="G20" s="201" t="s">
        <v>199</v>
      </c>
      <c r="H20" s="201" t="s">
        <v>199</v>
      </c>
      <c r="I20" s="201" t="s">
        <v>199</v>
      </c>
      <c r="J20" s="201" t="s">
        <v>199</v>
      </c>
      <c r="K20" s="201" t="s">
        <v>199</v>
      </c>
      <c r="L20" s="201" t="s">
        <v>199</v>
      </c>
      <c r="M20" s="201" t="s">
        <v>199</v>
      </c>
      <c r="N20" s="201" t="s">
        <v>199</v>
      </c>
      <c r="O20" s="201" t="s">
        <v>199</v>
      </c>
    </row>
  </sheetData>
  <mergeCells count="7">
    <mergeCell ref="A5:F5"/>
    <mergeCell ref="A8:I8"/>
    <mergeCell ref="D10:O10"/>
    <mergeCell ref="A10:A11"/>
    <mergeCell ref="B10:B11"/>
    <mergeCell ref="C10:C11"/>
    <mergeCell ref="A1:F4"/>
  </mergeCells>
  <hyperlinks>
    <hyperlink ref="A1" location="目录!A1" display="← 返回目录"/>
  </hyperlinks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8"/>
  <sheetViews>
    <sheetView workbookViewId="0">
      <selection activeCell="A1" sqref="A1:F4"/>
    </sheetView>
  </sheetViews>
  <sheetFormatPr defaultColWidth="8.90833333333333" defaultRowHeight="13.5"/>
  <sheetData>
    <row r="1" s="157" customFormat="1" ht="19" customHeight="1" spans="1:30">
      <c r="A1" s="162" t="s">
        <v>185</v>
      </c>
      <c r="B1" s="163"/>
      <c r="C1" s="163"/>
      <c r="D1" s="163"/>
      <c r="E1" s="163"/>
      <c r="F1" s="163"/>
      <c r="G1" s="164" t="s">
        <v>1404</v>
      </c>
      <c r="H1" s="165" t="s">
        <v>1405</v>
      </c>
      <c r="I1" s="165"/>
      <c r="J1" s="165"/>
    </row>
    <row r="2" s="157" customFormat="1" ht="19" customHeight="1" spans="1:30">
      <c r="A2" s="163"/>
      <c r="B2" s="163"/>
      <c r="C2" s="163"/>
      <c r="D2" s="163"/>
      <c r="E2" s="163"/>
      <c r="F2" s="163"/>
      <c r="G2" s="166"/>
      <c r="H2" s="167" t="s">
        <v>1700</v>
      </c>
      <c r="I2" s="167"/>
      <c r="J2" s="167"/>
    </row>
    <row r="3" s="157" customFormat="1" ht="19" customHeight="1" spans="1:30">
      <c r="A3" s="163"/>
      <c r="B3" s="163"/>
      <c r="C3" s="163"/>
      <c r="D3" s="163"/>
      <c r="E3" s="163"/>
      <c r="F3" s="163"/>
      <c r="G3" s="166"/>
      <c r="H3" s="167" t="s">
        <v>1660</v>
      </c>
      <c r="I3" s="167"/>
      <c r="J3" s="167"/>
    </row>
    <row r="4" s="157" customFormat="1" ht="19" customHeight="1" spans="1:30">
      <c r="A4" s="163"/>
      <c r="B4" s="163"/>
      <c r="C4" s="163"/>
      <c r="D4" s="163"/>
      <c r="E4" s="163"/>
      <c r="F4" s="163"/>
      <c r="G4" s="166"/>
      <c r="H4" s="167"/>
      <c r="I4" s="167"/>
      <c r="J4" s="167"/>
    </row>
    <row r="5" s="157" customFormat="1" ht="19" customHeight="1" spans="1:30">
      <c r="A5" s="168" t="s">
        <v>1618</v>
      </c>
      <c r="B5" s="168"/>
      <c r="C5" s="168"/>
      <c r="D5" s="168"/>
      <c r="E5" s="168"/>
      <c r="F5" s="168"/>
      <c r="G5" s="169" t="s">
        <v>1567</v>
      </c>
      <c r="H5" s="170"/>
      <c r="I5" s="170"/>
      <c r="J5" s="171"/>
    </row>
    <row r="6" s="158" customFormat="1" spans="1:30">
      <c r="A6" s="172"/>
      <c r="B6" s="173"/>
      <c r="C6" s="173"/>
      <c r="D6" s="172"/>
      <c r="E6" s="173"/>
      <c r="F6" s="173"/>
      <c r="G6" s="173"/>
      <c r="H6" s="173"/>
      <c r="I6" s="173"/>
      <c r="J6" s="173"/>
      <c r="K6" s="173"/>
      <c r="L6" s="173"/>
      <c r="M6" s="173"/>
    </row>
    <row r="7" s="159" customFormat="1" ht="14" customHeight="1" spans="1:30">
      <c r="A7" s="174" t="s">
        <v>1411</v>
      </c>
      <c r="B7" s="37" t="s">
        <v>1412</v>
      </c>
      <c r="C7" s="36" t="s">
        <v>188</v>
      </c>
      <c r="D7" s="37" t="s">
        <v>1413</v>
      </c>
      <c r="E7" s="36" t="s">
        <v>1364</v>
      </c>
      <c r="F7" s="37" t="s">
        <v>1396</v>
      </c>
      <c r="G7" s="36" t="s">
        <v>1414</v>
      </c>
      <c r="H7" s="38" t="s">
        <v>1359</v>
      </c>
      <c r="I7" s="175"/>
      <c r="J7" s="1"/>
      <c r="K7" s="1"/>
      <c r="L7" s="1"/>
      <c r="M7" s="1"/>
      <c r="N7"/>
      <c r="O7"/>
    </row>
    <row r="8" s="159" customFormat="1" spans="1:30">
      <c r="A8" s="176"/>
      <c r="B8" s="39"/>
      <c r="C8" s="39"/>
      <c r="D8" s="39"/>
      <c r="E8" s="39"/>
      <c r="F8" s="39"/>
      <c r="G8" s="39"/>
      <c r="H8" s="39"/>
      <c r="I8" s="39"/>
      <c r="J8" s="1"/>
      <c r="K8" s="1"/>
      <c r="L8" s="1"/>
      <c r="M8" s="1"/>
      <c r="N8"/>
      <c r="O8"/>
    </row>
    <row r="9" s="158" customFormat="1" spans="1:30">
      <c r="A9" s="172"/>
      <c r="B9" s="173"/>
      <c r="C9" s="173"/>
      <c r="D9" s="172"/>
      <c r="E9" s="173"/>
      <c r="F9" s="173"/>
      <c r="G9" s="173"/>
      <c r="H9" s="173"/>
      <c r="I9" s="173"/>
      <c r="J9" s="173"/>
      <c r="K9" s="173"/>
      <c r="L9" s="173"/>
      <c r="M9" s="173"/>
    </row>
    <row r="10" s="160" customFormat="1" ht="15" customHeight="1" spans="1:30">
      <c r="A10" s="177" t="s">
        <v>188</v>
      </c>
      <c r="B10" s="177" t="s">
        <v>2216</v>
      </c>
      <c r="C10" s="177" t="s">
        <v>2217</v>
      </c>
      <c r="D10" s="177" t="s">
        <v>2218</v>
      </c>
      <c r="E10" s="177" t="s">
        <v>2274</v>
      </c>
      <c r="F10" s="177" t="s">
        <v>2275</v>
      </c>
      <c r="G10" s="177" t="s">
        <v>2276</v>
      </c>
      <c r="H10" s="177" t="s">
        <v>2277</v>
      </c>
      <c r="I10" s="177" t="s">
        <v>2223</v>
      </c>
      <c r="J10" s="177" t="s">
        <v>2224</v>
      </c>
      <c r="K10" s="177" t="s">
        <v>2225</v>
      </c>
      <c r="L10" s="177" t="s">
        <v>2226</v>
      </c>
      <c r="M10" s="177" t="s">
        <v>2227</v>
      </c>
      <c r="N10" s="177" t="s">
        <v>2229</v>
      </c>
      <c r="O10" s="177" t="s">
        <v>2230</v>
      </c>
      <c r="P10" s="177" t="s">
        <v>2231</v>
      </c>
      <c r="Q10" s="177" t="s">
        <v>2232</v>
      </c>
      <c r="R10" s="178" t="s">
        <v>2270</v>
      </c>
      <c r="S10" s="179" t="s">
        <v>2210</v>
      </c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</row>
    <row r="11" s="160" customFormat="1" ht="28.75" customHeight="1" spans="1:30">
      <c r="A11" s="180"/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78"/>
      <c r="S11" s="179" t="s">
        <v>304</v>
      </c>
      <c r="T11" s="179" t="s">
        <v>305</v>
      </c>
      <c r="U11" s="179" t="s">
        <v>306</v>
      </c>
      <c r="V11" s="179" t="s">
        <v>307</v>
      </c>
      <c r="W11" s="179" t="s">
        <v>308</v>
      </c>
      <c r="X11" s="179" t="s">
        <v>309</v>
      </c>
      <c r="Y11" s="179" t="s">
        <v>310</v>
      </c>
      <c r="Z11" s="179" t="s">
        <v>311</v>
      </c>
      <c r="AA11" s="179" t="s">
        <v>312</v>
      </c>
      <c r="AB11" s="179" t="s">
        <v>313</v>
      </c>
      <c r="AC11" s="179" t="s">
        <v>314</v>
      </c>
      <c r="AD11" s="179" t="s">
        <v>315</v>
      </c>
    </row>
    <row r="12" s="161" customFormat="1" ht="15" customHeight="1" spans="1:30">
      <c r="A12" s="181" t="s">
        <v>343</v>
      </c>
      <c r="B12" s="182"/>
      <c r="C12" s="182"/>
      <c r="D12" s="182" t="s">
        <v>2235</v>
      </c>
      <c r="E12" s="183"/>
      <c r="F12" s="183">
        <v>0</v>
      </c>
      <c r="G12" s="183">
        <v>2880</v>
      </c>
      <c r="H12" s="184">
        <v>0</v>
      </c>
      <c r="I12" s="184">
        <v>120</v>
      </c>
      <c r="J12" s="184">
        <v>0</v>
      </c>
      <c r="K12" s="185">
        <v>120</v>
      </c>
      <c r="L12" s="182"/>
      <c r="M12" s="182"/>
      <c r="N12" s="186">
        <v>60</v>
      </c>
      <c r="O12" s="186">
        <v>60</v>
      </c>
      <c r="P12" s="187">
        <f t="shared" ref="P12:P18" si="0">+N12-O12-1</f>
        <v>-1</v>
      </c>
      <c r="Q12" s="188" t="s">
        <v>2273</v>
      </c>
      <c r="R12" s="189">
        <f t="shared" ref="R12:R18" si="1">SUM(S12:AD12)</f>
        <v>0</v>
      </c>
      <c r="S12" s="190">
        <f t="shared" ref="S12:S18" si="2">+F12</f>
        <v>0</v>
      </c>
      <c r="T12" s="190">
        <f t="shared" ref="T12:AD12" si="3">+S12</f>
        <v>0</v>
      </c>
      <c r="U12" s="190">
        <f t="shared" si="3"/>
        <v>0</v>
      </c>
      <c r="V12" s="190">
        <f t="shared" si="3"/>
        <v>0</v>
      </c>
      <c r="W12" s="190">
        <f t="shared" si="3"/>
        <v>0</v>
      </c>
      <c r="X12" s="190">
        <f t="shared" si="3"/>
        <v>0</v>
      </c>
      <c r="Y12" s="190">
        <f t="shared" si="3"/>
        <v>0</v>
      </c>
      <c r="Z12" s="190">
        <f t="shared" si="3"/>
        <v>0</v>
      </c>
      <c r="AA12" s="190">
        <f t="shared" si="3"/>
        <v>0</v>
      </c>
      <c r="AB12" s="190">
        <f t="shared" si="3"/>
        <v>0</v>
      </c>
      <c r="AC12" s="190">
        <f t="shared" si="3"/>
        <v>0</v>
      </c>
      <c r="AD12" s="190">
        <f t="shared" si="3"/>
        <v>0</v>
      </c>
    </row>
    <row r="13" s="161" customFormat="1" ht="33" spans="1:30">
      <c r="A13" s="181" t="s">
        <v>343</v>
      </c>
      <c r="B13" s="182"/>
      <c r="C13" s="182"/>
      <c r="D13" s="182" t="s">
        <v>2239</v>
      </c>
      <c r="E13" s="183"/>
      <c r="F13" s="183">
        <v>0</v>
      </c>
      <c r="G13" s="183">
        <v>16860</v>
      </c>
      <c r="H13" s="184">
        <v>0</v>
      </c>
      <c r="I13" s="184">
        <v>900</v>
      </c>
      <c r="J13" s="184">
        <v>0</v>
      </c>
      <c r="K13" s="185">
        <v>900</v>
      </c>
      <c r="L13" s="182"/>
      <c r="M13" s="182"/>
      <c r="N13" s="186">
        <v>60</v>
      </c>
      <c r="O13" s="186">
        <v>60</v>
      </c>
      <c r="P13" s="187">
        <f t="shared" si="0"/>
        <v>-1</v>
      </c>
      <c r="Q13" s="188" t="s">
        <v>2273</v>
      </c>
      <c r="R13" s="189">
        <f t="shared" si="1"/>
        <v>0</v>
      </c>
      <c r="S13" s="190">
        <f t="shared" si="2"/>
        <v>0</v>
      </c>
      <c r="T13" s="190">
        <f t="shared" ref="T13:AD13" si="4">+S13</f>
        <v>0</v>
      </c>
      <c r="U13" s="190">
        <f t="shared" si="4"/>
        <v>0</v>
      </c>
      <c r="V13" s="190">
        <f t="shared" si="4"/>
        <v>0</v>
      </c>
      <c r="W13" s="190">
        <f t="shared" si="4"/>
        <v>0</v>
      </c>
      <c r="X13" s="190">
        <f t="shared" si="4"/>
        <v>0</v>
      </c>
      <c r="Y13" s="190">
        <f t="shared" si="4"/>
        <v>0</v>
      </c>
      <c r="Z13" s="190">
        <f t="shared" si="4"/>
        <v>0</v>
      </c>
      <c r="AA13" s="190">
        <f t="shared" si="4"/>
        <v>0</v>
      </c>
      <c r="AB13" s="190">
        <f t="shared" si="4"/>
        <v>0</v>
      </c>
      <c r="AC13" s="190">
        <f t="shared" si="4"/>
        <v>0</v>
      </c>
      <c r="AD13" s="190">
        <f t="shared" si="4"/>
        <v>0</v>
      </c>
    </row>
    <row r="14" s="161" customFormat="1" ht="33" spans="1:30">
      <c r="A14" s="191" t="s">
        <v>343</v>
      </c>
      <c r="B14" s="192"/>
      <c r="C14" s="192"/>
      <c r="D14" s="192" t="s">
        <v>2242</v>
      </c>
      <c r="E14" s="193"/>
      <c r="F14" s="193">
        <v>0</v>
      </c>
      <c r="G14" s="193">
        <v>2220</v>
      </c>
      <c r="H14" s="194">
        <v>0</v>
      </c>
      <c r="I14" s="194">
        <v>130</v>
      </c>
      <c r="J14" s="194">
        <v>0</v>
      </c>
      <c r="K14" s="195">
        <v>130</v>
      </c>
      <c r="L14" s="192"/>
      <c r="M14" s="192"/>
      <c r="N14" s="196">
        <v>60</v>
      </c>
      <c r="O14" s="196">
        <v>60</v>
      </c>
      <c r="P14" s="187">
        <f t="shared" si="0"/>
        <v>-1</v>
      </c>
      <c r="Q14" s="188" t="s">
        <v>2272</v>
      </c>
      <c r="R14" s="197">
        <f t="shared" si="1"/>
        <v>0</v>
      </c>
      <c r="S14" s="190">
        <f t="shared" si="2"/>
        <v>0</v>
      </c>
      <c r="T14" s="190">
        <f t="shared" ref="T14:AD14" si="5">+S14</f>
        <v>0</v>
      </c>
      <c r="U14" s="190">
        <f t="shared" si="5"/>
        <v>0</v>
      </c>
      <c r="V14" s="190">
        <f t="shared" si="5"/>
        <v>0</v>
      </c>
      <c r="W14" s="190">
        <f t="shared" si="5"/>
        <v>0</v>
      </c>
      <c r="X14" s="190">
        <f t="shared" si="5"/>
        <v>0</v>
      </c>
      <c r="Y14" s="190">
        <f t="shared" si="5"/>
        <v>0</v>
      </c>
      <c r="Z14" s="190">
        <f t="shared" si="5"/>
        <v>0</v>
      </c>
      <c r="AA14" s="190">
        <f t="shared" si="5"/>
        <v>0</v>
      </c>
      <c r="AB14" s="190">
        <f t="shared" si="5"/>
        <v>0</v>
      </c>
      <c r="AC14" s="190">
        <f t="shared" si="5"/>
        <v>0</v>
      </c>
      <c r="AD14" s="190">
        <f t="shared" si="5"/>
        <v>0</v>
      </c>
    </row>
    <row r="15" s="161" customFormat="1" ht="33" spans="1:30">
      <c r="A15" s="191" t="s">
        <v>343</v>
      </c>
      <c r="B15" s="192"/>
      <c r="C15" s="192"/>
      <c r="D15" s="192" t="s">
        <v>2242</v>
      </c>
      <c r="E15" s="193"/>
      <c r="F15" s="193">
        <v>0</v>
      </c>
      <c r="G15" s="193">
        <v>295860</v>
      </c>
      <c r="H15" s="194">
        <v>0</v>
      </c>
      <c r="I15" s="194">
        <v>15576.6</v>
      </c>
      <c r="J15" s="194">
        <v>0</v>
      </c>
      <c r="K15" s="195">
        <v>15576.6</v>
      </c>
      <c r="L15" s="192"/>
      <c r="M15" s="192"/>
      <c r="N15" s="196">
        <v>60</v>
      </c>
      <c r="O15" s="196">
        <v>60</v>
      </c>
      <c r="P15" s="187">
        <f t="shared" si="0"/>
        <v>-1</v>
      </c>
      <c r="Q15" s="188" t="s">
        <v>2273</v>
      </c>
      <c r="R15" s="197">
        <f t="shared" si="1"/>
        <v>0</v>
      </c>
      <c r="S15" s="190">
        <f t="shared" si="2"/>
        <v>0</v>
      </c>
      <c r="T15" s="190">
        <f t="shared" ref="T15:AD15" si="6">+S15</f>
        <v>0</v>
      </c>
      <c r="U15" s="190">
        <f t="shared" si="6"/>
        <v>0</v>
      </c>
      <c r="V15" s="190">
        <f t="shared" si="6"/>
        <v>0</v>
      </c>
      <c r="W15" s="190">
        <f t="shared" si="6"/>
        <v>0</v>
      </c>
      <c r="X15" s="190">
        <f t="shared" si="6"/>
        <v>0</v>
      </c>
      <c r="Y15" s="190">
        <f t="shared" si="6"/>
        <v>0</v>
      </c>
      <c r="Z15" s="190">
        <f t="shared" si="6"/>
        <v>0</v>
      </c>
      <c r="AA15" s="190">
        <f t="shared" si="6"/>
        <v>0</v>
      </c>
      <c r="AB15" s="190">
        <f t="shared" si="6"/>
        <v>0</v>
      </c>
      <c r="AC15" s="190">
        <f t="shared" si="6"/>
        <v>0</v>
      </c>
      <c r="AD15" s="190">
        <f t="shared" si="6"/>
        <v>0</v>
      </c>
    </row>
    <row r="16" s="161" customFormat="1" ht="33" spans="1:30">
      <c r="A16" s="191" t="s">
        <v>343</v>
      </c>
      <c r="B16" s="192"/>
      <c r="C16" s="192"/>
      <c r="D16" s="192" t="s">
        <v>2247</v>
      </c>
      <c r="E16" s="193"/>
      <c r="F16" s="193">
        <v>0</v>
      </c>
      <c r="G16" s="193">
        <v>8820</v>
      </c>
      <c r="H16" s="194">
        <v>0</v>
      </c>
      <c r="I16" s="194">
        <v>480</v>
      </c>
      <c r="J16" s="194">
        <v>0</v>
      </c>
      <c r="K16" s="195">
        <v>480</v>
      </c>
      <c r="L16" s="192"/>
      <c r="M16" s="192"/>
      <c r="N16" s="196">
        <v>60</v>
      </c>
      <c r="O16" s="196">
        <v>60</v>
      </c>
      <c r="P16" s="187">
        <f t="shared" si="0"/>
        <v>-1</v>
      </c>
      <c r="Q16" s="188" t="s">
        <v>2273</v>
      </c>
      <c r="R16" s="197">
        <f t="shared" si="1"/>
        <v>0</v>
      </c>
      <c r="S16" s="190">
        <f t="shared" si="2"/>
        <v>0</v>
      </c>
      <c r="T16" s="190">
        <f t="shared" ref="T16:AD16" si="7">+S16</f>
        <v>0</v>
      </c>
      <c r="U16" s="190">
        <f t="shared" si="7"/>
        <v>0</v>
      </c>
      <c r="V16" s="190">
        <f t="shared" si="7"/>
        <v>0</v>
      </c>
      <c r="W16" s="190">
        <f t="shared" si="7"/>
        <v>0</v>
      </c>
      <c r="X16" s="190">
        <f t="shared" si="7"/>
        <v>0</v>
      </c>
      <c r="Y16" s="190">
        <f t="shared" si="7"/>
        <v>0</v>
      </c>
      <c r="Z16" s="190">
        <f t="shared" si="7"/>
        <v>0</v>
      </c>
      <c r="AA16" s="190">
        <f t="shared" si="7"/>
        <v>0</v>
      </c>
      <c r="AB16" s="190">
        <f t="shared" si="7"/>
        <v>0</v>
      </c>
      <c r="AC16" s="190">
        <f t="shared" si="7"/>
        <v>0</v>
      </c>
      <c r="AD16" s="190">
        <f t="shared" si="7"/>
        <v>0</v>
      </c>
    </row>
    <row r="17" s="161" customFormat="1" ht="33" spans="1:30">
      <c r="A17" s="191" t="s">
        <v>343</v>
      </c>
      <c r="B17" s="192"/>
      <c r="C17" s="192"/>
      <c r="D17" s="192" t="s">
        <v>2247</v>
      </c>
      <c r="E17" s="193"/>
      <c r="F17" s="193">
        <v>0</v>
      </c>
      <c r="G17" s="193">
        <v>2520</v>
      </c>
      <c r="H17" s="194">
        <v>0</v>
      </c>
      <c r="I17" s="194">
        <v>130</v>
      </c>
      <c r="J17" s="194">
        <v>0</v>
      </c>
      <c r="K17" s="195">
        <v>130</v>
      </c>
      <c r="L17" s="192"/>
      <c r="M17" s="192"/>
      <c r="N17" s="196">
        <v>60</v>
      </c>
      <c r="O17" s="196">
        <v>60</v>
      </c>
      <c r="P17" s="187">
        <f t="shared" si="0"/>
        <v>-1</v>
      </c>
      <c r="Q17" s="188" t="s">
        <v>2272</v>
      </c>
      <c r="R17" s="197">
        <f t="shared" si="1"/>
        <v>0</v>
      </c>
      <c r="S17" s="190">
        <f t="shared" si="2"/>
        <v>0</v>
      </c>
      <c r="T17" s="190">
        <f t="shared" ref="T17:AD17" si="8">+S17</f>
        <v>0</v>
      </c>
      <c r="U17" s="190">
        <f t="shared" si="8"/>
        <v>0</v>
      </c>
      <c r="V17" s="190">
        <f t="shared" si="8"/>
        <v>0</v>
      </c>
      <c r="W17" s="190">
        <f t="shared" si="8"/>
        <v>0</v>
      </c>
      <c r="X17" s="190">
        <f t="shared" si="8"/>
        <v>0</v>
      </c>
      <c r="Y17" s="190">
        <f t="shared" si="8"/>
        <v>0</v>
      </c>
      <c r="Z17" s="190">
        <f t="shared" si="8"/>
        <v>0</v>
      </c>
      <c r="AA17" s="190">
        <f t="shared" si="8"/>
        <v>0</v>
      </c>
      <c r="AB17" s="190">
        <f t="shared" si="8"/>
        <v>0</v>
      </c>
      <c r="AC17" s="190">
        <f t="shared" si="8"/>
        <v>0</v>
      </c>
      <c r="AD17" s="190">
        <f t="shared" si="8"/>
        <v>0</v>
      </c>
    </row>
    <row r="18" s="161" customFormat="1" ht="33" spans="1:30">
      <c r="A18" s="191" t="s">
        <v>343</v>
      </c>
      <c r="B18" s="192"/>
      <c r="C18" s="192"/>
      <c r="D18" s="192" t="s">
        <v>2247</v>
      </c>
      <c r="E18" s="193"/>
      <c r="F18" s="193">
        <v>0</v>
      </c>
      <c r="G18" s="193">
        <v>8220</v>
      </c>
      <c r="H18" s="194">
        <v>0</v>
      </c>
      <c r="I18" s="194">
        <v>420</v>
      </c>
      <c r="J18" s="194">
        <v>0</v>
      </c>
      <c r="K18" s="195">
        <v>420</v>
      </c>
      <c r="L18" s="192"/>
      <c r="M18" s="192"/>
      <c r="N18" s="196">
        <v>60</v>
      </c>
      <c r="O18" s="196">
        <v>60</v>
      </c>
      <c r="P18" s="187">
        <f t="shared" si="0"/>
        <v>-1</v>
      </c>
      <c r="Q18" s="188" t="s">
        <v>2272</v>
      </c>
      <c r="R18" s="197">
        <f t="shared" si="1"/>
        <v>0</v>
      </c>
      <c r="S18" s="190">
        <f t="shared" si="2"/>
        <v>0</v>
      </c>
      <c r="T18" s="190">
        <f t="shared" ref="T18:AD18" si="9">+S18</f>
        <v>0</v>
      </c>
      <c r="U18" s="190">
        <f t="shared" si="9"/>
        <v>0</v>
      </c>
      <c r="V18" s="190">
        <f t="shared" si="9"/>
        <v>0</v>
      </c>
      <c r="W18" s="190">
        <f t="shared" si="9"/>
        <v>0</v>
      </c>
      <c r="X18" s="190">
        <f t="shared" si="9"/>
        <v>0</v>
      </c>
      <c r="Y18" s="190">
        <f t="shared" si="9"/>
        <v>0</v>
      </c>
      <c r="Z18" s="190">
        <f t="shared" si="9"/>
        <v>0</v>
      </c>
      <c r="AA18" s="190">
        <f t="shared" si="9"/>
        <v>0</v>
      </c>
      <c r="AB18" s="190">
        <f t="shared" si="9"/>
        <v>0</v>
      </c>
      <c r="AC18" s="190">
        <f t="shared" si="9"/>
        <v>0</v>
      </c>
      <c r="AD18" s="190">
        <f t="shared" si="9"/>
        <v>0</v>
      </c>
    </row>
  </sheetData>
  <mergeCells count="22">
    <mergeCell ref="A5:F5"/>
    <mergeCell ref="A8:I8"/>
    <mergeCell ref="S10:AD10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A1:F4"/>
  </mergeCells>
  <hyperlinks>
    <hyperlink ref="A1" location="目录!A1" display="← 返回目录"/>
  </hyperlinks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>
    <tabColor theme="4" tint="0.799981688894314"/>
  </sheetPr>
  <dimension ref="A1:AH24"/>
  <sheetViews>
    <sheetView workbookViewId="0">
      <pane xSplit="3" ySplit="5" topLeftCell="D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12.0916666666667" customWidth="1"/>
    <col min="3" max="3" width="13.45" customWidth="1"/>
    <col min="4" max="4" width="9.63333333333333" customWidth="1"/>
    <col min="5" max="5" width="11.1833333333333" customWidth="1"/>
    <col min="6" max="6" width="16.1833333333333" customWidth="1"/>
    <col min="7" max="7" width="13.8166666666667" customWidth="1"/>
    <col min="8" max="8" width="14.8166666666667" customWidth="1"/>
    <col min="9" max="9" width="7.63333333333333" customWidth="1"/>
    <col min="10" max="10" width="7.81666666666667" customWidth="1"/>
    <col min="11" max="11" width="7.09166666666667" customWidth="1"/>
    <col min="12" max="12" width="9.45" customWidth="1"/>
    <col min="13" max="13" width="10.8166666666667" customWidth="1"/>
    <col min="14" max="14" width="8.81666666666667" customWidth="1"/>
    <col min="15" max="15" width="13.5416666666667" customWidth="1"/>
    <col min="16" max="16" width="13.8166666666667" customWidth="1"/>
    <col min="17" max="17" width="16.6333333333333" customWidth="1"/>
    <col min="18" max="18" width="7" customWidth="1"/>
    <col min="19" max="19" width="7.18333333333333" customWidth="1"/>
    <col min="20" max="20" width="7.45" customWidth="1"/>
    <col min="21" max="21" width="9.90833333333333" customWidth="1"/>
    <col min="22" max="22" width="10.9083333333333" customWidth="1"/>
    <col min="23" max="23" width="14.3666666666667" customWidth="1"/>
    <col min="24" max="24" width="14.8166666666667" customWidth="1"/>
    <col min="25" max="25" width="12.8166666666667" customWidth="1"/>
    <col min="33" max="33" width="12.45" customWidth="1"/>
    <col min="34" max="34" width="16.45" customWidth="1"/>
  </cols>
  <sheetData>
    <row r="1" ht="25" customHeight="1" spans="1:34">
      <c r="A1" s="130"/>
    </row>
    <row r="2" ht="15" spans="1:34">
      <c r="A2" s="46" t="s">
        <v>2278</v>
      </c>
      <c r="B2" s="46"/>
      <c r="C2" s="46"/>
      <c r="D2" s="46" t="s">
        <v>190</v>
      </c>
      <c r="E2" s="46"/>
      <c r="F2" s="46"/>
      <c r="G2" s="46"/>
      <c r="H2" s="46"/>
      <c r="I2" s="46"/>
      <c r="J2" s="46"/>
      <c r="K2" s="46"/>
      <c r="L2" s="46"/>
      <c r="M2" s="46" t="s">
        <v>2107</v>
      </c>
      <c r="N2" s="46"/>
      <c r="O2" s="46"/>
      <c r="P2" s="46"/>
      <c r="Q2" s="46"/>
      <c r="R2" s="46"/>
      <c r="S2" s="46"/>
      <c r="T2" s="46"/>
      <c r="U2" s="46" t="s">
        <v>1460</v>
      </c>
      <c r="V2" s="46"/>
      <c r="W2" s="46"/>
      <c r="X2" s="46"/>
      <c r="Y2" s="46"/>
      <c r="Z2" s="46"/>
      <c r="AA2" s="46"/>
      <c r="AB2" s="46"/>
      <c r="AC2" s="46" t="s">
        <v>1461</v>
      </c>
      <c r="AD2" s="46"/>
      <c r="AE2" s="46"/>
      <c r="AF2" s="46"/>
      <c r="AG2" s="46"/>
      <c r="AH2" s="131" t="s">
        <v>1462</v>
      </c>
    </row>
    <row r="3" ht="33" spans="1:34">
      <c r="A3" s="132" t="s">
        <v>187</v>
      </c>
      <c r="B3" s="132" t="s">
        <v>188</v>
      </c>
      <c r="C3" s="86" t="s">
        <v>2088</v>
      </c>
      <c r="D3" s="49" t="s">
        <v>58</v>
      </c>
      <c r="E3" s="49" t="s">
        <v>2279</v>
      </c>
      <c r="F3" s="49" t="s">
        <v>2280</v>
      </c>
      <c r="G3" s="49" t="s">
        <v>289</v>
      </c>
      <c r="H3" s="61" t="s">
        <v>2281</v>
      </c>
      <c r="I3" s="57" t="s">
        <v>2282</v>
      </c>
      <c r="J3" s="61" t="s">
        <v>2283</v>
      </c>
      <c r="K3" s="61" t="s">
        <v>2284</v>
      </c>
      <c r="L3" s="61" t="s">
        <v>2285</v>
      </c>
      <c r="M3" s="49" t="s">
        <v>2286</v>
      </c>
      <c r="N3" s="49" t="s">
        <v>2279</v>
      </c>
      <c r="O3" s="49" t="s">
        <v>2287</v>
      </c>
      <c r="P3" s="49" t="s">
        <v>289</v>
      </c>
      <c r="Q3" s="61" t="s">
        <v>2288</v>
      </c>
      <c r="R3" s="57" t="s">
        <v>2282</v>
      </c>
      <c r="S3" s="61" t="s">
        <v>2283</v>
      </c>
      <c r="T3" s="61" t="s">
        <v>2284</v>
      </c>
      <c r="U3" s="49" t="s">
        <v>58</v>
      </c>
      <c r="V3" s="49" t="s">
        <v>2279</v>
      </c>
      <c r="W3" s="49" t="s">
        <v>2280</v>
      </c>
      <c r="X3" s="49" t="s">
        <v>289</v>
      </c>
      <c r="Y3" s="133" t="s">
        <v>2289</v>
      </c>
      <c r="Z3" s="57" t="s">
        <v>2282</v>
      </c>
      <c r="AA3" s="61" t="s">
        <v>2283</v>
      </c>
      <c r="AB3" s="61" t="s">
        <v>2284</v>
      </c>
      <c r="AC3" s="49" t="s">
        <v>58</v>
      </c>
      <c r="AD3" s="49" t="s">
        <v>2279</v>
      </c>
      <c r="AE3" s="49" t="s">
        <v>2280</v>
      </c>
      <c r="AF3" s="49" t="s">
        <v>289</v>
      </c>
      <c r="AG3" s="133" t="s">
        <v>2289</v>
      </c>
      <c r="AH3" s="134" t="s">
        <v>2290</v>
      </c>
    </row>
    <row r="4" ht="16.5" spans="1:34">
      <c r="A4" s="144" t="s">
        <v>2291</v>
      </c>
      <c r="B4" s="145"/>
      <c r="C4" s="144"/>
      <c r="D4" s="146"/>
      <c r="E4" s="147"/>
      <c r="F4" s="147"/>
      <c r="G4" s="147"/>
      <c r="H4" s="147"/>
      <c r="I4" s="148"/>
      <c r="J4" s="148"/>
      <c r="K4" s="148"/>
      <c r="L4" s="148"/>
      <c r="M4" s="147"/>
      <c r="N4" s="147"/>
      <c r="O4" s="147"/>
      <c r="P4" s="147"/>
      <c r="Q4" s="147"/>
      <c r="R4" s="149"/>
      <c r="S4" s="149"/>
      <c r="T4" s="149"/>
      <c r="U4" s="147"/>
      <c r="V4" s="147"/>
      <c r="W4" s="147"/>
      <c r="X4" s="65">
        <f>G5-P5</f>
        <v>0</v>
      </c>
      <c r="Y4" s="147"/>
      <c r="Z4" s="149"/>
      <c r="AA4" s="149"/>
      <c r="AB4" s="149"/>
      <c r="AC4" s="149"/>
      <c r="AD4" s="149"/>
      <c r="AE4" s="149"/>
      <c r="AF4" s="149"/>
      <c r="AG4" s="149"/>
      <c r="AH4" s="127"/>
    </row>
    <row r="5" ht="16.5" spans="1:34">
      <c r="A5" s="150" t="s">
        <v>196</v>
      </c>
      <c r="B5" s="150" t="s">
        <v>337</v>
      </c>
      <c r="C5" s="150" t="s">
        <v>2292</v>
      </c>
      <c r="D5" s="151">
        <f t="shared" ref="D5:G5" si="0">D6</f>
        <v>0</v>
      </c>
      <c r="E5" s="151">
        <f t="shared" si="0"/>
        <v>0</v>
      </c>
      <c r="F5" s="151">
        <f t="shared" si="0"/>
        <v>0</v>
      </c>
      <c r="G5" s="151">
        <f t="shared" si="0"/>
        <v>0</v>
      </c>
      <c r="H5" s="151">
        <f>H6+H11</f>
        <v>0</v>
      </c>
      <c r="I5" s="152">
        <f t="shared" ref="I5:I11" si="1">IFERROR(H5/F5,0)</f>
        <v>0</v>
      </c>
      <c r="J5" s="152">
        <f t="shared" ref="J5:J11" si="2">IFERROR(G5/H5,0)</f>
        <v>0</v>
      </c>
      <c r="K5" s="152">
        <f t="shared" ref="K5:K11" si="3">IFERROR(E5/D5,0)</f>
        <v>0</v>
      </c>
      <c r="L5" s="150">
        <f t="shared" ref="L5:P5" si="4">L6</f>
        <v>0</v>
      </c>
      <c r="M5" s="151">
        <f t="shared" si="4"/>
        <v>0</v>
      </c>
      <c r="N5" s="151">
        <f t="shared" si="4"/>
        <v>0</v>
      </c>
      <c r="O5" s="151">
        <f t="shared" si="4"/>
        <v>0</v>
      </c>
      <c r="P5" s="151">
        <f t="shared" si="4"/>
        <v>0</v>
      </c>
      <c r="Q5" s="151">
        <f>Q6+Q11</f>
        <v>6000000</v>
      </c>
      <c r="R5" s="152">
        <f t="shared" ref="R5:R11" si="5">IFERROR(Q5/O5,0)</f>
        <v>0</v>
      </c>
      <c r="S5" s="152">
        <f t="shared" ref="S5:S11" si="6">IFERROR(P5/Q5,0)</f>
        <v>0</v>
      </c>
      <c r="T5" s="152">
        <f t="shared" ref="T5:T11" si="7">IFERROR(N5/M5,0)</f>
        <v>0</v>
      </c>
      <c r="U5" s="151">
        <f t="shared" ref="U5:AB5" si="8">D5-M5</f>
        <v>0</v>
      </c>
      <c r="V5" s="151">
        <f t="shared" si="8"/>
        <v>0</v>
      </c>
      <c r="W5" s="151">
        <f t="shared" si="8"/>
        <v>0</v>
      </c>
      <c r="X5" s="151">
        <f t="shared" si="8"/>
        <v>0</v>
      </c>
      <c r="Y5" s="151">
        <f t="shared" si="8"/>
        <v>-6000000</v>
      </c>
      <c r="Z5" s="152">
        <f t="shared" si="8"/>
        <v>0</v>
      </c>
      <c r="AA5" s="152">
        <f t="shared" si="8"/>
        <v>0</v>
      </c>
      <c r="AB5" s="152">
        <f t="shared" si="8"/>
        <v>0</v>
      </c>
      <c r="AC5" s="152">
        <f t="shared" ref="AC5:AG5" si="9">IFERROR(U5/M5,0)</f>
        <v>0</v>
      </c>
      <c r="AD5" s="152">
        <f t="shared" si="9"/>
        <v>0</v>
      </c>
      <c r="AE5" s="152">
        <f t="shared" si="9"/>
        <v>0</v>
      </c>
      <c r="AF5" s="152">
        <f t="shared" si="9"/>
        <v>0</v>
      </c>
      <c r="AG5" s="152">
        <f t="shared" si="9"/>
        <v>-1</v>
      </c>
      <c r="AH5" s="127"/>
    </row>
    <row r="6" ht="16.5" spans="1:34">
      <c r="A6" s="135" t="s">
        <v>196</v>
      </c>
      <c r="B6" s="135" t="s">
        <v>337</v>
      </c>
      <c r="C6" s="135" t="s">
        <v>2293</v>
      </c>
      <c r="D6" s="136">
        <f t="shared" ref="D6:H6" si="10">D7+D8+D9+D10</f>
        <v>0</v>
      </c>
      <c r="E6" s="136">
        <f t="shared" si="10"/>
        <v>0</v>
      </c>
      <c r="F6" s="136">
        <f t="shared" si="10"/>
        <v>0</v>
      </c>
      <c r="G6" s="136">
        <f t="shared" si="10"/>
        <v>0</v>
      </c>
      <c r="H6" s="136">
        <f t="shared" si="10"/>
        <v>0</v>
      </c>
      <c r="I6" s="137">
        <f t="shared" si="1"/>
        <v>0</v>
      </c>
      <c r="J6" s="137">
        <f t="shared" si="2"/>
        <v>0</v>
      </c>
      <c r="K6" s="137">
        <f t="shared" si="3"/>
        <v>0</v>
      </c>
      <c r="L6" s="135">
        <f t="shared" ref="L6:Q6" si="11">L7+L8+L9+L10</f>
        <v>0</v>
      </c>
      <c r="M6" s="136">
        <f t="shared" si="11"/>
        <v>0</v>
      </c>
      <c r="N6" s="136">
        <f t="shared" si="11"/>
        <v>0</v>
      </c>
      <c r="O6" s="136">
        <f t="shared" si="11"/>
        <v>0</v>
      </c>
      <c r="P6" s="136">
        <f t="shared" si="11"/>
        <v>0</v>
      </c>
      <c r="Q6" s="136">
        <f t="shared" si="11"/>
        <v>0</v>
      </c>
      <c r="R6" s="153">
        <f t="shared" si="5"/>
        <v>0</v>
      </c>
      <c r="S6" s="153">
        <f t="shared" si="6"/>
        <v>0</v>
      </c>
      <c r="T6" s="153">
        <f t="shared" si="7"/>
        <v>0</v>
      </c>
      <c r="U6" s="136">
        <f t="shared" ref="U6:AB6" si="12">D6-M6</f>
        <v>0</v>
      </c>
      <c r="V6" s="136">
        <f t="shared" si="12"/>
        <v>0</v>
      </c>
      <c r="W6" s="136">
        <f t="shared" si="12"/>
        <v>0</v>
      </c>
      <c r="X6" s="136">
        <f t="shared" si="12"/>
        <v>0</v>
      </c>
      <c r="Y6" s="136">
        <f t="shared" si="12"/>
        <v>0</v>
      </c>
      <c r="Z6" s="137">
        <f t="shared" si="12"/>
        <v>0</v>
      </c>
      <c r="AA6" s="137">
        <f t="shared" si="12"/>
        <v>0</v>
      </c>
      <c r="AB6" s="137">
        <f t="shared" si="12"/>
        <v>0</v>
      </c>
      <c r="AC6" s="137">
        <f t="shared" ref="AC6:AG6" si="13">IFERROR(U6/M6,0)</f>
        <v>0</v>
      </c>
      <c r="AD6" s="137">
        <f t="shared" si="13"/>
        <v>0</v>
      </c>
      <c r="AE6" s="137">
        <f t="shared" si="13"/>
        <v>0</v>
      </c>
      <c r="AF6" s="137">
        <f t="shared" si="13"/>
        <v>0</v>
      </c>
      <c r="AG6" s="137">
        <f t="shared" si="13"/>
        <v>0</v>
      </c>
      <c r="AH6" s="127"/>
    </row>
    <row r="7" ht="16.5" spans="1:34">
      <c r="A7" s="63" t="s">
        <v>196</v>
      </c>
      <c r="B7" s="63" t="s">
        <v>337</v>
      </c>
      <c r="C7" s="63" t="s">
        <v>2294</v>
      </c>
      <c r="D7" s="65">
        <f>SUMIFS('饲料资金预算--查询表（财务部）'!W:W,'饲料资金预算--查询表（财务部）'!$L:$L,$C7,'饲料资金预算--查询表（财务部）'!$AA:$AA,"&gt;0")</f>
        <v>0</v>
      </c>
      <c r="E7" s="65">
        <f>SUMIFS('饲料资金预算--查询表（财务部）'!X:X,'饲料资金预算--查询表（财务部）'!$L:$L,$C7,'饲料资金预算--查询表（财务部）'!$AA:$AA,"&gt;0")</f>
        <v>0</v>
      </c>
      <c r="F7" s="65">
        <f>SUMIFS('饲料资金预算--查询表（财务部）'!Y:Y,'饲料资金预算--查询表（财务部）'!$L:$L,$C7,'饲料资金预算--查询表（财务部）'!$AA:$AA,"&gt;0")</f>
        <v>0</v>
      </c>
      <c r="G7" s="65">
        <f>SUMIFS('饲料资金预算--查询表（财务部）'!Z:Z,'饲料资金预算--查询表（财务部）'!$L:$L,$C7,'饲料资金预算--查询表（财务部）'!$AA:$AA,"&gt;0")</f>
        <v>0</v>
      </c>
      <c r="H7" s="65">
        <f>SUMIFS('饲料资金预算--查询表（财务部）'!AA:AA,'饲料资金预算--查询表（财务部）'!$L:$L,$C7,'饲料资金预算--查询表（财务部）'!$AA:$AA,"&gt;0")</f>
        <v>0</v>
      </c>
      <c r="I7" s="139">
        <f t="shared" si="1"/>
        <v>0</v>
      </c>
      <c r="J7" s="139">
        <f t="shared" si="2"/>
        <v>0</v>
      </c>
      <c r="K7" s="139">
        <f t="shared" si="3"/>
        <v>0</v>
      </c>
      <c r="L7" s="63">
        <f>SUMIFS('饲料资金预算--查询表（财务部）'!AE:AE,'饲料资金预算--查询表（财务部）'!$L:$L,$C7,'饲料资金预算--查询表（财务部）'!$AA:$AA,"&gt;0")</f>
        <v>0</v>
      </c>
      <c r="M7" s="65">
        <f>SUMIFS('饲料资金预算--查询表（财务部）'!O:O,'饲料资金预算--查询表（财务部）'!$L:$L,$C7,'饲料资金预算--查询表（财务部）'!$S:$S,"&gt;0")</f>
        <v>0</v>
      </c>
      <c r="N7" s="65">
        <f>SUMIFS('饲料资金预算--查询表（财务部）'!P:P,'饲料资金预算--查询表（财务部）'!$L:$L,$C7,'饲料资金预算--查询表（财务部）'!$S:$S,"&gt;0")</f>
        <v>0</v>
      </c>
      <c r="O7" s="65">
        <f>SUMIFS('饲料资金预算--查询表（财务部）'!Q:Q,'饲料资金预算--查询表（财务部）'!$L:$L,$C7,'饲料资金预算--查询表（财务部）'!$S:$S,"&gt;0")</f>
        <v>0</v>
      </c>
      <c r="P7" s="65">
        <f>SUMIFS('饲料资金预算--查询表（财务部）'!R:R,'饲料资金预算--查询表（财务部）'!$L:$L,$C7,'饲料资金预算--查询表（财务部）'!$S:$S,"&gt;0")</f>
        <v>0</v>
      </c>
      <c r="Q7" s="65">
        <f>SUMIFS('饲料资金预算--查询表（财务部）'!S:S,'饲料资金预算--查询表（财务部）'!$L:$L,$C7,'饲料资金预算--查询表（财务部）'!$S:$S,"&gt;0")</f>
        <v>0</v>
      </c>
      <c r="R7" s="66">
        <f t="shared" si="5"/>
        <v>0</v>
      </c>
      <c r="S7" s="66">
        <f t="shared" si="6"/>
        <v>0</v>
      </c>
      <c r="T7" s="66">
        <f t="shared" si="7"/>
        <v>0</v>
      </c>
      <c r="U7" s="65">
        <f t="shared" ref="U7:AB7" si="14">D7-M7</f>
        <v>0</v>
      </c>
      <c r="V7" s="65">
        <f t="shared" si="14"/>
        <v>0</v>
      </c>
      <c r="W7" s="65">
        <f t="shared" si="14"/>
        <v>0</v>
      </c>
      <c r="X7" s="65">
        <f t="shared" si="14"/>
        <v>0</v>
      </c>
      <c r="Y7" s="65">
        <f t="shared" si="14"/>
        <v>0</v>
      </c>
      <c r="Z7" s="139">
        <f t="shared" si="14"/>
        <v>0</v>
      </c>
      <c r="AA7" s="139">
        <f t="shared" si="14"/>
        <v>0</v>
      </c>
      <c r="AB7" s="139">
        <f t="shared" si="14"/>
        <v>0</v>
      </c>
      <c r="AC7" s="139">
        <f t="shared" ref="AC7:AG7" si="15">IFERROR(U7/M7,0)</f>
        <v>0</v>
      </c>
      <c r="AD7" s="139">
        <f t="shared" si="15"/>
        <v>0</v>
      </c>
      <c r="AE7" s="139">
        <f t="shared" si="15"/>
        <v>0</v>
      </c>
      <c r="AF7" s="139">
        <f t="shared" si="15"/>
        <v>0</v>
      </c>
      <c r="AG7" s="139">
        <f t="shared" si="15"/>
        <v>0</v>
      </c>
      <c r="AH7" s="127"/>
    </row>
    <row r="8" ht="16.5" spans="1:34">
      <c r="A8" s="63" t="s">
        <v>196</v>
      </c>
      <c r="B8" s="63" t="s">
        <v>337</v>
      </c>
      <c r="C8" s="63" t="s">
        <v>282</v>
      </c>
      <c r="D8" s="65">
        <f>SUMIFS('饲料资金预算--查询表（财务部）'!W:W,'饲料资金预算--查询表（财务部）'!$L:$L,$C8,'饲料资金预算--查询表（财务部）'!$AA:$AA,"&gt;0")</f>
        <v>0</v>
      </c>
      <c r="E8" s="65">
        <f>SUMIFS('饲料资金预算--查询表（财务部）'!X:X,'饲料资金预算--查询表（财务部）'!$L:$L,$C8,'饲料资金预算--查询表（财务部）'!$AA:$AA,"&gt;0")</f>
        <v>0</v>
      </c>
      <c r="F8" s="65">
        <f>SUMIFS('饲料资金预算--查询表（财务部）'!Y:Y,'饲料资金预算--查询表（财务部）'!$L:$L,$C8,'饲料资金预算--查询表（财务部）'!$AA:$AA,"&gt;0")</f>
        <v>0</v>
      </c>
      <c r="G8" s="65">
        <f>SUMIFS('饲料资金预算--查询表（财务部）'!Z:Z,'饲料资金预算--查询表（财务部）'!$L:$L,$C8,'饲料资金预算--查询表（财务部）'!$AA:$AA,"&gt;0")</f>
        <v>0</v>
      </c>
      <c r="H8" s="65">
        <f>SUMIFS('饲料资金预算--查询表（财务部）'!AA:AA,'饲料资金预算--查询表（财务部）'!$L:$L,$C8,'饲料资金预算--查询表（财务部）'!$AA:$AA,"&gt;0")</f>
        <v>0</v>
      </c>
      <c r="I8" s="139">
        <f t="shared" si="1"/>
        <v>0</v>
      </c>
      <c r="J8" s="139">
        <f t="shared" si="2"/>
        <v>0</v>
      </c>
      <c r="K8" s="139">
        <f t="shared" si="3"/>
        <v>0</v>
      </c>
      <c r="L8" s="63">
        <f>SUMIFS('饲料资金预算--查询表（财务部）'!AE:AE,'饲料资金预算--查询表（财务部）'!$L:$L,$C8,'饲料资金预算--查询表（财务部）'!$AA:$AA,"&gt;0")</f>
        <v>0</v>
      </c>
      <c r="M8" s="65">
        <f>SUMIFS('饲料资金预算--查询表（财务部）'!O:O,'饲料资金预算--查询表（财务部）'!$L:$L,$C8,'饲料资金预算--查询表（财务部）'!$S:$S,"&gt;0")</f>
        <v>0</v>
      </c>
      <c r="N8" s="65">
        <f>SUMIFS('饲料资金预算--查询表（财务部）'!P:P,'饲料资金预算--查询表（财务部）'!$L:$L,$C8,'饲料资金预算--查询表（财务部）'!$S:$S,"&gt;0")</f>
        <v>0</v>
      </c>
      <c r="O8" s="65">
        <f>SUMIFS('饲料资金预算--查询表（财务部）'!Q:Q,'饲料资金预算--查询表（财务部）'!$L:$L,$C8,'饲料资金预算--查询表（财务部）'!$S:$S,"&gt;0")</f>
        <v>0</v>
      </c>
      <c r="P8" s="65">
        <f>SUMIFS('饲料资金预算--查询表（财务部）'!R:R,'饲料资金预算--查询表（财务部）'!$L:$L,$C8,'饲料资金预算--查询表（财务部）'!$S:$S,"&gt;0")</f>
        <v>0</v>
      </c>
      <c r="Q8" s="65">
        <f>SUMIFS('饲料资金预算--查询表（财务部）'!S:S,'饲料资金预算--查询表（财务部）'!$L:$L,$C8,'饲料资金预算--查询表（财务部）'!$S:$S,"&gt;0")</f>
        <v>0</v>
      </c>
      <c r="R8" s="66">
        <f t="shared" si="5"/>
        <v>0</v>
      </c>
      <c r="S8" s="66">
        <f t="shared" si="6"/>
        <v>0</v>
      </c>
      <c r="T8" s="66">
        <f t="shared" si="7"/>
        <v>0</v>
      </c>
      <c r="U8" s="65">
        <f t="shared" ref="U8:AB8" si="16">D8-M8</f>
        <v>0</v>
      </c>
      <c r="V8" s="65">
        <f t="shared" si="16"/>
        <v>0</v>
      </c>
      <c r="W8" s="65">
        <f t="shared" si="16"/>
        <v>0</v>
      </c>
      <c r="X8" s="65">
        <f t="shared" si="16"/>
        <v>0</v>
      </c>
      <c r="Y8" s="65">
        <f t="shared" si="16"/>
        <v>0</v>
      </c>
      <c r="Z8" s="139">
        <f t="shared" si="16"/>
        <v>0</v>
      </c>
      <c r="AA8" s="139">
        <f t="shared" si="16"/>
        <v>0</v>
      </c>
      <c r="AB8" s="139">
        <f t="shared" si="16"/>
        <v>0</v>
      </c>
      <c r="AC8" s="139">
        <f t="shared" ref="AC8:AG8" si="17">IFERROR(U8/M8,0)</f>
        <v>0</v>
      </c>
      <c r="AD8" s="139">
        <f t="shared" si="17"/>
        <v>0</v>
      </c>
      <c r="AE8" s="139">
        <f t="shared" si="17"/>
        <v>0</v>
      </c>
      <c r="AF8" s="139">
        <f t="shared" si="17"/>
        <v>0</v>
      </c>
      <c r="AG8" s="139">
        <f t="shared" si="17"/>
        <v>0</v>
      </c>
      <c r="AH8" s="127"/>
    </row>
    <row r="9" ht="16.5" spans="1:34">
      <c r="A9" s="63" t="s">
        <v>196</v>
      </c>
      <c r="B9" s="63" t="s">
        <v>337</v>
      </c>
      <c r="C9" s="63" t="s">
        <v>2295</v>
      </c>
      <c r="D9" s="65">
        <f>SUMIFS('饲料资金预算--查询表（财务部）'!W:W,'饲料资金预算--查询表（财务部）'!$L:$L,$C9,'饲料资金预算--查询表（财务部）'!$AA:$AA,"&gt;0")</f>
        <v>0</v>
      </c>
      <c r="E9" s="65">
        <f>SUMIFS('饲料资金预算--查询表（财务部）'!X:X,'饲料资金预算--查询表（财务部）'!$L:$L,$C9,'饲料资金预算--查询表（财务部）'!$AA:$AA,"&gt;0")</f>
        <v>0</v>
      </c>
      <c r="F9" s="65">
        <f>SUMIFS('饲料资金预算--查询表（财务部）'!Y:Y,'饲料资金预算--查询表（财务部）'!$L:$L,$C9,'饲料资金预算--查询表（财务部）'!$AA:$AA,"&gt;0")</f>
        <v>0</v>
      </c>
      <c r="G9" s="65">
        <f>SUMIFS('饲料资金预算--查询表（财务部）'!Z:Z,'饲料资金预算--查询表（财务部）'!$L:$L,$C9,'饲料资金预算--查询表（财务部）'!$AA:$AA,"&gt;0")</f>
        <v>0</v>
      </c>
      <c r="H9" s="65">
        <f>SUMIFS('饲料资金预算--查询表（财务部）'!AA:AA,'饲料资金预算--查询表（财务部）'!$L:$L,$C9,'饲料资金预算--查询表（财务部）'!$AA:$AA,"&gt;0")</f>
        <v>0</v>
      </c>
      <c r="I9" s="139">
        <f t="shared" si="1"/>
        <v>0</v>
      </c>
      <c r="J9" s="139">
        <f t="shared" si="2"/>
        <v>0</v>
      </c>
      <c r="K9" s="139">
        <f t="shared" si="3"/>
        <v>0</v>
      </c>
      <c r="L9" s="63">
        <f>SUMIFS('饲料资金预算--查询表（财务部）'!AE:AE,'饲料资金预算--查询表（财务部）'!$L:$L,$C9,'饲料资金预算--查询表（财务部）'!$AA:$AA,"&gt;0")</f>
        <v>0</v>
      </c>
      <c r="M9" s="65">
        <f>SUMIFS('饲料资金预算--查询表（财务部）'!O:O,'饲料资金预算--查询表（财务部）'!$L:$L,$C9,'饲料资金预算--查询表（财务部）'!$S:$S,"&gt;0")</f>
        <v>0</v>
      </c>
      <c r="N9" s="65">
        <f>SUMIFS('饲料资金预算--查询表（财务部）'!P:P,'饲料资金预算--查询表（财务部）'!$L:$L,$C9,'饲料资金预算--查询表（财务部）'!$S:$S,"&gt;0")</f>
        <v>0</v>
      </c>
      <c r="O9" s="65">
        <f>SUMIFS('饲料资金预算--查询表（财务部）'!Q:Q,'饲料资金预算--查询表（财务部）'!$L:$L,$C9,'饲料资金预算--查询表（财务部）'!$S:$S,"&gt;0")</f>
        <v>0</v>
      </c>
      <c r="P9" s="65">
        <f>SUMIFS('饲料资金预算--查询表（财务部）'!R:R,'饲料资金预算--查询表（财务部）'!$L:$L,$C9,'饲料资金预算--查询表（财务部）'!$S:$S,"&gt;0")</f>
        <v>0</v>
      </c>
      <c r="Q9" s="65">
        <f>SUMIFS('饲料资金预算--查询表（财务部）'!S:S,'饲料资金预算--查询表（财务部）'!$L:$L,$C9,'饲料资金预算--查询表（财务部）'!$S:$S,"&gt;0")</f>
        <v>0</v>
      </c>
      <c r="R9" s="66">
        <f t="shared" si="5"/>
        <v>0</v>
      </c>
      <c r="S9" s="66">
        <f t="shared" si="6"/>
        <v>0</v>
      </c>
      <c r="T9" s="66">
        <f t="shared" si="7"/>
        <v>0</v>
      </c>
      <c r="U9" s="65">
        <f t="shared" ref="U9:AB9" si="18">D9-M9</f>
        <v>0</v>
      </c>
      <c r="V9" s="65">
        <f t="shared" si="18"/>
        <v>0</v>
      </c>
      <c r="W9" s="65">
        <f t="shared" si="18"/>
        <v>0</v>
      </c>
      <c r="X9" s="65">
        <f t="shared" si="18"/>
        <v>0</v>
      </c>
      <c r="Y9" s="65">
        <f t="shared" si="18"/>
        <v>0</v>
      </c>
      <c r="Z9" s="139">
        <f t="shared" si="18"/>
        <v>0</v>
      </c>
      <c r="AA9" s="139">
        <f t="shared" si="18"/>
        <v>0</v>
      </c>
      <c r="AB9" s="139">
        <f t="shared" si="18"/>
        <v>0</v>
      </c>
      <c r="AC9" s="139">
        <f t="shared" ref="AC9:AG9" si="19">IFERROR(U9/M9,0)</f>
        <v>0</v>
      </c>
      <c r="AD9" s="139">
        <f t="shared" si="19"/>
        <v>0</v>
      </c>
      <c r="AE9" s="139">
        <f t="shared" si="19"/>
        <v>0</v>
      </c>
      <c r="AF9" s="139">
        <f t="shared" si="19"/>
        <v>0</v>
      </c>
      <c r="AG9" s="139">
        <f t="shared" si="19"/>
        <v>0</v>
      </c>
      <c r="AH9" s="127"/>
    </row>
    <row r="10" ht="16.5" spans="1:34">
      <c r="A10" s="63" t="s">
        <v>196</v>
      </c>
      <c r="B10" s="63" t="s">
        <v>337</v>
      </c>
      <c r="C10" s="63" t="s">
        <v>2296</v>
      </c>
      <c r="D10" s="65">
        <f>SUMIFS('饲料资金预算--查询表（财务部）'!W:W,'饲料资金预算--查询表（财务部）'!$L:$L,$C10,'饲料资金预算--查询表（财务部）'!$AA:$AA,"&gt;0")</f>
        <v>0</v>
      </c>
      <c r="E10" s="65">
        <f>SUMIFS('饲料资金预算--查询表（财务部）'!X:X,'饲料资金预算--查询表（财务部）'!$L:$L,$C10,'饲料资金预算--查询表（财务部）'!$AA:$AA,"&gt;0")</f>
        <v>0</v>
      </c>
      <c r="F10" s="65">
        <f>SUMIFS('饲料资金预算--查询表（财务部）'!Y:Y,'饲料资金预算--查询表（财务部）'!$L:$L,$C10,'饲料资金预算--查询表（财务部）'!$AA:$AA,"&gt;0")</f>
        <v>0</v>
      </c>
      <c r="G10" s="65">
        <f>SUMIFS('饲料资金预算--查询表（财务部）'!Z:Z,'饲料资金预算--查询表（财务部）'!$L:$L,$C10,'饲料资金预算--查询表（财务部）'!$AA:$AA,"&gt;0")</f>
        <v>0</v>
      </c>
      <c r="H10" s="65">
        <f>SUMIFS('饲料资金预算--查询表（财务部）'!AA:AA,'饲料资金预算--查询表（财务部）'!$L:$L,$C10,'饲料资金预算--查询表（财务部）'!$AA:$AA,"&gt;0")</f>
        <v>0</v>
      </c>
      <c r="I10" s="139">
        <f t="shared" si="1"/>
        <v>0</v>
      </c>
      <c r="J10" s="139">
        <f t="shared" si="2"/>
        <v>0</v>
      </c>
      <c r="K10" s="139">
        <f t="shared" si="3"/>
        <v>0</v>
      </c>
      <c r="L10" s="63">
        <f>SUMIFS('饲料资金预算--查询表（财务部）'!AE:AE,'饲料资金预算--查询表（财务部）'!$L:$L,$C10,'饲料资金预算--查询表（财务部）'!$AA:$AA,"&gt;0")</f>
        <v>0</v>
      </c>
      <c r="M10" s="65">
        <f>SUMIFS('饲料资金预算--查询表（财务部）'!O:O,'饲料资金预算--查询表（财务部）'!$L:$L,$C10,'饲料资金预算--查询表（财务部）'!$S:$S,"&gt;0")</f>
        <v>0</v>
      </c>
      <c r="N10" s="65">
        <f>SUMIFS('饲料资金预算--查询表（财务部）'!P:P,'饲料资金预算--查询表（财务部）'!$L:$L,$C10,'饲料资金预算--查询表（财务部）'!$S:$S,"&gt;0")</f>
        <v>0</v>
      </c>
      <c r="O10" s="65">
        <f>SUMIFS('饲料资金预算--查询表（财务部）'!Q:Q,'饲料资金预算--查询表（财务部）'!$L:$L,$C10,'饲料资金预算--查询表（财务部）'!$S:$S,"&gt;0")</f>
        <v>0</v>
      </c>
      <c r="P10" s="65">
        <f>SUMIFS('饲料资金预算--查询表（财务部）'!R:R,'饲料资金预算--查询表（财务部）'!$L:$L,$C10,'饲料资金预算--查询表（财务部）'!$S:$S,"&gt;0")</f>
        <v>0</v>
      </c>
      <c r="Q10" s="65">
        <f>SUMIFS('饲料资金预算--查询表（财务部）'!S:S,'饲料资金预算--查询表（财务部）'!$L:$L,$C10,'饲料资金预算--查询表（财务部）'!$S:$S,"&gt;0")</f>
        <v>0</v>
      </c>
      <c r="R10" s="66">
        <f t="shared" si="5"/>
        <v>0</v>
      </c>
      <c r="S10" s="66">
        <f t="shared" si="6"/>
        <v>0</v>
      </c>
      <c r="T10" s="66">
        <f t="shared" si="7"/>
        <v>0</v>
      </c>
      <c r="U10" s="65">
        <f t="shared" ref="U10:AB10" si="20">D10-M10</f>
        <v>0</v>
      </c>
      <c r="V10" s="65">
        <f t="shared" si="20"/>
        <v>0</v>
      </c>
      <c r="W10" s="65">
        <f t="shared" si="20"/>
        <v>0</v>
      </c>
      <c r="X10" s="65">
        <f t="shared" si="20"/>
        <v>0</v>
      </c>
      <c r="Y10" s="65">
        <f t="shared" si="20"/>
        <v>0</v>
      </c>
      <c r="Z10" s="139">
        <f t="shared" si="20"/>
        <v>0</v>
      </c>
      <c r="AA10" s="139">
        <f t="shared" si="20"/>
        <v>0</v>
      </c>
      <c r="AB10" s="139">
        <f t="shared" si="20"/>
        <v>0</v>
      </c>
      <c r="AC10" s="139">
        <f t="shared" ref="AC10:AG10" si="21">IFERROR(U10/M10,0)</f>
        <v>0</v>
      </c>
      <c r="AD10" s="139">
        <f t="shared" si="21"/>
        <v>0</v>
      </c>
      <c r="AE10" s="139">
        <f t="shared" si="21"/>
        <v>0</v>
      </c>
      <c r="AF10" s="139">
        <f t="shared" si="21"/>
        <v>0</v>
      </c>
      <c r="AG10" s="139">
        <f t="shared" si="21"/>
        <v>0</v>
      </c>
      <c r="AH10" s="127"/>
    </row>
    <row r="11" ht="16.5" spans="1:34">
      <c r="A11" s="135" t="s">
        <v>196</v>
      </c>
      <c r="B11" s="135" t="s">
        <v>337</v>
      </c>
      <c r="C11" s="135" t="s">
        <v>2297</v>
      </c>
      <c r="D11" s="136">
        <v>0</v>
      </c>
      <c r="E11" s="136">
        <v>0</v>
      </c>
      <c r="F11" s="136">
        <f>SUMIFS('填写-动保资金预算填报表-业务员'!H:H,'填写-动保资金预算填报表-业务员'!$I:$I,"&gt;0")</f>
        <v>0</v>
      </c>
      <c r="G11" s="136">
        <f>F11*50%</f>
        <v>0</v>
      </c>
      <c r="H11" s="136">
        <f>SUM('填写-动保资金预算填报表-业务员'!I:I)</f>
        <v>0</v>
      </c>
      <c r="I11" s="137">
        <f t="shared" si="1"/>
        <v>0</v>
      </c>
      <c r="J11" s="137">
        <f t="shared" si="2"/>
        <v>0</v>
      </c>
      <c r="K11" s="137">
        <f t="shared" si="3"/>
        <v>0</v>
      </c>
      <c r="L11" s="135">
        <v>0</v>
      </c>
      <c r="M11" s="136">
        <v>0</v>
      </c>
      <c r="N11" s="136">
        <v>0</v>
      </c>
      <c r="O11" s="136">
        <f>SUMIFS('填写-动保资金预算填报表-业务员'!E:E,'填写-动保资金预算填报表-业务员'!$F:$F,"&gt;0")</f>
        <v>1</v>
      </c>
      <c r="P11" s="136">
        <f>O11*50%</f>
        <v>0.5</v>
      </c>
      <c r="Q11" s="136">
        <f>SUM('填写-动保资金预算填报表-业务员'!F:F)</f>
        <v>6000000</v>
      </c>
      <c r="R11" s="153">
        <f t="shared" si="5"/>
        <v>6000000</v>
      </c>
      <c r="S11" s="153">
        <f t="shared" si="6"/>
        <v>8.33333333333333e-8</v>
      </c>
      <c r="T11" s="153">
        <f t="shared" si="7"/>
        <v>0</v>
      </c>
      <c r="U11" s="136">
        <f t="shared" ref="U11:AB11" si="22">D11-M11</f>
        <v>0</v>
      </c>
      <c r="V11" s="136">
        <f t="shared" si="22"/>
        <v>0</v>
      </c>
      <c r="W11" s="136">
        <f t="shared" si="22"/>
        <v>-1</v>
      </c>
      <c r="X11" s="136">
        <f t="shared" si="22"/>
        <v>-0.5</v>
      </c>
      <c r="Y11" s="136">
        <f t="shared" si="22"/>
        <v>-6000000</v>
      </c>
      <c r="Z11" s="137">
        <f t="shared" si="22"/>
        <v>-6000000</v>
      </c>
      <c r="AA11" s="137">
        <f t="shared" si="22"/>
        <v>-8.33333333333333e-8</v>
      </c>
      <c r="AB11" s="137">
        <f t="shared" si="22"/>
        <v>0</v>
      </c>
      <c r="AC11" s="137">
        <f t="shared" ref="AC11:AG11" si="23">IFERROR(U11/M11,0)</f>
        <v>0</v>
      </c>
      <c r="AD11" s="137">
        <f t="shared" si="23"/>
        <v>0</v>
      </c>
      <c r="AE11" s="137">
        <f t="shared" si="23"/>
        <v>-1</v>
      </c>
      <c r="AF11" s="137">
        <f t="shared" si="23"/>
        <v>-1</v>
      </c>
      <c r="AG11" s="137">
        <f t="shared" si="23"/>
        <v>-1</v>
      </c>
      <c r="AH11" s="127"/>
    </row>
    <row r="12" ht="16.5" spans="1:34">
      <c r="A12" s="144" t="s">
        <v>2298</v>
      </c>
      <c r="B12" s="145"/>
      <c r="C12" s="144"/>
      <c r="D12" s="146"/>
      <c r="E12" s="147"/>
      <c r="F12" s="147"/>
      <c r="G12" s="147"/>
      <c r="H12" s="147"/>
      <c r="I12" s="148"/>
      <c r="J12" s="148"/>
      <c r="K12" s="148"/>
      <c r="L12" s="148"/>
      <c r="M12" s="147"/>
      <c r="N12" s="147"/>
      <c r="O12" s="147"/>
      <c r="P12" s="147"/>
      <c r="Q12" s="147"/>
      <c r="R12" s="149"/>
      <c r="S12" s="149"/>
      <c r="T12" s="149"/>
      <c r="U12" s="147"/>
      <c r="V12" s="147"/>
      <c r="W12" s="147"/>
      <c r="X12" s="65">
        <f>G13-P13</f>
        <v>0</v>
      </c>
      <c r="Y12" s="147"/>
      <c r="Z12" s="149"/>
      <c r="AA12" s="149"/>
      <c r="AB12" s="149"/>
      <c r="AC12" s="149"/>
      <c r="AD12" s="149"/>
      <c r="AE12" s="149"/>
      <c r="AF12" s="149"/>
      <c r="AG12" s="149"/>
      <c r="AH12" s="127"/>
    </row>
    <row r="13" ht="16.5" spans="1:34">
      <c r="A13" s="63" t="s">
        <v>196</v>
      </c>
      <c r="B13" s="63" t="s">
        <v>337</v>
      </c>
      <c r="C13" s="63" t="s">
        <v>2299</v>
      </c>
      <c r="D13" s="65">
        <f>SUMIFS('饲料资金预算--查询表（财务部）'!W:W,'饲料资金预算--查询表（财务部）'!$J:$J,"是",'饲料资金预算--查询表（财务部）'!$AA:$AA,"&gt;0")</f>
        <v>0</v>
      </c>
      <c r="E13" s="65">
        <f>SUMIFS('饲料资金预算--查询表（财务部）'!X:X,'饲料资金预算--查询表（财务部）'!$J:$J,"是",'饲料资金预算--查询表（财务部）'!$AA:$AA,"&gt;0")</f>
        <v>0</v>
      </c>
      <c r="F13" s="65">
        <f>SUMIFS('饲料资金预算--查询表（财务部）'!Y:Y,'饲料资金预算--查询表（财务部）'!$J:$J,"是",'饲料资金预算--查询表（财务部）'!$AA:$AA,"&gt;0")</f>
        <v>0</v>
      </c>
      <c r="G13" s="65">
        <f>SUMIFS('饲料资金预算--查询表（财务部）'!Z:Z,'饲料资金预算--查询表（财务部）'!$J:$J,"是",'饲料资金预算--查询表（财务部）'!$AA:$AA,"&gt;0")</f>
        <v>0</v>
      </c>
      <c r="H13" s="65">
        <f>SUMIFS('饲料资金预算--查询表（财务部）'!AA:AA,'饲料资金预算--查询表（财务部）'!$J:$J,"是",'饲料资金预算--查询表（财务部）'!$AA:$AA,"&gt;0")</f>
        <v>0</v>
      </c>
      <c r="I13" s="139">
        <f t="shared" ref="I13:I23" si="24">IFERROR(H13/F13,0)</f>
        <v>0</v>
      </c>
      <c r="J13" s="139">
        <f t="shared" ref="J13:J23" si="25">IFERROR(G13/H13,0)</f>
        <v>0</v>
      </c>
      <c r="K13" s="139">
        <f t="shared" ref="K13:K23" si="26">IFERROR(E13/D13,0)</f>
        <v>0</v>
      </c>
      <c r="L13" s="63">
        <f>SUMIFS('饲料资金预算--查询表（财务部）'!AE:AE,'饲料资金预算--查询表（财务部）'!$J:$J,"是",'饲料资金预算--查询表（财务部）'!$AA:$AA,"&gt;0")</f>
        <v>0</v>
      </c>
      <c r="M13" s="65">
        <f>SUMIFS('饲料资金预算--查询表（财务部）'!O:O,'饲料资金预算--查询表（财务部）'!$J:$J,"是",'饲料资金预算--查询表（财务部）'!$S:$S,"&gt;0")</f>
        <v>0</v>
      </c>
      <c r="N13" s="65">
        <f>SUMIFS('饲料资金预算--查询表（财务部）'!P:P,'饲料资金预算--查询表（财务部）'!$J:$J,"是",'饲料资金预算--查询表（财务部）'!$S:$S,"&gt;0")</f>
        <v>0</v>
      </c>
      <c r="O13" s="65">
        <f>SUMIFS('饲料资金预算--查询表（财务部）'!Q:Q,'饲料资金预算--查询表（财务部）'!$J:$J,"是",'饲料资金预算--查询表（财务部）'!$S:$S,"&gt;0")</f>
        <v>0</v>
      </c>
      <c r="P13" s="65">
        <f>SUMIFS('饲料资金预算--查询表（财务部）'!R:R,'饲料资金预算--查询表（财务部）'!$J:$J,"是",'饲料资金预算--查询表（财务部）'!$S:$S,"&gt;0")</f>
        <v>0</v>
      </c>
      <c r="Q13" s="65">
        <f>SUMIFS('饲料资金预算--查询表（财务部）'!S:S,'饲料资金预算--查询表（财务部）'!$J:$J,"是",'饲料资金预算--查询表（财务部）'!$S:$S,"&gt;0")</f>
        <v>0</v>
      </c>
      <c r="R13" s="66">
        <f t="shared" ref="R13:R23" si="27">IFERROR(Q13/O13,0)</f>
        <v>0</v>
      </c>
      <c r="S13" s="66">
        <f t="shared" ref="S13:S23" si="28">IFERROR(P13/Q13,0)</f>
        <v>0</v>
      </c>
      <c r="T13" s="66">
        <f t="shared" ref="T13:T23" si="29">IFERROR(N13/M13,0)</f>
        <v>0</v>
      </c>
      <c r="U13" s="65">
        <f t="shared" ref="U13:W13" si="30">D13-M13</f>
        <v>0</v>
      </c>
      <c r="V13" s="65">
        <f t="shared" si="30"/>
        <v>0</v>
      </c>
      <c r="W13" s="65">
        <f t="shared" si="30"/>
        <v>0</v>
      </c>
      <c r="Y13" s="65">
        <f t="shared" ref="Y13:AB13" si="31">H13-Q13</f>
        <v>0</v>
      </c>
      <c r="Z13" s="139">
        <f t="shared" si="31"/>
        <v>0</v>
      </c>
      <c r="AA13" s="139">
        <f t="shared" si="31"/>
        <v>0</v>
      </c>
      <c r="AB13" s="139">
        <f t="shared" si="31"/>
        <v>0</v>
      </c>
      <c r="AC13" s="139">
        <f t="shared" ref="AC13:AE13" si="32">IFERROR(U13/M13,0)</f>
        <v>0</v>
      </c>
      <c r="AD13" s="139">
        <f t="shared" si="32"/>
        <v>0</v>
      </c>
      <c r="AE13" s="139">
        <f t="shared" si="32"/>
        <v>0</v>
      </c>
      <c r="AF13" s="139">
        <f>IFERROR(X12/P13,0)</f>
        <v>0</v>
      </c>
      <c r="AG13" s="139">
        <f>IFERROR(Y13/Q13,0)</f>
        <v>0</v>
      </c>
      <c r="AH13" s="127"/>
    </row>
    <row r="14" ht="16.5" spans="1:34">
      <c r="A14" s="63" t="s">
        <v>196</v>
      </c>
      <c r="B14" s="63" t="s">
        <v>337</v>
      </c>
      <c r="C14" s="63" t="s">
        <v>2300</v>
      </c>
      <c r="D14" s="65">
        <f>SUMIFS('饲料资金预算--查询表（财务部）'!W:W,'饲料资金预算--查询表（财务部）'!$J:$J,"否",'饲料资金预算--查询表（财务部）'!$AA:$AA,"&gt;0")</f>
        <v>0</v>
      </c>
      <c r="E14" s="65">
        <f>SUMIFS('饲料资金预算--查询表（财务部）'!X:X,'饲料资金预算--查询表（财务部）'!$J:$J,"否",'饲料资金预算--查询表（财务部）'!$AA:$AA,"&gt;0")</f>
        <v>0</v>
      </c>
      <c r="F14" s="65">
        <f>SUMIFS('饲料资金预算--查询表（财务部）'!Y:Y,'饲料资金预算--查询表（财务部）'!$J:$J,"否",'饲料资金预算--查询表（财务部）'!$AA:$AA,"&gt;0")</f>
        <v>0</v>
      </c>
      <c r="G14" s="65">
        <f>SUMIFS('饲料资金预算--查询表（财务部）'!Z:Z,'饲料资金预算--查询表（财务部）'!$J:$J,"否",'饲料资金预算--查询表（财务部）'!$AA:$AA,"&gt;0")</f>
        <v>0</v>
      </c>
      <c r="H14" s="65">
        <f>SUMIFS('饲料资金预算--查询表（财务部）'!AA:AA,'饲料资金预算--查询表（财务部）'!$J:$J,"否",'饲料资金预算--查询表（财务部）'!$AA:$AA,"&gt;0")</f>
        <v>0</v>
      </c>
      <c r="I14" s="139">
        <f t="shared" si="24"/>
        <v>0</v>
      </c>
      <c r="J14" s="139">
        <f t="shared" si="25"/>
        <v>0</v>
      </c>
      <c r="K14" s="139">
        <f t="shared" si="26"/>
        <v>0</v>
      </c>
      <c r="L14" s="63">
        <f>SUMIFS('饲料资金预算--查询表（财务部）'!AE:AE,'饲料资金预算--查询表（财务部）'!$J:$J,"否",'饲料资金预算--查询表（财务部）'!$AA:$AA,"&gt;0")</f>
        <v>0</v>
      </c>
      <c r="M14" s="65">
        <f>SUMIFS('饲料资金预算--查询表（财务部）'!O:O,'饲料资金预算--查询表（财务部）'!$J:$J,"否",'饲料资金预算--查询表（财务部）'!$S:$S,"&gt;0")</f>
        <v>0</v>
      </c>
      <c r="N14" s="65">
        <f>SUMIFS('饲料资金预算--查询表（财务部）'!P:P,'饲料资金预算--查询表（财务部）'!$J:$J,"否",'饲料资金预算--查询表（财务部）'!$S:$S,"&gt;0")</f>
        <v>0</v>
      </c>
      <c r="O14" s="65">
        <f>SUMIFS('饲料资金预算--查询表（财务部）'!Q:Q,'饲料资金预算--查询表（财务部）'!$J:$J,"否",'饲料资金预算--查询表（财务部）'!$S:$S,"&gt;0")</f>
        <v>0</v>
      </c>
      <c r="P14" s="65">
        <f>SUMIFS('饲料资金预算--查询表（财务部）'!R:R,'饲料资金预算--查询表（财务部）'!$J:$J,"否",'饲料资金预算--查询表（财务部）'!$S:$S,"&gt;0")</f>
        <v>0</v>
      </c>
      <c r="Q14" s="65">
        <f>SUMIFS('饲料资金预算--查询表（财务部）'!S:S,'饲料资金预算--查询表（财务部）'!$J:$J,"否",'饲料资金预算--查询表（财务部）'!$S:$S,"&gt;0")</f>
        <v>0</v>
      </c>
      <c r="R14" s="66">
        <f t="shared" si="27"/>
        <v>0</v>
      </c>
      <c r="S14" s="66">
        <f t="shared" si="28"/>
        <v>0</v>
      </c>
      <c r="T14" s="66">
        <f t="shared" si="29"/>
        <v>0</v>
      </c>
      <c r="U14" s="65">
        <f t="shared" ref="U14:AB14" si="33">D14-M14</f>
        <v>0</v>
      </c>
      <c r="V14" s="65">
        <f t="shared" si="33"/>
        <v>0</v>
      </c>
      <c r="W14" s="65">
        <f t="shared" si="33"/>
        <v>0</v>
      </c>
      <c r="X14" s="65">
        <f t="shared" si="33"/>
        <v>0</v>
      </c>
      <c r="Y14" s="65">
        <f t="shared" si="33"/>
        <v>0</v>
      </c>
      <c r="Z14" s="139">
        <f t="shared" si="33"/>
        <v>0</v>
      </c>
      <c r="AA14" s="139">
        <f t="shared" si="33"/>
        <v>0</v>
      </c>
      <c r="AB14" s="139">
        <f t="shared" si="33"/>
        <v>0</v>
      </c>
      <c r="AC14" s="139">
        <f t="shared" ref="AC14:AG14" si="34">IFERROR(U14/M14,0)</f>
        <v>0</v>
      </c>
      <c r="AD14" s="139">
        <f t="shared" si="34"/>
        <v>0</v>
      </c>
      <c r="AE14" s="139">
        <f t="shared" si="34"/>
        <v>0</v>
      </c>
      <c r="AF14" s="139">
        <f t="shared" si="34"/>
        <v>0</v>
      </c>
      <c r="AG14" s="139">
        <f t="shared" si="34"/>
        <v>0</v>
      </c>
      <c r="AH14" s="127"/>
    </row>
    <row r="15" ht="16.5" spans="1:34">
      <c r="A15" s="63" t="s">
        <v>196</v>
      </c>
      <c r="B15" s="63" t="s">
        <v>337</v>
      </c>
      <c r="C15" s="63" t="s">
        <v>2301</v>
      </c>
      <c r="D15" s="139">
        <f t="shared" ref="D15:H15" si="35">IFERROR(D13/D6,0)</f>
        <v>0</v>
      </c>
      <c r="E15" s="139">
        <f t="shared" si="35"/>
        <v>0</v>
      </c>
      <c r="F15" s="139">
        <f t="shared" si="35"/>
        <v>0</v>
      </c>
      <c r="G15" s="139">
        <f t="shared" si="35"/>
        <v>0</v>
      </c>
      <c r="H15" s="139">
        <f t="shared" si="35"/>
        <v>0</v>
      </c>
      <c r="I15" s="66" t="s">
        <v>1466</v>
      </c>
      <c r="J15" s="66" t="s">
        <v>1466</v>
      </c>
      <c r="K15" s="66" t="s">
        <v>1466</v>
      </c>
      <c r="L15" s="139">
        <f t="shared" ref="L15:Q15" si="36">IFERROR(L13/L6,0)</f>
        <v>0</v>
      </c>
      <c r="M15" s="139">
        <f t="shared" si="36"/>
        <v>0</v>
      </c>
      <c r="N15" s="139">
        <f t="shared" si="36"/>
        <v>0</v>
      </c>
      <c r="O15" s="139">
        <f t="shared" si="36"/>
        <v>0</v>
      </c>
      <c r="P15" s="139">
        <f t="shared" si="36"/>
        <v>0</v>
      </c>
      <c r="Q15" s="139">
        <f t="shared" si="36"/>
        <v>0</v>
      </c>
      <c r="R15" s="66" t="s">
        <v>1466</v>
      </c>
      <c r="S15" s="66" t="s">
        <v>1466</v>
      </c>
      <c r="T15" s="66" t="s">
        <v>1466</v>
      </c>
      <c r="U15" s="139">
        <f t="shared" ref="U15:W15" si="37">IFERROR(U13/U6,0)</f>
        <v>0</v>
      </c>
      <c r="V15" s="139">
        <f t="shared" si="37"/>
        <v>0</v>
      </c>
      <c r="W15" s="139">
        <f t="shared" si="37"/>
        <v>0</v>
      </c>
      <c r="X15" s="139">
        <f>IFERROR(X12/X6,0)</f>
        <v>0</v>
      </c>
      <c r="Y15" s="139">
        <f>IFERROR(Y13/Y6,0)</f>
        <v>0</v>
      </c>
      <c r="Z15" s="66" t="s">
        <v>1466</v>
      </c>
      <c r="AA15" s="66" t="s">
        <v>1466</v>
      </c>
      <c r="AB15" s="66" t="s">
        <v>1466</v>
      </c>
      <c r="AC15" s="66" t="s">
        <v>1466</v>
      </c>
      <c r="AD15" s="66" t="s">
        <v>1466</v>
      </c>
      <c r="AE15" s="66" t="s">
        <v>1466</v>
      </c>
      <c r="AF15" s="66" t="s">
        <v>1466</v>
      </c>
      <c r="AG15" s="66" t="s">
        <v>1466</v>
      </c>
      <c r="AH15" s="127"/>
    </row>
    <row r="16" ht="16.5" spans="1:34">
      <c r="A16" s="154" t="s">
        <v>2302</v>
      </c>
      <c r="B16" s="145"/>
      <c r="C16" s="144" t="s">
        <v>2302</v>
      </c>
      <c r="D16" s="147"/>
      <c r="E16" s="147"/>
      <c r="F16" s="147"/>
      <c r="G16" s="147"/>
      <c r="H16" s="147"/>
      <c r="I16" s="148"/>
      <c r="J16" s="148"/>
      <c r="K16" s="148"/>
      <c r="L16" s="148"/>
      <c r="M16" s="147"/>
      <c r="N16" s="147"/>
      <c r="O16" s="147"/>
      <c r="P16" s="147"/>
      <c r="Q16" s="147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27"/>
    </row>
    <row r="17" ht="16.5" spans="1:34">
      <c r="A17" s="63" t="s">
        <v>196</v>
      </c>
      <c r="B17" s="63" t="s">
        <v>337</v>
      </c>
      <c r="C17" s="63" t="s">
        <v>2303</v>
      </c>
      <c r="D17" s="65">
        <f>SUMIFS('饲料资金预算--查询表（财务部）'!W:W,'饲料资金预算--查询表（财务部）'!$H:$H,$C17,'饲料资金预算--查询表（财务部）'!$AA:$AA,"&gt;0")</f>
        <v>0</v>
      </c>
      <c r="E17" s="65">
        <f>SUMIFS('饲料资金预算--查询表（财务部）'!X:X,'饲料资金预算--查询表（财务部）'!$H:$H,$C17,'饲料资金预算--查询表（财务部）'!$AA:$AA,"&gt;0")</f>
        <v>0</v>
      </c>
      <c r="F17" s="65">
        <f>SUMIFS('饲料资金预算--查询表（财务部）'!Y:Y,'饲料资金预算--查询表（财务部）'!$H:$H,$C17,'饲料资金预算--查询表（财务部）'!$AA:$AA,"&gt;0")</f>
        <v>0</v>
      </c>
      <c r="G17" s="65">
        <f>SUMIFS('饲料资金预算--查询表（财务部）'!Z:Z,'饲料资金预算--查询表（财务部）'!$H:$H,$C17,'饲料资金预算--查询表（财务部）'!$AA:$AA,"&gt;0")</f>
        <v>0</v>
      </c>
      <c r="H17" s="65">
        <f>SUMIFS('饲料资金预算--查询表（财务部）'!AA:AA,'饲料资金预算--查询表（财务部）'!$H:$H,$C17,'饲料资金预算--查询表（财务部）'!$AA:$AA,"&gt;0")</f>
        <v>0</v>
      </c>
      <c r="I17" s="139">
        <f t="shared" si="24"/>
        <v>0</v>
      </c>
      <c r="J17" s="139">
        <f t="shared" si="25"/>
        <v>0</v>
      </c>
      <c r="K17" s="139">
        <f t="shared" si="26"/>
        <v>0</v>
      </c>
      <c r="L17" s="63">
        <f>SUMIFS('饲料资金预算--查询表（财务部）'!AE:AE,'饲料资金预算--查询表（财务部）'!$H:$H,$C17,'饲料资金预算--查询表（财务部）'!$AA:$AA,"&gt;0")</f>
        <v>0</v>
      </c>
      <c r="M17" s="65">
        <f>SUMIFS('饲料资金预算--查询表（财务部）'!O:O,'饲料资金预算--查询表（财务部）'!$H:$H,$C17,'饲料资金预算--查询表（财务部）'!$S:$S,"&gt;0")</f>
        <v>0</v>
      </c>
      <c r="N17" s="65">
        <f>SUMIFS('饲料资金预算--查询表（财务部）'!P:P,'饲料资金预算--查询表（财务部）'!$H:$H,$C17,'饲料资金预算--查询表（财务部）'!$S:$S,"&gt;0")</f>
        <v>0</v>
      </c>
      <c r="O17" s="65">
        <f>SUMIFS('饲料资金预算--查询表（财务部）'!Q:Q,'饲料资金预算--查询表（财务部）'!$H:$H,$C17,'饲料资金预算--查询表（财务部）'!$S:$S,"&gt;0")</f>
        <v>0</v>
      </c>
      <c r="P17" s="65">
        <f>SUMIFS('饲料资金预算--查询表（财务部）'!R:R,'饲料资金预算--查询表（财务部）'!$H:$H,$C17,'饲料资金预算--查询表（财务部）'!$S:$S,"&gt;0")</f>
        <v>0</v>
      </c>
      <c r="Q17" s="65">
        <f>SUMIFS('饲料资金预算--查询表（财务部）'!S:S,'饲料资金预算--查询表（财务部）'!$H:$H,$C17,'饲料资金预算--查询表（财务部）'!$S:$S,"&gt;0")</f>
        <v>0</v>
      </c>
      <c r="R17" s="66">
        <f t="shared" si="27"/>
        <v>0</v>
      </c>
      <c r="S17" s="66">
        <f t="shared" si="28"/>
        <v>0</v>
      </c>
      <c r="T17" s="66">
        <f t="shared" si="29"/>
        <v>0</v>
      </c>
      <c r="U17" s="65">
        <f t="shared" ref="U17:AB17" si="38">D17-M17</f>
        <v>0</v>
      </c>
      <c r="V17" s="65">
        <f t="shared" si="38"/>
        <v>0</v>
      </c>
      <c r="W17" s="65">
        <f t="shared" si="38"/>
        <v>0</v>
      </c>
      <c r="X17" s="65">
        <f t="shared" si="38"/>
        <v>0</v>
      </c>
      <c r="Y17" s="65">
        <f t="shared" si="38"/>
        <v>0</v>
      </c>
      <c r="Z17" s="139">
        <f t="shared" si="38"/>
        <v>0</v>
      </c>
      <c r="AA17" s="139">
        <f t="shared" si="38"/>
        <v>0</v>
      </c>
      <c r="AB17" s="139">
        <f t="shared" si="38"/>
        <v>0</v>
      </c>
      <c r="AC17" s="139">
        <f t="shared" ref="AC17:AG17" si="39">IFERROR(U17/M17,0)</f>
        <v>0</v>
      </c>
      <c r="AD17" s="139">
        <f t="shared" si="39"/>
        <v>0</v>
      </c>
      <c r="AE17" s="139">
        <f t="shared" si="39"/>
        <v>0</v>
      </c>
      <c r="AF17" s="139">
        <f t="shared" si="39"/>
        <v>0</v>
      </c>
      <c r="AG17" s="139">
        <f t="shared" si="39"/>
        <v>0</v>
      </c>
      <c r="AH17" s="127"/>
    </row>
    <row r="18" ht="16.5" spans="1:34">
      <c r="A18" s="63" t="s">
        <v>196</v>
      </c>
      <c r="B18" s="63" t="s">
        <v>337</v>
      </c>
      <c r="C18" s="63" t="s">
        <v>2304</v>
      </c>
      <c r="D18" s="65">
        <f>SUMIFS('饲料资金预算--查询表（财务部）'!W:W,'饲料资金预算--查询表（财务部）'!$H:$H,$C18,'饲料资金预算--查询表（财务部）'!$AA:$AA,"&gt;0")</f>
        <v>0</v>
      </c>
      <c r="E18" s="65">
        <f>SUMIFS('饲料资金预算--查询表（财务部）'!X:X,'饲料资金预算--查询表（财务部）'!$H:$H,$C18,'饲料资金预算--查询表（财务部）'!$AA:$AA,"&gt;0")</f>
        <v>0</v>
      </c>
      <c r="F18" s="65">
        <f>SUMIFS('饲料资金预算--查询表（财务部）'!Y:Y,'饲料资金预算--查询表（财务部）'!$H:$H,$C18,'饲料资金预算--查询表（财务部）'!$AA:$AA,"&gt;0")</f>
        <v>0</v>
      </c>
      <c r="G18" s="65">
        <f>SUMIFS('饲料资金预算--查询表（财务部）'!Z:Z,'饲料资金预算--查询表（财务部）'!$H:$H,$C18,'饲料资金预算--查询表（财务部）'!$AA:$AA,"&gt;0")</f>
        <v>0</v>
      </c>
      <c r="H18" s="65">
        <f>SUMIFS('饲料资金预算--查询表（财务部）'!AA:AA,'饲料资金预算--查询表（财务部）'!$H:$H,$C18,'饲料资金预算--查询表（财务部）'!$AA:$AA,"&gt;0")</f>
        <v>0</v>
      </c>
      <c r="I18" s="139">
        <f t="shared" si="24"/>
        <v>0</v>
      </c>
      <c r="J18" s="139">
        <f t="shared" si="25"/>
        <v>0</v>
      </c>
      <c r="K18" s="139">
        <f t="shared" si="26"/>
        <v>0</v>
      </c>
      <c r="L18" s="63">
        <f>SUMIFS('饲料资金预算--查询表（财务部）'!AE:AE,'饲料资金预算--查询表（财务部）'!$H:$H,$C18,'饲料资金预算--查询表（财务部）'!$AA:$AA,"&gt;0")</f>
        <v>0</v>
      </c>
      <c r="M18" s="65">
        <f>SUMIFS('饲料资金预算--查询表（财务部）'!O:O,'饲料资金预算--查询表（财务部）'!$H:$H,$C18,'饲料资金预算--查询表（财务部）'!$S:$S,"&gt;0")</f>
        <v>0</v>
      </c>
      <c r="N18" s="65">
        <f>SUMIFS('饲料资金预算--查询表（财务部）'!P:P,'饲料资金预算--查询表（财务部）'!$H:$H,$C18,'饲料资金预算--查询表（财务部）'!$S:$S,"&gt;0")</f>
        <v>0</v>
      </c>
      <c r="O18" s="65">
        <f>SUMIFS('饲料资金预算--查询表（财务部）'!Q:Q,'饲料资金预算--查询表（财务部）'!$H:$H,$C18,'饲料资金预算--查询表（财务部）'!$S:$S,"&gt;0")</f>
        <v>0</v>
      </c>
      <c r="P18" s="65">
        <f>SUMIFS('饲料资金预算--查询表（财务部）'!R:R,'饲料资金预算--查询表（财务部）'!$H:$H,$C18,'饲料资金预算--查询表（财务部）'!$S:$S,"&gt;0")</f>
        <v>0</v>
      </c>
      <c r="Q18" s="65">
        <f>SUMIFS('饲料资金预算--查询表（财务部）'!S:S,'饲料资金预算--查询表（财务部）'!$H:$H,$C18,'饲料资金预算--查询表（财务部）'!$S:$S,"&gt;0")</f>
        <v>0</v>
      </c>
      <c r="R18" s="66">
        <f t="shared" si="27"/>
        <v>0</v>
      </c>
      <c r="S18" s="66">
        <f t="shared" si="28"/>
        <v>0</v>
      </c>
      <c r="T18" s="66">
        <f t="shared" si="29"/>
        <v>0</v>
      </c>
      <c r="U18" s="65">
        <f t="shared" ref="U18:AB18" si="40">D18-M18</f>
        <v>0</v>
      </c>
      <c r="V18" s="65">
        <f t="shared" si="40"/>
        <v>0</v>
      </c>
      <c r="W18" s="65">
        <f t="shared" si="40"/>
        <v>0</v>
      </c>
      <c r="X18" s="65">
        <f t="shared" si="40"/>
        <v>0</v>
      </c>
      <c r="Y18" s="65">
        <f t="shared" si="40"/>
        <v>0</v>
      </c>
      <c r="Z18" s="139">
        <f t="shared" si="40"/>
        <v>0</v>
      </c>
      <c r="AA18" s="139">
        <f t="shared" si="40"/>
        <v>0</v>
      </c>
      <c r="AB18" s="139">
        <f t="shared" si="40"/>
        <v>0</v>
      </c>
      <c r="AC18" s="139">
        <f t="shared" ref="AC18:AG18" si="41">IFERROR(U18/M18,0)</f>
        <v>0</v>
      </c>
      <c r="AD18" s="139">
        <f t="shared" si="41"/>
        <v>0</v>
      </c>
      <c r="AE18" s="139">
        <f t="shared" si="41"/>
        <v>0</v>
      </c>
      <c r="AF18" s="139">
        <f t="shared" si="41"/>
        <v>0</v>
      </c>
      <c r="AG18" s="139">
        <f t="shared" si="41"/>
        <v>0</v>
      </c>
      <c r="AH18" s="127"/>
    </row>
    <row r="19" ht="16.5" spans="1:34">
      <c r="A19" s="63" t="s">
        <v>196</v>
      </c>
      <c r="B19" s="63" t="s">
        <v>337</v>
      </c>
      <c r="C19" s="63" t="s">
        <v>2305</v>
      </c>
      <c r="D19" s="65">
        <f>SUMIFS('饲料资金预算--查询表（财务部）'!W:W,'饲料资金预算--查询表（财务部）'!$H:$H,$C19,'饲料资金预算--查询表（财务部）'!$AA:$AA,"&gt;0")</f>
        <v>0</v>
      </c>
      <c r="E19" s="65">
        <f>SUMIFS('饲料资金预算--查询表（财务部）'!X:X,'饲料资金预算--查询表（财务部）'!$H:$H,$C19,'饲料资金预算--查询表（财务部）'!$AA:$AA,"&gt;0")</f>
        <v>0</v>
      </c>
      <c r="F19" s="65">
        <f>SUMIFS('饲料资金预算--查询表（财务部）'!Y:Y,'饲料资金预算--查询表（财务部）'!$H:$H,$C19,'饲料资金预算--查询表（财务部）'!$AA:$AA,"&gt;0")</f>
        <v>0</v>
      </c>
      <c r="G19" s="65">
        <f>SUMIFS('饲料资金预算--查询表（财务部）'!Z:Z,'饲料资金预算--查询表（财务部）'!$H:$H,$C19,'饲料资金预算--查询表（财务部）'!$AA:$AA,"&gt;0")</f>
        <v>0</v>
      </c>
      <c r="H19" s="65">
        <f>SUMIFS('饲料资金预算--查询表（财务部）'!AA:AA,'饲料资金预算--查询表（财务部）'!$H:$H,$C19,'饲料资金预算--查询表（财务部）'!$AA:$AA,"&gt;0")</f>
        <v>0</v>
      </c>
      <c r="I19" s="139">
        <f t="shared" si="24"/>
        <v>0</v>
      </c>
      <c r="J19" s="139">
        <f t="shared" si="25"/>
        <v>0</v>
      </c>
      <c r="K19" s="139">
        <f t="shared" si="26"/>
        <v>0</v>
      </c>
      <c r="L19" s="63">
        <f>SUMIFS('饲料资金预算--查询表（财务部）'!AE:AE,'饲料资金预算--查询表（财务部）'!$H:$H,$C19,'饲料资金预算--查询表（财务部）'!$AA:$AA,"&gt;0")</f>
        <v>0</v>
      </c>
      <c r="M19" s="65">
        <f>SUMIFS('饲料资金预算--查询表（财务部）'!O:O,'饲料资金预算--查询表（财务部）'!$H:$H,$C19,'饲料资金预算--查询表（财务部）'!$S:$S,"&gt;0")</f>
        <v>0</v>
      </c>
      <c r="N19" s="65">
        <f>SUMIFS('饲料资金预算--查询表（财务部）'!P:P,'饲料资金预算--查询表（财务部）'!$H:$H,$C19,'饲料资金预算--查询表（财务部）'!$S:$S,"&gt;0")</f>
        <v>0</v>
      </c>
      <c r="O19" s="65">
        <f>SUMIFS('饲料资金预算--查询表（财务部）'!Q:Q,'饲料资金预算--查询表（财务部）'!$H:$H,$C19,'饲料资金预算--查询表（财务部）'!$S:$S,"&gt;0")</f>
        <v>0</v>
      </c>
      <c r="P19" s="65">
        <f>SUMIFS('饲料资金预算--查询表（财务部）'!R:R,'饲料资金预算--查询表（财务部）'!$H:$H,$C19,'饲料资金预算--查询表（财务部）'!$S:$S,"&gt;0")</f>
        <v>0</v>
      </c>
      <c r="Q19" s="65">
        <f>SUMIFS('饲料资金预算--查询表（财务部）'!S:S,'饲料资金预算--查询表（财务部）'!$H:$H,$C19,'饲料资金预算--查询表（财务部）'!$S:$S,"&gt;0")</f>
        <v>0</v>
      </c>
      <c r="R19" s="66">
        <f t="shared" si="27"/>
        <v>0</v>
      </c>
      <c r="S19" s="66">
        <f t="shared" si="28"/>
        <v>0</v>
      </c>
      <c r="T19" s="66">
        <f t="shared" si="29"/>
        <v>0</v>
      </c>
      <c r="U19" s="65">
        <f t="shared" ref="U19:AB19" si="42">D19-M19</f>
        <v>0</v>
      </c>
      <c r="V19" s="65">
        <f t="shared" si="42"/>
        <v>0</v>
      </c>
      <c r="W19" s="65">
        <f t="shared" si="42"/>
        <v>0</v>
      </c>
      <c r="X19" s="65">
        <f t="shared" si="42"/>
        <v>0</v>
      </c>
      <c r="Y19" s="65">
        <f t="shared" si="42"/>
        <v>0</v>
      </c>
      <c r="Z19" s="139">
        <f t="shared" si="42"/>
        <v>0</v>
      </c>
      <c r="AA19" s="139">
        <f t="shared" si="42"/>
        <v>0</v>
      </c>
      <c r="AB19" s="139">
        <f t="shared" si="42"/>
        <v>0</v>
      </c>
      <c r="AC19" s="139">
        <f t="shared" ref="AC19:AG19" si="43">IFERROR(U19/M19,0)</f>
        <v>0</v>
      </c>
      <c r="AD19" s="139">
        <f t="shared" si="43"/>
        <v>0</v>
      </c>
      <c r="AE19" s="139">
        <f t="shared" si="43"/>
        <v>0</v>
      </c>
      <c r="AF19" s="139">
        <f t="shared" si="43"/>
        <v>0</v>
      </c>
      <c r="AG19" s="139">
        <f t="shared" si="43"/>
        <v>0</v>
      </c>
      <c r="AH19" s="127"/>
    </row>
    <row r="20" ht="16.5" spans="1:34">
      <c r="A20" s="63" t="s">
        <v>196</v>
      </c>
      <c r="B20" s="63" t="s">
        <v>337</v>
      </c>
      <c r="C20" s="63" t="s">
        <v>2306</v>
      </c>
      <c r="D20" s="65">
        <f>SUMIFS('饲料资金预算--查询表（财务部）'!W:W,'饲料资金预算--查询表（财务部）'!$H:$H,$C20,'饲料资金预算--查询表（财务部）'!$AA:$AA,"&gt;0")</f>
        <v>0</v>
      </c>
      <c r="E20" s="65">
        <f>SUMIFS('饲料资金预算--查询表（财务部）'!X:X,'饲料资金预算--查询表（财务部）'!$H:$H,$C20,'饲料资金预算--查询表（财务部）'!$AA:$AA,"&gt;0")</f>
        <v>0</v>
      </c>
      <c r="F20" s="65">
        <f>SUMIFS('饲料资金预算--查询表（财务部）'!Y:Y,'饲料资金预算--查询表（财务部）'!$H:$H,$C20,'饲料资金预算--查询表（财务部）'!$AA:$AA,"&gt;0")</f>
        <v>0</v>
      </c>
      <c r="G20" s="65">
        <f>SUMIFS('饲料资金预算--查询表（财务部）'!Z:Z,'饲料资金预算--查询表（财务部）'!$H:$H,$C20,'饲料资金预算--查询表（财务部）'!$AA:$AA,"&gt;0")</f>
        <v>0</v>
      </c>
      <c r="H20" s="65">
        <f>SUMIFS('饲料资金预算--查询表（财务部）'!AA:AA,'饲料资金预算--查询表（财务部）'!$H:$H,$C20,'饲料资金预算--查询表（财务部）'!$AA:$AA,"&gt;0")</f>
        <v>0</v>
      </c>
      <c r="I20" s="139">
        <f t="shared" si="24"/>
        <v>0</v>
      </c>
      <c r="J20" s="139">
        <f t="shared" si="25"/>
        <v>0</v>
      </c>
      <c r="K20" s="139">
        <f t="shared" si="26"/>
        <v>0</v>
      </c>
      <c r="L20" s="63">
        <f>SUMIFS('饲料资金预算--查询表（财务部）'!AE:AE,'饲料资金预算--查询表（财务部）'!$H:$H,$C20,'饲料资金预算--查询表（财务部）'!$AA:$AA,"&gt;0")</f>
        <v>0</v>
      </c>
      <c r="M20" s="65">
        <f>SUMIFS('饲料资金预算--查询表（财务部）'!O:O,'饲料资金预算--查询表（财务部）'!$H:$H,$C20,'饲料资金预算--查询表（财务部）'!$S:$S,"&gt;0")</f>
        <v>0</v>
      </c>
      <c r="N20" s="65">
        <f>SUMIFS('饲料资金预算--查询表（财务部）'!P:P,'饲料资金预算--查询表（财务部）'!$H:$H,$C20,'饲料资金预算--查询表（财务部）'!$S:$S,"&gt;0")</f>
        <v>0</v>
      </c>
      <c r="O20" s="65">
        <f>SUMIFS('饲料资金预算--查询表（财务部）'!Q:Q,'饲料资金预算--查询表（财务部）'!$H:$H,$C20,'饲料资金预算--查询表（财务部）'!$S:$S,"&gt;0")</f>
        <v>0</v>
      </c>
      <c r="P20" s="65">
        <f>SUMIFS('饲料资金预算--查询表（财务部）'!R:R,'饲料资金预算--查询表（财务部）'!$H:$H,$C20,'饲料资金预算--查询表（财务部）'!$S:$S,"&gt;0")</f>
        <v>0</v>
      </c>
      <c r="Q20" s="65">
        <f>SUMIFS('饲料资金预算--查询表（财务部）'!S:S,'饲料资金预算--查询表（财务部）'!$H:$H,$C20,'饲料资金预算--查询表（财务部）'!$S:$S,"&gt;0")</f>
        <v>0</v>
      </c>
      <c r="R20" s="66">
        <f t="shared" si="27"/>
        <v>0</v>
      </c>
      <c r="S20" s="66">
        <f t="shared" si="28"/>
        <v>0</v>
      </c>
      <c r="T20" s="66">
        <f t="shared" si="29"/>
        <v>0</v>
      </c>
      <c r="U20" s="65">
        <f t="shared" ref="U20:AB20" si="44">D20-M20</f>
        <v>0</v>
      </c>
      <c r="V20" s="65">
        <f t="shared" si="44"/>
        <v>0</v>
      </c>
      <c r="W20" s="65">
        <f t="shared" si="44"/>
        <v>0</v>
      </c>
      <c r="X20" s="65">
        <f t="shared" si="44"/>
        <v>0</v>
      </c>
      <c r="Y20" s="65">
        <f t="shared" si="44"/>
        <v>0</v>
      </c>
      <c r="Z20" s="139">
        <f t="shared" si="44"/>
        <v>0</v>
      </c>
      <c r="AA20" s="139">
        <f t="shared" si="44"/>
        <v>0</v>
      </c>
      <c r="AB20" s="139">
        <f t="shared" si="44"/>
        <v>0</v>
      </c>
      <c r="AC20" s="139">
        <f t="shared" ref="AC20:AG20" si="45">IFERROR(U20/M20,0)</f>
        <v>0</v>
      </c>
      <c r="AD20" s="139">
        <f t="shared" si="45"/>
        <v>0</v>
      </c>
      <c r="AE20" s="139">
        <f t="shared" si="45"/>
        <v>0</v>
      </c>
      <c r="AF20" s="139">
        <f t="shared" si="45"/>
        <v>0</v>
      </c>
      <c r="AG20" s="139">
        <f t="shared" si="45"/>
        <v>0</v>
      </c>
      <c r="AH20" s="127"/>
    </row>
    <row r="21" ht="16.5" spans="1:34">
      <c r="A21" s="63" t="s">
        <v>196</v>
      </c>
      <c r="B21" s="63" t="s">
        <v>337</v>
      </c>
      <c r="C21" s="63" t="s">
        <v>2306</v>
      </c>
      <c r="D21" s="65">
        <f>SUMIFS('饲料资金预算--查询表（财务部）'!W:W,'饲料资金预算--查询表（财务部）'!$H:$H,$C21,'饲料资金预算--查询表（财务部）'!$AA:$AA,"&gt;0")</f>
        <v>0</v>
      </c>
      <c r="E21" s="65">
        <f>SUMIFS('饲料资金预算--查询表（财务部）'!X:X,'饲料资金预算--查询表（财务部）'!$H:$H,$C21,'饲料资金预算--查询表（财务部）'!$AA:$AA,"&gt;0")</f>
        <v>0</v>
      </c>
      <c r="F21" s="65">
        <f>SUMIFS('饲料资金预算--查询表（财务部）'!Y:Y,'饲料资金预算--查询表（财务部）'!$H:$H,$C21,'饲料资金预算--查询表（财务部）'!$AA:$AA,"&gt;0")</f>
        <v>0</v>
      </c>
      <c r="G21" s="65">
        <f>SUMIFS('饲料资金预算--查询表（财务部）'!Z:Z,'饲料资金预算--查询表（财务部）'!$H:$H,$C21,'饲料资金预算--查询表（财务部）'!$AA:$AA,"&gt;0")</f>
        <v>0</v>
      </c>
      <c r="H21" s="65">
        <f>SUMIFS('饲料资金预算--查询表（财务部）'!AA:AA,'饲料资金预算--查询表（财务部）'!$H:$H,$C21,'饲料资金预算--查询表（财务部）'!$AA:$AA,"&gt;0")</f>
        <v>0</v>
      </c>
      <c r="I21" s="139">
        <f t="shared" si="24"/>
        <v>0</v>
      </c>
      <c r="J21" s="139">
        <f t="shared" si="25"/>
        <v>0</v>
      </c>
      <c r="K21" s="139">
        <f t="shared" si="26"/>
        <v>0</v>
      </c>
      <c r="L21" s="63">
        <f>SUMIFS('饲料资金预算--查询表（财务部）'!AE:AE,'饲料资金预算--查询表（财务部）'!$H:$H,$C21,'饲料资金预算--查询表（财务部）'!$AA:$AA,"&gt;0")</f>
        <v>0</v>
      </c>
      <c r="M21" s="65">
        <f>SUMIFS('饲料资金预算--查询表（财务部）'!O:O,'饲料资金预算--查询表（财务部）'!$H:$H,$C21,'饲料资金预算--查询表（财务部）'!$S:$S,"&gt;0")</f>
        <v>0</v>
      </c>
      <c r="N21" s="65">
        <f>SUMIFS('饲料资金预算--查询表（财务部）'!P:P,'饲料资金预算--查询表（财务部）'!$H:$H,$C21,'饲料资金预算--查询表（财务部）'!$S:$S,"&gt;0")</f>
        <v>0</v>
      </c>
      <c r="O21" s="65">
        <f>SUMIFS('饲料资金预算--查询表（财务部）'!Q:Q,'饲料资金预算--查询表（财务部）'!$H:$H,$C21,'饲料资金预算--查询表（财务部）'!$S:$S,"&gt;0")</f>
        <v>0</v>
      </c>
      <c r="P21" s="65">
        <f>SUMIFS('饲料资金预算--查询表（财务部）'!R:R,'饲料资金预算--查询表（财务部）'!$H:$H,$C21,'饲料资金预算--查询表（财务部）'!$S:$S,"&gt;0")</f>
        <v>0</v>
      </c>
      <c r="Q21" s="65">
        <f>SUMIFS('饲料资金预算--查询表（财务部）'!S:S,'饲料资金预算--查询表（财务部）'!$H:$H,$C21,'饲料资金预算--查询表（财务部）'!$S:$S,"&gt;0")</f>
        <v>0</v>
      </c>
      <c r="R21" s="66">
        <f t="shared" si="27"/>
        <v>0</v>
      </c>
      <c r="S21" s="66">
        <f t="shared" si="28"/>
        <v>0</v>
      </c>
      <c r="T21" s="66">
        <f t="shared" si="29"/>
        <v>0</v>
      </c>
      <c r="U21" s="65">
        <f t="shared" ref="U21:AB21" si="46">D21-M21</f>
        <v>0</v>
      </c>
      <c r="V21" s="65">
        <f t="shared" si="46"/>
        <v>0</v>
      </c>
      <c r="W21" s="65">
        <f t="shared" si="46"/>
        <v>0</v>
      </c>
      <c r="X21" s="65">
        <f t="shared" si="46"/>
        <v>0</v>
      </c>
      <c r="Y21" s="65">
        <f t="shared" si="46"/>
        <v>0</v>
      </c>
      <c r="Z21" s="139">
        <f t="shared" si="46"/>
        <v>0</v>
      </c>
      <c r="AA21" s="139">
        <f t="shared" si="46"/>
        <v>0</v>
      </c>
      <c r="AB21" s="139">
        <f t="shared" si="46"/>
        <v>0</v>
      </c>
      <c r="AC21" s="139">
        <f t="shared" ref="AC21:AG21" si="47">IFERROR(U21/M21,0)</f>
        <v>0</v>
      </c>
      <c r="AD21" s="139">
        <f t="shared" si="47"/>
        <v>0</v>
      </c>
      <c r="AE21" s="139">
        <f t="shared" si="47"/>
        <v>0</v>
      </c>
      <c r="AF21" s="139">
        <f t="shared" si="47"/>
        <v>0</v>
      </c>
      <c r="AG21" s="139">
        <f t="shared" si="47"/>
        <v>0</v>
      </c>
      <c r="AH21" s="127"/>
    </row>
    <row r="22" ht="16.5" spans="1:34">
      <c r="A22" s="63" t="s">
        <v>196</v>
      </c>
      <c r="B22" s="63" t="s">
        <v>337</v>
      </c>
      <c r="C22" s="63" t="s">
        <v>2306</v>
      </c>
      <c r="D22" s="65">
        <f>SUMIFS('饲料资金预算--查询表（财务部）'!W:W,'饲料资金预算--查询表（财务部）'!$H:$H,$C22,'饲料资金预算--查询表（财务部）'!$AA:$AA,"&gt;0")</f>
        <v>0</v>
      </c>
      <c r="E22" s="65">
        <f>SUMIFS('饲料资金预算--查询表（财务部）'!X:X,'饲料资金预算--查询表（财务部）'!$H:$H,$C22,'饲料资金预算--查询表（财务部）'!$AA:$AA,"&gt;0")</f>
        <v>0</v>
      </c>
      <c r="F22" s="65">
        <f>SUMIFS('饲料资金预算--查询表（财务部）'!Y:Y,'饲料资金预算--查询表（财务部）'!$H:$H,$C22,'饲料资金预算--查询表（财务部）'!$AA:$AA,"&gt;0")</f>
        <v>0</v>
      </c>
      <c r="G22" s="65">
        <f>SUMIFS('饲料资金预算--查询表（财务部）'!Z:Z,'饲料资金预算--查询表（财务部）'!$H:$H,$C22,'饲料资金预算--查询表（财务部）'!$AA:$AA,"&gt;0")</f>
        <v>0</v>
      </c>
      <c r="H22" s="65">
        <f>SUMIFS('饲料资金预算--查询表（财务部）'!AA:AA,'饲料资金预算--查询表（财务部）'!$H:$H,$C22,'饲料资金预算--查询表（财务部）'!$AA:$AA,"&gt;0")</f>
        <v>0</v>
      </c>
      <c r="I22" s="139">
        <f t="shared" si="24"/>
        <v>0</v>
      </c>
      <c r="J22" s="139">
        <f t="shared" si="25"/>
        <v>0</v>
      </c>
      <c r="K22" s="139">
        <f t="shared" si="26"/>
        <v>0</v>
      </c>
      <c r="L22" s="63">
        <f>SUMIFS('饲料资金预算--查询表（财务部）'!AE:AE,'饲料资金预算--查询表（财务部）'!$H:$H,$C22,'饲料资金预算--查询表（财务部）'!$AA:$AA,"&gt;0")</f>
        <v>0</v>
      </c>
      <c r="M22" s="65">
        <f>SUMIFS('饲料资金预算--查询表（财务部）'!O:O,'饲料资金预算--查询表（财务部）'!$H:$H,$C22,'饲料资金预算--查询表（财务部）'!$S:$S,"&gt;0")</f>
        <v>0</v>
      </c>
      <c r="N22" s="65">
        <f>SUMIFS('饲料资金预算--查询表（财务部）'!P:P,'饲料资金预算--查询表（财务部）'!$H:$H,$C22,'饲料资金预算--查询表（财务部）'!$S:$S,"&gt;0")</f>
        <v>0</v>
      </c>
      <c r="O22" s="65">
        <f>SUMIFS('饲料资金预算--查询表（财务部）'!Q:Q,'饲料资金预算--查询表（财务部）'!$H:$H,$C22,'饲料资金预算--查询表（财务部）'!$S:$S,"&gt;0")</f>
        <v>0</v>
      </c>
      <c r="P22" s="65">
        <f>SUMIFS('饲料资金预算--查询表（财务部）'!R:R,'饲料资金预算--查询表（财务部）'!$H:$H,$C22,'饲料资金预算--查询表（财务部）'!$S:$S,"&gt;0")</f>
        <v>0</v>
      </c>
      <c r="Q22" s="65">
        <f>SUMIFS('饲料资金预算--查询表（财务部）'!S:S,'饲料资金预算--查询表（财务部）'!$H:$H,$C22,'饲料资金预算--查询表（财务部）'!$S:$S,"&gt;0")</f>
        <v>0</v>
      </c>
      <c r="R22" s="66">
        <f t="shared" si="27"/>
        <v>0</v>
      </c>
      <c r="S22" s="66">
        <f t="shared" si="28"/>
        <v>0</v>
      </c>
      <c r="T22" s="66">
        <f t="shared" si="29"/>
        <v>0</v>
      </c>
      <c r="U22" s="65">
        <f t="shared" ref="U22:AB22" si="48">D22-M22</f>
        <v>0</v>
      </c>
      <c r="V22" s="65">
        <f t="shared" si="48"/>
        <v>0</v>
      </c>
      <c r="W22" s="65">
        <f t="shared" si="48"/>
        <v>0</v>
      </c>
      <c r="X22" s="65">
        <f t="shared" si="48"/>
        <v>0</v>
      </c>
      <c r="Y22" s="65">
        <f t="shared" si="48"/>
        <v>0</v>
      </c>
      <c r="Z22" s="139">
        <f t="shared" si="48"/>
        <v>0</v>
      </c>
      <c r="AA22" s="139">
        <f t="shared" si="48"/>
        <v>0</v>
      </c>
      <c r="AB22" s="139">
        <f t="shared" si="48"/>
        <v>0</v>
      </c>
      <c r="AC22" s="139">
        <f t="shared" ref="AC22:AG22" si="49">IFERROR(U22/M22,0)</f>
        <v>0</v>
      </c>
      <c r="AD22" s="139">
        <f t="shared" si="49"/>
        <v>0</v>
      </c>
      <c r="AE22" s="139">
        <f t="shared" si="49"/>
        <v>0</v>
      </c>
      <c r="AF22" s="139">
        <f t="shared" si="49"/>
        <v>0</v>
      </c>
      <c r="AG22" s="139">
        <f t="shared" si="49"/>
        <v>0</v>
      </c>
      <c r="AH22" s="127"/>
    </row>
    <row r="23" ht="16.5" spans="1:34">
      <c r="A23" s="63" t="s">
        <v>196</v>
      </c>
      <c r="B23" s="63" t="s">
        <v>337</v>
      </c>
      <c r="C23" s="63" t="s">
        <v>2306</v>
      </c>
      <c r="D23" s="65">
        <f>SUMIFS('饲料资金预算--查询表（财务部）'!W:W,'饲料资金预算--查询表（财务部）'!$H:$H,$C23,'饲料资金预算--查询表（财务部）'!$AA:$AA,"&gt;0")</f>
        <v>0</v>
      </c>
      <c r="E23" s="65">
        <f>SUMIFS('饲料资金预算--查询表（财务部）'!X:X,'饲料资金预算--查询表（财务部）'!$H:$H,$C23,'饲料资金预算--查询表（财务部）'!$AA:$AA,"&gt;0")</f>
        <v>0</v>
      </c>
      <c r="F23" s="65">
        <f>SUMIFS('饲料资金预算--查询表（财务部）'!Y:Y,'饲料资金预算--查询表（财务部）'!$H:$H,$C23,'饲料资金预算--查询表（财务部）'!$AA:$AA,"&gt;0")</f>
        <v>0</v>
      </c>
      <c r="G23" s="65">
        <f>SUMIFS('饲料资金预算--查询表（财务部）'!Z:Z,'饲料资金预算--查询表（财务部）'!$H:$H,$C23,'饲料资金预算--查询表（财务部）'!$AA:$AA,"&gt;0")</f>
        <v>0</v>
      </c>
      <c r="H23" s="65">
        <f>SUMIFS('饲料资金预算--查询表（财务部）'!AA:AA,'饲料资金预算--查询表（财务部）'!$H:$H,$C23,'饲料资金预算--查询表（财务部）'!$AA:$AA,"&gt;0")</f>
        <v>0</v>
      </c>
      <c r="I23" s="139">
        <f t="shared" si="24"/>
        <v>0</v>
      </c>
      <c r="J23" s="139">
        <f t="shared" si="25"/>
        <v>0</v>
      </c>
      <c r="K23" s="139">
        <f t="shared" si="26"/>
        <v>0</v>
      </c>
      <c r="L23" s="63">
        <f>SUMIFS('饲料资金预算--查询表（财务部）'!AE:AE,'饲料资金预算--查询表（财务部）'!$H:$H,$C23,'饲料资金预算--查询表（财务部）'!$AA:$AA,"&gt;0")</f>
        <v>0</v>
      </c>
      <c r="M23" s="65">
        <f>SUMIFS('饲料资金预算--查询表（财务部）'!O:O,'饲料资金预算--查询表（财务部）'!$H:$H,$C23,'饲料资金预算--查询表（财务部）'!$S:$S,"&gt;0")</f>
        <v>0</v>
      </c>
      <c r="N23" s="65">
        <f>SUMIFS('饲料资金预算--查询表（财务部）'!P:P,'饲料资金预算--查询表（财务部）'!$H:$H,$C23,'饲料资金预算--查询表（财务部）'!$S:$S,"&gt;0")</f>
        <v>0</v>
      </c>
      <c r="O23" s="65">
        <f>SUMIFS('饲料资金预算--查询表（财务部）'!Q:Q,'饲料资金预算--查询表（财务部）'!$H:$H,$C23,'饲料资金预算--查询表（财务部）'!$S:$S,"&gt;0")</f>
        <v>0</v>
      </c>
      <c r="P23" s="65">
        <f>SUMIFS('饲料资金预算--查询表（财务部）'!R:R,'饲料资金预算--查询表（财务部）'!$H:$H,$C23,'饲料资金预算--查询表（财务部）'!$S:$S,"&gt;0")</f>
        <v>0</v>
      </c>
      <c r="Q23" s="65">
        <f>SUMIFS('饲料资金预算--查询表（财务部）'!S:S,'饲料资金预算--查询表（财务部）'!$H:$H,$C23,'饲料资金预算--查询表（财务部）'!$S:$S,"&gt;0")</f>
        <v>0</v>
      </c>
      <c r="R23" s="66">
        <f t="shared" si="27"/>
        <v>0</v>
      </c>
      <c r="S23" s="66">
        <f t="shared" si="28"/>
        <v>0</v>
      </c>
      <c r="T23" s="66">
        <f t="shared" si="29"/>
        <v>0</v>
      </c>
      <c r="U23" s="65">
        <f t="shared" ref="U23:AB23" si="50">D23-M23</f>
        <v>0</v>
      </c>
      <c r="V23" s="65">
        <f t="shared" si="50"/>
        <v>0</v>
      </c>
      <c r="W23" s="65">
        <f t="shared" si="50"/>
        <v>0</v>
      </c>
      <c r="X23" s="65">
        <f t="shared" si="50"/>
        <v>0</v>
      </c>
      <c r="Y23" s="65">
        <f t="shared" si="50"/>
        <v>0</v>
      </c>
      <c r="Z23" s="139">
        <f t="shared" si="50"/>
        <v>0</v>
      </c>
      <c r="AA23" s="139">
        <f t="shared" si="50"/>
        <v>0</v>
      </c>
      <c r="AB23" s="139">
        <f t="shared" si="50"/>
        <v>0</v>
      </c>
      <c r="AC23" s="139">
        <f t="shared" ref="AC23:AG23" si="51">IFERROR(U23/M23,0)</f>
        <v>0</v>
      </c>
      <c r="AD23" s="139">
        <f t="shared" si="51"/>
        <v>0</v>
      </c>
      <c r="AE23" s="139">
        <f t="shared" si="51"/>
        <v>0</v>
      </c>
      <c r="AF23" s="139">
        <f t="shared" si="51"/>
        <v>0</v>
      </c>
      <c r="AG23" s="139">
        <f t="shared" si="51"/>
        <v>0</v>
      </c>
      <c r="AH23" s="127"/>
    </row>
    <row r="24" ht="16.5" spans="1:34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</row>
  </sheetData>
  <mergeCells count="5">
    <mergeCell ref="A2:C2"/>
    <mergeCell ref="D2:L2"/>
    <mergeCell ref="M2:T2"/>
    <mergeCell ref="U2:AB2"/>
    <mergeCell ref="AC2:AG2"/>
  </mergeCells>
  <pageMargins left="0.7" right="0.7" top="0.75" bottom="0.75" header="0.3" footer="0.3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4">
    <tabColor theme="4" tint="0.799981688894314"/>
  </sheetPr>
  <dimension ref="A1:AH42"/>
  <sheetViews>
    <sheetView workbookViewId="0">
      <pane ySplit="3" topLeftCell="A4" activePane="bottomLeft" state="frozen"/>
      <selection/>
      <selection pane="bottomLeft" activeCell="D1" sqref="D1"/>
    </sheetView>
  </sheetViews>
  <sheetFormatPr defaultColWidth="9" defaultRowHeight="13.5"/>
  <cols>
    <col min="3" max="3" width="13.45" customWidth="1"/>
    <col min="4" max="4" width="7.81666666666667" customWidth="1"/>
    <col min="5" max="5" width="8.81666666666667" customWidth="1"/>
    <col min="6" max="6" width="13.0916666666667" customWidth="1"/>
    <col min="7" max="7" width="13.3666666666667" customWidth="1"/>
    <col min="8" max="8" width="14.45" customWidth="1"/>
    <col min="9" max="9" width="7.63333333333333" customWidth="1"/>
    <col min="10" max="10" width="7.81666666666667" customWidth="1"/>
    <col min="11" max="11" width="7.09166666666667" customWidth="1"/>
    <col min="12" max="12" width="9.18333333333333" customWidth="1"/>
    <col min="13" max="13" width="10.8166666666667" customWidth="1"/>
    <col min="14" max="14" width="9.81666666666667" customWidth="1"/>
    <col min="15" max="15" width="12.8166666666667" customWidth="1"/>
    <col min="16" max="16" width="12.6333333333333" customWidth="1"/>
    <col min="17" max="17" width="16.3666666666667" customWidth="1"/>
    <col min="18" max="18" width="7" customWidth="1"/>
    <col min="19" max="19" width="7.18333333333333" customWidth="1"/>
    <col min="20" max="20" width="7.45" customWidth="1"/>
    <col min="21" max="21" width="8.63333333333333" customWidth="1"/>
    <col min="22" max="22" width="8.81666666666667" customWidth="1"/>
    <col min="23" max="23" width="13.5416666666667" customWidth="1"/>
    <col min="24" max="24" width="12.5416666666667" customWidth="1"/>
    <col min="25" max="25" width="12.9083333333333" customWidth="1"/>
    <col min="33" max="33" width="12.9083333333333" customWidth="1"/>
    <col min="34" max="34" width="16.3666666666667" customWidth="1"/>
  </cols>
  <sheetData>
    <row r="1" ht="15" spans="1:34">
      <c r="A1" s="130"/>
      <c r="B1" s="130"/>
    </row>
    <row r="2" ht="15" spans="1:34">
      <c r="A2" s="46" t="s">
        <v>2278</v>
      </c>
      <c r="B2" s="46"/>
      <c r="C2" s="46"/>
      <c r="D2" s="46" t="s">
        <v>190</v>
      </c>
      <c r="E2" s="46"/>
      <c r="F2" s="46"/>
      <c r="G2" s="46"/>
      <c r="H2" s="46"/>
      <c r="I2" s="46"/>
      <c r="J2" s="46"/>
      <c r="K2" s="46"/>
      <c r="L2" s="46"/>
      <c r="M2" s="46" t="s">
        <v>2107</v>
      </c>
      <c r="N2" s="46"/>
      <c r="O2" s="46"/>
      <c r="P2" s="46"/>
      <c r="Q2" s="46"/>
      <c r="R2" s="46"/>
      <c r="S2" s="46"/>
      <c r="T2" s="46"/>
      <c r="U2" s="46" t="s">
        <v>1460</v>
      </c>
      <c r="V2" s="46"/>
      <c r="W2" s="46"/>
      <c r="X2" s="46"/>
      <c r="Y2" s="46"/>
      <c r="Z2" s="46"/>
      <c r="AA2" s="46"/>
      <c r="AB2" s="46"/>
      <c r="AC2" s="46" t="s">
        <v>1461</v>
      </c>
      <c r="AD2" s="46"/>
      <c r="AE2" s="46"/>
      <c r="AF2" s="46"/>
      <c r="AG2" s="46"/>
      <c r="AH2" s="131" t="s">
        <v>1462</v>
      </c>
    </row>
    <row r="3" ht="33" spans="1:34">
      <c r="A3" s="132" t="s">
        <v>188</v>
      </c>
      <c r="B3" s="132" t="s">
        <v>300</v>
      </c>
      <c r="C3" s="86" t="s">
        <v>2307</v>
      </c>
      <c r="D3" s="49" t="s">
        <v>58</v>
      </c>
      <c r="E3" s="49" t="s">
        <v>2279</v>
      </c>
      <c r="F3" s="49" t="s">
        <v>2280</v>
      </c>
      <c r="G3" s="49" t="s">
        <v>289</v>
      </c>
      <c r="H3" s="61" t="s">
        <v>2281</v>
      </c>
      <c r="I3" s="57" t="s">
        <v>2282</v>
      </c>
      <c r="J3" s="61" t="s">
        <v>2283</v>
      </c>
      <c r="K3" s="61" t="s">
        <v>2284</v>
      </c>
      <c r="L3" s="61" t="s">
        <v>2285</v>
      </c>
      <c r="M3" s="49" t="s">
        <v>2286</v>
      </c>
      <c r="N3" s="49" t="s">
        <v>2279</v>
      </c>
      <c r="O3" s="49" t="s">
        <v>2287</v>
      </c>
      <c r="P3" s="49" t="s">
        <v>289</v>
      </c>
      <c r="Q3" s="61" t="s">
        <v>2288</v>
      </c>
      <c r="R3" s="57" t="s">
        <v>2282</v>
      </c>
      <c r="S3" s="61" t="s">
        <v>2283</v>
      </c>
      <c r="T3" s="61" t="s">
        <v>2284</v>
      </c>
      <c r="U3" s="49" t="s">
        <v>58</v>
      </c>
      <c r="V3" s="49" t="s">
        <v>2279</v>
      </c>
      <c r="W3" s="49" t="s">
        <v>2280</v>
      </c>
      <c r="X3" s="49" t="s">
        <v>289</v>
      </c>
      <c r="Y3" s="133" t="s">
        <v>2289</v>
      </c>
      <c r="Z3" s="57" t="s">
        <v>2282</v>
      </c>
      <c r="AA3" s="61" t="s">
        <v>2283</v>
      </c>
      <c r="AB3" s="61" t="s">
        <v>2284</v>
      </c>
      <c r="AC3" s="49" t="s">
        <v>58</v>
      </c>
      <c r="AD3" s="49" t="s">
        <v>2279</v>
      </c>
      <c r="AE3" s="49" t="s">
        <v>2280</v>
      </c>
      <c r="AF3" s="49" t="s">
        <v>289</v>
      </c>
      <c r="AG3" s="49" t="s">
        <v>2289</v>
      </c>
      <c r="AH3" s="134" t="s">
        <v>2290</v>
      </c>
    </row>
    <row r="4" ht="16.5" spans="1:34">
      <c r="A4" s="135" t="str">
        <f>'查阅-公司（聚焦镇、大客户）汇总'!$B$5</f>
        <v>福建</v>
      </c>
      <c r="B4" s="135" t="s">
        <v>2293</v>
      </c>
      <c r="C4" s="135" t="s">
        <v>2293</v>
      </c>
      <c r="D4" s="136">
        <f t="shared" ref="D4:H4" si="0">SUM(D5:D41)</f>
        <v>0</v>
      </c>
      <c r="E4" s="136">
        <f t="shared" si="0"/>
        <v>0</v>
      </c>
      <c r="F4" s="136">
        <f t="shared" si="0"/>
        <v>0</v>
      </c>
      <c r="G4" s="136">
        <f t="shared" si="0"/>
        <v>0</v>
      </c>
      <c r="H4" s="136">
        <f t="shared" si="0"/>
        <v>0</v>
      </c>
      <c r="I4" s="137">
        <f t="shared" ref="I4:I41" si="1">IFERROR(H4/F4,0)</f>
        <v>0</v>
      </c>
      <c r="J4" s="137">
        <f t="shared" ref="J4:J41" si="2">IFERROR(G4/H4,0)</f>
        <v>0</v>
      </c>
      <c r="K4" s="137">
        <f t="shared" ref="K4:K41" si="3">IFERROR(E4/D4,0)</f>
        <v>0</v>
      </c>
      <c r="L4" s="136">
        <f t="shared" ref="L4:Q4" si="4">SUM(L5:L41)</f>
        <v>0</v>
      </c>
      <c r="M4" s="136">
        <f t="shared" si="4"/>
        <v>0</v>
      </c>
      <c r="N4" s="136">
        <f t="shared" si="4"/>
        <v>0</v>
      </c>
      <c r="O4" s="136">
        <f t="shared" si="4"/>
        <v>0</v>
      </c>
      <c r="P4" s="136">
        <f t="shared" si="4"/>
        <v>0</v>
      </c>
      <c r="Q4" s="136">
        <f t="shared" si="4"/>
        <v>0</v>
      </c>
      <c r="R4" s="137">
        <f t="shared" ref="R4:R41" si="5">IFERROR(Q4/O4,0)</f>
        <v>0</v>
      </c>
      <c r="S4" s="137">
        <f t="shared" ref="S4:S41" si="6">IFERROR(P4/Q4,0)</f>
        <v>0</v>
      </c>
      <c r="T4" s="137">
        <f t="shared" ref="T4:T41" si="7">IFERROR(N4/M4,0)</f>
        <v>0</v>
      </c>
      <c r="U4" s="136">
        <f t="shared" ref="U4:AB4" si="8">D4-M4</f>
        <v>0</v>
      </c>
      <c r="V4" s="136">
        <f t="shared" si="8"/>
        <v>0</v>
      </c>
      <c r="W4" s="136">
        <f t="shared" si="8"/>
        <v>0</v>
      </c>
      <c r="X4" s="136">
        <f t="shared" si="8"/>
        <v>0</v>
      </c>
      <c r="Y4" s="136">
        <f t="shared" si="8"/>
        <v>0</v>
      </c>
      <c r="Z4" s="137">
        <f t="shared" si="8"/>
        <v>0</v>
      </c>
      <c r="AA4" s="137">
        <f t="shared" si="8"/>
        <v>0</v>
      </c>
      <c r="AB4" s="137">
        <f t="shared" si="8"/>
        <v>0</v>
      </c>
      <c r="AC4" s="137">
        <f t="shared" ref="AC4:AG4" si="9">IFERROR(U4/M4,0)</f>
        <v>0</v>
      </c>
      <c r="AD4" s="137">
        <f t="shared" si="9"/>
        <v>0</v>
      </c>
      <c r="AE4" s="137">
        <f t="shared" si="9"/>
        <v>0</v>
      </c>
      <c r="AF4" s="137">
        <f t="shared" si="9"/>
        <v>0</v>
      </c>
      <c r="AG4" s="137">
        <f t="shared" si="9"/>
        <v>0</v>
      </c>
      <c r="AH4" s="127"/>
    </row>
    <row r="5" ht="16.5" spans="1:34">
      <c r="A5" s="63" t="s">
        <v>337</v>
      </c>
      <c r="B5" s="63" t="s">
        <v>2294</v>
      </c>
      <c r="C5" s="138" t="s">
        <v>2308</v>
      </c>
      <c r="D5" s="65">
        <f>SUMIFS('饲料资金预算--查询表（财务部）'!W:W,'饲料资金预算--查询表（财务部）'!$L:$L,$B5,'饲料资金预算--查询表（财务部）'!$M:$M,$C5,'饲料资金预算--查询表（财务部）'!$AA:$AA,"&gt;0")</f>
        <v>0</v>
      </c>
      <c r="E5" s="65">
        <f>SUMIFS('饲料资金预算--查询表（财务部）'!X:X,'饲料资金预算--查询表（财务部）'!$L:$L,$B5,'饲料资金预算--查询表（财务部）'!$M:$M,$C5,'饲料资金预算--查询表（财务部）'!$AA:$AA,"&gt;0")</f>
        <v>0</v>
      </c>
      <c r="F5" s="65">
        <f>SUMIFS('饲料资金预算--查询表（财务部）'!Y:Y,'饲料资金预算--查询表（财务部）'!$L:$L,$B5,'饲料资金预算--查询表（财务部）'!$M:$M,$C5,'饲料资金预算--查询表（财务部）'!$AA:$AA,"&gt;0")</f>
        <v>0</v>
      </c>
      <c r="G5" s="65">
        <f>SUMIFS('饲料资金预算--查询表（财务部）'!Z:Z,'饲料资金预算--查询表（财务部）'!$L:$L,$B5,'饲料资金预算--查询表（财务部）'!$M:$M,$C5,'饲料资金预算--查询表（财务部）'!$AA:$AA,"&gt;0")</f>
        <v>0</v>
      </c>
      <c r="H5" s="65">
        <f>SUMIFS('饲料资金预算--查询表（财务部）'!AA:AA,'饲料资金预算--查询表（财务部）'!$L:$L,$B5,'饲料资金预算--查询表（财务部）'!$M:$M,$C5,'饲料资金预算--查询表（财务部）'!$AA:$AA,"&gt;0")</f>
        <v>0</v>
      </c>
      <c r="I5" s="139">
        <f t="shared" si="1"/>
        <v>0</v>
      </c>
      <c r="J5" s="139">
        <f t="shared" si="2"/>
        <v>0</v>
      </c>
      <c r="K5" s="139">
        <f t="shared" si="3"/>
        <v>0</v>
      </c>
      <c r="L5" s="63">
        <f>SUMIFS('饲料资金预算--查询表（财务部）'!AE:AE,'饲料资金预算--查询表（财务部）'!$L:$L,$B5,'饲料资金预算--查询表（财务部）'!$M:$M,$C5,'饲料资金预算--查询表（财务部）'!$AA:$AA,"&gt;0")</f>
        <v>0</v>
      </c>
      <c r="M5" s="65">
        <f>SUMIFS('饲料资金预算--查询表（财务部）'!O:O,'饲料资金预算--查询表（财务部）'!$L:$L,$B5,'饲料资金预算--查询表（财务部）'!$M:$M,$C5,'饲料资金预算--查询表（财务部）'!$S:$S,"&gt;0")</f>
        <v>0</v>
      </c>
      <c r="N5" s="65">
        <f>SUMIFS('饲料资金预算--查询表（财务部）'!P:P,'饲料资金预算--查询表（财务部）'!$L:$L,$B5,'饲料资金预算--查询表（财务部）'!$M:$M,$C5,'饲料资金预算--查询表（财务部）'!$S:$S,"&gt;0")</f>
        <v>0</v>
      </c>
      <c r="O5" s="65">
        <f>SUMIFS('饲料资金预算--查询表（财务部）'!Q:Q,'饲料资金预算--查询表（财务部）'!$L:$L,$B5,'饲料资金预算--查询表（财务部）'!$M:$M,$C5,'饲料资金预算--查询表（财务部）'!$S:$S,"&gt;0")</f>
        <v>0</v>
      </c>
      <c r="P5" s="65">
        <f>SUMIFS('饲料资金预算--查询表（财务部）'!R:R,'饲料资金预算--查询表（财务部）'!$L:$L,$B5,'饲料资金预算--查询表（财务部）'!$M:$M,$C5,'饲料资金预算--查询表（财务部）'!$S:$S,"&gt;0")</f>
        <v>0</v>
      </c>
      <c r="Q5" s="65">
        <f>SUMIFS('饲料资金预算--查询表（财务部）'!S:S,'饲料资金预算--查询表（财务部）'!$L:$L,$B5,'饲料资金预算--查询表（财务部）'!$M:$M,$C5,'饲料资金预算--查询表（财务部）'!$S:$S,"&gt;0")</f>
        <v>0</v>
      </c>
      <c r="R5" s="139">
        <f t="shared" si="5"/>
        <v>0</v>
      </c>
      <c r="S5" s="139">
        <f t="shared" si="6"/>
        <v>0</v>
      </c>
      <c r="T5" s="139">
        <f t="shared" si="7"/>
        <v>0</v>
      </c>
      <c r="U5" s="65">
        <f t="shared" ref="U5:AB5" si="10">D5-M5</f>
        <v>0</v>
      </c>
      <c r="V5" s="65">
        <f t="shared" si="10"/>
        <v>0</v>
      </c>
      <c r="W5" s="65">
        <f t="shared" si="10"/>
        <v>0</v>
      </c>
      <c r="X5" s="65">
        <f t="shared" si="10"/>
        <v>0</v>
      </c>
      <c r="Y5" s="65">
        <f t="shared" si="10"/>
        <v>0</v>
      </c>
      <c r="Z5" s="139">
        <f t="shared" si="10"/>
        <v>0</v>
      </c>
      <c r="AA5" s="139">
        <f t="shared" si="10"/>
        <v>0</v>
      </c>
      <c r="AB5" s="139">
        <f t="shared" si="10"/>
        <v>0</v>
      </c>
      <c r="AC5" s="139">
        <f t="shared" ref="AC5:AG5" si="11">IFERROR(U5/M5,0)</f>
        <v>0</v>
      </c>
      <c r="AD5" s="139">
        <f t="shared" si="11"/>
        <v>0</v>
      </c>
      <c r="AE5" s="139">
        <f t="shared" si="11"/>
        <v>0</v>
      </c>
      <c r="AF5" s="139">
        <f t="shared" si="11"/>
        <v>0</v>
      </c>
      <c r="AG5" s="139">
        <f t="shared" si="11"/>
        <v>0</v>
      </c>
      <c r="AH5" s="127"/>
    </row>
    <row r="6" ht="16.5" spans="1:34">
      <c r="A6" s="63" t="s">
        <v>337</v>
      </c>
      <c r="B6" s="63" t="s">
        <v>2294</v>
      </c>
      <c r="C6" s="138" t="s">
        <v>2309</v>
      </c>
      <c r="D6" s="65">
        <f>SUMIFS('饲料资金预算--查询表（财务部）'!W:W,'饲料资金预算--查询表（财务部）'!$L:$L,$B6,'饲料资金预算--查询表（财务部）'!$M:$M,$C6,'饲料资金预算--查询表（财务部）'!$AA:$AA,"&gt;0")</f>
        <v>0</v>
      </c>
      <c r="E6" s="65">
        <f>SUMIFS('饲料资金预算--查询表（财务部）'!X:X,'饲料资金预算--查询表（财务部）'!$L:$L,$B6,'饲料资金预算--查询表（财务部）'!$M:$M,$C6,'饲料资金预算--查询表（财务部）'!$AA:$AA,"&gt;0")</f>
        <v>0</v>
      </c>
      <c r="F6" s="65">
        <f>SUMIFS('饲料资金预算--查询表（财务部）'!Y:Y,'饲料资金预算--查询表（财务部）'!$L:$L,$B6,'饲料资金预算--查询表（财务部）'!$M:$M,$C6,'饲料资金预算--查询表（财务部）'!$AA:$AA,"&gt;0")</f>
        <v>0</v>
      </c>
      <c r="G6" s="65">
        <f>SUMIFS('饲料资金预算--查询表（财务部）'!Z:Z,'饲料资金预算--查询表（财务部）'!$L:$L,$B6,'饲料资金预算--查询表（财务部）'!$M:$M,$C6,'饲料资金预算--查询表（财务部）'!$AA:$AA,"&gt;0")</f>
        <v>0</v>
      </c>
      <c r="H6" s="65">
        <f>SUMIFS('饲料资金预算--查询表（财务部）'!AA:AA,'饲料资金预算--查询表（财务部）'!$L:$L,$B6,'饲料资金预算--查询表（财务部）'!$M:$M,$C6,'饲料资金预算--查询表（财务部）'!$AA:$AA,"&gt;0")</f>
        <v>0</v>
      </c>
      <c r="I6" s="139">
        <f t="shared" si="1"/>
        <v>0</v>
      </c>
      <c r="J6" s="139">
        <f t="shared" si="2"/>
        <v>0</v>
      </c>
      <c r="K6" s="139">
        <f t="shared" si="3"/>
        <v>0</v>
      </c>
      <c r="L6" s="63">
        <f>SUMIFS('饲料资金预算--查询表（财务部）'!AE:AE,'饲料资金预算--查询表（财务部）'!$L:$L,$B6,'饲料资金预算--查询表（财务部）'!$M:$M,$C6,'饲料资金预算--查询表（财务部）'!$AA:$AA,"&gt;0")</f>
        <v>0</v>
      </c>
      <c r="M6" s="65">
        <f>SUMIFS('饲料资金预算--查询表（财务部）'!O:O,'饲料资金预算--查询表（财务部）'!$L:$L,$B6,'饲料资金预算--查询表（财务部）'!$M:$M,$C6,'饲料资金预算--查询表（财务部）'!$S:$S,"&gt;0")</f>
        <v>0</v>
      </c>
      <c r="N6" s="65">
        <f>SUMIFS('饲料资金预算--查询表（财务部）'!P:P,'饲料资金预算--查询表（财务部）'!$L:$L,$B6,'饲料资金预算--查询表（财务部）'!$M:$M,$C6,'饲料资金预算--查询表（财务部）'!$S:$S,"&gt;0")</f>
        <v>0</v>
      </c>
      <c r="O6" s="65">
        <f>SUMIFS('饲料资金预算--查询表（财务部）'!Q:Q,'饲料资金预算--查询表（财务部）'!$L:$L,$B6,'饲料资金预算--查询表（财务部）'!$M:$M,$C6,'饲料资金预算--查询表（财务部）'!$S:$S,"&gt;0")</f>
        <v>0</v>
      </c>
      <c r="P6" s="65">
        <f>SUMIFS('饲料资金预算--查询表（财务部）'!R:R,'饲料资金预算--查询表（财务部）'!$L:$L,$B6,'饲料资金预算--查询表（财务部）'!$M:$M,$C6,'饲料资金预算--查询表（财务部）'!$S:$S,"&gt;0")</f>
        <v>0</v>
      </c>
      <c r="Q6" s="65">
        <f>SUMIFS('饲料资金预算--查询表（财务部）'!S:S,'饲料资金预算--查询表（财务部）'!$L:$L,$B6,'饲料资金预算--查询表（财务部）'!$M:$M,$C6,'饲料资金预算--查询表（财务部）'!$S:$S,"&gt;0")</f>
        <v>0</v>
      </c>
      <c r="R6" s="139">
        <f t="shared" si="5"/>
        <v>0</v>
      </c>
      <c r="S6" s="139">
        <f t="shared" si="6"/>
        <v>0</v>
      </c>
      <c r="T6" s="139">
        <f t="shared" si="7"/>
        <v>0</v>
      </c>
      <c r="U6" s="65">
        <f t="shared" ref="U6:AB6" si="12">D6-M6</f>
        <v>0</v>
      </c>
      <c r="V6" s="65">
        <f t="shared" si="12"/>
        <v>0</v>
      </c>
      <c r="W6" s="65">
        <f t="shared" si="12"/>
        <v>0</v>
      </c>
      <c r="X6" s="65">
        <f t="shared" si="12"/>
        <v>0</v>
      </c>
      <c r="Y6" s="65">
        <f t="shared" si="12"/>
        <v>0</v>
      </c>
      <c r="Z6" s="139">
        <f t="shared" si="12"/>
        <v>0</v>
      </c>
      <c r="AA6" s="139">
        <f t="shared" si="12"/>
        <v>0</v>
      </c>
      <c r="AB6" s="139">
        <f t="shared" si="12"/>
        <v>0</v>
      </c>
      <c r="AC6" s="139">
        <f t="shared" ref="AC6:AG6" si="13">IFERROR(U6/M6,0)</f>
        <v>0</v>
      </c>
      <c r="AD6" s="139">
        <f t="shared" si="13"/>
        <v>0</v>
      </c>
      <c r="AE6" s="139">
        <f t="shared" si="13"/>
        <v>0</v>
      </c>
      <c r="AF6" s="139">
        <f t="shared" si="13"/>
        <v>0</v>
      </c>
      <c r="AG6" s="139">
        <f t="shared" si="13"/>
        <v>0</v>
      </c>
      <c r="AH6" s="127"/>
    </row>
    <row r="7" ht="16.5" spans="1:34">
      <c r="A7" s="63" t="s">
        <v>337</v>
      </c>
      <c r="B7" s="63" t="s">
        <v>2294</v>
      </c>
      <c r="C7" s="138" t="s">
        <v>2310</v>
      </c>
      <c r="D7" s="65">
        <f>SUMIFS('饲料资金预算--查询表（财务部）'!W:W,'饲料资金预算--查询表（财务部）'!$L:$L,$B7,'饲料资金预算--查询表（财务部）'!$M:$M,$C7,'饲料资金预算--查询表（财务部）'!$AA:$AA,"&gt;0")</f>
        <v>0</v>
      </c>
      <c r="E7" s="65">
        <f>SUMIFS('饲料资金预算--查询表（财务部）'!X:X,'饲料资金预算--查询表（财务部）'!$L:$L,$B7,'饲料资金预算--查询表（财务部）'!$M:$M,$C7,'饲料资金预算--查询表（财务部）'!$AA:$AA,"&gt;0")</f>
        <v>0</v>
      </c>
      <c r="F7" s="65">
        <f>SUMIFS('饲料资金预算--查询表（财务部）'!Y:Y,'饲料资金预算--查询表（财务部）'!$L:$L,$B7,'饲料资金预算--查询表（财务部）'!$M:$M,$C7,'饲料资金预算--查询表（财务部）'!$AA:$AA,"&gt;0")</f>
        <v>0</v>
      </c>
      <c r="G7" s="65">
        <f>SUMIFS('饲料资金预算--查询表（财务部）'!Z:Z,'饲料资金预算--查询表（财务部）'!$L:$L,$B7,'饲料资金预算--查询表（财务部）'!$M:$M,$C7,'饲料资金预算--查询表（财务部）'!$AA:$AA,"&gt;0")</f>
        <v>0</v>
      </c>
      <c r="H7" s="65">
        <f>SUMIFS('饲料资金预算--查询表（财务部）'!AA:AA,'饲料资金预算--查询表（财务部）'!$L:$L,$B7,'饲料资金预算--查询表（财务部）'!$M:$M,$C7,'饲料资金预算--查询表（财务部）'!$AA:$AA,"&gt;0")</f>
        <v>0</v>
      </c>
      <c r="I7" s="139">
        <f t="shared" si="1"/>
        <v>0</v>
      </c>
      <c r="J7" s="139">
        <f t="shared" si="2"/>
        <v>0</v>
      </c>
      <c r="K7" s="139">
        <f t="shared" si="3"/>
        <v>0</v>
      </c>
      <c r="L7" s="63">
        <f>SUMIFS('饲料资金预算--查询表（财务部）'!AE:AE,'饲料资金预算--查询表（财务部）'!$L:$L,$B7,'饲料资金预算--查询表（财务部）'!$M:$M,$C7,'饲料资金预算--查询表（财务部）'!$AA:$AA,"&gt;0")</f>
        <v>0</v>
      </c>
      <c r="M7" s="65">
        <f>SUMIFS('饲料资金预算--查询表（财务部）'!O:O,'饲料资金预算--查询表（财务部）'!$L:$L,$B7,'饲料资金预算--查询表（财务部）'!$M:$M,$C7,'饲料资金预算--查询表（财务部）'!$S:$S,"&gt;0")</f>
        <v>0</v>
      </c>
      <c r="N7" s="65">
        <f>SUMIFS('饲料资金预算--查询表（财务部）'!P:P,'饲料资金预算--查询表（财务部）'!$L:$L,$B7,'饲料资金预算--查询表（财务部）'!$M:$M,$C7,'饲料资金预算--查询表（财务部）'!$S:$S,"&gt;0")</f>
        <v>0</v>
      </c>
      <c r="O7" s="65">
        <f>SUMIFS('饲料资金预算--查询表（财务部）'!Q:Q,'饲料资金预算--查询表（财务部）'!$L:$L,$B7,'饲料资金预算--查询表（财务部）'!$M:$M,$C7,'饲料资金预算--查询表（财务部）'!$S:$S,"&gt;0")</f>
        <v>0</v>
      </c>
      <c r="P7" s="65">
        <f>SUMIFS('饲料资金预算--查询表（财务部）'!R:R,'饲料资金预算--查询表（财务部）'!$L:$L,$B7,'饲料资金预算--查询表（财务部）'!$M:$M,$C7,'饲料资金预算--查询表（财务部）'!$S:$S,"&gt;0")</f>
        <v>0</v>
      </c>
      <c r="Q7" s="65">
        <f>SUMIFS('饲料资金预算--查询表（财务部）'!S:S,'饲料资金预算--查询表（财务部）'!$L:$L,$B7,'饲料资金预算--查询表（财务部）'!$M:$M,$C7,'饲料资金预算--查询表（财务部）'!$S:$S,"&gt;0")</f>
        <v>0</v>
      </c>
      <c r="R7" s="139">
        <f t="shared" si="5"/>
        <v>0</v>
      </c>
      <c r="S7" s="139">
        <f t="shared" si="6"/>
        <v>0</v>
      </c>
      <c r="T7" s="139">
        <f t="shared" si="7"/>
        <v>0</v>
      </c>
      <c r="U7" s="65">
        <f t="shared" ref="U7:AB7" si="14">D7-M7</f>
        <v>0</v>
      </c>
      <c r="V7" s="65">
        <f t="shared" si="14"/>
        <v>0</v>
      </c>
      <c r="W7" s="65">
        <f t="shared" si="14"/>
        <v>0</v>
      </c>
      <c r="X7" s="65">
        <f t="shared" si="14"/>
        <v>0</v>
      </c>
      <c r="Y7" s="65">
        <f t="shared" si="14"/>
        <v>0</v>
      </c>
      <c r="Z7" s="139">
        <f t="shared" si="14"/>
        <v>0</v>
      </c>
      <c r="AA7" s="139">
        <f t="shared" si="14"/>
        <v>0</v>
      </c>
      <c r="AB7" s="139">
        <f t="shared" si="14"/>
        <v>0</v>
      </c>
      <c r="AC7" s="139">
        <f t="shared" ref="AC7:AG7" si="15">IFERROR(U7/M7,0)</f>
        <v>0</v>
      </c>
      <c r="AD7" s="139">
        <f t="shared" si="15"/>
        <v>0</v>
      </c>
      <c r="AE7" s="139">
        <f t="shared" si="15"/>
        <v>0</v>
      </c>
      <c r="AF7" s="139">
        <f t="shared" si="15"/>
        <v>0</v>
      </c>
      <c r="AG7" s="139">
        <f t="shared" si="15"/>
        <v>0</v>
      </c>
      <c r="AH7" s="127"/>
    </row>
    <row r="8" ht="16.5" spans="1:34">
      <c r="A8" s="63" t="s">
        <v>337</v>
      </c>
      <c r="B8" s="63" t="s">
        <v>2294</v>
      </c>
      <c r="C8" s="138" t="s">
        <v>2311</v>
      </c>
      <c r="D8" s="65">
        <f>SUMIFS('饲料资金预算--查询表（财务部）'!W:W,'饲料资金预算--查询表（财务部）'!$L:$L,$B8,'饲料资金预算--查询表（财务部）'!$M:$M,$C8,'饲料资金预算--查询表（财务部）'!$AA:$AA,"&gt;0")</f>
        <v>0</v>
      </c>
      <c r="E8" s="65">
        <f>SUMIFS('饲料资金预算--查询表（财务部）'!X:X,'饲料资金预算--查询表（财务部）'!$L:$L,$B8,'饲料资金预算--查询表（财务部）'!$M:$M,$C8,'饲料资金预算--查询表（财务部）'!$AA:$AA,"&gt;0")</f>
        <v>0</v>
      </c>
      <c r="F8" s="65">
        <f>SUMIFS('饲料资金预算--查询表（财务部）'!Y:Y,'饲料资金预算--查询表（财务部）'!$L:$L,$B8,'饲料资金预算--查询表（财务部）'!$M:$M,$C8,'饲料资金预算--查询表（财务部）'!$AA:$AA,"&gt;0")</f>
        <v>0</v>
      </c>
      <c r="G8" s="65">
        <f>SUMIFS('饲料资金预算--查询表（财务部）'!Z:Z,'饲料资金预算--查询表（财务部）'!$L:$L,$B8,'饲料资金预算--查询表（财务部）'!$M:$M,$C8,'饲料资金预算--查询表（财务部）'!$AA:$AA,"&gt;0")</f>
        <v>0</v>
      </c>
      <c r="H8" s="65">
        <f>SUMIFS('饲料资金预算--查询表（财务部）'!AA:AA,'饲料资金预算--查询表（财务部）'!$L:$L,$B8,'饲料资金预算--查询表（财务部）'!$M:$M,$C8,'饲料资金预算--查询表（财务部）'!$AA:$AA,"&gt;0")</f>
        <v>0</v>
      </c>
      <c r="I8" s="139">
        <f t="shared" si="1"/>
        <v>0</v>
      </c>
      <c r="J8" s="139">
        <f t="shared" si="2"/>
        <v>0</v>
      </c>
      <c r="K8" s="139">
        <f t="shared" si="3"/>
        <v>0</v>
      </c>
      <c r="L8" s="63">
        <f>SUMIFS('饲料资金预算--查询表（财务部）'!AE:AE,'饲料资金预算--查询表（财务部）'!$L:$L,$B8,'饲料资金预算--查询表（财务部）'!$M:$M,$C8,'饲料资金预算--查询表（财务部）'!$AA:$AA,"&gt;0")</f>
        <v>0</v>
      </c>
      <c r="M8" s="65">
        <f>SUMIFS('饲料资金预算--查询表（财务部）'!O:O,'饲料资金预算--查询表（财务部）'!$L:$L,$B8,'饲料资金预算--查询表（财务部）'!$M:$M,$C8,'饲料资金预算--查询表（财务部）'!$S:$S,"&gt;0")</f>
        <v>0</v>
      </c>
      <c r="N8" s="65">
        <f>SUMIFS('饲料资金预算--查询表（财务部）'!P:P,'饲料资金预算--查询表（财务部）'!$L:$L,$B8,'饲料资金预算--查询表（财务部）'!$M:$M,$C8,'饲料资金预算--查询表（财务部）'!$S:$S,"&gt;0")</f>
        <v>0</v>
      </c>
      <c r="O8" s="65">
        <f>SUMIFS('饲料资金预算--查询表（财务部）'!Q:Q,'饲料资金预算--查询表（财务部）'!$L:$L,$B8,'饲料资金预算--查询表（财务部）'!$M:$M,$C8,'饲料资金预算--查询表（财务部）'!$S:$S,"&gt;0")</f>
        <v>0</v>
      </c>
      <c r="P8" s="65">
        <f>SUMIFS('饲料资金预算--查询表（财务部）'!R:R,'饲料资金预算--查询表（财务部）'!$L:$L,$B8,'饲料资金预算--查询表（财务部）'!$M:$M,$C8,'饲料资金预算--查询表（财务部）'!$S:$S,"&gt;0")</f>
        <v>0</v>
      </c>
      <c r="Q8" s="65">
        <f>SUMIFS('饲料资金预算--查询表（财务部）'!S:S,'饲料资金预算--查询表（财务部）'!$L:$L,$B8,'饲料资金预算--查询表（财务部）'!$M:$M,$C8,'饲料资金预算--查询表（财务部）'!$S:$S,"&gt;0")</f>
        <v>0</v>
      </c>
      <c r="R8" s="139">
        <f t="shared" si="5"/>
        <v>0</v>
      </c>
      <c r="S8" s="139">
        <f t="shared" si="6"/>
        <v>0</v>
      </c>
      <c r="T8" s="139">
        <f t="shared" si="7"/>
        <v>0</v>
      </c>
      <c r="U8" s="65">
        <f t="shared" ref="U8:AB8" si="16">D8-M8</f>
        <v>0</v>
      </c>
      <c r="V8" s="65">
        <f t="shared" si="16"/>
        <v>0</v>
      </c>
      <c r="W8" s="65">
        <f t="shared" si="16"/>
        <v>0</v>
      </c>
      <c r="X8" s="65">
        <f t="shared" si="16"/>
        <v>0</v>
      </c>
      <c r="Y8" s="65">
        <f t="shared" si="16"/>
        <v>0</v>
      </c>
      <c r="Z8" s="139">
        <f t="shared" si="16"/>
        <v>0</v>
      </c>
      <c r="AA8" s="139">
        <f t="shared" si="16"/>
        <v>0</v>
      </c>
      <c r="AB8" s="139">
        <f t="shared" si="16"/>
        <v>0</v>
      </c>
      <c r="AC8" s="139">
        <f t="shared" ref="AC8:AG8" si="17">IFERROR(U8/M8,0)</f>
        <v>0</v>
      </c>
      <c r="AD8" s="139">
        <f t="shared" si="17"/>
        <v>0</v>
      </c>
      <c r="AE8" s="139">
        <f t="shared" si="17"/>
        <v>0</v>
      </c>
      <c r="AF8" s="139">
        <f t="shared" si="17"/>
        <v>0</v>
      </c>
      <c r="AG8" s="139">
        <f t="shared" si="17"/>
        <v>0</v>
      </c>
      <c r="AH8" s="127"/>
    </row>
    <row r="9" ht="16.5" spans="1:34">
      <c r="A9" s="63" t="str">
        <f t="shared" ref="A9:A42" si="18">$A$8</f>
        <v>福建</v>
      </c>
      <c r="B9" s="63" t="s">
        <v>2294</v>
      </c>
      <c r="C9" s="138" t="s">
        <v>234</v>
      </c>
      <c r="D9" s="65">
        <f>SUMIFS('饲料资金预算--查询表（财务部）'!W:W,'饲料资金预算--查询表（财务部）'!$L:$L,$B9,'饲料资金预算--查询表（财务部）'!$M:$M,$C9,'饲料资金预算--查询表（财务部）'!$AA:$AA,"&gt;0")</f>
        <v>0</v>
      </c>
      <c r="E9" s="65">
        <f>SUMIFS('饲料资金预算--查询表（财务部）'!X:X,'饲料资金预算--查询表（财务部）'!$L:$L,$B9,'饲料资金预算--查询表（财务部）'!$M:$M,$C9,'饲料资金预算--查询表（财务部）'!$AA:$AA,"&gt;0")</f>
        <v>0</v>
      </c>
      <c r="F9" s="65">
        <f>SUMIFS('饲料资金预算--查询表（财务部）'!Y:Y,'饲料资金预算--查询表（财务部）'!$L:$L,$B9,'饲料资金预算--查询表（财务部）'!$M:$M,$C9,'饲料资金预算--查询表（财务部）'!$AA:$AA,"&gt;0")</f>
        <v>0</v>
      </c>
      <c r="G9" s="65">
        <f>SUMIFS('饲料资金预算--查询表（财务部）'!Z:Z,'饲料资金预算--查询表（财务部）'!$L:$L,$B9,'饲料资金预算--查询表（财务部）'!$M:$M,$C9,'饲料资金预算--查询表（财务部）'!$AA:$AA,"&gt;0")</f>
        <v>0</v>
      </c>
      <c r="H9" s="65">
        <f>SUMIFS('饲料资金预算--查询表（财务部）'!AA:AA,'饲料资金预算--查询表（财务部）'!$L:$L,$B9,'饲料资金预算--查询表（财务部）'!$M:$M,$C9,'饲料资金预算--查询表（财务部）'!$AA:$AA,"&gt;0")</f>
        <v>0</v>
      </c>
      <c r="I9" s="139">
        <f t="shared" si="1"/>
        <v>0</v>
      </c>
      <c r="J9" s="139">
        <f t="shared" si="2"/>
        <v>0</v>
      </c>
      <c r="K9" s="139">
        <f t="shared" si="3"/>
        <v>0</v>
      </c>
      <c r="L9" s="63">
        <f>SUMIFS('饲料资金预算--查询表（财务部）'!AE:AE,'饲料资金预算--查询表（财务部）'!$L:$L,$B9,'饲料资金预算--查询表（财务部）'!$M:$M,$C9,'饲料资金预算--查询表（财务部）'!$AA:$AA,"&gt;0")</f>
        <v>0</v>
      </c>
      <c r="M9" s="65">
        <f>SUMIFS('饲料资金预算--查询表（财务部）'!O:O,'饲料资金预算--查询表（财务部）'!$L:$L,$B9,'饲料资金预算--查询表（财务部）'!$M:$M,$C9,'饲料资金预算--查询表（财务部）'!$S:$S,"&gt;0")</f>
        <v>0</v>
      </c>
      <c r="N9" s="65">
        <f>SUMIFS('饲料资金预算--查询表（财务部）'!P:P,'饲料资金预算--查询表（财务部）'!$L:$L,$B9,'饲料资金预算--查询表（财务部）'!$M:$M,$C9,'饲料资金预算--查询表（财务部）'!$S:$S,"&gt;0")</f>
        <v>0</v>
      </c>
      <c r="O9" s="65">
        <f>SUMIFS('饲料资金预算--查询表（财务部）'!Q:Q,'饲料资金预算--查询表（财务部）'!$L:$L,$B9,'饲料资金预算--查询表（财务部）'!$M:$M,$C9,'饲料资金预算--查询表（财务部）'!$S:$S,"&gt;0")</f>
        <v>0</v>
      </c>
      <c r="P9" s="65">
        <f>SUMIFS('饲料资金预算--查询表（财务部）'!R:R,'饲料资金预算--查询表（财务部）'!$L:$L,$B9,'饲料资金预算--查询表（财务部）'!$M:$M,$C9,'饲料资金预算--查询表（财务部）'!$S:$S,"&gt;0")</f>
        <v>0</v>
      </c>
      <c r="Q9" s="65">
        <f>SUMIFS('饲料资金预算--查询表（财务部）'!S:S,'饲料资金预算--查询表（财务部）'!$L:$L,$B9,'饲料资金预算--查询表（财务部）'!$M:$M,$C9,'饲料资金预算--查询表（财务部）'!$S:$S,"&gt;0")</f>
        <v>0</v>
      </c>
      <c r="R9" s="139">
        <f t="shared" si="5"/>
        <v>0</v>
      </c>
      <c r="S9" s="139">
        <f t="shared" si="6"/>
        <v>0</v>
      </c>
      <c r="T9" s="139">
        <f t="shared" si="7"/>
        <v>0</v>
      </c>
      <c r="U9" s="65">
        <f t="shared" ref="U9:AB9" si="19">D9-M9</f>
        <v>0</v>
      </c>
      <c r="V9" s="65">
        <f t="shared" si="19"/>
        <v>0</v>
      </c>
      <c r="W9" s="65">
        <f t="shared" si="19"/>
        <v>0</v>
      </c>
      <c r="X9" s="65">
        <f t="shared" si="19"/>
        <v>0</v>
      </c>
      <c r="Y9" s="65">
        <f t="shared" si="19"/>
        <v>0</v>
      </c>
      <c r="Z9" s="139">
        <f t="shared" si="19"/>
        <v>0</v>
      </c>
      <c r="AA9" s="139">
        <f t="shared" si="19"/>
        <v>0</v>
      </c>
      <c r="AB9" s="139">
        <f t="shared" si="19"/>
        <v>0</v>
      </c>
      <c r="AC9" s="139">
        <f t="shared" ref="AC9:AG9" si="20">IFERROR(U9/M9,0)</f>
        <v>0</v>
      </c>
      <c r="AD9" s="139">
        <f t="shared" si="20"/>
        <v>0</v>
      </c>
      <c r="AE9" s="139">
        <f t="shared" si="20"/>
        <v>0</v>
      </c>
      <c r="AF9" s="139">
        <f t="shared" si="20"/>
        <v>0</v>
      </c>
      <c r="AG9" s="139">
        <f t="shared" si="20"/>
        <v>0</v>
      </c>
      <c r="AH9" s="127"/>
    </row>
    <row r="10" ht="16.5" spans="1:34">
      <c r="A10" s="63" t="str">
        <f t="shared" si="18"/>
        <v>福建</v>
      </c>
      <c r="B10" s="63" t="s">
        <v>2294</v>
      </c>
      <c r="C10" s="138" t="s">
        <v>2312</v>
      </c>
      <c r="D10" s="65">
        <f>SUMIFS('饲料资金预算--查询表（财务部）'!W:W,'饲料资金预算--查询表（财务部）'!$L:$L,$B10,'饲料资金预算--查询表（财务部）'!$M:$M,$C10,'饲料资金预算--查询表（财务部）'!$AA:$AA,"&gt;0")</f>
        <v>0</v>
      </c>
      <c r="E10" s="65">
        <f>SUMIFS('饲料资金预算--查询表（财务部）'!X:X,'饲料资金预算--查询表（财务部）'!$L:$L,$B10,'饲料资金预算--查询表（财务部）'!$M:$M,$C10,'饲料资金预算--查询表（财务部）'!$AA:$AA,"&gt;0")</f>
        <v>0</v>
      </c>
      <c r="F10" s="65">
        <f>SUMIFS('饲料资金预算--查询表（财务部）'!Y:Y,'饲料资金预算--查询表（财务部）'!$L:$L,$B10,'饲料资金预算--查询表（财务部）'!$M:$M,$C10,'饲料资金预算--查询表（财务部）'!$AA:$AA,"&gt;0")</f>
        <v>0</v>
      </c>
      <c r="G10" s="65">
        <f>SUMIFS('饲料资金预算--查询表（财务部）'!Z:Z,'饲料资金预算--查询表（财务部）'!$L:$L,$B10,'饲料资金预算--查询表（财务部）'!$M:$M,$C10,'饲料资金预算--查询表（财务部）'!$AA:$AA,"&gt;0")</f>
        <v>0</v>
      </c>
      <c r="H10" s="65">
        <f>SUMIFS('饲料资金预算--查询表（财务部）'!AA:AA,'饲料资金预算--查询表（财务部）'!$L:$L,$B10,'饲料资金预算--查询表（财务部）'!$M:$M,$C10,'饲料资金预算--查询表（财务部）'!$AA:$AA,"&gt;0")</f>
        <v>0</v>
      </c>
      <c r="I10" s="139">
        <f t="shared" si="1"/>
        <v>0</v>
      </c>
      <c r="J10" s="139">
        <f t="shared" si="2"/>
        <v>0</v>
      </c>
      <c r="K10" s="139">
        <f t="shared" si="3"/>
        <v>0</v>
      </c>
      <c r="L10" s="63">
        <f>SUMIFS('饲料资金预算--查询表（财务部）'!AE:AE,'饲料资金预算--查询表（财务部）'!$L:$L,$B10,'饲料资金预算--查询表（财务部）'!$M:$M,$C10,'饲料资金预算--查询表（财务部）'!$AA:$AA,"&gt;0")</f>
        <v>0</v>
      </c>
      <c r="M10" s="65">
        <f>SUMIFS('饲料资金预算--查询表（财务部）'!O:O,'饲料资金预算--查询表（财务部）'!$L:$L,$B10,'饲料资金预算--查询表（财务部）'!$M:$M,$C10,'饲料资金预算--查询表（财务部）'!$S:$S,"&gt;0")</f>
        <v>0</v>
      </c>
      <c r="N10" s="65">
        <f>SUMIFS('饲料资金预算--查询表（财务部）'!P:P,'饲料资金预算--查询表（财务部）'!$L:$L,$B10,'饲料资金预算--查询表（财务部）'!$M:$M,$C10,'饲料资金预算--查询表（财务部）'!$S:$S,"&gt;0")</f>
        <v>0</v>
      </c>
      <c r="O10" s="65">
        <f>SUMIFS('饲料资金预算--查询表（财务部）'!Q:Q,'饲料资金预算--查询表（财务部）'!$L:$L,$B10,'饲料资金预算--查询表（财务部）'!$M:$M,$C10,'饲料资金预算--查询表（财务部）'!$S:$S,"&gt;0")</f>
        <v>0</v>
      </c>
      <c r="P10" s="65">
        <f>SUMIFS('饲料资金预算--查询表（财务部）'!R:R,'饲料资金预算--查询表（财务部）'!$L:$L,$B10,'饲料资金预算--查询表（财务部）'!$M:$M,$C10,'饲料资金预算--查询表（财务部）'!$S:$S,"&gt;0")</f>
        <v>0</v>
      </c>
      <c r="Q10" s="65">
        <f>SUMIFS('饲料资金预算--查询表（财务部）'!S:S,'饲料资金预算--查询表（财务部）'!$L:$L,$B10,'饲料资金预算--查询表（财务部）'!$M:$M,$C10,'饲料资金预算--查询表（财务部）'!$S:$S,"&gt;0")</f>
        <v>0</v>
      </c>
      <c r="R10" s="139">
        <f t="shared" si="5"/>
        <v>0</v>
      </c>
      <c r="S10" s="139">
        <f t="shared" si="6"/>
        <v>0</v>
      </c>
      <c r="T10" s="139">
        <f t="shared" si="7"/>
        <v>0</v>
      </c>
      <c r="U10" s="65">
        <f t="shared" ref="U10:AB10" si="21">D10-M10</f>
        <v>0</v>
      </c>
      <c r="V10" s="65">
        <f t="shared" si="21"/>
        <v>0</v>
      </c>
      <c r="W10" s="65">
        <f t="shared" si="21"/>
        <v>0</v>
      </c>
      <c r="X10" s="65">
        <f t="shared" si="21"/>
        <v>0</v>
      </c>
      <c r="Y10" s="65">
        <f t="shared" si="21"/>
        <v>0</v>
      </c>
      <c r="Z10" s="139">
        <f t="shared" si="21"/>
        <v>0</v>
      </c>
      <c r="AA10" s="139">
        <f t="shared" si="21"/>
        <v>0</v>
      </c>
      <c r="AB10" s="139">
        <f t="shared" si="21"/>
        <v>0</v>
      </c>
      <c r="AC10" s="139">
        <f t="shared" ref="AC10:AG10" si="22">IFERROR(U10/M10,0)</f>
        <v>0</v>
      </c>
      <c r="AD10" s="139">
        <f t="shared" si="22"/>
        <v>0</v>
      </c>
      <c r="AE10" s="139">
        <f t="shared" si="22"/>
        <v>0</v>
      </c>
      <c r="AF10" s="139">
        <f t="shared" si="22"/>
        <v>0</v>
      </c>
      <c r="AG10" s="139">
        <f t="shared" si="22"/>
        <v>0</v>
      </c>
      <c r="AH10" s="127"/>
    </row>
    <row r="11" ht="16.5" spans="1:34">
      <c r="A11" s="63" t="str">
        <f t="shared" si="18"/>
        <v>福建</v>
      </c>
      <c r="B11" s="63" t="s">
        <v>2294</v>
      </c>
      <c r="C11" s="138" t="s">
        <v>2313</v>
      </c>
      <c r="D11" s="65">
        <f>SUMIFS('饲料资金预算--查询表（财务部）'!W:W,'饲料资金预算--查询表（财务部）'!$L:$L,$B11,'饲料资金预算--查询表（财务部）'!$M:$M,$C11,'饲料资金预算--查询表（财务部）'!$AA:$AA,"&gt;0")</f>
        <v>0</v>
      </c>
      <c r="E11" s="65">
        <f>SUMIFS('饲料资金预算--查询表（财务部）'!X:X,'饲料资金预算--查询表（财务部）'!$L:$L,$B11,'饲料资金预算--查询表（财务部）'!$M:$M,$C11,'饲料资金预算--查询表（财务部）'!$AA:$AA,"&gt;0")</f>
        <v>0</v>
      </c>
      <c r="F11" s="65">
        <f>SUMIFS('饲料资金预算--查询表（财务部）'!Y:Y,'饲料资金预算--查询表（财务部）'!$L:$L,$B11,'饲料资金预算--查询表（财务部）'!$M:$M,$C11,'饲料资金预算--查询表（财务部）'!$AA:$AA,"&gt;0")</f>
        <v>0</v>
      </c>
      <c r="G11" s="65">
        <f>SUMIFS('饲料资金预算--查询表（财务部）'!Z:Z,'饲料资金预算--查询表（财务部）'!$L:$L,$B11,'饲料资金预算--查询表（财务部）'!$M:$M,$C11,'饲料资金预算--查询表（财务部）'!$AA:$AA,"&gt;0")</f>
        <v>0</v>
      </c>
      <c r="H11" s="65">
        <f>SUMIFS('饲料资金预算--查询表（财务部）'!AA:AA,'饲料资金预算--查询表（财务部）'!$L:$L,$B11,'饲料资金预算--查询表（财务部）'!$M:$M,$C11,'饲料资金预算--查询表（财务部）'!$AA:$AA,"&gt;0")</f>
        <v>0</v>
      </c>
      <c r="I11" s="139">
        <f t="shared" si="1"/>
        <v>0</v>
      </c>
      <c r="J11" s="139">
        <f t="shared" si="2"/>
        <v>0</v>
      </c>
      <c r="K11" s="139">
        <f t="shared" si="3"/>
        <v>0</v>
      </c>
      <c r="L11" s="63">
        <f>SUMIFS('饲料资金预算--查询表（财务部）'!AE:AE,'饲料资金预算--查询表（财务部）'!$L:$L,$B11,'饲料资金预算--查询表（财务部）'!$M:$M,$C11,'饲料资金预算--查询表（财务部）'!$AA:$AA,"&gt;0")</f>
        <v>0</v>
      </c>
      <c r="M11" s="65">
        <f>SUMIFS('饲料资金预算--查询表（财务部）'!O:O,'饲料资金预算--查询表（财务部）'!$L:$L,$B11,'饲料资金预算--查询表（财务部）'!$M:$M,$C11,'饲料资金预算--查询表（财务部）'!$S:$S,"&gt;0")</f>
        <v>0</v>
      </c>
      <c r="N11" s="65">
        <f>SUMIFS('饲料资金预算--查询表（财务部）'!P:P,'饲料资金预算--查询表（财务部）'!$L:$L,$B11,'饲料资金预算--查询表（财务部）'!$M:$M,$C11,'饲料资金预算--查询表（财务部）'!$S:$S,"&gt;0")</f>
        <v>0</v>
      </c>
      <c r="O11" s="65">
        <f>SUMIFS('饲料资金预算--查询表（财务部）'!Q:Q,'饲料资金预算--查询表（财务部）'!$L:$L,$B11,'饲料资金预算--查询表（财务部）'!$M:$M,$C11,'饲料资金预算--查询表（财务部）'!$S:$S,"&gt;0")</f>
        <v>0</v>
      </c>
      <c r="P11" s="65">
        <f>SUMIFS('饲料资金预算--查询表（财务部）'!R:R,'饲料资金预算--查询表（财务部）'!$L:$L,$B11,'饲料资金预算--查询表（财务部）'!$M:$M,$C11,'饲料资金预算--查询表（财务部）'!$S:$S,"&gt;0")</f>
        <v>0</v>
      </c>
      <c r="Q11" s="65">
        <f>SUMIFS('饲料资金预算--查询表（财务部）'!S:S,'饲料资金预算--查询表（财务部）'!$L:$L,$B11,'饲料资金预算--查询表（财务部）'!$M:$M,$C11,'饲料资金预算--查询表（财务部）'!$S:$S,"&gt;0")</f>
        <v>0</v>
      </c>
      <c r="R11" s="139">
        <f t="shared" si="5"/>
        <v>0</v>
      </c>
      <c r="S11" s="139">
        <f t="shared" si="6"/>
        <v>0</v>
      </c>
      <c r="T11" s="139">
        <f t="shared" si="7"/>
        <v>0</v>
      </c>
      <c r="U11" s="65">
        <f t="shared" ref="U11:AB11" si="23">D11-M11</f>
        <v>0</v>
      </c>
      <c r="V11" s="65">
        <f t="shared" si="23"/>
        <v>0</v>
      </c>
      <c r="W11" s="65">
        <f t="shared" si="23"/>
        <v>0</v>
      </c>
      <c r="X11" s="65">
        <f t="shared" si="23"/>
        <v>0</v>
      </c>
      <c r="Y11" s="65">
        <f t="shared" si="23"/>
        <v>0</v>
      </c>
      <c r="Z11" s="139">
        <f t="shared" si="23"/>
        <v>0</v>
      </c>
      <c r="AA11" s="139">
        <f t="shared" si="23"/>
        <v>0</v>
      </c>
      <c r="AB11" s="139">
        <f t="shared" si="23"/>
        <v>0</v>
      </c>
      <c r="AC11" s="139">
        <f t="shared" ref="AC11:AG11" si="24">IFERROR(U11/M11,0)</f>
        <v>0</v>
      </c>
      <c r="AD11" s="139">
        <f t="shared" si="24"/>
        <v>0</v>
      </c>
      <c r="AE11" s="139">
        <f t="shared" si="24"/>
        <v>0</v>
      </c>
      <c r="AF11" s="139">
        <f t="shared" si="24"/>
        <v>0</v>
      </c>
      <c r="AG11" s="139">
        <f t="shared" si="24"/>
        <v>0</v>
      </c>
      <c r="AH11" s="127"/>
    </row>
    <row r="12" ht="16.5" spans="1:34">
      <c r="A12" s="63" t="str">
        <f t="shared" si="18"/>
        <v>福建</v>
      </c>
      <c r="B12" s="63" t="s">
        <v>2294</v>
      </c>
      <c r="C12" s="138" t="s">
        <v>2203</v>
      </c>
      <c r="D12" s="65">
        <f>SUMIFS('饲料资金预算--查询表（财务部）'!W:W,'饲料资金预算--查询表（财务部）'!$L:$L,$B12,'饲料资金预算--查询表（财务部）'!$M:$M,$C12,'饲料资金预算--查询表（财务部）'!$AA:$AA,"&gt;0")</f>
        <v>0</v>
      </c>
      <c r="E12" s="65">
        <f>SUMIFS('饲料资金预算--查询表（财务部）'!X:X,'饲料资金预算--查询表（财务部）'!$L:$L,$B12,'饲料资金预算--查询表（财务部）'!$M:$M,$C12,'饲料资金预算--查询表（财务部）'!$AA:$AA,"&gt;0")</f>
        <v>0</v>
      </c>
      <c r="F12" s="65">
        <f>SUMIFS('饲料资金预算--查询表（财务部）'!Y:Y,'饲料资金预算--查询表（财务部）'!$L:$L,$B12,'饲料资金预算--查询表（财务部）'!$M:$M,$C12,'饲料资金预算--查询表（财务部）'!$AA:$AA,"&gt;0")</f>
        <v>0</v>
      </c>
      <c r="G12" s="65">
        <f>SUMIFS('饲料资金预算--查询表（财务部）'!Z:Z,'饲料资金预算--查询表（财务部）'!$L:$L,$B12,'饲料资金预算--查询表（财务部）'!$M:$M,$C12,'饲料资金预算--查询表（财务部）'!$AA:$AA,"&gt;0")</f>
        <v>0</v>
      </c>
      <c r="H12" s="65">
        <f>SUMIFS('饲料资金预算--查询表（财务部）'!AA:AA,'饲料资金预算--查询表（财务部）'!$L:$L,$B12,'饲料资金预算--查询表（财务部）'!$M:$M,$C12,'饲料资金预算--查询表（财务部）'!$AA:$AA,"&gt;0")</f>
        <v>0</v>
      </c>
      <c r="I12" s="139">
        <f t="shared" si="1"/>
        <v>0</v>
      </c>
      <c r="J12" s="139">
        <f t="shared" si="2"/>
        <v>0</v>
      </c>
      <c r="K12" s="139">
        <f t="shared" si="3"/>
        <v>0</v>
      </c>
      <c r="L12" s="63">
        <f>SUMIFS('饲料资金预算--查询表（财务部）'!AE:AE,'饲料资金预算--查询表（财务部）'!$L:$L,$B12,'饲料资金预算--查询表（财务部）'!$M:$M,$C12,'饲料资金预算--查询表（财务部）'!$AA:$AA,"&gt;0")</f>
        <v>0</v>
      </c>
      <c r="M12" s="65">
        <f>SUMIFS('饲料资金预算--查询表（财务部）'!O:O,'饲料资金预算--查询表（财务部）'!$L:$L,$B12,'饲料资金预算--查询表（财务部）'!$M:$M,$C12,'饲料资金预算--查询表（财务部）'!$S:$S,"&gt;0")</f>
        <v>0</v>
      </c>
      <c r="N12" s="65">
        <f>SUMIFS('饲料资金预算--查询表（财务部）'!P:P,'饲料资金预算--查询表（财务部）'!$L:$L,$B12,'饲料资金预算--查询表（财务部）'!$M:$M,$C12,'饲料资金预算--查询表（财务部）'!$S:$S,"&gt;0")</f>
        <v>0</v>
      </c>
      <c r="O12" s="65">
        <f>SUMIFS('饲料资金预算--查询表（财务部）'!Q:Q,'饲料资金预算--查询表（财务部）'!$L:$L,$B12,'饲料资金预算--查询表（财务部）'!$M:$M,$C12,'饲料资金预算--查询表（财务部）'!$S:$S,"&gt;0")</f>
        <v>0</v>
      </c>
      <c r="P12" s="65">
        <f>SUMIFS('饲料资金预算--查询表（财务部）'!R:R,'饲料资金预算--查询表（财务部）'!$L:$L,$B12,'饲料资金预算--查询表（财务部）'!$M:$M,$C12,'饲料资金预算--查询表（财务部）'!$S:$S,"&gt;0")</f>
        <v>0</v>
      </c>
      <c r="Q12" s="65">
        <f>SUMIFS('饲料资金预算--查询表（财务部）'!S:S,'饲料资金预算--查询表（财务部）'!$L:$L,$B12,'饲料资金预算--查询表（财务部）'!$M:$M,$C12,'饲料资金预算--查询表（财务部）'!$S:$S,"&gt;0")</f>
        <v>0</v>
      </c>
      <c r="R12" s="139">
        <f t="shared" si="5"/>
        <v>0</v>
      </c>
      <c r="S12" s="139">
        <f t="shared" si="6"/>
        <v>0</v>
      </c>
      <c r="T12" s="139">
        <f t="shared" si="7"/>
        <v>0</v>
      </c>
      <c r="U12" s="65">
        <f t="shared" ref="U12:AB12" si="25">D12-M12</f>
        <v>0</v>
      </c>
      <c r="V12" s="65">
        <f t="shared" si="25"/>
        <v>0</v>
      </c>
      <c r="W12" s="65">
        <f t="shared" si="25"/>
        <v>0</v>
      </c>
      <c r="X12" s="65">
        <f t="shared" si="25"/>
        <v>0</v>
      </c>
      <c r="Y12" s="65">
        <f t="shared" si="25"/>
        <v>0</v>
      </c>
      <c r="Z12" s="139">
        <f t="shared" si="25"/>
        <v>0</v>
      </c>
      <c r="AA12" s="139">
        <f t="shared" si="25"/>
        <v>0</v>
      </c>
      <c r="AB12" s="139">
        <f t="shared" si="25"/>
        <v>0</v>
      </c>
      <c r="AC12" s="139">
        <f t="shared" ref="AC12:AG12" si="26">IFERROR(U12/M12,0)</f>
        <v>0</v>
      </c>
      <c r="AD12" s="139">
        <f t="shared" si="26"/>
        <v>0</v>
      </c>
      <c r="AE12" s="139">
        <f t="shared" si="26"/>
        <v>0</v>
      </c>
      <c r="AF12" s="139">
        <f t="shared" si="26"/>
        <v>0</v>
      </c>
      <c r="AG12" s="139">
        <f t="shared" si="26"/>
        <v>0</v>
      </c>
      <c r="AH12" s="127"/>
    </row>
    <row r="13" ht="16.5" spans="1:34">
      <c r="A13" s="63" t="str">
        <f t="shared" si="18"/>
        <v>福建</v>
      </c>
      <c r="B13" s="63" t="s">
        <v>2294</v>
      </c>
      <c r="C13" s="138" t="s">
        <v>2314</v>
      </c>
      <c r="D13" s="65">
        <f>SUMIFS('饲料资金预算--查询表（财务部）'!W:W,'饲料资金预算--查询表（财务部）'!$L:$L,$B13,'饲料资金预算--查询表（财务部）'!$M:$M,$C13,'饲料资金预算--查询表（财务部）'!$AA:$AA,"&gt;0")</f>
        <v>0</v>
      </c>
      <c r="E13" s="65">
        <f>SUMIFS('饲料资金预算--查询表（财务部）'!X:X,'饲料资金预算--查询表（财务部）'!$L:$L,$B13,'饲料资金预算--查询表（财务部）'!$M:$M,$C13,'饲料资金预算--查询表（财务部）'!$AA:$AA,"&gt;0")</f>
        <v>0</v>
      </c>
      <c r="F13" s="65">
        <f>SUMIFS('饲料资金预算--查询表（财务部）'!Y:Y,'饲料资金预算--查询表（财务部）'!$L:$L,$B13,'饲料资金预算--查询表（财务部）'!$M:$M,$C13,'饲料资金预算--查询表（财务部）'!$AA:$AA,"&gt;0")</f>
        <v>0</v>
      </c>
      <c r="G13" s="65">
        <f>SUMIFS('饲料资金预算--查询表（财务部）'!Z:Z,'饲料资金预算--查询表（财务部）'!$L:$L,$B13,'饲料资金预算--查询表（财务部）'!$M:$M,$C13,'饲料资金预算--查询表（财务部）'!$AA:$AA,"&gt;0")</f>
        <v>0</v>
      </c>
      <c r="H13" s="65">
        <f>SUMIFS('饲料资金预算--查询表（财务部）'!AA:AA,'饲料资金预算--查询表（财务部）'!$L:$L,$B13,'饲料资金预算--查询表（财务部）'!$M:$M,$C13,'饲料资金预算--查询表（财务部）'!$AA:$AA,"&gt;0")</f>
        <v>0</v>
      </c>
      <c r="I13" s="139">
        <f t="shared" si="1"/>
        <v>0</v>
      </c>
      <c r="J13" s="139">
        <f t="shared" si="2"/>
        <v>0</v>
      </c>
      <c r="K13" s="139">
        <f t="shared" si="3"/>
        <v>0</v>
      </c>
      <c r="L13" s="63">
        <f>SUMIFS('饲料资金预算--查询表（财务部）'!AE:AE,'饲料资金预算--查询表（财务部）'!$L:$L,$B13,'饲料资金预算--查询表（财务部）'!$M:$M,$C13,'饲料资金预算--查询表（财务部）'!$AA:$AA,"&gt;0")</f>
        <v>0</v>
      </c>
      <c r="M13" s="65">
        <f>SUMIFS('饲料资金预算--查询表（财务部）'!O:O,'饲料资金预算--查询表（财务部）'!$L:$L,$B13,'饲料资金预算--查询表（财务部）'!$M:$M,$C13,'饲料资金预算--查询表（财务部）'!$S:$S,"&gt;0")</f>
        <v>0</v>
      </c>
      <c r="N13" s="65">
        <f>SUMIFS('饲料资金预算--查询表（财务部）'!P:P,'饲料资金预算--查询表（财务部）'!$L:$L,$B13,'饲料资金预算--查询表（财务部）'!$M:$M,$C13,'饲料资金预算--查询表（财务部）'!$S:$S,"&gt;0")</f>
        <v>0</v>
      </c>
      <c r="O13" s="65">
        <f>SUMIFS('饲料资金预算--查询表（财务部）'!Q:Q,'饲料资金预算--查询表（财务部）'!$L:$L,$B13,'饲料资金预算--查询表（财务部）'!$M:$M,$C13,'饲料资金预算--查询表（财务部）'!$S:$S,"&gt;0")</f>
        <v>0</v>
      </c>
      <c r="P13" s="65">
        <f>SUMIFS('饲料资金预算--查询表（财务部）'!R:R,'饲料资金预算--查询表（财务部）'!$L:$L,$B13,'饲料资金预算--查询表（财务部）'!$M:$M,$C13,'饲料资金预算--查询表（财务部）'!$S:$S,"&gt;0")</f>
        <v>0</v>
      </c>
      <c r="Q13" s="65">
        <f>SUMIFS('饲料资金预算--查询表（财务部）'!S:S,'饲料资金预算--查询表（财务部）'!$L:$L,$B13,'饲料资金预算--查询表（财务部）'!$M:$M,$C13,'饲料资金预算--查询表（财务部）'!$S:$S,"&gt;0")</f>
        <v>0</v>
      </c>
      <c r="R13" s="139">
        <f t="shared" si="5"/>
        <v>0</v>
      </c>
      <c r="S13" s="139">
        <f t="shared" si="6"/>
        <v>0</v>
      </c>
      <c r="T13" s="139">
        <f t="shared" si="7"/>
        <v>0</v>
      </c>
      <c r="U13" s="65">
        <f t="shared" ref="U13:AB13" si="27">D13-M13</f>
        <v>0</v>
      </c>
      <c r="V13" s="65">
        <f t="shared" si="27"/>
        <v>0</v>
      </c>
      <c r="W13" s="65">
        <f t="shared" si="27"/>
        <v>0</v>
      </c>
      <c r="X13" s="65">
        <f t="shared" si="27"/>
        <v>0</v>
      </c>
      <c r="Y13" s="65">
        <f t="shared" si="27"/>
        <v>0</v>
      </c>
      <c r="Z13" s="139">
        <f t="shared" si="27"/>
        <v>0</v>
      </c>
      <c r="AA13" s="139">
        <f t="shared" si="27"/>
        <v>0</v>
      </c>
      <c r="AB13" s="139">
        <f t="shared" si="27"/>
        <v>0</v>
      </c>
      <c r="AC13" s="139">
        <f t="shared" ref="AC13:AG13" si="28">IFERROR(U13/M13,0)</f>
        <v>0</v>
      </c>
      <c r="AD13" s="139">
        <f t="shared" si="28"/>
        <v>0</v>
      </c>
      <c r="AE13" s="139">
        <f t="shared" si="28"/>
        <v>0</v>
      </c>
      <c r="AF13" s="139">
        <f t="shared" si="28"/>
        <v>0</v>
      </c>
      <c r="AG13" s="139">
        <f t="shared" si="28"/>
        <v>0</v>
      </c>
      <c r="AH13" s="127"/>
    </row>
    <row r="14" ht="16.5" spans="1:34">
      <c r="A14" s="63" t="str">
        <f t="shared" si="18"/>
        <v>福建</v>
      </c>
      <c r="B14" s="138" t="s">
        <v>2295</v>
      </c>
      <c r="C14" s="138" t="s">
        <v>2315</v>
      </c>
      <c r="D14" s="65">
        <f>SUMIFS('饲料资金预算--查询表（财务部）'!W:W,'饲料资金预算--查询表（财务部）'!$L:$L,$B14,'饲料资金预算--查询表（财务部）'!$M:$M,$C14,'饲料资金预算--查询表（财务部）'!$AA:$AA,"&gt;0")</f>
        <v>0</v>
      </c>
      <c r="E14" s="65">
        <f>SUMIFS('饲料资金预算--查询表（财务部）'!X:X,'饲料资金预算--查询表（财务部）'!$L:$L,$B14,'饲料资金预算--查询表（财务部）'!$M:$M,$C14,'饲料资金预算--查询表（财务部）'!$AA:$AA,"&gt;0")</f>
        <v>0</v>
      </c>
      <c r="F14" s="65">
        <f>SUMIFS('饲料资金预算--查询表（财务部）'!Y:Y,'饲料资金预算--查询表（财务部）'!$L:$L,$B14,'饲料资金预算--查询表（财务部）'!$M:$M,$C14,'饲料资金预算--查询表（财务部）'!$AA:$AA,"&gt;0")</f>
        <v>0</v>
      </c>
      <c r="G14" s="65">
        <f>SUMIFS('饲料资金预算--查询表（财务部）'!Z:Z,'饲料资金预算--查询表（财务部）'!$L:$L,$B14,'饲料资金预算--查询表（财务部）'!$M:$M,$C14,'饲料资金预算--查询表（财务部）'!$AA:$AA,"&gt;0")</f>
        <v>0</v>
      </c>
      <c r="H14" s="65">
        <f>SUMIFS('饲料资金预算--查询表（财务部）'!AA:AA,'饲料资金预算--查询表（财务部）'!$L:$L,$B14,'饲料资金预算--查询表（财务部）'!$M:$M,$C14,'饲料资金预算--查询表（财务部）'!$AA:$AA,"&gt;0")</f>
        <v>0</v>
      </c>
      <c r="I14" s="139">
        <f t="shared" si="1"/>
        <v>0</v>
      </c>
      <c r="J14" s="139">
        <f t="shared" si="2"/>
        <v>0</v>
      </c>
      <c r="K14" s="139">
        <f t="shared" si="3"/>
        <v>0</v>
      </c>
      <c r="L14" s="63">
        <f>SUMIFS('饲料资金预算--查询表（财务部）'!AE:AE,'饲料资金预算--查询表（财务部）'!$L:$L,$B14,'饲料资金预算--查询表（财务部）'!$M:$M,$C14,'饲料资金预算--查询表（财务部）'!$AA:$AA,"&gt;0")</f>
        <v>0</v>
      </c>
      <c r="M14" s="65">
        <f>SUMIFS('饲料资金预算--查询表（财务部）'!O:O,'饲料资金预算--查询表（财务部）'!$L:$L,$B14,'饲料资金预算--查询表（财务部）'!$M:$M,$C14,'饲料资金预算--查询表（财务部）'!$S:$S,"&gt;0")</f>
        <v>0</v>
      </c>
      <c r="N14" s="65">
        <f>SUMIFS('饲料资金预算--查询表（财务部）'!P:P,'饲料资金预算--查询表（财务部）'!$L:$L,$B14,'饲料资金预算--查询表（财务部）'!$M:$M,$C14,'饲料资金预算--查询表（财务部）'!$S:$S,"&gt;0")</f>
        <v>0</v>
      </c>
      <c r="O14" s="65">
        <f>SUMIFS('饲料资金预算--查询表（财务部）'!Q:Q,'饲料资金预算--查询表（财务部）'!$L:$L,$B14,'饲料资金预算--查询表（财务部）'!$M:$M,$C14,'饲料资金预算--查询表（财务部）'!$S:$S,"&gt;0")</f>
        <v>0</v>
      </c>
      <c r="P14" s="65">
        <f>SUMIFS('饲料资金预算--查询表（财务部）'!R:R,'饲料资金预算--查询表（财务部）'!$L:$L,$B14,'饲料资金预算--查询表（财务部）'!$M:$M,$C14,'饲料资金预算--查询表（财务部）'!$S:$S,"&gt;0")</f>
        <v>0</v>
      </c>
      <c r="Q14" s="65">
        <f>SUMIFS('饲料资金预算--查询表（财务部）'!S:S,'饲料资金预算--查询表（财务部）'!$L:$L,$B14,'饲料资金预算--查询表（财务部）'!$M:$M,$C14,'饲料资金预算--查询表（财务部）'!$S:$S,"&gt;0")</f>
        <v>0</v>
      </c>
      <c r="R14" s="139">
        <f t="shared" si="5"/>
        <v>0</v>
      </c>
      <c r="S14" s="139">
        <f t="shared" si="6"/>
        <v>0</v>
      </c>
      <c r="T14" s="139">
        <f t="shared" si="7"/>
        <v>0</v>
      </c>
      <c r="U14" s="65">
        <f t="shared" ref="U14:AB14" si="29">D14-M14</f>
        <v>0</v>
      </c>
      <c r="V14" s="65">
        <f t="shared" si="29"/>
        <v>0</v>
      </c>
      <c r="W14" s="65">
        <f t="shared" si="29"/>
        <v>0</v>
      </c>
      <c r="X14" s="65">
        <f t="shared" si="29"/>
        <v>0</v>
      </c>
      <c r="Y14" s="65">
        <f t="shared" si="29"/>
        <v>0</v>
      </c>
      <c r="Z14" s="139">
        <f t="shared" si="29"/>
        <v>0</v>
      </c>
      <c r="AA14" s="139">
        <f t="shared" si="29"/>
        <v>0</v>
      </c>
      <c r="AB14" s="139">
        <f t="shared" si="29"/>
        <v>0</v>
      </c>
      <c r="AC14" s="139">
        <f t="shared" ref="AC14:AG14" si="30">IFERROR(U14/M14,0)</f>
        <v>0</v>
      </c>
      <c r="AD14" s="139">
        <f t="shared" si="30"/>
        <v>0</v>
      </c>
      <c r="AE14" s="139">
        <f t="shared" si="30"/>
        <v>0</v>
      </c>
      <c r="AF14" s="139">
        <f t="shared" si="30"/>
        <v>0</v>
      </c>
      <c r="AG14" s="139">
        <f t="shared" si="30"/>
        <v>0</v>
      </c>
      <c r="AH14" s="127"/>
    </row>
    <row r="15" ht="16.5" spans="1:34">
      <c r="A15" s="63" t="str">
        <f t="shared" si="18"/>
        <v>福建</v>
      </c>
      <c r="B15" s="138" t="s">
        <v>2295</v>
      </c>
      <c r="C15" s="138" t="s">
        <v>2316</v>
      </c>
      <c r="D15" s="65">
        <f>SUMIFS('饲料资金预算--查询表（财务部）'!W:W,'饲料资金预算--查询表（财务部）'!$L:$L,$B15,'饲料资金预算--查询表（财务部）'!$M:$M,$C15,'饲料资金预算--查询表（财务部）'!$AA:$AA,"&gt;0")</f>
        <v>0</v>
      </c>
      <c r="E15" s="65">
        <f>SUMIFS('饲料资金预算--查询表（财务部）'!X:X,'饲料资金预算--查询表（财务部）'!$L:$L,$B15,'饲料资金预算--查询表（财务部）'!$M:$M,$C15,'饲料资金预算--查询表（财务部）'!$AA:$AA,"&gt;0")</f>
        <v>0</v>
      </c>
      <c r="F15" s="65">
        <f>SUMIFS('饲料资金预算--查询表（财务部）'!Y:Y,'饲料资金预算--查询表（财务部）'!$L:$L,$B15,'饲料资金预算--查询表（财务部）'!$M:$M,$C15,'饲料资金预算--查询表（财务部）'!$AA:$AA,"&gt;0")</f>
        <v>0</v>
      </c>
      <c r="G15" s="65">
        <f>SUMIFS('饲料资金预算--查询表（财务部）'!Z:Z,'饲料资金预算--查询表（财务部）'!$L:$L,$B15,'饲料资金预算--查询表（财务部）'!$M:$M,$C15,'饲料资金预算--查询表（财务部）'!$AA:$AA,"&gt;0")</f>
        <v>0</v>
      </c>
      <c r="H15" s="65">
        <f>SUMIFS('饲料资金预算--查询表（财务部）'!AA:AA,'饲料资金预算--查询表（财务部）'!$L:$L,$B15,'饲料资金预算--查询表（财务部）'!$M:$M,$C15,'饲料资金预算--查询表（财务部）'!$AA:$AA,"&gt;0")</f>
        <v>0</v>
      </c>
      <c r="I15" s="139">
        <f t="shared" si="1"/>
        <v>0</v>
      </c>
      <c r="J15" s="139">
        <f t="shared" si="2"/>
        <v>0</v>
      </c>
      <c r="K15" s="139">
        <f t="shared" si="3"/>
        <v>0</v>
      </c>
      <c r="L15" s="63">
        <f>SUMIFS('饲料资金预算--查询表（财务部）'!AE:AE,'饲料资金预算--查询表（财务部）'!$L:$L,$B15,'饲料资金预算--查询表（财务部）'!$M:$M,$C15,'饲料资金预算--查询表（财务部）'!$AA:$AA,"&gt;0")</f>
        <v>0</v>
      </c>
      <c r="M15" s="65">
        <f>SUMIFS('饲料资金预算--查询表（财务部）'!O:O,'饲料资金预算--查询表（财务部）'!$L:$L,$B15,'饲料资金预算--查询表（财务部）'!$M:$M,$C15,'饲料资金预算--查询表（财务部）'!$S:$S,"&gt;0")</f>
        <v>0</v>
      </c>
      <c r="N15" s="65">
        <f>SUMIFS('饲料资金预算--查询表（财务部）'!P:P,'饲料资金预算--查询表（财务部）'!$L:$L,$B15,'饲料资金预算--查询表（财务部）'!$M:$M,$C15,'饲料资金预算--查询表（财务部）'!$S:$S,"&gt;0")</f>
        <v>0</v>
      </c>
      <c r="O15" s="65">
        <f>SUMIFS('饲料资金预算--查询表（财务部）'!Q:Q,'饲料资金预算--查询表（财务部）'!$L:$L,$B15,'饲料资金预算--查询表（财务部）'!$M:$M,$C15,'饲料资金预算--查询表（财务部）'!$S:$S,"&gt;0")</f>
        <v>0</v>
      </c>
      <c r="P15" s="65">
        <f>SUMIFS('饲料资金预算--查询表（财务部）'!R:R,'饲料资金预算--查询表（财务部）'!$L:$L,$B15,'饲料资金预算--查询表（财务部）'!$M:$M,$C15,'饲料资金预算--查询表（财务部）'!$S:$S,"&gt;0")</f>
        <v>0</v>
      </c>
      <c r="Q15" s="65">
        <f>SUMIFS('饲料资金预算--查询表（财务部）'!S:S,'饲料资金预算--查询表（财务部）'!$L:$L,$B15,'饲料资金预算--查询表（财务部）'!$M:$M,$C15,'饲料资金预算--查询表（财务部）'!$S:$S,"&gt;0")</f>
        <v>0</v>
      </c>
      <c r="R15" s="139">
        <f t="shared" si="5"/>
        <v>0</v>
      </c>
      <c r="S15" s="139">
        <f t="shared" si="6"/>
        <v>0</v>
      </c>
      <c r="T15" s="139">
        <f t="shared" si="7"/>
        <v>0</v>
      </c>
      <c r="U15" s="65">
        <f t="shared" ref="U15:AB15" si="31">D15-M15</f>
        <v>0</v>
      </c>
      <c r="V15" s="65">
        <f t="shared" si="31"/>
        <v>0</v>
      </c>
      <c r="W15" s="65">
        <f t="shared" si="31"/>
        <v>0</v>
      </c>
      <c r="X15" s="65">
        <f t="shared" si="31"/>
        <v>0</v>
      </c>
      <c r="Y15" s="65">
        <f t="shared" si="31"/>
        <v>0</v>
      </c>
      <c r="Z15" s="139">
        <f t="shared" si="31"/>
        <v>0</v>
      </c>
      <c r="AA15" s="139">
        <f t="shared" si="31"/>
        <v>0</v>
      </c>
      <c r="AB15" s="139">
        <f t="shared" si="31"/>
        <v>0</v>
      </c>
      <c r="AC15" s="139">
        <f t="shared" ref="AC15:AG15" si="32">IFERROR(U15/M15,0)</f>
        <v>0</v>
      </c>
      <c r="AD15" s="139">
        <f t="shared" si="32"/>
        <v>0</v>
      </c>
      <c r="AE15" s="139">
        <f t="shared" si="32"/>
        <v>0</v>
      </c>
      <c r="AF15" s="139">
        <f t="shared" si="32"/>
        <v>0</v>
      </c>
      <c r="AG15" s="139">
        <f t="shared" si="32"/>
        <v>0</v>
      </c>
      <c r="AH15" s="127"/>
    </row>
    <row r="16" ht="16.5" spans="1:34">
      <c r="A16" s="63" t="str">
        <f t="shared" si="18"/>
        <v>福建</v>
      </c>
      <c r="B16" s="138" t="s">
        <v>2295</v>
      </c>
      <c r="C16" s="138" t="s">
        <v>2317</v>
      </c>
      <c r="D16" s="65">
        <f>SUMIFS('饲料资金预算--查询表（财务部）'!W:W,'饲料资金预算--查询表（财务部）'!$L:$L,$B16,'饲料资金预算--查询表（财务部）'!$M:$M,$C16,'饲料资金预算--查询表（财务部）'!$AA:$AA,"&gt;0")</f>
        <v>0</v>
      </c>
      <c r="E16" s="65">
        <f>SUMIFS('饲料资金预算--查询表（财务部）'!X:X,'饲料资金预算--查询表（财务部）'!$L:$L,$B16,'饲料资金预算--查询表（财务部）'!$M:$M,$C16,'饲料资金预算--查询表（财务部）'!$AA:$AA,"&gt;0")</f>
        <v>0</v>
      </c>
      <c r="F16" s="65">
        <f>SUMIFS('饲料资金预算--查询表（财务部）'!Y:Y,'饲料资金预算--查询表（财务部）'!$L:$L,$B16,'饲料资金预算--查询表（财务部）'!$M:$M,$C16,'饲料资金预算--查询表（财务部）'!$AA:$AA,"&gt;0")</f>
        <v>0</v>
      </c>
      <c r="G16" s="65">
        <f>SUMIFS('饲料资金预算--查询表（财务部）'!Z:Z,'饲料资金预算--查询表（财务部）'!$L:$L,$B16,'饲料资金预算--查询表（财务部）'!$M:$M,$C16,'饲料资金预算--查询表（财务部）'!$AA:$AA,"&gt;0")</f>
        <v>0</v>
      </c>
      <c r="H16" s="65">
        <f>SUMIFS('饲料资金预算--查询表（财务部）'!AA:AA,'饲料资金预算--查询表（财务部）'!$L:$L,$B16,'饲料资金预算--查询表（财务部）'!$M:$M,$C16,'饲料资金预算--查询表（财务部）'!$AA:$AA,"&gt;0")</f>
        <v>0</v>
      </c>
      <c r="I16" s="139">
        <f t="shared" si="1"/>
        <v>0</v>
      </c>
      <c r="J16" s="139">
        <f t="shared" si="2"/>
        <v>0</v>
      </c>
      <c r="K16" s="139">
        <f t="shared" si="3"/>
        <v>0</v>
      </c>
      <c r="L16" s="63">
        <f>SUMIFS('饲料资金预算--查询表（财务部）'!AE:AE,'饲料资金预算--查询表（财务部）'!$L:$L,$B16,'饲料资金预算--查询表（财务部）'!$M:$M,$C16,'饲料资金预算--查询表（财务部）'!$AA:$AA,"&gt;0")</f>
        <v>0</v>
      </c>
      <c r="M16" s="65">
        <f>SUMIFS('饲料资金预算--查询表（财务部）'!O:O,'饲料资金预算--查询表（财务部）'!$L:$L,$B16,'饲料资金预算--查询表（财务部）'!$M:$M,$C16,'饲料资金预算--查询表（财务部）'!$S:$S,"&gt;0")</f>
        <v>0</v>
      </c>
      <c r="N16" s="65">
        <f>SUMIFS('饲料资金预算--查询表（财务部）'!P:P,'饲料资金预算--查询表（财务部）'!$L:$L,$B16,'饲料资金预算--查询表（财务部）'!$M:$M,$C16,'饲料资金预算--查询表（财务部）'!$S:$S,"&gt;0")</f>
        <v>0</v>
      </c>
      <c r="O16" s="65">
        <f>SUMIFS('饲料资金预算--查询表（财务部）'!Q:Q,'饲料资金预算--查询表（财务部）'!$L:$L,$B16,'饲料资金预算--查询表（财务部）'!$M:$M,$C16,'饲料资金预算--查询表（财务部）'!$S:$S,"&gt;0")</f>
        <v>0</v>
      </c>
      <c r="P16" s="65">
        <f>SUMIFS('饲料资金预算--查询表（财务部）'!R:R,'饲料资金预算--查询表（财务部）'!$L:$L,$B16,'饲料资金预算--查询表（财务部）'!$M:$M,$C16,'饲料资金预算--查询表（财务部）'!$S:$S,"&gt;0")</f>
        <v>0</v>
      </c>
      <c r="Q16" s="65">
        <f>SUMIFS('饲料资金预算--查询表（财务部）'!S:S,'饲料资金预算--查询表（财务部）'!$L:$L,$B16,'饲料资金预算--查询表（财务部）'!$M:$M,$C16,'饲料资金预算--查询表（财务部）'!$S:$S,"&gt;0")</f>
        <v>0</v>
      </c>
      <c r="R16" s="139">
        <f t="shared" si="5"/>
        <v>0</v>
      </c>
      <c r="S16" s="139">
        <f t="shared" si="6"/>
        <v>0</v>
      </c>
      <c r="T16" s="139">
        <f t="shared" si="7"/>
        <v>0</v>
      </c>
      <c r="U16" s="65">
        <f t="shared" ref="U16:AB16" si="33">D16-M16</f>
        <v>0</v>
      </c>
      <c r="V16" s="65">
        <f t="shared" si="33"/>
        <v>0</v>
      </c>
      <c r="W16" s="65">
        <f t="shared" si="33"/>
        <v>0</v>
      </c>
      <c r="X16" s="65">
        <f t="shared" si="33"/>
        <v>0</v>
      </c>
      <c r="Y16" s="65">
        <f t="shared" si="33"/>
        <v>0</v>
      </c>
      <c r="Z16" s="139">
        <f t="shared" si="33"/>
        <v>0</v>
      </c>
      <c r="AA16" s="139">
        <f t="shared" si="33"/>
        <v>0</v>
      </c>
      <c r="AB16" s="139">
        <f t="shared" si="33"/>
        <v>0</v>
      </c>
      <c r="AC16" s="139">
        <f t="shared" ref="AC16:AG16" si="34">IFERROR(U16/M16,0)</f>
        <v>0</v>
      </c>
      <c r="AD16" s="139">
        <f t="shared" si="34"/>
        <v>0</v>
      </c>
      <c r="AE16" s="139">
        <f t="shared" si="34"/>
        <v>0</v>
      </c>
      <c r="AF16" s="139">
        <f t="shared" si="34"/>
        <v>0</v>
      </c>
      <c r="AG16" s="139">
        <f t="shared" si="34"/>
        <v>0</v>
      </c>
      <c r="AH16" s="127"/>
    </row>
    <row r="17" ht="16.5" spans="1:34">
      <c r="A17" s="63" t="str">
        <f t="shared" si="18"/>
        <v>福建</v>
      </c>
      <c r="B17" s="138" t="s">
        <v>2295</v>
      </c>
      <c r="C17" s="138" t="s">
        <v>2318</v>
      </c>
      <c r="D17" s="65">
        <f>SUMIFS('饲料资金预算--查询表（财务部）'!W:W,'饲料资金预算--查询表（财务部）'!$L:$L,$B17,'饲料资金预算--查询表（财务部）'!$M:$M,$C17,'饲料资金预算--查询表（财务部）'!$AA:$AA,"&gt;0")</f>
        <v>0</v>
      </c>
      <c r="E17" s="65">
        <f>SUMIFS('饲料资金预算--查询表（财务部）'!X:X,'饲料资金预算--查询表（财务部）'!$L:$L,$B17,'饲料资金预算--查询表（财务部）'!$M:$M,$C17,'饲料资金预算--查询表（财务部）'!$AA:$AA,"&gt;0")</f>
        <v>0</v>
      </c>
      <c r="F17" s="65">
        <f>SUMIFS('饲料资金预算--查询表（财务部）'!Y:Y,'饲料资金预算--查询表（财务部）'!$L:$L,$B17,'饲料资金预算--查询表（财务部）'!$M:$M,$C17,'饲料资金预算--查询表（财务部）'!$AA:$AA,"&gt;0")</f>
        <v>0</v>
      </c>
      <c r="G17" s="65">
        <f>SUMIFS('饲料资金预算--查询表（财务部）'!Z:Z,'饲料资金预算--查询表（财务部）'!$L:$L,$B17,'饲料资金预算--查询表（财务部）'!$M:$M,$C17,'饲料资金预算--查询表（财务部）'!$AA:$AA,"&gt;0")</f>
        <v>0</v>
      </c>
      <c r="H17" s="65">
        <f>SUMIFS('饲料资金预算--查询表（财务部）'!AA:AA,'饲料资金预算--查询表（财务部）'!$L:$L,$B17,'饲料资金预算--查询表（财务部）'!$M:$M,$C17,'饲料资金预算--查询表（财务部）'!$AA:$AA,"&gt;0")</f>
        <v>0</v>
      </c>
      <c r="I17" s="139">
        <f t="shared" si="1"/>
        <v>0</v>
      </c>
      <c r="J17" s="139">
        <f t="shared" si="2"/>
        <v>0</v>
      </c>
      <c r="K17" s="139">
        <f t="shared" si="3"/>
        <v>0</v>
      </c>
      <c r="L17" s="63">
        <f>SUMIFS('饲料资金预算--查询表（财务部）'!AE:AE,'饲料资金预算--查询表（财务部）'!$L:$L,$B17,'饲料资金预算--查询表（财务部）'!$M:$M,$C17,'饲料资金预算--查询表（财务部）'!$AA:$AA,"&gt;0")</f>
        <v>0</v>
      </c>
      <c r="M17" s="65">
        <f>SUMIFS('饲料资金预算--查询表（财务部）'!O:O,'饲料资金预算--查询表（财务部）'!$L:$L,$B17,'饲料资金预算--查询表（财务部）'!$M:$M,$C17,'饲料资金预算--查询表（财务部）'!$S:$S,"&gt;0")</f>
        <v>0</v>
      </c>
      <c r="N17" s="65">
        <f>SUMIFS('饲料资金预算--查询表（财务部）'!P:P,'饲料资金预算--查询表（财务部）'!$L:$L,$B17,'饲料资金预算--查询表（财务部）'!$M:$M,$C17,'饲料资金预算--查询表（财务部）'!$S:$S,"&gt;0")</f>
        <v>0</v>
      </c>
      <c r="O17" s="65">
        <f>SUMIFS('饲料资金预算--查询表（财务部）'!Q:Q,'饲料资金预算--查询表（财务部）'!$L:$L,$B17,'饲料资金预算--查询表（财务部）'!$M:$M,$C17,'饲料资金预算--查询表（财务部）'!$S:$S,"&gt;0")</f>
        <v>0</v>
      </c>
      <c r="P17" s="65">
        <f>SUMIFS('饲料资金预算--查询表（财务部）'!R:R,'饲料资金预算--查询表（财务部）'!$L:$L,$B17,'饲料资金预算--查询表（财务部）'!$M:$M,$C17,'饲料资金预算--查询表（财务部）'!$S:$S,"&gt;0")</f>
        <v>0</v>
      </c>
      <c r="Q17" s="65">
        <f>SUMIFS('饲料资金预算--查询表（财务部）'!S:S,'饲料资金预算--查询表（财务部）'!$L:$L,$B17,'饲料资金预算--查询表（财务部）'!$M:$M,$C17,'饲料资金预算--查询表（财务部）'!$S:$S,"&gt;0")</f>
        <v>0</v>
      </c>
      <c r="R17" s="139">
        <f t="shared" si="5"/>
        <v>0</v>
      </c>
      <c r="S17" s="139">
        <f t="shared" si="6"/>
        <v>0</v>
      </c>
      <c r="T17" s="139">
        <f t="shared" si="7"/>
        <v>0</v>
      </c>
      <c r="U17" s="65">
        <f t="shared" ref="U17:AB17" si="35">D17-M17</f>
        <v>0</v>
      </c>
      <c r="V17" s="65">
        <f t="shared" si="35"/>
        <v>0</v>
      </c>
      <c r="W17" s="65">
        <f t="shared" si="35"/>
        <v>0</v>
      </c>
      <c r="X17" s="65">
        <f t="shared" si="35"/>
        <v>0</v>
      </c>
      <c r="Y17" s="65">
        <f t="shared" si="35"/>
        <v>0</v>
      </c>
      <c r="Z17" s="139">
        <f t="shared" si="35"/>
        <v>0</v>
      </c>
      <c r="AA17" s="139">
        <f t="shared" si="35"/>
        <v>0</v>
      </c>
      <c r="AB17" s="139">
        <f t="shared" si="35"/>
        <v>0</v>
      </c>
      <c r="AC17" s="139">
        <f t="shared" ref="AC17:AG17" si="36">IFERROR(U17/M17,0)</f>
        <v>0</v>
      </c>
      <c r="AD17" s="139">
        <f t="shared" si="36"/>
        <v>0</v>
      </c>
      <c r="AE17" s="139">
        <f t="shared" si="36"/>
        <v>0</v>
      </c>
      <c r="AF17" s="139">
        <f t="shared" si="36"/>
        <v>0</v>
      </c>
      <c r="AG17" s="139">
        <f t="shared" si="36"/>
        <v>0</v>
      </c>
      <c r="AH17" s="127"/>
    </row>
    <row r="18" ht="16.5" spans="1:34">
      <c r="A18" s="63" t="str">
        <f t="shared" si="18"/>
        <v>福建</v>
      </c>
      <c r="B18" s="138" t="s">
        <v>2295</v>
      </c>
      <c r="C18" s="138" t="s">
        <v>2319</v>
      </c>
      <c r="D18" s="65">
        <f>SUMIFS('饲料资金预算--查询表（财务部）'!W:W,'饲料资金预算--查询表（财务部）'!$L:$L,$B18,'饲料资金预算--查询表（财务部）'!$M:$M,$C18,'饲料资金预算--查询表（财务部）'!$AA:$AA,"&gt;0")</f>
        <v>0</v>
      </c>
      <c r="E18" s="65">
        <f>SUMIFS('饲料资金预算--查询表（财务部）'!X:X,'饲料资金预算--查询表（财务部）'!$L:$L,$B18,'饲料资金预算--查询表（财务部）'!$M:$M,$C18,'饲料资金预算--查询表（财务部）'!$AA:$AA,"&gt;0")</f>
        <v>0</v>
      </c>
      <c r="F18" s="65">
        <f>SUMIFS('饲料资金预算--查询表（财务部）'!Y:Y,'饲料资金预算--查询表（财务部）'!$L:$L,$B18,'饲料资金预算--查询表（财务部）'!$M:$M,$C18,'饲料资金预算--查询表（财务部）'!$AA:$AA,"&gt;0")</f>
        <v>0</v>
      </c>
      <c r="G18" s="65">
        <f>SUMIFS('饲料资金预算--查询表（财务部）'!Z:Z,'饲料资金预算--查询表（财务部）'!$L:$L,$B18,'饲料资金预算--查询表（财务部）'!$M:$M,$C18,'饲料资金预算--查询表（财务部）'!$AA:$AA,"&gt;0")</f>
        <v>0</v>
      </c>
      <c r="H18" s="65">
        <f>SUMIFS('饲料资金预算--查询表（财务部）'!AA:AA,'饲料资金预算--查询表（财务部）'!$L:$L,$B18,'饲料资金预算--查询表（财务部）'!$M:$M,$C18,'饲料资金预算--查询表（财务部）'!$AA:$AA,"&gt;0")</f>
        <v>0</v>
      </c>
      <c r="I18" s="139">
        <f t="shared" si="1"/>
        <v>0</v>
      </c>
      <c r="J18" s="139">
        <f t="shared" si="2"/>
        <v>0</v>
      </c>
      <c r="K18" s="139">
        <f t="shared" si="3"/>
        <v>0</v>
      </c>
      <c r="L18" s="63">
        <f>SUMIFS('饲料资金预算--查询表（财务部）'!AE:AE,'饲料资金预算--查询表（财务部）'!$L:$L,$B18,'饲料资金预算--查询表（财务部）'!$M:$M,$C18,'饲料资金预算--查询表（财务部）'!$AA:$AA,"&gt;0")</f>
        <v>0</v>
      </c>
      <c r="M18" s="65">
        <f>SUMIFS('饲料资金预算--查询表（财务部）'!O:O,'饲料资金预算--查询表（财务部）'!$L:$L,$B18,'饲料资金预算--查询表（财务部）'!$M:$M,$C18,'饲料资金预算--查询表（财务部）'!$S:$S,"&gt;0")</f>
        <v>0</v>
      </c>
      <c r="N18" s="65">
        <f>SUMIFS('饲料资金预算--查询表（财务部）'!P:P,'饲料资金预算--查询表（财务部）'!$L:$L,$B18,'饲料资金预算--查询表（财务部）'!$M:$M,$C18,'饲料资金预算--查询表（财务部）'!$S:$S,"&gt;0")</f>
        <v>0</v>
      </c>
      <c r="O18" s="65">
        <f>SUMIFS('饲料资金预算--查询表（财务部）'!Q:Q,'饲料资金预算--查询表（财务部）'!$L:$L,$B18,'饲料资金预算--查询表（财务部）'!$M:$M,$C18,'饲料资金预算--查询表（财务部）'!$S:$S,"&gt;0")</f>
        <v>0</v>
      </c>
      <c r="P18" s="65">
        <f>SUMIFS('饲料资金预算--查询表（财务部）'!R:R,'饲料资金预算--查询表（财务部）'!$L:$L,$B18,'饲料资金预算--查询表（财务部）'!$M:$M,$C18,'饲料资金预算--查询表（财务部）'!$S:$S,"&gt;0")</f>
        <v>0</v>
      </c>
      <c r="Q18" s="65">
        <f>SUMIFS('饲料资金预算--查询表（财务部）'!S:S,'饲料资金预算--查询表（财务部）'!$L:$L,$B18,'饲料资金预算--查询表（财务部）'!$M:$M,$C18,'饲料资金预算--查询表（财务部）'!$S:$S,"&gt;0")</f>
        <v>0</v>
      </c>
      <c r="R18" s="139">
        <f t="shared" si="5"/>
        <v>0</v>
      </c>
      <c r="S18" s="139">
        <f t="shared" si="6"/>
        <v>0</v>
      </c>
      <c r="T18" s="139">
        <f t="shared" si="7"/>
        <v>0</v>
      </c>
      <c r="U18" s="65">
        <f t="shared" ref="U18:AB18" si="37">D18-M18</f>
        <v>0</v>
      </c>
      <c r="V18" s="65">
        <f t="shared" si="37"/>
        <v>0</v>
      </c>
      <c r="W18" s="65">
        <f t="shared" si="37"/>
        <v>0</v>
      </c>
      <c r="X18" s="65">
        <f t="shared" si="37"/>
        <v>0</v>
      </c>
      <c r="Y18" s="65">
        <f t="shared" si="37"/>
        <v>0</v>
      </c>
      <c r="Z18" s="139">
        <f t="shared" si="37"/>
        <v>0</v>
      </c>
      <c r="AA18" s="139">
        <f t="shared" si="37"/>
        <v>0</v>
      </c>
      <c r="AB18" s="139">
        <f t="shared" si="37"/>
        <v>0</v>
      </c>
      <c r="AC18" s="139">
        <f t="shared" ref="AC18:AG18" si="38">IFERROR(U18/M18,0)</f>
        <v>0</v>
      </c>
      <c r="AD18" s="139">
        <f t="shared" si="38"/>
        <v>0</v>
      </c>
      <c r="AE18" s="139">
        <f t="shared" si="38"/>
        <v>0</v>
      </c>
      <c r="AF18" s="139">
        <f t="shared" si="38"/>
        <v>0</v>
      </c>
      <c r="AG18" s="139">
        <f t="shared" si="38"/>
        <v>0</v>
      </c>
      <c r="AH18" s="127"/>
    </row>
    <row r="19" ht="16.5" spans="1:34">
      <c r="A19" s="63" t="str">
        <f t="shared" si="18"/>
        <v>福建</v>
      </c>
      <c r="B19" s="138" t="s">
        <v>2295</v>
      </c>
      <c r="C19" s="138" t="s">
        <v>2320</v>
      </c>
      <c r="D19" s="65">
        <f>SUMIFS('饲料资金预算--查询表（财务部）'!W:W,'饲料资金预算--查询表（财务部）'!$L:$L,$B19,'饲料资金预算--查询表（财务部）'!$M:$M,$C19,'饲料资金预算--查询表（财务部）'!$AA:$AA,"&gt;0")</f>
        <v>0</v>
      </c>
      <c r="E19" s="65">
        <f>SUMIFS('饲料资金预算--查询表（财务部）'!X:X,'饲料资金预算--查询表（财务部）'!$L:$L,$B19,'饲料资金预算--查询表（财务部）'!$M:$M,$C19,'饲料资金预算--查询表（财务部）'!$AA:$AA,"&gt;0")</f>
        <v>0</v>
      </c>
      <c r="F19" s="65">
        <f>SUMIFS('饲料资金预算--查询表（财务部）'!Y:Y,'饲料资金预算--查询表（财务部）'!$L:$L,$B19,'饲料资金预算--查询表（财务部）'!$M:$M,$C19,'饲料资金预算--查询表（财务部）'!$AA:$AA,"&gt;0")</f>
        <v>0</v>
      </c>
      <c r="G19" s="65">
        <f>SUMIFS('饲料资金预算--查询表（财务部）'!Z:Z,'饲料资金预算--查询表（财务部）'!$L:$L,$B19,'饲料资金预算--查询表（财务部）'!$M:$M,$C19,'饲料资金预算--查询表（财务部）'!$AA:$AA,"&gt;0")</f>
        <v>0</v>
      </c>
      <c r="H19" s="65">
        <f>SUMIFS('饲料资金预算--查询表（财务部）'!AA:AA,'饲料资金预算--查询表（财务部）'!$L:$L,$B19,'饲料资金预算--查询表（财务部）'!$M:$M,$C19,'饲料资金预算--查询表（财务部）'!$AA:$AA,"&gt;0")</f>
        <v>0</v>
      </c>
      <c r="I19" s="139">
        <f t="shared" si="1"/>
        <v>0</v>
      </c>
      <c r="J19" s="139">
        <f t="shared" si="2"/>
        <v>0</v>
      </c>
      <c r="K19" s="139">
        <f t="shared" si="3"/>
        <v>0</v>
      </c>
      <c r="L19" s="63">
        <f>SUMIFS('饲料资金预算--查询表（财务部）'!AE:AE,'饲料资金预算--查询表（财务部）'!$L:$L,$B19,'饲料资金预算--查询表（财务部）'!$M:$M,$C19,'饲料资金预算--查询表（财务部）'!$AA:$AA,"&gt;0")</f>
        <v>0</v>
      </c>
      <c r="M19" s="65">
        <f>SUMIFS('饲料资金预算--查询表（财务部）'!O:O,'饲料资金预算--查询表（财务部）'!$L:$L,$B19,'饲料资金预算--查询表（财务部）'!$M:$M,$C19,'饲料资金预算--查询表（财务部）'!$S:$S,"&gt;0")</f>
        <v>0</v>
      </c>
      <c r="N19" s="65">
        <f>SUMIFS('饲料资金预算--查询表（财务部）'!P:P,'饲料资金预算--查询表（财务部）'!$L:$L,$B19,'饲料资金预算--查询表（财务部）'!$M:$M,$C19,'饲料资金预算--查询表（财务部）'!$S:$S,"&gt;0")</f>
        <v>0</v>
      </c>
      <c r="O19" s="65">
        <f>SUMIFS('饲料资金预算--查询表（财务部）'!Q:Q,'饲料资金预算--查询表（财务部）'!$L:$L,$B19,'饲料资金预算--查询表（财务部）'!$M:$M,$C19,'饲料资金预算--查询表（财务部）'!$S:$S,"&gt;0")</f>
        <v>0</v>
      </c>
      <c r="P19" s="65">
        <f>SUMIFS('饲料资金预算--查询表（财务部）'!R:R,'饲料资金预算--查询表（财务部）'!$L:$L,$B19,'饲料资金预算--查询表（财务部）'!$M:$M,$C19,'饲料资金预算--查询表（财务部）'!$S:$S,"&gt;0")</f>
        <v>0</v>
      </c>
      <c r="Q19" s="65">
        <f>SUMIFS('饲料资金预算--查询表（财务部）'!S:S,'饲料资金预算--查询表（财务部）'!$L:$L,$B19,'饲料资金预算--查询表（财务部）'!$M:$M,$C19,'饲料资金预算--查询表（财务部）'!$S:$S,"&gt;0")</f>
        <v>0</v>
      </c>
      <c r="R19" s="139">
        <f t="shared" si="5"/>
        <v>0</v>
      </c>
      <c r="S19" s="139">
        <f t="shared" si="6"/>
        <v>0</v>
      </c>
      <c r="T19" s="139">
        <f t="shared" si="7"/>
        <v>0</v>
      </c>
      <c r="U19" s="65">
        <f t="shared" ref="U19:AB19" si="39">D19-M19</f>
        <v>0</v>
      </c>
      <c r="V19" s="65">
        <f t="shared" si="39"/>
        <v>0</v>
      </c>
      <c r="W19" s="65">
        <f t="shared" si="39"/>
        <v>0</v>
      </c>
      <c r="X19" s="65">
        <f t="shared" si="39"/>
        <v>0</v>
      </c>
      <c r="Y19" s="65">
        <f t="shared" si="39"/>
        <v>0</v>
      </c>
      <c r="Z19" s="139">
        <f t="shared" si="39"/>
        <v>0</v>
      </c>
      <c r="AA19" s="139">
        <f t="shared" si="39"/>
        <v>0</v>
      </c>
      <c r="AB19" s="139">
        <f t="shared" si="39"/>
        <v>0</v>
      </c>
      <c r="AC19" s="139">
        <f t="shared" ref="AC19:AG19" si="40">IFERROR(U19/M19,0)</f>
        <v>0</v>
      </c>
      <c r="AD19" s="139">
        <f t="shared" si="40"/>
        <v>0</v>
      </c>
      <c r="AE19" s="139">
        <f t="shared" si="40"/>
        <v>0</v>
      </c>
      <c r="AF19" s="139">
        <f t="shared" si="40"/>
        <v>0</v>
      </c>
      <c r="AG19" s="139">
        <f t="shared" si="40"/>
        <v>0</v>
      </c>
      <c r="AH19" s="127"/>
    </row>
    <row r="20" ht="16.5" spans="1:34">
      <c r="A20" s="63" t="str">
        <f t="shared" si="18"/>
        <v>福建</v>
      </c>
      <c r="B20" s="138" t="s">
        <v>2295</v>
      </c>
      <c r="C20" s="138" t="s">
        <v>2321</v>
      </c>
      <c r="D20" s="65">
        <f>SUMIFS('饲料资金预算--查询表（财务部）'!W:W,'饲料资金预算--查询表（财务部）'!$L:$L,$B20,'饲料资金预算--查询表（财务部）'!$M:$M,$C20,'饲料资金预算--查询表（财务部）'!$AA:$AA,"&gt;0")</f>
        <v>0</v>
      </c>
      <c r="E20" s="65">
        <f>SUMIFS('饲料资金预算--查询表（财务部）'!X:X,'饲料资金预算--查询表（财务部）'!$L:$L,$B20,'饲料资金预算--查询表（财务部）'!$M:$M,$C20,'饲料资金预算--查询表（财务部）'!$AA:$AA,"&gt;0")</f>
        <v>0</v>
      </c>
      <c r="F20" s="65">
        <f>SUMIFS('饲料资金预算--查询表（财务部）'!Y:Y,'饲料资金预算--查询表（财务部）'!$L:$L,$B20,'饲料资金预算--查询表（财务部）'!$M:$M,$C20,'饲料资金预算--查询表（财务部）'!$AA:$AA,"&gt;0")</f>
        <v>0</v>
      </c>
      <c r="G20" s="65">
        <f>SUMIFS('饲料资金预算--查询表（财务部）'!Z:Z,'饲料资金预算--查询表（财务部）'!$L:$L,$B20,'饲料资金预算--查询表（财务部）'!$M:$M,$C20,'饲料资金预算--查询表（财务部）'!$AA:$AA,"&gt;0")</f>
        <v>0</v>
      </c>
      <c r="H20" s="65">
        <f>SUMIFS('饲料资金预算--查询表（财务部）'!AA:AA,'饲料资金预算--查询表（财务部）'!$L:$L,$B20,'饲料资金预算--查询表（财务部）'!$M:$M,$C20,'饲料资金预算--查询表（财务部）'!$AA:$AA,"&gt;0")</f>
        <v>0</v>
      </c>
      <c r="I20" s="139">
        <f t="shared" si="1"/>
        <v>0</v>
      </c>
      <c r="J20" s="139">
        <f t="shared" si="2"/>
        <v>0</v>
      </c>
      <c r="K20" s="139">
        <f t="shared" si="3"/>
        <v>0</v>
      </c>
      <c r="L20" s="63">
        <f>SUMIFS('饲料资金预算--查询表（财务部）'!AE:AE,'饲料资金预算--查询表（财务部）'!$L:$L,$B20,'饲料资金预算--查询表（财务部）'!$M:$M,$C20,'饲料资金预算--查询表（财务部）'!$AA:$AA,"&gt;0")</f>
        <v>0</v>
      </c>
      <c r="M20" s="65">
        <f>SUMIFS('饲料资金预算--查询表（财务部）'!O:O,'饲料资金预算--查询表（财务部）'!$L:$L,$B20,'饲料资金预算--查询表（财务部）'!$M:$M,$C20,'饲料资金预算--查询表（财务部）'!$S:$S,"&gt;0")</f>
        <v>0</v>
      </c>
      <c r="N20" s="65">
        <f>SUMIFS('饲料资金预算--查询表（财务部）'!P:P,'饲料资金预算--查询表（财务部）'!$L:$L,$B20,'饲料资金预算--查询表（财务部）'!$M:$M,$C20,'饲料资金预算--查询表（财务部）'!$S:$S,"&gt;0")</f>
        <v>0</v>
      </c>
      <c r="O20" s="65">
        <f>SUMIFS('饲料资金预算--查询表（财务部）'!Q:Q,'饲料资金预算--查询表（财务部）'!$L:$L,$B20,'饲料资金预算--查询表（财务部）'!$M:$M,$C20,'饲料资金预算--查询表（财务部）'!$S:$S,"&gt;0")</f>
        <v>0</v>
      </c>
      <c r="P20" s="65">
        <f>SUMIFS('饲料资金预算--查询表（财务部）'!R:R,'饲料资金预算--查询表（财务部）'!$L:$L,$B20,'饲料资金预算--查询表（财务部）'!$M:$M,$C20,'饲料资金预算--查询表（财务部）'!$S:$S,"&gt;0")</f>
        <v>0</v>
      </c>
      <c r="Q20" s="65">
        <f>SUMIFS('饲料资金预算--查询表（财务部）'!S:S,'饲料资金预算--查询表（财务部）'!$L:$L,$B20,'饲料资金预算--查询表（财务部）'!$M:$M,$C20,'饲料资金预算--查询表（财务部）'!$S:$S,"&gt;0")</f>
        <v>0</v>
      </c>
      <c r="R20" s="139">
        <f t="shared" si="5"/>
        <v>0</v>
      </c>
      <c r="S20" s="139">
        <f t="shared" si="6"/>
        <v>0</v>
      </c>
      <c r="T20" s="139">
        <f t="shared" si="7"/>
        <v>0</v>
      </c>
      <c r="U20" s="65">
        <f t="shared" ref="U20:AB20" si="41">D20-M20</f>
        <v>0</v>
      </c>
      <c r="V20" s="65">
        <f t="shared" si="41"/>
        <v>0</v>
      </c>
      <c r="W20" s="65">
        <f t="shared" si="41"/>
        <v>0</v>
      </c>
      <c r="X20" s="65">
        <f t="shared" si="41"/>
        <v>0</v>
      </c>
      <c r="Y20" s="65">
        <f t="shared" si="41"/>
        <v>0</v>
      </c>
      <c r="Z20" s="139">
        <f t="shared" si="41"/>
        <v>0</v>
      </c>
      <c r="AA20" s="139">
        <f t="shared" si="41"/>
        <v>0</v>
      </c>
      <c r="AB20" s="139">
        <f t="shared" si="41"/>
        <v>0</v>
      </c>
      <c r="AC20" s="139">
        <f t="shared" ref="AC20:AG20" si="42">IFERROR(U20/M20,0)</f>
        <v>0</v>
      </c>
      <c r="AD20" s="139">
        <f t="shared" si="42"/>
        <v>0</v>
      </c>
      <c r="AE20" s="139">
        <f t="shared" si="42"/>
        <v>0</v>
      </c>
      <c r="AF20" s="139">
        <f t="shared" si="42"/>
        <v>0</v>
      </c>
      <c r="AG20" s="139">
        <f t="shared" si="42"/>
        <v>0</v>
      </c>
      <c r="AH20" s="127"/>
    </row>
    <row r="21" ht="16.5" spans="1:34">
      <c r="A21" s="63" t="str">
        <f t="shared" si="18"/>
        <v>福建</v>
      </c>
      <c r="B21" s="138" t="s">
        <v>2295</v>
      </c>
      <c r="C21" s="138" t="s">
        <v>2322</v>
      </c>
      <c r="D21" s="65">
        <f>SUMIFS('饲料资金预算--查询表（财务部）'!W:W,'饲料资金预算--查询表（财务部）'!$L:$L,$B21,'饲料资金预算--查询表（财务部）'!$M:$M,$C21,'饲料资金预算--查询表（财务部）'!$AA:$AA,"&gt;0")</f>
        <v>0</v>
      </c>
      <c r="E21" s="65">
        <f>SUMIFS('饲料资金预算--查询表（财务部）'!X:X,'饲料资金预算--查询表（财务部）'!$L:$L,$B21,'饲料资金预算--查询表（财务部）'!$M:$M,$C21,'饲料资金预算--查询表（财务部）'!$AA:$AA,"&gt;0")</f>
        <v>0</v>
      </c>
      <c r="F21" s="65">
        <f>SUMIFS('饲料资金预算--查询表（财务部）'!Y:Y,'饲料资金预算--查询表（财务部）'!$L:$L,$B21,'饲料资金预算--查询表（财务部）'!$M:$M,$C21,'饲料资金预算--查询表（财务部）'!$AA:$AA,"&gt;0")</f>
        <v>0</v>
      </c>
      <c r="G21" s="65">
        <f>SUMIFS('饲料资金预算--查询表（财务部）'!Z:Z,'饲料资金预算--查询表（财务部）'!$L:$L,$B21,'饲料资金预算--查询表（财务部）'!$M:$M,$C21,'饲料资金预算--查询表（财务部）'!$AA:$AA,"&gt;0")</f>
        <v>0</v>
      </c>
      <c r="H21" s="65">
        <f>SUMIFS('饲料资金预算--查询表（财务部）'!AA:AA,'饲料资金预算--查询表（财务部）'!$L:$L,$B21,'饲料资金预算--查询表（财务部）'!$M:$M,$C21,'饲料资金预算--查询表（财务部）'!$AA:$AA,"&gt;0")</f>
        <v>0</v>
      </c>
      <c r="I21" s="139">
        <f t="shared" si="1"/>
        <v>0</v>
      </c>
      <c r="J21" s="139">
        <f t="shared" si="2"/>
        <v>0</v>
      </c>
      <c r="K21" s="139">
        <f t="shared" si="3"/>
        <v>0</v>
      </c>
      <c r="L21" s="63">
        <f>SUMIFS('饲料资金预算--查询表（财务部）'!AE:AE,'饲料资金预算--查询表（财务部）'!$L:$L,$B21,'饲料资金预算--查询表（财务部）'!$M:$M,$C21,'饲料资金预算--查询表（财务部）'!$AA:$AA,"&gt;0")</f>
        <v>0</v>
      </c>
      <c r="M21" s="65">
        <f>SUMIFS('饲料资金预算--查询表（财务部）'!O:O,'饲料资金预算--查询表（财务部）'!$L:$L,$B21,'饲料资金预算--查询表（财务部）'!$M:$M,$C21,'饲料资金预算--查询表（财务部）'!$S:$S,"&gt;0")</f>
        <v>0</v>
      </c>
      <c r="N21" s="65">
        <f>SUMIFS('饲料资金预算--查询表（财务部）'!P:P,'饲料资金预算--查询表（财务部）'!$L:$L,$B21,'饲料资金预算--查询表（财务部）'!$M:$M,$C21,'饲料资金预算--查询表（财务部）'!$S:$S,"&gt;0")</f>
        <v>0</v>
      </c>
      <c r="O21" s="65">
        <f>SUMIFS('饲料资金预算--查询表（财务部）'!Q:Q,'饲料资金预算--查询表（财务部）'!$L:$L,$B21,'饲料资金预算--查询表（财务部）'!$M:$M,$C21,'饲料资金预算--查询表（财务部）'!$S:$S,"&gt;0")</f>
        <v>0</v>
      </c>
      <c r="P21" s="65">
        <f>SUMIFS('饲料资金预算--查询表（财务部）'!R:R,'饲料资金预算--查询表（财务部）'!$L:$L,$B21,'饲料资金预算--查询表（财务部）'!$M:$M,$C21,'饲料资金预算--查询表（财务部）'!$S:$S,"&gt;0")</f>
        <v>0</v>
      </c>
      <c r="Q21" s="65">
        <f>SUMIFS('饲料资金预算--查询表（财务部）'!S:S,'饲料资金预算--查询表（财务部）'!$L:$L,$B21,'饲料资金预算--查询表（财务部）'!$M:$M,$C21,'饲料资金预算--查询表（财务部）'!$S:$S,"&gt;0")</f>
        <v>0</v>
      </c>
      <c r="R21" s="139">
        <f t="shared" si="5"/>
        <v>0</v>
      </c>
      <c r="S21" s="139">
        <f t="shared" si="6"/>
        <v>0</v>
      </c>
      <c r="T21" s="139">
        <f t="shared" si="7"/>
        <v>0</v>
      </c>
      <c r="U21" s="65">
        <f t="shared" ref="U21:AB21" si="43">D21-M21</f>
        <v>0</v>
      </c>
      <c r="V21" s="65">
        <f t="shared" si="43"/>
        <v>0</v>
      </c>
      <c r="W21" s="65">
        <f t="shared" si="43"/>
        <v>0</v>
      </c>
      <c r="X21" s="65">
        <f t="shared" si="43"/>
        <v>0</v>
      </c>
      <c r="Y21" s="65">
        <f t="shared" si="43"/>
        <v>0</v>
      </c>
      <c r="Z21" s="139">
        <f t="shared" si="43"/>
        <v>0</v>
      </c>
      <c r="AA21" s="139">
        <f t="shared" si="43"/>
        <v>0</v>
      </c>
      <c r="AB21" s="139">
        <f t="shared" si="43"/>
        <v>0</v>
      </c>
      <c r="AC21" s="139">
        <f t="shared" ref="AC21:AG21" si="44">IFERROR(U21/M21,0)</f>
        <v>0</v>
      </c>
      <c r="AD21" s="139">
        <f t="shared" si="44"/>
        <v>0</v>
      </c>
      <c r="AE21" s="139">
        <f t="shared" si="44"/>
        <v>0</v>
      </c>
      <c r="AF21" s="139">
        <f t="shared" si="44"/>
        <v>0</v>
      </c>
      <c r="AG21" s="139">
        <f t="shared" si="44"/>
        <v>0</v>
      </c>
      <c r="AH21" s="127"/>
    </row>
    <row r="22" ht="16.5" spans="1:34">
      <c r="A22" s="63" t="str">
        <f t="shared" si="18"/>
        <v>福建</v>
      </c>
      <c r="B22" s="138" t="s">
        <v>2295</v>
      </c>
      <c r="C22" s="138" t="s">
        <v>2323</v>
      </c>
      <c r="D22" s="65">
        <f>SUMIFS('饲料资金预算--查询表（财务部）'!W:W,'饲料资金预算--查询表（财务部）'!$L:$L,$B22,'饲料资金预算--查询表（财务部）'!$M:$M,$C22,'饲料资金预算--查询表（财务部）'!$AA:$AA,"&gt;0")</f>
        <v>0</v>
      </c>
      <c r="E22" s="65">
        <f>SUMIFS('饲料资金预算--查询表（财务部）'!X:X,'饲料资金预算--查询表（财务部）'!$L:$L,$B22,'饲料资金预算--查询表（财务部）'!$M:$M,$C22,'饲料资金预算--查询表（财务部）'!$AA:$AA,"&gt;0")</f>
        <v>0</v>
      </c>
      <c r="F22" s="65">
        <f>SUMIFS('饲料资金预算--查询表（财务部）'!Y:Y,'饲料资金预算--查询表（财务部）'!$L:$L,$B22,'饲料资金预算--查询表（财务部）'!$M:$M,$C22,'饲料资金预算--查询表（财务部）'!$AA:$AA,"&gt;0")</f>
        <v>0</v>
      </c>
      <c r="G22" s="65">
        <f>SUMIFS('饲料资金预算--查询表（财务部）'!Z:Z,'饲料资金预算--查询表（财务部）'!$L:$L,$B22,'饲料资金预算--查询表（财务部）'!$M:$M,$C22,'饲料资金预算--查询表（财务部）'!$AA:$AA,"&gt;0")</f>
        <v>0</v>
      </c>
      <c r="H22" s="65">
        <f>SUMIFS('饲料资金预算--查询表（财务部）'!AA:AA,'饲料资金预算--查询表（财务部）'!$L:$L,$B22,'饲料资金预算--查询表（财务部）'!$M:$M,$C22,'饲料资金预算--查询表（财务部）'!$AA:$AA,"&gt;0")</f>
        <v>0</v>
      </c>
      <c r="I22" s="139">
        <f t="shared" si="1"/>
        <v>0</v>
      </c>
      <c r="J22" s="139">
        <f t="shared" si="2"/>
        <v>0</v>
      </c>
      <c r="K22" s="139">
        <f t="shared" si="3"/>
        <v>0</v>
      </c>
      <c r="L22" s="63">
        <f>SUMIFS('饲料资金预算--查询表（财务部）'!AE:AE,'饲料资金预算--查询表（财务部）'!$L:$L,$B22,'饲料资金预算--查询表（财务部）'!$M:$M,$C22,'饲料资金预算--查询表（财务部）'!$AA:$AA,"&gt;0")</f>
        <v>0</v>
      </c>
      <c r="M22" s="65">
        <f>SUMIFS('饲料资金预算--查询表（财务部）'!O:O,'饲料资金预算--查询表（财务部）'!$L:$L,$B22,'饲料资金预算--查询表（财务部）'!$M:$M,$C22,'饲料资金预算--查询表（财务部）'!$S:$S,"&gt;0")</f>
        <v>0</v>
      </c>
      <c r="N22" s="65">
        <f>SUMIFS('饲料资金预算--查询表（财务部）'!P:P,'饲料资金预算--查询表（财务部）'!$L:$L,$B22,'饲料资金预算--查询表（财务部）'!$M:$M,$C22,'饲料资金预算--查询表（财务部）'!$S:$S,"&gt;0")</f>
        <v>0</v>
      </c>
      <c r="O22" s="65">
        <f>SUMIFS('饲料资金预算--查询表（财务部）'!Q:Q,'饲料资金预算--查询表（财务部）'!$L:$L,$B22,'饲料资金预算--查询表（财务部）'!$M:$M,$C22,'饲料资金预算--查询表（财务部）'!$S:$S,"&gt;0")</f>
        <v>0</v>
      </c>
      <c r="P22" s="65">
        <f>SUMIFS('饲料资金预算--查询表（财务部）'!R:R,'饲料资金预算--查询表（财务部）'!$L:$L,$B22,'饲料资金预算--查询表（财务部）'!$M:$M,$C22,'饲料资金预算--查询表（财务部）'!$S:$S,"&gt;0")</f>
        <v>0</v>
      </c>
      <c r="Q22" s="65">
        <f>SUMIFS('饲料资金预算--查询表（财务部）'!S:S,'饲料资金预算--查询表（财务部）'!$L:$L,$B22,'饲料资金预算--查询表（财务部）'!$M:$M,$C22,'饲料资金预算--查询表（财务部）'!$S:$S,"&gt;0")</f>
        <v>0</v>
      </c>
      <c r="R22" s="139">
        <f t="shared" si="5"/>
        <v>0</v>
      </c>
      <c r="S22" s="139">
        <f t="shared" si="6"/>
        <v>0</v>
      </c>
      <c r="T22" s="139">
        <f t="shared" si="7"/>
        <v>0</v>
      </c>
      <c r="U22" s="65">
        <f t="shared" ref="U22:AB22" si="45">D22-M22</f>
        <v>0</v>
      </c>
      <c r="V22" s="65">
        <f t="shared" si="45"/>
        <v>0</v>
      </c>
      <c r="W22" s="65">
        <f t="shared" si="45"/>
        <v>0</v>
      </c>
      <c r="X22" s="65">
        <f t="shared" si="45"/>
        <v>0</v>
      </c>
      <c r="Y22" s="65">
        <f t="shared" si="45"/>
        <v>0</v>
      </c>
      <c r="Z22" s="139">
        <f t="shared" si="45"/>
        <v>0</v>
      </c>
      <c r="AA22" s="139">
        <f t="shared" si="45"/>
        <v>0</v>
      </c>
      <c r="AB22" s="139">
        <f t="shared" si="45"/>
        <v>0</v>
      </c>
      <c r="AC22" s="139">
        <f t="shared" ref="AC22:AG22" si="46">IFERROR(U22/M22,0)</f>
        <v>0</v>
      </c>
      <c r="AD22" s="139">
        <f t="shared" si="46"/>
        <v>0</v>
      </c>
      <c r="AE22" s="139">
        <f t="shared" si="46"/>
        <v>0</v>
      </c>
      <c r="AF22" s="139">
        <f t="shared" si="46"/>
        <v>0</v>
      </c>
      <c r="AG22" s="139">
        <f t="shared" si="46"/>
        <v>0</v>
      </c>
      <c r="AH22" s="127"/>
    </row>
    <row r="23" ht="16.5" spans="1:34">
      <c r="A23" s="63" t="str">
        <f t="shared" si="18"/>
        <v>福建</v>
      </c>
      <c r="B23" s="138" t="s">
        <v>2295</v>
      </c>
      <c r="C23" s="138" t="s">
        <v>2324</v>
      </c>
      <c r="D23" s="65">
        <f>SUMIFS('饲料资金预算--查询表（财务部）'!W:W,'饲料资金预算--查询表（财务部）'!$L:$L,$B23,'饲料资金预算--查询表（财务部）'!$M:$M,$C23,'饲料资金预算--查询表（财务部）'!$AA:$AA,"&gt;0")</f>
        <v>0</v>
      </c>
      <c r="E23" s="65">
        <f>SUMIFS('饲料资金预算--查询表（财务部）'!X:X,'饲料资金预算--查询表（财务部）'!$L:$L,$B23,'饲料资金预算--查询表（财务部）'!$M:$M,$C23,'饲料资金预算--查询表（财务部）'!$AA:$AA,"&gt;0")</f>
        <v>0</v>
      </c>
      <c r="F23" s="65">
        <f>SUMIFS('饲料资金预算--查询表（财务部）'!Y:Y,'饲料资金预算--查询表（财务部）'!$L:$L,$B23,'饲料资金预算--查询表（财务部）'!$M:$M,$C23,'饲料资金预算--查询表（财务部）'!$AA:$AA,"&gt;0")</f>
        <v>0</v>
      </c>
      <c r="G23" s="65">
        <f>SUMIFS('饲料资金预算--查询表（财务部）'!Z:Z,'饲料资金预算--查询表（财务部）'!$L:$L,$B23,'饲料资金预算--查询表（财务部）'!$M:$M,$C23,'饲料资金预算--查询表（财务部）'!$AA:$AA,"&gt;0")</f>
        <v>0</v>
      </c>
      <c r="H23" s="65">
        <f>SUMIFS('饲料资金预算--查询表（财务部）'!AA:AA,'饲料资金预算--查询表（财务部）'!$L:$L,$B23,'饲料资金预算--查询表（财务部）'!$M:$M,$C23,'饲料资金预算--查询表（财务部）'!$AA:$AA,"&gt;0")</f>
        <v>0</v>
      </c>
      <c r="I23" s="139">
        <f t="shared" si="1"/>
        <v>0</v>
      </c>
      <c r="J23" s="139">
        <f t="shared" si="2"/>
        <v>0</v>
      </c>
      <c r="K23" s="139">
        <f t="shared" si="3"/>
        <v>0</v>
      </c>
      <c r="L23" s="63">
        <f>SUMIFS('饲料资金预算--查询表（财务部）'!AE:AE,'饲料资金预算--查询表（财务部）'!$L:$L,$B23,'饲料资金预算--查询表（财务部）'!$M:$M,$C23,'饲料资金预算--查询表（财务部）'!$AA:$AA,"&gt;0")</f>
        <v>0</v>
      </c>
      <c r="M23" s="65">
        <f>SUMIFS('饲料资金预算--查询表（财务部）'!O:O,'饲料资金预算--查询表（财务部）'!$L:$L,$B23,'饲料资金预算--查询表（财务部）'!$M:$M,$C23,'饲料资金预算--查询表（财务部）'!$S:$S,"&gt;0")</f>
        <v>0</v>
      </c>
      <c r="N23" s="65">
        <f>SUMIFS('饲料资金预算--查询表（财务部）'!P:P,'饲料资金预算--查询表（财务部）'!$L:$L,$B23,'饲料资金预算--查询表（财务部）'!$M:$M,$C23,'饲料资金预算--查询表（财务部）'!$S:$S,"&gt;0")</f>
        <v>0</v>
      </c>
      <c r="O23" s="65">
        <f>SUMIFS('饲料资金预算--查询表（财务部）'!Q:Q,'饲料资金预算--查询表（财务部）'!$L:$L,$B23,'饲料资金预算--查询表（财务部）'!$M:$M,$C23,'饲料资金预算--查询表（财务部）'!$S:$S,"&gt;0")</f>
        <v>0</v>
      </c>
      <c r="P23" s="65">
        <f>SUMIFS('饲料资金预算--查询表（财务部）'!R:R,'饲料资金预算--查询表（财务部）'!$L:$L,$B23,'饲料资金预算--查询表（财务部）'!$M:$M,$C23,'饲料资金预算--查询表（财务部）'!$S:$S,"&gt;0")</f>
        <v>0</v>
      </c>
      <c r="Q23" s="65">
        <f>SUMIFS('饲料资金预算--查询表（财务部）'!S:S,'饲料资金预算--查询表（财务部）'!$L:$L,$B23,'饲料资金预算--查询表（财务部）'!$M:$M,$C23,'饲料资金预算--查询表（财务部）'!$S:$S,"&gt;0")</f>
        <v>0</v>
      </c>
      <c r="R23" s="139">
        <f t="shared" si="5"/>
        <v>0</v>
      </c>
      <c r="S23" s="139">
        <f t="shared" si="6"/>
        <v>0</v>
      </c>
      <c r="T23" s="139">
        <f t="shared" si="7"/>
        <v>0</v>
      </c>
      <c r="U23" s="65">
        <f t="shared" ref="U23:AB23" si="47">D23-M23</f>
        <v>0</v>
      </c>
      <c r="V23" s="65">
        <f t="shared" si="47"/>
        <v>0</v>
      </c>
      <c r="W23" s="65">
        <f t="shared" si="47"/>
        <v>0</v>
      </c>
      <c r="X23" s="65">
        <f t="shared" si="47"/>
        <v>0</v>
      </c>
      <c r="Y23" s="65">
        <f t="shared" si="47"/>
        <v>0</v>
      </c>
      <c r="Z23" s="139">
        <f t="shared" si="47"/>
        <v>0</v>
      </c>
      <c r="AA23" s="139">
        <f t="shared" si="47"/>
        <v>0</v>
      </c>
      <c r="AB23" s="139">
        <f t="shared" si="47"/>
        <v>0</v>
      </c>
      <c r="AC23" s="139">
        <f t="shared" ref="AC23:AG23" si="48">IFERROR(U23/M23,0)</f>
        <v>0</v>
      </c>
      <c r="AD23" s="139">
        <f t="shared" si="48"/>
        <v>0</v>
      </c>
      <c r="AE23" s="139">
        <f t="shared" si="48"/>
        <v>0</v>
      </c>
      <c r="AF23" s="139">
        <f t="shared" si="48"/>
        <v>0</v>
      </c>
      <c r="AG23" s="139">
        <f t="shared" si="48"/>
        <v>0</v>
      </c>
      <c r="AH23" s="127"/>
    </row>
    <row r="24" ht="16.5" spans="1:34">
      <c r="A24" s="63" t="str">
        <f t="shared" si="18"/>
        <v>福建</v>
      </c>
      <c r="B24" s="138" t="s">
        <v>282</v>
      </c>
      <c r="C24" s="138" t="s">
        <v>2325</v>
      </c>
      <c r="D24" s="65">
        <f>SUMIFS('饲料资金预算--查询表（财务部）'!W:W,'饲料资金预算--查询表（财务部）'!$L:$L,$B24,'饲料资金预算--查询表（财务部）'!$M:$M,$C24,'饲料资金预算--查询表（财务部）'!$AA:$AA,"&gt;0")</f>
        <v>0</v>
      </c>
      <c r="E24" s="65">
        <f>SUMIFS('饲料资金预算--查询表（财务部）'!X:X,'饲料资金预算--查询表（财务部）'!$L:$L,$B24,'饲料资金预算--查询表（财务部）'!$M:$M,$C24,'饲料资金预算--查询表（财务部）'!$AA:$AA,"&gt;0")</f>
        <v>0</v>
      </c>
      <c r="F24" s="65">
        <f>SUMIFS('饲料资金预算--查询表（财务部）'!Y:Y,'饲料资金预算--查询表（财务部）'!$L:$L,$B24,'饲料资金预算--查询表（财务部）'!$M:$M,$C24,'饲料资金预算--查询表（财务部）'!$AA:$AA,"&gt;0")</f>
        <v>0</v>
      </c>
      <c r="G24" s="65">
        <f>SUMIFS('饲料资金预算--查询表（财务部）'!Z:Z,'饲料资金预算--查询表（财务部）'!$L:$L,$B24,'饲料资金预算--查询表（财务部）'!$M:$M,$C24,'饲料资金预算--查询表（财务部）'!$AA:$AA,"&gt;0")</f>
        <v>0</v>
      </c>
      <c r="H24" s="65">
        <f>SUMIFS('饲料资金预算--查询表（财务部）'!AA:AA,'饲料资金预算--查询表（财务部）'!$L:$L,$B24,'饲料资金预算--查询表（财务部）'!$M:$M,$C24,'饲料资金预算--查询表（财务部）'!$AA:$AA,"&gt;0")</f>
        <v>0</v>
      </c>
      <c r="I24" s="139">
        <f t="shared" si="1"/>
        <v>0</v>
      </c>
      <c r="J24" s="139">
        <f t="shared" si="2"/>
        <v>0</v>
      </c>
      <c r="K24" s="139">
        <f t="shared" si="3"/>
        <v>0</v>
      </c>
      <c r="L24" s="63">
        <f>SUMIFS('饲料资金预算--查询表（财务部）'!AE:AE,'饲料资金预算--查询表（财务部）'!$L:$L,$B24,'饲料资金预算--查询表（财务部）'!$M:$M,$C24,'饲料资金预算--查询表（财务部）'!$AA:$AA,"&gt;0")</f>
        <v>0</v>
      </c>
      <c r="M24" s="65">
        <f>SUMIFS('饲料资金预算--查询表（财务部）'!O:O,'饲料资金预算--查询表（财务部）'!$L:$L,$B24,'饲料资金预算--查询表（财务部）'!$M:$M,$C24,'饲料资金预算--查询表（财务部）'!$S:$S,"&gt;0")</f>
        <v>0</v>
      </c>
      <c r="N24" s="65">
        <f>SUMIFS('饲料资金预算--查询表（财务部）'!P:P,'饲料资金预算--查询表（财务部）'!$L:$L,$B24,'饲料资金预算--查询表（财务部）'!$M:$M,$C24,'饲料资金预算--查询表（财务部）'!$S:$S,"&gt;0")</f>
        <v>0</v>
      </c>
      <c r="O24" s="65">
        <f>SUMIFS('饲料资金预算--查询表（财务部）'!Q:Q,'饲料资金预算--查询表（财务部）'!$L:$L,$B24,'饲料资金预算--查询表（财务部）'!$M:$M,$C24,'饲料资金预算--查询表（财务部）'!$S:$S,"&gt;0")</f>
        <v>0</v>
      </c>
      <c r="P24" s="65">
        <f>SUMIFS('饲料资金预算--查询表（财务部）'!R:R,'饲料资金预算--查询表（财务部）'!$L:$L,$B24,'饲料资金预算--查询表（财务部）'!$M:$M,$C24,'饲料资金预算--查询表（财务部）'!$S:$S,"&gt;0")</f>
        <v>0</v>
      </c>
      <c r="Q24" s="65">
        <f>SUMIFS('饲料资金预算--查询表（财务部）'!S:S,'饲料资金预算--查询表（财务部）'!$L:$L,$B24,'饲料资金预算--查询表（财务部）'!$M:$M,$C24,'饲料资金预算--查询表（财务部）'!$S:$S,"&gt;0")</f>
        <v>0</v>
      </c>
      <c r="R24" s="139">
        <f t="shared" si="5"/>
        <v>0</v>
      </c>
      <c r="S24" s="139">
        <f t="shared" si="6"/>
        <v>0</v>
      </c>
      <c r="T24" s="139">
        <f t="shared" si="7"/>
        <v>0</v>
      </c>
      <c r="U24" s="65">
        <f t="shared" ref="U24:AB24" si="49">D24-M24</f>
        <v>0</v>
      </c>
      <c r="V24" s="65">
        <f t="shared" si="49"/>
        <v>0</v>
      </c>
      <c r="W24" s="65">
        <f t="shared" si="49"/>
        <v>0</v>
      </c>
      <c r="X24" s="65">
        <f t="shared" si="49"/>
        <v>0</v>
      </c>
      <c r="Y24" s="65">
        <f t="shared" si="49"/>
        <v>0</v>
      </c>
      <c r="Z24" s="139">
        <f t="shared" si="49"/>
        <v>0</v>
      </c>
      <c r="AA24" s="139">
        <f t="shared" si="49"/>
        <v>0</v>
      </c>
      <c r="AB24" s="139">
        <f t="shared" si="49"/>
        <v>0</v>
      </c>
      <c r="AC24" s="139">
        <f t="shared" ref="AC24:AG24" si="50">IFERROR(U24/M24,0)</f>
        <v>0</v>
      </c>
      <c r="AD24" s="139">
        <f t="shared" si="50"/>
        <v>0</v>
      </c>
      <c r="AE24" s="139">
        <f t="shared" si="50"/>
        <v>0</v>
      </c>
      <c r="AF24" s="139">
        <f t="shared" si="50"/>
        <v>0</v>
      </c>
      <c r="AG24" s="139">
        <f t="shared" si="50"/>
        <v>0</v>
      </c>
      <c r="AH24" s="127"/>
    </row>
    <row r="25" ht="16.5" spans="1:34">
      <c r="A25" s="63" t="str">
        <f t="shared" si="18"/>
        <v>福建</v>
      </c>
      <c r="B25" s="138" t="s">
        <v>282</v>
      </c>
      <c r="C25" s="138" t="s">
        <v>2326</v>
      </c>
      <c r="D25" s="65">
        <f>SUMIFS('饲料资金预算--查询表（财务部）'!W:W,'饲料资金预算--查询表（财务部）'!$L:$L,$B25,'饲料资金预算--查询表（财务部）'!$M:$M,$C25,'饲料资金预算--查询表（财务部）'!$AA:$AA,"&gt;0")</f>
        <v>0</v>
      </c>
      <c r="E25" s="65">
        <f>SUMIFS('饲料资金预算--查询表（财务部）'!X:X,'饲料资金预算--查询表（财务部）'!$L:$L,$B25,'饲料资金预算--查询表（财务部）'!$M:$M,$C25,'饲料资金预算--查询表（财务部）'!$AA:$AA,"&gt;0")</f>
        <v>0</v>
      </c>
      <c r="F25" s="65">
        <f>SUMIFS('饲料资金预算--查询表（财务部）'!Y:Y,'饲料资金预算--查询表（财务部）'!$L:$L,$B25,'饲料资金预算--查询表（财务部）'!$M:$M,$C25,'饲料资金预算--查询表（财务部）'!$AA:$AA,"&gt;0")</f>
        <v>0</v>
      </c>
      <c r="G25" s="65">
        <f>SUMIFS('饲料资金预算--查询表（财务部）'!Z:Z,'饲料资金预算--查询表（财务部）'!$L:$L,$B25,'饲料资金预算--查询表（财务部）'!$M:$M,$C25,'饲料资金预算--查询表（财务部）'!$AA:$AA,"&gt;0")</f>
        <v>0</v>
      </c>
      <c r="H25" s="65">
        <f>SUMIFS('饲料资金预算--查询表（财务部）'!AA:AA,'饲料资金预算--查询表（财务部）'!$L:$L,$B25,'饲料资金预算--查询表（财务部）'!$M:$M,$C25,'饲料资金预算--查询表（财务部）'!$AA:$AA,"&gt;0")</f>
        <v>0</v>
      </c>
      <c r="I25" s="139">
        <f t="shared" si="1"/>
        <v>0</v>
      </c>
      <c r="J25" s="139">
        <f t="shared" si="2"/>
        <v>0</v>
      </c>
      <c r="K25" s="139">
        <f t="shared" si="3"/>
        <v>0</v>
      </c>
      <c r="L25" s="63">
        <f>SUMIFS('饲料资金预算--查询表（财务部）'!AE:AE,'饲料资金预算--查询表（财务部）'!$L:$L,$B25,'饲料资金预算--查询表（财务部）'!$M:$M,$C25,'饲料资金预算--查询表（财务部）'!$AA:$AA,"&gt;0")</f>
        <v>0</v>
      </c>
      <c r="M25" s="65">
        <f>SUMIFS('饲料资金预算--查询表（财务部）'!O:O,'饲料资金预算--查询表（财务部）'!$L:$L,$B25,'饲料资金预算--查询表（财务部）'!$M:$M,$C25,'饲料资金预算--查询表（财务部）'!$S:$S,"&gt;0")</f>
        <v>0</v>
      </c>
      <c r="N25" s="65">
        <f>SUMIFS('饲料资金预算--查询表（财务部）'!P:P,'饲料资金预算--查询表（财务部）'!$L:$L,$B25,'饲料资金预算--查询表（财务部）'!$M:$M,$C25,'饲料资金预算--查询表（财务部）'!$S:$S,"&gt;0")</f>
        <v>0</v>
      </c>
      <c r="O25" s="65">
        <f>SUMIFS('饲料资金预算--查询表（财务部）'!Q:Q,'饲料资金预算--查询表（财务部）'!$L:$L,$B25,'饲料资金预算--查询表（财务部）'!$M:$M,$C25,'饲料资金预算--查询表（财务部）'!$S:$S,"&gt;0")</f>
        <v>0</v>
      </c>
      <c r="P25" s="65">
        <f>SUMIFS('饲料资金预算--查询表（财务部）'!R:R,'饲料资金预算--查询表（财务部）'!$L:$L,$B25,'饲料资金预算--查询表（财务部）'!$M:$M,$C25,'饲料资金预算--查询表（财务部）'!$S:$S,"&gt;0")</f>
        <v>0</v>
      </c>
      <c r="Q25" s="65">
        <f>SUMIFS('饲料资金预算--查询表（财务部）'!S:S,'饲料资金预算--查询表（财务部）'!$L:$L,$B25,'饲料资金预算--查询表（财务部）'!$M:$M,$C25,'饲料资金预算--查询表（财务部）'!$S:$S,"&gt;0")</f>
        <v>0</v>
      </c>
      <c r="R25" s="139">
        <f t="shared" si="5"/>
        <v>0</v>
      </c>
      <c r="S25" s="139">
        <f t="shared" si="6"/>
        <v>0</v>
      </c>
      <c r="T25" s="139">
        <f t="shared" si="7"/>
        <v>0</v>
      </c>
      <c r="U25" s="65">
        <f t="shared" ref="U25:AB25" si="51">D25-M25</f>
        <v>0</v>
      </c>
      <c r="V25" s="65">
        <f t="shared" si="51"/>
        <v>0</v>
      </c>
      <c r="W25" s="65">
        <f t="shared" si="51"/>
        <v>0</v>
      </c>
      <c r="X25" s="65">
        <f t="shared" si="51"/>
        <v>0</v>
      </c>
      <c r="Y25" s="65">
        <f t="shared" si="51"/>
        <v>0</v>
      </c>
      <c r="Z25" s="139">
        <f t="shared" si="51"/>
        <v>0</v>
      </c>
      <c r="AA25" s="139">
        <f t="shared" si="51"/>
        <v>0</v>
      </c>
      <c r="AB25" s="139">
        <f t="shared" si="51"/>
        <v>0</v>
      </c>
      <c r="AC25" s="139">
        <f t="shared" ref="AC25:AG25" si="52">IFERROR(U25/M25,0)</f>
        <v>0</v>
      </c>
      <c r="AD25" s="139">
        <f t="shared" si="52"/>
        <v>0</v>
      </c>
      <c r="AE25" s="139">
        <f t="shared" si="52"/>
        <v>0</v>
      </c>
      <c r="AF25" s="139">
        <f t="shared" si="52"/>
        <v>0</v>
      </c>
      <c r="AG25" s="139">
        <f t="shared" si="52"/>
        <v>0</v>
      </c>
      <c r="AH25" s="127"/>
    </row>
    <row r="26" ht="16.5" spans="1:34">
      <c r="A26" s="63" t="str">
        <f t="shared" si="18"/>
        <v>福建</v>
      </c>
      <c r="B26" s="138" t="s">
        <v>282</v>
      </c>
      <c r="C26" s="138" t="s">
        <v>2327</v>
      </c>
      <c r="D26" s="65">
        <f>SUMIFS('饲料资金预算--查询表（财务部）'!W:W,'饲料资金预算--查询表（财务部）'!$L:$L,$B26,'饲料资金预算--查询表（财务部）'!$M:$M,$C26,'饲料资金预算--查询表（财务部）'!$AA:$AA,"&gt;0")</f>
        <v>0</v>
      </c>
      <c r="E26" s="65">
        <f>SUMIFS('饲料资金预算--查询表（财务部）'!X:X,'饲料资金预算--查询表（财务部）'!$L:$L,$B26,'饲料资金预算--查询表（财务部）'!$M:$M,$C26,'饲料资金预算--查询表（财务部）'!$AA:$AA,"&gt;0")</f>
        <v>0</v>
      </c>
      <c r="F26" s="65">
        <f>SUMIFS('饲料资金预算--查询表（财务部）'!Y:Y,'饲料资金预算--查询表（财务部）'!$L:$L,$B26,'饲料资金预算--查询表（财务部）'!$M:$M,$C26,'饲料资金预算--查询表（财务部）'!$AA:$AA,"&gt;0")</f>
        <v>0</v>
      </c>
      <c r="G26" s="65">
        <f>SUMIFS('饲料资金预算--查询表（财务部）'!Z:Z,'饲料资金预算--查询表（财务部）'!$L:$L,$B26,'饲料资金预算--查询表（财务部）'!$M:$M,$C26,'饲料资金预算--查询表（财务部）'!$AA:$AA,"&gt;0")</f>
        <v>0</v>
      </c>
      <c r="H26" s="65">
        <f>SUMIFS('饲料资金预算--查询表（财务部）'!AA:AA,'饲料资金预算--查询表（财务部）'!$L:$L,$B26,'饲料资金预算--查询表（财务部）'!$M:$M,$C26,'饲料资金预算--查询表（财务部）'!$AA:$AA,"&gt;0")</f>
        <v>0</v>
      </c>
      <c r="I26" s="139">
        <f t="shared" si="1"/>
        <v>0</v>
      </c>
      <c r="J26" s="139">
        <f t="shared" si="2"/>
        <v>0</v>
      </c>
      <c r="K26" s="139">
        <f t="shared" si="3"/>
        <v>0</v>
      </c>
      <c r="L26" s="63">
        <f>SUMIFS('饲料资金预算--查询表（财务部）'!AE:AE,'饲料资金预算--查询表（财务部）'!$L:$L,$B26,'饲料资金预算--查询表（财务部）'!$M:$M,$C26,'饲料资金预算--查询表（财务部）'!$AA:$AA,"&gt;0")</f>
        <v>0</v>
      </c>
      <c r="M26" s="65">
        <f>SUMIFS('饲料资金预算--查询表（财务部）'!O:O,'饲料资金预算--查询表（财务部）'!$L:$L,$B26,'饲料资金预算--查询表（财务部）'!$M:$M,$C26,'饲料资金预算--查询表（财务部）'!$S:$S,"&gt;0")</f>
        <v>0</v>
      </c>
      <c r="N26" s="65">
        <f>SUMIFS('饲料资金预算--查询表（财务部）'!P:P,'饲料资金预算--查询表（财务部）'!$L:$L,$B26,'饲料资金预算--查询表（财务部）'!$M:$M,$C26,'饲料资金预算--查询表（财务部）'!$S:$S,"&gt;0")</f>
        <v>0</v>
      </c>
      <c r="O26" s="65">
        <f>SUMIFS('饲料资金预算--查询表（财务部）'!Q:Q,'饲料资金预算--查询表（财务部）'!$L:$L,$B26,'饲料资金预算--查询表（财务部）'!$M:$M,$C26,'饲料资金预算--查询表（财务部）'!$S:$S,"&gt;0")</f>
        <v>0</v>
      </c>
      <c r="P26" s="65">
        <f>SUMIFS('饲料资金预算--查询表（财务部）'!R:R,'饲料资金预算--查询表（财务部）'!$L:$L,$B26,'饲料资金预算--查询表（财务部）'!$M:$M,$C26,'饲料资金预算--查询表（财务部）'!$S:$S,"&gt;0")</f>
        <v>0</v>
      </c>
      <c r="Q26" s="65">
        <f>SUMIFS('饲料资金预算--查询表（财务部）'!S:S,'饲料资金预算--查询表（财务部）'!$L:$L,$B26,'饲料资金预算--查询表（财务部）'!$M:$M,$C26,'饲料资金预算--查询表（财务部）'!$S:$S,"&gt;0")</f>
        <v>0</v>
      </c>
      <c r="R26" s="139">
        <f t="shared" si="5"/>
        <v>0</v>
      </c>
      <c r="S26" s="139">
        <f t="shared" si="6"/>
        <v>0</v>
      </c>
      <c r="T26" s="139">
        <f t="shared" si="7"/>
        <v>0</v>
      </c>
      <c r="U26" s="65">
        <f t="shared" ref="U26:AB26" si="53">D26-M26</f>
        <v>0</v>
      </c>
      <c r="V26" s="65">
        <f t="shared" si="53"/>
        <v>0</v>
      </c>
      <c r="W26" s="65">
        <f t="shared" si="53"/>
        <v>0</v>
      </c>
      <c r="X26" s="65">
        <f t="shared" si="53"/>
        <v>0</v>
      </c>
      <c r="Y26" s="65">
        <f t="shared" si="53"/>
        <v>0</v>
      </c>
      <c r="Z26" s="139">
        <f t="shared" si="53"/>
        <v>0</v>
      </c>
      <c r="AA26" s="139">
        <f t="shared" si="53"/>
        <v>0</v>
      </c>
      <c r="AB26" s="139">
        <f t="shared" si="53"/>
        <v>0</v>
      </c>
      <c r="AC26" s="139">
        <f t="shared" ref="AC26:AG26" si="54">IFERROR(U26/M26,0)</f>
        <v>0</v>
      </c>
      <c r="AD26" s="139">
        <f t="shared" si="54"/>
        <v>0</v>
      </c>
      <c r="AE26" s="139">
        <f t="shared" si="54"/>
        <v>0</v>
      </c>
      <c r="AF26" s="139">
        <f t="shared" si="54"/>
        <v>0</v>
      </c>
      <c r="AG26" s="139">
        <f t="shared" si="54"/>
        <v>0</v>
      </c>
      <c r="AH26" s="127"/>
    </row>
    <row r="27" ht="16.5" spans="1:34">
      <c r="A27" s="63" t="str">
        <f t="shared" si="18"/>
        <v>福建</v>
      </c>
      <c r="B27" s="138" t="s">
        <v>282</v>
      </c>
      <c r="C27" s="138" t="s">
        <v>630</v>
      </c>
      <c r="D27" s="65">
        <f>SUMIFS('饲料资金预算--查询表（财务部）'!W:W,'饲料资金预算--查询表（财务部）'!$L:$L,$B27,'饲料资金预算--查询表（财务部）'!$M:$M,$C27,'饲料资金预算--查询表（财务部）'!$AA:$AA,"&gt;0")</f>
        <v>0</v>
      </c>
      <c r="E27" s="65">
        <f>SUMIFS('饲料资金预算--查询表（财务部）'!X:X,'饲料资金预算--查询表（财务部）'!$L:$L,$B27,'饲料资金预算--查询表（财务部）'!$M:$M,$C27,'饲料资金预算--查询表（财务部）'!$AA:$AA,"&gt;0")</f>
        <v>0</v>
      </c>
      <c r="F27" s="65">
        <f>SUMIFS('饲料资金预算--查询表（财务部）'!Y:Y,'饲料资金预算--查询表（财务部）'!$L:$L,$B27,'饲料资金预算--查询表（财务部）'!$M:$M,$C27,'饲料资金预算--查询表（财务部）'!$AA:$AA,"&gt;0")</f>
        <v>0</v>
      </c>
      <c r="G27" s="65">
        <f>SUMIFS('饲料资金预算--查询表（财务部）'!Z:Z,'饲料资金预算--查询表（财务部）'!$L:$L,$B27,'饲料资金预算--查询表（财务部）'!$M:$M,$C27,'饲料资金预算--查询表（财务部）'!$AA:$AA,"&gt;0")</f>
        <v>0</v>
      </c>
      <c r="H27" s="65">
        <f>SUMIFS('饲料资金预算--查询表（财务部）'!AA:AA,'饲料资金预算--查询表（财务部）'!$L:$L,$B27,'饲料资金预算--查询表（财务部）'!$M:$M,$C27,'饲料资金预算--查询表（财务部）'!$AA:$AA,"&gt;0")</f>
        <v>0</v>
      </c>
      <c r="I27" s="139">
        <f t="shared" si="1"/>
        <v>0</v>
      </c>
      <c r="J27" s="139">
        <f t="shared" si="2"/>
        <v>0</v>
      </c>
      <c r="K27" s="139">
        <f t="shared" si="3"/>
        <v>0</v>
      </c>
      <c r="L27" s="63">
        <f>SUMIFS('饲料资金预算--查询表（财务部）'!AE:AE,'饲料资金预算--查询表（财务部）'!$L:$L,$B27,'饲料资金预算--查询表（财务部）'!$M:$M,$C27,'饲料资金预算--查询表（财务部）'!$AA:$AA,"&gt;0")</f>
        <v>0</v>
      </c>
      <c r="M27" s="65">
        <f>SUMIFS('饲料资金预算--查询表（财务部）'!O:O,'饲料资金预算--查询表（财务部）'!$L:$L,$B27,'饲料资金预算--查询表（财务部）'!$M:$M,$C27,'饲料资金预算--查询表（财务部）'!$S:$S,"&gt;0")</f>
        <v>0</v>
      </c>
      <c r="N27" s="65">
        <f>SUMIFS('饲料资金预算--查询表（财务部）'!P:P,'饲料资金预算--查询表（财务部）'!$L:$L,$B27,'饲料资金预算--查询表（财务部）'!$M:$M,$C27,'饲料资金预算--查询表（财务部）'!$S:$S,"&gt;0")</f>
        <v>0</v>
      </c>
      <c r="O27" s="65">
        <f>SUMIFS('饲料资金预算--查询表（财务部）'!Q:Q,'饲料资金预算--查询表（财务部）'!$L:$L,$B27,'饲料资金预算--查询表（财务部）'!$M:$M,$C27,'饲料资金预算--查询表（财务部）'!$S:$S,"&gt;0")</f>
        <v>0</v>
      </c>
      <c r="P27" s="65">
        <f>SUMIFS('饲料资金预算--查询表（财务部）'!R:R,'饲料资金预算--查询表（财务部）'!$L:$L,$B27,'饲料资金预算--查询表（财务部）'!$M:$M,$C27,'饲料资金预算--查询表（财务部）'!$S:$S,"&gt;0")</f>
        <v>0</v>
      </c>
      <c r="Q27" s="65">
        <f>SUMIFS('饲料资金预算--查询表（财务部）'!S:S,'饲料资金预算--查询表（财务部）'!$L:$L,$B27,'饲料资金预算--查询表（财务部）'!$M:$M,$C27,'饲料资金预算--查询表（财务部）'!$S:$S,"&gt;0")</f>
        <v>0</v>
      </c>
      <c r="R27" s="139">
        <f t="shared" si="5"/>
        <v>0</v>
      </c>
      <c r="S27" s="139">
        <f t="shared" si="6"/>
        <v>0</v>
      </c>
      <c r="T27" s="139">
        <f t="shared" si="7"/>
        <v>0</v>
      </c>
      <c r="U27" s="65">
        <f t="shared" ref="U27:AB27" si="55">D27-M27</f>
        <v>0</v>
      </c>
      <c r="V27" s="65">
        <f t="shared" si="55"/>
        <v>0</v>
      </c>
      <c r="W27" s="65">
        <f t="shared" si="55"/>
        <v>0</v>
      </c>
      <c r="X27" s="65">
        <f t="shared" si="55"/>
        <v>0</v>
      </c>
      <c r="Y27" s="65">
        <f t="shared" si="55"/>
        <v>0</v>
      </c>
      <c r="Z27" s="139">
        <f t="shared" si="55"/>
        <v>0</v>
      </c>
      <c r="AA27" s="139">
        <f t="shared" si="55"/>
        <v>0</v>
      </c>
      <c r="AB27" s="139">
        <f t="shared" si="55"/>
        <v>0</v>
      </c>
      <c r="AC27" s="139">
        <f t="shared" ref="AC27:AG27" si="56">IFERROR(U27/M27,0)</f>
        <v>0</v>
      </c>
      <c r="AD27" s="139">
        <f t="shared" si="56"/>
        <v>0</v>
      </c>
      <c r="AE27" s="139">
        <f t="shared" si="56"/>
        <v>0</v>
      </c>
      <c r="AF27" s="139">
        <f t="shared" si="56"/>
        <v>0</v>
      </c>
      <c r="AG27" s="139">
        <f t="shared" si="56"/>
        <v>0</v>
      </c>
      <c r="AH27" s="127"/>
    </row>
    <row r="28" ht="16.5" spans="1:34">
      <c r="A28" s="63" t="str">
        <f t="shared" si="18"/>
        <v>福建</v>
      </c>
      <c r="B28" s="138" t="s">
        <v>282</v>
      </c>
      <c r="C28" s="138" t="s">
        <v>2328</v>
      </c>
      <c r="D28" s="65">
        <f>SUMIFS('饲料资金预算--查询表（财务部）'!W:W,'饲料资金预算--查询表（财务部）'!$L:$L,$B28,'饲料资金预算--查询表（财务部）'!$M:$M,$C28,'饲料资金预算--查询表（财务部）'!$AA:$AA,"&gt;0")</f>
        <v>0</v>
      </c>
      <c r="E28" s="65">
        <f>SUMIFS('饲料资金预算--查询表（财务部）'!X:X,'饲料资金预算--查询表（财务部）'!$L:$L,$B28,'饲料资金预算--查询表（财务部）'!$M:$M,$C28,'饲料资金预算--查询表（财务部）'!$AA:$AA,"&gt;0")</f>
        <v>0</v>
      </c>
      <c r="F28" s="65">
        <f>SUMIFS('饲料资金预算--查询表（财务部）'!Y:Y,'饲料资金预算--查询表（财务部）'!$L:$L,$B28,'饲料资金预算--查询表（财务部）'!$M:$M,$C28,'饲料资金预算--查询表（财务部）'!$AA:$AA,"&gt;0")</f>
        <v>0</v>
      </c>
      <c r="G28" s="65">
        <f>SUMIFS('饲料资金预算--查询表（财务部）'!Z:Z,'饲料资金预算--查询表（财务部）'!$L:$L,$B28,'饲料资金预算--查询表（财务部）'!$M:$M,$C28,'饲料资金预算--查询表（财务部）'!$AA:$AA,"&gt;0")</f>
        <v>0</v>
      </c>
      <c r="H28" s="65">
        <f>SUMIFS('饲料资金预算--查询表（财务部）'!AA:AA,'饲料资金预算--查询表（财务部）'!$L:$L,$B28,'饲料资金预算--查询表（财务部）'!$M:$M,$C28,'饲料资金预算--查询表（财务部）'!$AA:$AA,"&gt;0")</f>
        <v>0</v>
      </c>
      <c r="I28" s="139">
        <f t="shared" si="1"/>
        <v>0</v>
      </c>
      <c r="J28" s="139">
        <f t="shared" si="2"/>
        <v>0</v>
      </c>
      <c r="K28" s="139">
        <f t="shared" si="3"/>
        <v>0</v>
      </c>
      <c r="L28" s="63">
        <f>SUMIFS('饲料资金预算--查询表（财务部）'!AE:AE,'饲料资金预算--查询表（财务部）'!$L:$L,$B28,'饲料资金预算--查询表（财务部）'!$M:$M,$C28,'饲料资金预算--查询表（财务部）'!$AA:$AA,"&gt;0")</f>
        <v>0</v>
      </c>
      <c r="M28" s="65">
        <f>SUMIFS('饲料资金预算--查询表（财务部）'!O:O,'饲料资金预算--查询表（财务部）'!$L:$L,$B28,'饲料资金预算--查询表（财务部）'!$M:$M,$C28,'饲料资金预算--查询表（财务部）'!$S:$S,"&gt;0")</f>
        <v>0</v>
      </c>
      <c r="N28" s="65">
        <f>SUMIFS('饲料资金预算--查询表（财务部）'!P:P,'饲料资金预算--查询表（财务部）'!$L:$L,$B28,'饲料资金预算--查询表（财务部）'!$M:$M,$C28,'饲料资金预算--查询表（财务部）'!$S:$S,"&gt;0")</f>
        <v>0</v>
      </c>
      <c r="O28" s="65">
        <f>SUMIFS('饲料资金预算--查询表（财务部）'!Q:Q,'饲料资金预算--查询表（财务部）'!$L:$L,$B28,'饲料资金预算--查询表（财务部）'!$M:$M,$C28,'饲料资金预算--查询表（财务部）'!$S:$S,"&gt;0")</f>
        <v>0</v>
      </c>
      <c r="P28" s="65">
        <f>SUMIFS('饲料资金预算--查询表（财务部）'!R:R,'饲料资金预算--查询表（财务部）'!$L:$L,$B28,'饲料资金预算--查询表（财务部）'!$M:$M,$C28,'饲料资金预算--查询表（财务部）'!$S:$S,"&gt;0")</f>
        <v>0</v>
      </c>
      <c r="Q28" s="65">
        <f>SUMIFS('饲料资金预算--查询表（财务部）'!S:S,'饲料资金预算--查询表（财务部）'!$L:$L,$B28,'饲料资金预算--查询表（财务部）'!$M:$M,$C28,'饲料资金预算--查询表（财务部）'!$S:$S,"&gt;0")</f>
        <v>0</v>
      </c>
      <c r="R28" s="139">
        <f t="shared" si="5"/>
        <v>0</v>
      </c>
      <c r="S28" s="139">
        <f t="shared" si="6"/>
        <v>0</v>
      </c>
      <c r="T28" s="139">
        <f t="shared" si="7"/>
        <v>0</v>
      </c>
      <c r="U28" s="65">
        <f t="shared" ref="U28:AB28" si="57">D28-M28</f>
        <v>0</v>
      </c>
      <c r="V28" s="65">
        <f t="shared" si="57"/>
        <v>0</v>
      </c>
      <c r="W28" s="65">
        <f t="shared" si="57"/>
        <v>0</v>
      </c>
      <c r="X28" s="65">
        <f t="shared" si="57"/>
        <v>0</v>
      </c>
      <c r="Y28" s="65">
        <f t="shared" si="57"/>
        <v>0</v>
      </c>
      <c r="Z28" s="139">
        <f t="shared" si="57"/>
        <v>0</v>
      </c>
      <c r="AA28" s="139">
        <f t="shared" si="57"/>
        <v>0</v>
      </c>
      <c r="AB28" s="139">
        <f t="shared" si="57"/>
        <v>0</v>
      </c>
      <c r="AC28" s="139">
        <f t="shared" ref="AC28:AG28" si="58">IFERROR(U28/M28,0)</f>
        <v>0</v>
      </c>
      <c r="AD28" s="139">
        <f t="shared" si="58"/>
        <v>0</v>
      </c>
      <c r="AE28" s="139">
        <f t="shared" si="58"/>
        <v>0</v>
      </c>
      <c r="AF28" s="139">
        <f t="shared" si="58"/>
        <v>0</v>
      </c>
      <c r="AG28" s="139">
        <f t="shared" si="58"/>
        <v>0</v>
      </c>
      <c r="AH28" s="127"/>
    </row>
    <row r="29" ht="16.5" spans="1:34">
      <c r="A29" s="63" t="str">
        <f t="shared" si="18"/>
        <v>福建</v>
      </c>
      <c r="B29" s="138" t="s">
        <v>282</v>
      </c>
      <c r="C29" s="138" t="s">
        <v>2329</v>
      </c>
      <c r="D29" s="65">
        <f>SUMIFS('饲料资金预算--查询表（财务部）'!W:W,'饲料资金预算--查询表（财务部）'!$L:$L,$B29,'饲料资金预算--查询表（财务部）'!$M:$M,$C29,'饲料资金预算--查询表（财务部）'!$AA:$AA,"&gt;0")</f>
        <v>0</v>
      </c>
      <c r="E29" s="65">
        <f>SUMIFS('饲料资金预算--查询表（财务部）'!X:X,'饲料资金预算--查询表（财务部）'!$L:$L,$B29,'饲料资金预算--查询表（财务部）'!$M:$M,$C29,'饲料资金预算--查询表（财务部）'!$AA:$AA,"&gt;0")</f>
        <v>0</v>
      </c>
      <c r="F29" s="65">
        <f>SUMIFS('饲料资金预算--查询表（财务部）'!Y:Y,'饲料资金预算--查询表（财务部）'!$L:$L,$B29,'饲料资金预算--查询表（财务部）'!$M:$M,$C29,'饲料资金预算--查询表（财务部）'!$AA:$AA,"&gt;0")</f>
        <v>0</v>
      </c>
      <c r="G29" s="65">
        <f>SUMIFS('饲料资金预算--查询表（财务部）'!Z:Z,'饲料资金预算--查询表（财务部）'!$L:$L,$B29,'饲料资金预算--查询表（财务部）'!$M:$M,$C29,'饲料资金预算--查询表（财务部）'!$AA:$AA,"&gt;0")</f>
        <v>0</v>
      </c>
      <c r="H29" s="65">
        <f>SUMIFS('饲料资金预算--查询表（财务部）'!AA:AA,'饲料资金预算--查询表（财务部）'!$L:$L,$B29,'饲料资金预算--查询表（财务部）'!$M:$M,$C29,'饲料资金预算--查询表（财务部）'!$AA:$AA,"&gt;0")</f>
        <v>0</v>
      </c>
      <c r="I29" s="139">
        <f t="shared" si="1"/>
        <v>0</v>
      </c>
      <c r="J29" s="139">
        <f t="shared" si="2"/>
        <v>0</v>
      </c>
      <c r="K29" s="139">
        <f t="shared" si="3"/>
        <v>0</v>
      </c>
      <c r="L29" s="63">
        <f>SUMIFS('饲料资金预算--查询表（财务部）'!AE:AE,'饲料资金预算--查询表（财务部）'!$L:$L,$B29,'饲料资金预算--查询表（财务部）'!$M:$M,$C29,'饲料资金预算--查询表（财务部）'!$AA:$AA,"&gt;0")</f>
        <v>0</v>
      </c>
      <c r="M29" s="65">
        <f>SUMIFS('饲料资金预算--查询表（财务部）'!O:O,'饲料资金预算--查询表（财务部）'!$L:$L,$B29,'饲料资金预算--查询表（财务部）'!$M:$M,$C29,'饲料资金预算--查询表（财务部）'!$S:$S,"&gt;0")</f>
        <v>0</v>
      </c>
      <c r="N29" s="65">
        <f>SUMIFS('饲料资金预算--查询表（财务部）'!P:P,'饲料资金预算--查询表（财务部）'!$L:$L,$B29,'饲料资金预算--查询表（财务部）'!$M:$M,$C29,'饲料资金预算--查询表（财务部）'!$S:$S,"&gt;0")</f>
        <v>0</v>
      </c>
      <c r="O29" s="65">
        <f>SUMIFS('饲料资金预算--查询表（财务部）'!Q:Q,'饲料资金预算--查询表（财务部）'!$L:$L,$B29,'饲料资金预算--查询表（财务部）'!$M:$M,$C29,'饲料资金预算--查询表（财务部）'!$S:$S,"&gt;0")</f>
        <v>0</v>
      </c>
      <c r="P29" s="65">
        <f>SUMIFS('饲料资金预算--查询表（财务部）'!R:R,'饲料资金预算--查询表（财务部）'!$L:$L,$B29,'饲料资金预算--查询表（财务部）'!$M:$M,$C29,'饲料资金预算--查询表（财务部）'!$S:$S,"&gt;0")</f>
        <v>0</v>
      </c>
      <c r="Q29" s="65">
        <f>SUMIFS('饲料资金预算--查询表（财务部）'!S:S,'饲料资金预算--查询表（财务部）'!$L:$L,$B29,'饲料资金预算--查询表（财务部）'!$M:$M,$C29,'饲料资金预算--查询表（财务部）'!$S:$S,"&gt;0")</f>
        <v>0</v>
      </c>
      <c r="R29" s="139">
        <f t="shared" si="5"/>
        <v>0</v>
      </c>
      <c r="S29" s="139">
        <f t="shared" si="6"/>
        <v>0</v>
      </c>
      <c r="T29" s="139">
        <f t="shared" si="7"/>
        <v>0</v>
      </c>
      <c r="U29" s="65">
        <f t="shared" ref="U29:AB29" si="59">D29-M29</f>
        <v>0</v>
      </c>
      <c r="V29" s="65">
        <f t="shared" si="59"/>
        <v>0</v>
      </c>
      <c r="W29" s="65">
        <f t="shared" si="59"/>
        <v>0</v>
      </c>
      <c r="X29" s="65">
        <f t="shared" si="59"/>
        <v>0</v>
      </c>
      <c r="Y29" s="65">
        <f t="shared" si="59"/>
        <v>0</v>
      </c>
      <c r="Z29" s="139">
        <f t="shared" si="59"/>
        <v>0</v>
      </c>
      <c r="AA29" s="139">
        <f t="shared" si="59"/>
        <v>0</v>
      </c>
      <c r="AB29" s="139">
        <f t="shared" si="59"/>
        <v>0</v>
      </c>
      <c r="AC29" s="139">
        <f t="shared" ref="AC29:AG29" si="60">IFERROR(U29/M29,0)</f>
        <v>0</v>
      </c>
      <c r="AD29" s="139">
        <f t="shared" si="60"/>
        <v>0</v>
      </c>
      <c r="AE29" s="139">
        <f t="shared" si="60"/>
        <v>0</v>
      </c>
      <c r="AF29" s="139">
        <f t="shared" si="60"/>
        <v>0</v>
      </c>
      <c r="AG29" s="139">
        <f t="shared" si="60"/>
        <v>0</v>
      </c>
      <c r="AH29" s="127"/>
    </row>
    <row r="30" ht="16.5" spans="1:34">
      <c r="A30" s="63" t="str">
        <f t="shared" si="18"/>
        <v>福建</v>
      </c>
      <c r="B30" s="138" t="s">
        <v>282</v>
      </c>
      <c r="C30" s="138" t="s">
        <v>2330</v>
      </c>
      <c r="D30" s="65">
        <f>SUMIFS('饲料资金预算--查询表（财务部）'!W:W,'饲料资金预算--查询表（财务部）'!$L:$L,$B30,'饲料资金预算--查询表（财务部）'!$M:$M,$C30,'饲料资金预算--查询表（财务部）'!$AA:$AA,"&gt;0")</f>
        <v>0</v>
      </c>
      <c r="E30" s="65">
        <f>SUMIFS('饲料资金预算--查询表（财务部）'!X:X,'饲料资金预算--查询表（财务部）'!$L:$L,$B30,'饲料资金预算--查询表（财务部）'!$M:$M,$C30,'饲料资金预算--查询表（财务部）'!$AA:$AA,"&gt;0")</f>
        <v>0</v>
      </c>
      <c r="F30" s="65">
        <f>SUMIFS('饲料资金预算--查询表（财务部）'!Y:Y,'饲料资金预算--查询表（财务部）'!$L:$L,$B30,'饲料资金预算--查询表（财务部）'!$M:$M,$C30,'饲料资金预算--查询表（财务部）'!$AA:$AA,"&gt;0")</f>
        <v>0</v>
      </c>
      <c r="G30" s="65">
        <f>SUMIFS('饲料资金预算--查询表（财务部）'!Z:Z,'饲料资金预算--查询表（财务部）'!$L:$L,$B30,'饲料资金预算--查询表（财务部）'!$M:$M,$C30,'饲料资金预算--查询表（财务部）'!$AA:$AA,"&gt;0")</f>
        <v>0</v>
      </c>
      <c r="H30" s="65">
        <f>SUMIFS('饲料资金预算--查询表（财务部）'!AA:AA,'饲料资金预算--查询表（财务部）'!$L:$L,$B30,'饲料资金预算--查询表（财务部）'!$M:$M,$C30,'饲料资金预算--查询表（财务部）'!$AA:$AA,"&gt;0")</f>
        <v>0</v>
      </c>
      <c r="I30" s="139">
        <f t="shared" si="1"/>
        <v>0</v>
      </c>
      <c r="J30" s="139">
        <f t="shared" si="2"/>
        <v>0</v>
      </c>
      <c r="K30" s="139">
        <f t="shared" si="3"/>
        <v>0</v>
      </c>
      <c r="L30" s="63">
        <f>SUMIFS('饲料资金预算--查询表（财务部）'!AE:AE,'饲料资金预算--查询表（财务部）'!$L:$L,$B30,'饲料资金预算--查询表（财务部）'!$M:$M,$C30,'饲料资金预算--查询表（财务部）'!$AA:$AA,"&gt;0")</f>
        <v>0</v>
      </c>
      <c r="M30" s="65">
        <f>SUMIFS('饲料资金预算--查询表（财务部）'!O:O,'饲料资金预算--查询表（财务部）'!$L:$L,$B30,'饲料资金预算--查询表（财务部）'!$M:$M,$C30,'饲料资金预算--查询表（财务部）'!$S:$S,"&gt;0")</f>
        <v>0</v>
      </c>
      <c r="N30" s="65">
        <f>SUMIFS('饲料资金预算--查询表（财务部）'!P:P,'饲料资金预算--查询表（财务部）'!$L:$L,$B30,'饲料资金预算--查询表（财务部）'!$M:$M,$C30,'饲料资金预算--查询表（财务部）'!$S:$S,"&gt;0")</f>
        <v>0</v>
      </c>
      <c r="O30" s="65">
        <f>SUMIFS('饲料资金预算--查询表（财务部）'!Q:Q,'饲料资金预算--查询表（财务部）'!$L:$L,$B30,'饲料资金预算--查询表（财务部）'!$M:$M,$C30,'饲料资金预算--查询表（财务部）'!$S:$S,"&gt;0")</f>
        <v>0</v>
      </c>
      <c r="P30" s="65">
        <f>SUMIFS('饲料资金预算--查询表（财务部）'!R:R,'饲料资金预算--查询表（财务部）'!$L:$L,$B30,'饲料资金预算--查询表（财务部）'!$M:$M,$C30,'饲料资金预算--查询表（财务部）'!$S:$S,"&gt;0")</f>
        <v>0</v>
      </c>
      <c r="Q30" s="65">
        <f>SUMIFS('饲料资金预算--查询表（财务部）'!S:S,'饲料资金预算--查询表（财务部）'!$L:$L,$B30,'饲料资金预算--查询表（财务部）'!$M:$M,$C30,'饲料资金预算--查询表（财务部）'!$S:$S,"&gt;0")</f>
        <v>0</v>
      </c>
      <c r="R30" s="139">
        <f t="shared" si="5"/>
        <v>0</v>
      </c>
      <c r="S30" s="139">
        <f t="shared" si="6"/>
        <v>0</v>
      </c>
      <c r="T30" s="139">
        <f t="shared" si="7"/>
        <v>0</v>
      </c>
      <c r="U30" s="65">
        <f t="shared" ref="U30:AB30" si="61">D30-M30</f>
        <v>0</v>
      </c>
      <c r="V30" s="65">
        <f t="shared" si="61"/>
        <v>0</v>
      </c>
      <c r="W30" s="65">
        <f t="shared" si="61"/>
        <v>0</v>
      </c>
      <c r="X30" s="65">
        <f t="shared" si="61"/>
        <v>0</v>
      </c>
      <c r="Y30" s="65">
        <f t="shared" si="61"/>
        <v>0</v>
      </c>
      <c r="Z30" s="139">
        <f t="shared" si="61"/>
        <v>0</v>
      </c>
      <c r="AA30" s="139">
        <f t="shared" si="61"/>
        <v>0</v>
      </c>
      <c r="AB30" s="139">
        <f t="shared" si="61"/>
        <v>0</v>
      </c>
      <c r="AC30" s="139">
        <f t="shared" ref="AC30:AG30" si="62">IFERROR(U30/M30,0)</f>
        <v>0</v>
      </c>
      <c r="AD30" s="139">
        <f t="shared" si="62"/>
        <v>0</v>
      </c>
      <c r="AE30" s="139">
        <f t="shared" si="62"/>
        <v>0</v>
      </c>
      <c r="AF30" s="139">
        <f t="shared" si="62"/>
        <v>0</v>
      </c>
      <c r="AG30" s="139">
        <f t="shared" si="62"/>
        <v>0</v>
      </c>
      <c r="AH30" s="127"/>
    </row>
    <row r="31" ht="16.5" spans="1:34">
      <c r="A31" s="63" t="str">
        <f t="shared" si="18"/>
        <v>福建</v>
      </c>
      <c r="B31" s="138" t="s">
        <v>282</v>
      </c>
      <c r="C31" s="138" t="s">
        <v>2331</v>
      </c>
      <c r="D31" s="65">
        <f>SUMIFS('饲料资金预算--查询表（财务部）'!W:W,'饲料资金预算--查询表（财务部）'!$L:$L,$B31,'饲料资金预算--查询表（财务部）'!$M:$M,$C31,'饲料资金预算--查询表（财务部）'!$AA:$AA,"&gt;0")</f>
        <v>0</v>
      </c>
      <c r="E31" s="65">
        <f>SUMIFS('饲料资金预算--查询表（财务部）'!X:X,'饲料资金预算--查询表（财务部）'!$L:$L,$B31,'饲料资金预算--查询表（财务部）'!$M:$M,$C31,'饲料资金预算--查询表（财务部）'!$AA:$AA,"&gt;0")</f>
        <v>0</v>
      </c>
      <c r="F31" s="65">
        <f>SUMIFS('饲料资金预算--查询表（财务部）'!Y:Y,'饲料资金预算--查询表（财务部）'!$L:$L,$B31,'饲料资金预算--查询表（财务部）'!$M:$M,$C31,'饲料资金预算--查询表（财务部）'!$AA:$AA,"&gt;0")</f>
        <v>0</v>
      </c>
      <c r="G31" s="65">
        <f>SUMIFS('饲料资金预算--查询表（财务部）'!Z:Z,'饲料资金预算--查询表（财务部）'!$L:$L,$B31,'饲料资金预算--查询表（财务部）'!$M:$M,$C31,'饲料资金预算--查询表（财务部）'!$AA:$AA,"&gt;0")</f>
        <v>0</v>
      </c>
      <c r="H31" s="65">
        <f>SUMIFS('饲料资金预算--查询表（财务部）'!AA:AA,'饲料资金预算--查询表（财务部）'!$L:$L,$B31,'饲料资金预算--查询表（财务部）'!$M:$M,$C31,'饲料资金预算--查询表（财务部）'!$AA:$AA,"&gt;0")</f>
        <v>0</v>
      </c>
      <c r="I31" s="139">
        <f t="shared" si="1"/>
        <v>0</v>
      </c>
      <c r="J31" s="139">
        <f t="shared" si="2"/>
        <v>0</v>
      </c>
      <c r="K31" s="139">
        <f t="shared" si="3"/>
        <v>0</v>
      </c>
      <c r="L31" s="63">
        <f>SUMIFS('饲料资金预算--查询表（财务部）'!AE:AE,'饲料资金预算--查询表（财务部）'!$L:$L,$B31,'饲料资金预算--查询表（财务部）'!$M:$M,$C31,'饲料资金预算--查询表（财务部）'!$AA:$AA,"&gt;0")</f>
        <v>0</v>
      </c>
      <c r="M31" s="65">
        <f>SUMIFS('饲料资金预算--查询表（财务部）'!O:O,'饲料资金预算--查询表（财务部）'!$L:$L,$B31,'饲料资金预算--查询表（财务部）'!$M:$M,$C31,'饲料资金预算--查询表（财务部）'!$S:$S,"&gt;0")</f>
        <v>0</v>
      </c>
      <c r="N31" s="65">
        <f>SUMIFS('饲料资金预算--查询表（财务部）'!P:P,'饲料资金预算--查询表（财务部）'!$L:$L,$B31,'饲料资金预算--查询表（财务部）'!$M:$M,$C31,'饲料资金预算--查询表（财务部）'!$S:$S,"&gt;0")</f>
        <v>0</v>
      </c>
      <c r="O31" s="65">
        <f>SUMIFS('饲料资金预算--查询表（财务部）'!Q:Q,'饲料资金预算--查询表（财务部）'!$L:$L,$B31,'饲料资金预算--查询表（财务部）'!$M:$M,$C31,'饲料资金预算--查询表（财务部）'!$S:$S,"&gt;0")</f>
        <v>0</v>
      </c>
      <c r="P31" s="65">
        <f>SUMIFS('饲料资金预算--查询表（财务部）'!R:R,'饲料资金预算--查询表（财务部）'!$L:$L,$B31,'饲料资金预算--查询表（财务部）'!$M:$M,$C31,'饲料资金预算--查询表（财务部）'!$S:$S,"&gt;0")</f>
        <v>0</v>
      </c>
      <c r="Q31" s="65">
        <f>SUMIFS('饲料资金预算--查询表（财务部）'!S:S,'饲料资金预算--查询表（财务部）'!$L:$L,$B31,'饲料资金预算--查询表（财务部）'!$M:$M,$C31,'饲料资金预算--查询表（财务部）'!$S:$S,"&gt;0")</f>
        <v>0</v>
      </c>
      <c r="R31" s="139">
        <f t="shared" si="5"/>
        <v>0</v>
      </c>
      <c r="S31" s="139">
        <f t="shared" si="6"/>
        <v>0</v>
      </c>
      <c r="T31" s="139">
        <f t="shared" si="7"/>
        <v>0</v>
      </c>
      <c r="U31" s="65">
        <f t="shared" ref="U31:AB31" si="63">D31-M31</f>
        <v>0</v>
      </c>
      <c r="V31" s="65">
        <f t="shared" si="63"/>
        <v>0</v>
      </c>
      <c r="W31" s="65">
        <f t="shared" si="63"/>
        <v>0</v>
      </c>
      <c r="X31" s="65">
        <f t="shared" si="63"/>
        <v>0</v>
      </c>
      <c r="Y31" s="65">
        <f t="shared" si="63"/>
        <v>0</v>
      </c>
      <c r="Z31" s="139">
        <f t="shared" si="63"/>
        <v>0</v>
      </c>
      <c r="AA31" s="139">
        <f t="shared" si="63"/>
        <v>0</v>
      </c>
      <c r="AB31" s="139">
        <f t="shared" si="63"/>
        <v>0</v>
      </c>
      <c r="AC31" s="139">
        <f t="shared" ref="AC31:AG31" si="64">IFERROR(U31/M31,0)</f>
        <v>0</v>
      </c>
      <c r="AD31" s="139">
        <f t="shared" si="64"/>
        <v>0</v>
      </c>
      <c r="AE31" s="139">
        <f t="shared" si="64"/>
        <v>0</v>
      </c>
      <c r="AF31" s="139">
        <f t="shared" si="64"/>
        <v>0</v>
      </c>
      <c r="AG31" s="139">
        <f t="shared" si="64"/>
        <v>0</v>
      </c>
      <c r="AH31" s="127"/>
    </row>
    <row r="32" ht="16.5" spans="1:34">
      <c r="A32" s="63" t="str">
        <f t="shared" si="18"/>
        <v>福建</v>
      </c>
      <c r="B32" s="138" t="s">
        <v>282</v>
      </c>
      <c r="C32" s="138" t="s">
        <v>2332</v>
      </c>
      <c r="D32" s="65">
        <f>SUMIFS('饲料资金预算--查询表（财务部）'!W:W,'饲料资金预算--查询表（财务部）'!$L:$L,$B32,'饲料资金预算--查询表（财务部）'!$M:$M,$C32,'饲料资金预算--查询表（财务部）'!$AA:$AA,"&gt;0")</f>
        <v>0</v>
      </c>
      <c r="E32" s="65">
        <f>SUMIFS('饲料资金预算--查询表（财务部）'!X:X,'饲料资金预算--查询表（财务部）'!$L:$L,$B32,'饲料资金预算--查询表（财务部）'!$M:$M,$C32,'饲料资金预算--查询表（财务部）'!$AA:$AA,"&gt;0")</f>
        <v>0</v>
      </c>
      <c r="F32" s="65">
        <f>SUMIFS('饲料资金预算--查询表（财务部）'!Y:Y,'饲料资金预算--查询表（财务部）'!$L:$L,$B32,'饲料资金预算--查询表（财务部）'!$M:$M,$C32,'饲料资金预算--查询表（财务部）'!$AA:$AA,"&gt;0")</f>
        <v>0</v>
      </c>
      <c r="G32" s="65">
        <f>SUMIFS('饲料资金预算--查询表（财务部）'!Z:Z,'饲料资金预算--查询表（财务部）'!$L:$L,$B32,'饲料资金预算--查询表（财务部）'!$M:$M,$C32,'饲料资金预算--查询表（财务部）'!$AA:$AA,"&gt;0")</f>
        <v>0</v>
      </c>
      <c r="H32" s="65">
        <f>SUMIFS('饲料资金预算--查询表（财务部）'!AA:AA,'饲料资金预算--查询表（财务部）'!$L:$L,$B32,'饲料资金预算--查询表（财务部）'!$M:$M,$C32,'饲料资金预算--查询表（财务部）'!$AA:$AA,"&gt;0")</f>
        <v>0</v>
      </c>
      <c r="I32" s="139">
        <f t="shared" si="1"/>
        <v>0</v>
      </c>
      <c r="J32" s="139">
        <f t="shared" si="2"/>
        <v>0</v>
      </c>
      <c r="K32" s="139">
        <f t="shared" si="3"/>
        <v>0</v>
      </c>
      <c r="L32" s="63">
        <f>SUMIFS('饲料资金预算--查询表（财务部）'!AE:AE,'饲料资金预算--查询表（财务部）'!$L:$L,$B32,'饲料资金预算--查询表（财务部）'!$M:$M,$C32,'饲料资金预算--查询表（财务部）'!$AA:$AA,"&gt;0")</f>
        <v>0</v>
      </c>
      <c r="M32" s="65">
        <f>SUMIFS('饲料资金预算--查询表（财务部）'!O:O,'饲料资金预算--查询表（财务部）'!$L:$L,$B32,'饲料资金预算--查询表（财务部）'!$M:$M,$C32,'饲料资金预算--查询表（财务部）'!$S:$S,"&gt;0")</f>
        <v>0</v>
      </c>
      <c r="N32" s="65">
        <f>SUMIFS('饲料资金预算--查询表（财务部）'!P:P,'饲料资金预算--查询表（财务部）'!$L:$L,$B32,'饲料资金预算--查询表（财务部）'!$M:$M,$C32,'饲料资金预算--查询表（财务部）'!$S:$S,"&gt;0")</f>
        <v>0</v>
      </c>
      <c r="O32" s="65">
        <f>SUMIFS('饲料资金预算--查询表（财务部）'!Q:Q,'饲料资金预算--查询表（财务部）'!$L:$L,$B32,'饲料资金预算--查询表（财务部）'!$M:$M,$C32,'饲料资金预算--查询表（财务部）'!$S:$S,"&gt;0")</f>
        <v>0</v>
      </c>
      <c r="P32" s="65">
        <f>SUMIFS('饲料资金预算--查询表（财务部）'!R:R,'饲料资金预算--查询表（财务部）'!$L:$L,$B32,'饲料资金预算--查询表（财务部）'!$M:$M,$C32,'饲料资金预算--查询表（财务部）'!$S:$S,"&gt;0")</f>
        <v>0</v>
      </c>
      <c r="Q32" s="65">
        <f>SUMIFS('饲料资金预算--查询表（财务部）'!S:S,'饲料资金预算--查询表（财务部）'!$L:$L,$B32,'饲料资金预算--查询表（财务部）'!$M:$M,$C32,'饲料资金预算--查询表（财务部）'!$S:$S,"&gt;0")</f>
        <v>0</v>
      </c>
      <c r="R32" s="139">
        <f t="shared" si="5"/>
        <v>0</v>
      </c>
      <c r="S32" s="139">
        <f t="shared" si="6"/>
        <v>0</v>
      </c>
      <c r="T32" s="139">
        <f t="shared" si="7"/>
        <v>0</v>
      </c>
      <c r="U32" s="65">
        <f t="shared" ref="U32:AB32" si="65">D32-M32</f>
        <v>0</v>
      </c>
      <c r="V32" s="65">
        <f t="shared" si="65"/>
        <v>0</v>
      </c>
      <c r="W32" s="65">
        <f t="shared" si="65"/>
        <v>0</v>
      </c>
      <c r="X32" s="65">
        <f t="shared" si="65"/>
        <v>0</v>
      </c>
      <c r="Y32" s="65">
        <f t="shared" si="65"/>
        <v>0</v>
      </c>
      <c r="Z32" s="139">
        <f t="shared" si="65"/>
        <v>0</v>
      </c>
      <c r="AA32" s="139">
        <f t="shared" si="65"/>
        <v>0</v>
      </c>
      <c r="AB32" s="139">
        <f t="shared" si="65"/>
        <v>0</v>
      </c>
      <c r="AC32" s="139">
        <f t="shared" ref="AC32:AG32" si="66">IFERROR(U32/M32,0)</f>
        <v>0</v>
      </c>
      <c r="AD32" s="139">
        <f t="shared" si="66"/>
        <v>0</v>
      </c>
      <c r="AE32" s="139">
        <f t="shared" si="66"/>
        <v>0</v>
      </c>
      <c r="AF32" s="139">
        <f t="shared" si="66"/>
        <v>0</v>
      </c>
      <c r="AG32" s="139">
        <f t="shared" si="66"/>
        <v>0</v>
      </c>
      <c r="AH32" s="127"/>
    </row>
    <row r="33" ht="16.5" spans="1:34">
      <c r="A33" s="63" t="str">
        <f t="shared" si="18"/>
        <v>福建</v>
      </c>
      <c r="B33" s="138" t="s">
        <v>282</v>
      </c>
      <c r="C33" s="138" t="s">
        <v>2333</v>
      </c>
      <c r="D33" s="65">
        <f>SUMIFS('饲料资金预算--查询表（财务部）'!W:W,'饲料资金预算--查询表（财务部）'!$L:$L,$B33,'饲料资金预算--查询表（财务部）'!$M:$M,$C33,'饲料资金预算--查询表（财务部）'!$AA:$AA,"&gt;0")</f>
        <v>0</v>
      </c>
      <c r="E33" s="65">
        <f>SUMIFS('饲料资金预算--查询表（财务部）'!X:X,'饲料资金预算--查询表（财务部）'!$L:$L,$B33,'饲料资金预算--查询表（财务部）'!$M:$M,$C33,'饲料资金预算--查询表（财务部）'!$AA:$AA,"&gt;0")</f>
        <v>0</v>
      </c>
      <c r="F33" s="65">
        <f>SUMIFS('饲料资金预算--查询表（财务部）'!Y:Y,'饲料资金预算--查询表（财务部）'!$L:$L,$B33,'饲料资金预算--查询表（财务部）'!$M:$M,$C33,'饲料资金预算--查询表（财务部）'!$AA:$AA,"&gt;0")</f>
        <v>0</v>
      </c>
      <c r="G33" s="65">
        <f>SUMIFS('饲料资金预算--查询表（财务部）'!Z:Z,'饲料资金预算--查询表（财务部）'!$L:$L,$B33,'饲料资金预算--查询表（财务部）'!$M:$M,$C33,'饲料资金预算--查询表（财务部）'!$AA:$AA,"&gt;0")</f>
        <v>0</v>
      </c>
      <c r="H33" s="65">
        <f>SUMIFS('饲料资金预算--查询表（财务部）'!AA:AA,'饲料资金预算--查询表（财务部）'!$L:$L,$B33,'饲料资金预算--查询表（财务部）'!$M:$M,$C33,'饲料资金预算--查询表（财务部）'!$AA:$AA,"&gt;0")</f>
        <v>0</v>
      </c>
      <c r="I33" s="139">
        <f t="shared" si="1"/>
        <v>0</v>
      </c>
      <c r="J33" s="139">
        <f t="shared" si="2"/>
        <v>0</v>
      </c>
      <c r="K33" s="139">
        <f t="shared" si="3"/>
        <v>0</v>
      </c>
      <c r="L33" s="63">
        <f>SUMIFS('饲料资金预算--查询表（财务部）'!AE:AE,'饲料资金预算--查询表（财务部）'!$L:$L,$B33,'饲料资金预算--查询表（财务部）'!$M:$M,$C33,'饲料资金预算--查询表（财务部）'!$AA:$AA,"&gt;0")</f>
        <v>0</v>
      </c>
      <c r="M33" s="65">
        <f>SUMIFS('饲料资金预算--查询表（财务部）'!O:O,'饲料资金预算--查询表（财务部）'!$L:$L,$B33,'饲料资金预算--查询表（财务部）'!$M:$M,$C33,'饲料资金预算--查询表（财务部）'!$S:$S,"&gt;0")</f>
        <v>0</v>
      </c>
      <c r="N33" s="65">
        <f>SUMIFS('饲料资金预算--查询表（财务部）'!P:P,'饲料资金预算--查询表（财务部）'!$L:$L,$B33,'饲料资金预算--查询表（财务部）'!$M:$M,$C33,'饲料资金预算--查询表（财务部）'!$S:$S,"&gt;0")</f>
        <v>0</v>
      </c>
      <c r="O33" s="65">
        <f>SUMIFS('饲料资金预算--查询表（财务部）'!Q:Q,'饲料资金预算--查询表（财务部）'!$L:$L,$B33,'饲料资金预算--查询表（财务部）'!$M:$M,$C33,'饲料资金预算--查询表（财务部）'!$S:$S,"&gt;0")</f>
        <v>0</v>
      </c>
      <c r="P33" s="65">
        <f>SUMIFS('饲料资金预算--查询表（财务部）'!R:R,'饲料资金预算--查询表（财务部）'!$L:$L,$B33,'饲料资金预算--查询表（财务部）'!$M:$M,$C33,'饲料资金预算--查询表（财务部）'!$S:$S,"&gt;0")</f>
        <v>0</v>
      </c>
      <c r="Q33" s="65">
        <f>SUMIFS('饲料资金预算--查询表（财务部）'!S:S,'饲料资金预算--查询表（财务部）'!$L:$L,$B33,'饲料资金预算--查询表（财务部）'!$M:$M,$C33,'饲料资金预算--查询表（财务部）'!$S:$S,"&gt;0")</f>
        <v>0</v>
      </c>
      <c r="R33" s="139">
        <f t="shared" si="5"/>
        <v>0</v>
      </c>
      <c r="S33" s="139">
        <f t="shared" si="6"/>
        <v>0</v>
      </c>
      <c r="T33" s="139">
        <f t="shared" si="7"/>
        <v>0</v>
      </c>
      <c r="U33" s="65">
        <f t="shared" ref="U33:AB33" si="67">D33-M33</f>
        <v>0</v>
      </c>
      <c r="V33" s="65">
        <f t="shared" si="67"/>
        <v>0</v>
      </c>
      <c r="W33" s="65">
        <f t="shared" si="67"/>
        <v>0</v>
      </c>
      <c r="X33" s="65">
        <f t="shared" si="67"/>
        <v>0</v>
      </c>
      <c r="Y33" s="65">
        <f t="shared" si="67"/>
        <v>0</v>
      </c>
      <c r="Z33" s="139">
        <f t="shared" si="67"/>
        <v>0</v>
      </c>
      <c r="AA33" s="139">
        <f t="shared" si="67"/>
        <v>0</v>
      </c>
      <c r="AB33" s="139">
        <f t="shared" si="67"/>
        <v>0</v>
      </c>
      <c r="AC33" s="139">
        <f t="shared" ref="AC33:AG33" si="68">IFERROR(U33/M33,0)</f>
        <v>0</v>
      </c>
      <c r="AD33" s="139">
        <f t="shared" si="68"/>
        <v>0</v>
      </c>
      <c r="AE33" s="139">
        <f t="shared" si="68"/>
        <v>0</v>
      </c>
      <c r="AF33" s="139">
        <f t="shared" si="68"/>
        <v>0</v>
      </c>
      <c r="AG33" s="139">
        <f t="shared" si="68"/>
        <v>0</v>
      </c>
      <c r="AH33" s="127"/>
    </row>
    <row r="34" ht="16.5" spans="1:34">
      <c r="A34" s="63" t="str">
        <f t="shared" si="18"/>
        <v>福建</v>
      </c>
      <c r="B34" s="138" t="s">
        <v>282</v>
      </c>
      <c r="C34" s="138" t="s">
        <v>2334</v>
      </c>
      <c r="D34" s="65">
        <f>SUMIFS('饲料资金预算--查询表（财务部）'!W:W,'饲料资金预算--查询表（财务部）'!$L:$L,$B34,'饲料资金预算--查询表（财务部）'!$M:$M,$C34,'饲料资金预算--查询表（财务部）'!$AA:$AA,"&gt;0")</f>
        <v>0</v>
      </c>
      <c r="E34" s="65">
        <f>SUMIFS('饲料资金预算--查询表（财务部）'!X:X,'饲料资金预算--查询表（财务部）'!$L:$L,$B34,'饲料资金预算--查询表（财务部）'!$M:$M,$C34,'饲料资金预算--查询表（财务部）'!$AA:$AA,"&gt;0")</f>
        <v>0</v>
      </c>
      <c r="F34" s="65">
        <f>SUMIFS('饲料资金预算--查询表（财务部）'!Y:Y,'饲料资金预算--查询表（财务部）'!$L:$L,$B34,'饲料资金预算--查询表（财务部）'!$M:$M,$C34,'饲料资金预算--查询表（财务部）'!$AA:$AA,"&gt;0")</f>
        <v>0</v>
      </c>
      <c r="G34" s="65">
        <f>SUMIFS('饲料资金预算--查询表（财务部）'!Z:Z,'饲料资金预算--查询表（财务部）'!$L:$L,$B34,'饲料资金预算--查询表（财务部）'!$M:$M,$C34,'饲料资金预算--查询表（财务部）'!$AA:$AA,"&gt;0")</f>
        <v>0</v>
      </c>
      <c r="H34" s="65">
        <f>SUMIFS('饲料资金预算--查询表（财务部）'!AA:AA,'饲料资金预算--查询表（财务部）'!$L:$L,$B34,'饲料资金预算--查询表（财务部）'!$M:$M,$C34,'饲料资金预算--查询表（财务部）'!$AA:$AA,"&gt;0")</f>
        <v>0</v>
      </c>
      <c r="I34" s="139">
        <f t="shared" si="1"/>
        <v>0</v>
      </c>
      <c r="J34" s="139">
        <f t="shared" si="2"/>
        <v>0</v>
      </c>
      <c r="K34" s="139">
        <f t="shared" si="3"/>
        <v>0</v>
      </c>
      <c r="L34" s="63">
        <f>SUMIFS('饲料资金预算--查询表（财务部）'!AE:AE,'饲料资金预算--查询表（财务部）'!$L:$L,$B34,'饲料资金预算--查询表（财务部）'!$M:$M,$C34,'饲料资金预算--查询表（财务部）'!$AA:$AA,"&gt;0")</f>
        <v>0</v>
      </c>
      <c r="M34" s="65">
        <f>SUMIFS('饲料资金预算--查询表（财务部）'!O:O,'饲料资金预算--查询表（财务部）'!$L:$L,$B34,'饲料资金预算--查询表（财务部）'!$M:$M,$C34,'饲料资金预算--查询表（财务部）'!$S:$S,"&gt;0")</f>
        <v>0</v>
      </c>
      <c r="N34" s="65">
        <f>SUMIFS('饲料资金预算--查询表（财务部）'!P:P,'饲料资金预算--查询表（财务部）'!$L:$L,$B34,'饲料资金预算--查询表（财务部）'!$M:$M,$C34,'饲料资金预算--查询表（财务部）'!$S:$S,"&gt;0")</f>
        <v>0</v>
      </c>
      <c r="O34" s="65">
        <f>SUMIFS('饲料资金预算--查询表（财务部）'!Q:Q,'饲料资金预算--查询表（财务部）'!$L:$L,$B34,'饲料资金预算--查询表（财务部）'!$M:$M,$C34,'饲料资金预算--查询表（财务部）'!$S:$S,"&gt;0")</f>
        <v>0</v>
      </c>
      <c r="P34" s="65">
        <f>SUMIFS('饲料资金预算--查询表（财务部）'!R:R,'饲料资金预算--查询表（财务部）'!$L:$L,$B34,'饲料资金预算--查询表（财务部）'!$M:$M,$C34,'饲料资金预算--查询表（财务部）'!$S:$S,"&gt;0")</f>
        <v>0</v>
      </c>
      <c r="Q34" s="65">
        <f>SUMIFS('饲料资金预算--查询表（财务部）'!S:S,'饲料资金预算--查询表（财务部）'!$L:$L,$B34,'饲料资金预算--查询表（财务部）'!$M:$M,$C34,'饲料资金预算--查询表（财务部）'!$S:$S,"&gt;0")</f>
        <v>0</v>
      </c>
      <c r="R34" s="139">
        <f t="shared" si="5"/>
        <v>0</v>
      </c>
      <c r="S34" s="139">
        <f t="shared" si="6"/>
        <v>0</v>
      </c>
      <c r="T34" s="139">
        <f t="shared" si="7"/>
        <v>0</v>
      </c>
      <c r="U34" s="65">
        <f t="shared" ref="U34:AB34" si="69">D34-M34</f>
        <v>0</v>
      </c>
      <c r="V34" s="65">
        <f t="shared" si="69"/>
        <v>0</v>
      </c>
      <c r="W34" s="65">
        <f t="shared" si="69"/>
        <v>0</v>
      </c>
      <c r="X34" s="65">
        <f t="shared" si="69"/>
        <v>0</v>
      </c>
      <c r="Y34" s="65">
        <f t="shared" si="69"/>
        <v>0</v>
      </c>
      <c r="Z34" s="139">
        <f t="shared" si="69"/>
        <v>0</v>
      </c>
      <c r="AA34" s="139">
        <f t="shared" si="69"/>
        <v>0</v>
      </c>
      <c r="AB34" s="139">
        <f t="shared" si="69"/>
        <v>0</v>
      </c>
      <c r="AC34" s="139">
        <f t="shared" ref="AC34:AG34" si="70">IFERROR(U34/M34,0)</f>
        <v>0</v>
      </c>
      <c r="AD34" s="139">
        <f t="shared" si="70"/>
        <v>0</v>
      </c>
      <c r="AE34" s="139">
        <f t="shared" si="70"/>
        <v>0</v>
      </c>
      <c r="AF34" s="139">
        <f t="shared" si="70"/>
        <v>0</v>
      </c>
      <c r="AG34" s="139">
        <f t="shared" si="70"/>
        <v>0</v>
      </c>
      <c r="AH34" s="127"/>
    </row>
    <row r="35" ht="16.5" spans="1:34">
      <c r="A35" s="63" t="str">
        <f t="shared" si="18"/>
        <v>福建</v>
      </c>
      <c r="B35" s="138" t="s">
        <v>282</v>
      </c>
      <c r="C35" s="138" t="s">
        <v>2335</v>
      </c>
      <c r="D35" s="65">
        <f>SUMIFS('饲料资金预算--查询表（财务部）'!W:W,'饲料资金预算--查询表（财务部）'!$L:$L,$B35,'饲料资金预算--查询表（财务部）'!$M:$M,$C35,'饲料资金预算--查询表（财务部）'!$AA:$AA,"&gt;0")</f>
        <v>0</v>
      </c>
      <c r="E35" s="65">
        <f>SUMIFS('饲料资金预算--查询表（财务部）'!X:X,'饲料资金预算--查询表（财务部）'!$L:$L,$B35,'饲料资金预算--查询表（财务部）'!$M:$M,$C35,'饲料资金预算--查询表（财务部）'!$AA:$AA,"&gt;0")</f>
        <v>0</v>
      </c>
      <c r="F35" s="65">
        <f>SUMIFS('饲料资金预算--查询表（财务部）'!Y:Y,'饲料资金预算--查询表（财务部）'!$L:$L,$B35,'饲料资金预算--查询表（财务部）'!$M:$M,$C35,'饲料资金预算--查询表（财务部）'!$AA:$AA,"&gt;0")</f>
        <v>0</v>
      </c>
      <c r="G35" s="65">
        <f>SUMIFS('饲料资金预算--查询表（财务部）'!Z:Z,'饲料资金预算--查询表（财务部）'!$L:$L,$B35,'饲料资金预算--查询表（财务部）'!$M:$M,$C35,'饲料资金预算--查询表（财务部）'!$AA:$AA,"&gt;0")</f>
        <v>0</v>
      </c>
      <c r="H35" s="65">
        <f>SUMIFS('饲料资金预算--查询表（财务部）'!AA:AA,'饲料资金预算--查询表（财务部）'!$L:$L,$B35,'饲料资金预算--查询表（财务部）'!$M:$M,$C35,'饲料资金预算--查询表（财务部）'!$AA:$AA,"&gt;0")</f>
        <v>0</v>
      </c>
      <c r="I35" s="139">
        <f t="shared" si="1"/>
        <v>0</v>
      </c>
      <c r="J35" s="139">
        <f t="shared" si="2"/>
        <v>0</v>
      </c>
      <c r="K35" s="139">
        <f t="shared" si="3"/>
        <v>0</v>
      </c>
      <c r="L35" s="63">
        <f>SUMIFS('饲料资金预算--查询表（财务部）'!AE:AE,'饲料资金预算--查询表（财务部）'!$L:$L,$B35,'饲料资金预算--查询表（财务部）'!$M:$M,$C35,'饲料资金预算--查询表（财务部）'!$AA:$AA,"&gt;0")</f>
        <v>0</v>
      </c>
      <c r="M35" s="65">
        <f>SUMIFS('饲料资金预算--查询表（财务部）'!O:O,'饲料资金预算--查询表（财务部）'!$L:$L,$B35,'饲料资金预算--查询表（财务部）'!$M:$M,$C35,'饲料资金预算--查询表（财务部）'!$S:$S,"&gt;0")</f>
        <v>0</v>
      </c>
      <c r="N35" s="65">
        <f>SUMIFS('饲料资金预算--查询表（财务部）'!P:P,'饲料资金预算--查询表（财务部）'!$L:$L,$B35,'饲料资金预算--查询表（财务部）'!$M:$M,$C35,'饲料资金预算--查询表（财务部）'!$S:$S,"&gt;0")</f>
        <v>0</v>
      </c>
      <c r="O35" s="65">
        <f>SUMIFS('饲料资金预算--查询表（财务部）'!Q:Q,'饲料资金预算--查询表（财务部）'!$L:$L,$B35,'饲料资金预算--查询表（财务部）'!$M:$M,$C35,'饲料资金预算--查询表（财务部）'!$S:$S,"&gt;0")</f>
        <v>0</v>
      </c>
      <c r="P35" s="65">
        <f>SUMIFS('饲料资金预算--查询表（财务部）'!R:R,'饲料资金预算--查询表（财务部）'!$L:$L,$B35,'饲料资金预算--查询表（财务部）'!$M:$M,$C35,'饲料资金预算--查询表（财务部）'!$S:$S,"&gt;0")</f>
        <v>0</v>
      </c>
      <c r="Q35" s="65">
        <f>SUMIFS('饲料资金预算--查询表（财务部）'!S:S,'饲料资金预算--查询表（财务部）'!$L:$L,$B35,'饲料资金预算--查询表（财务部）'!$M:$M,$C35,'饲料资金预算--查询表（财务部）'!$S:$S,"&gt;0")</f>
        <v>0</v>
      </c>
      <c r="R35" s="139">
        <f t="shared" si="5"/>
        <v>0</v>
      </c>
      <c r="S35" s="139">
        <f t="shared" si="6"/>
        <v>0</v>
      </c>
      <c r="T35" s="139">
        <f t="shared" si="7"/>
        <v>0</v>
      </c>
      <c r="U35" s="65">
        <f t="shared" ref="U35:AB35" si="71">D35-M35</f>
        <v>0</v>
      </c>
      <c r="V35" s="65">
        <f t="shared" si="71"/>
        <v>0</v>
      </c>
      <c r="W35" s="65">
        <f t="shared" si="71"/>
        <v>0</v>
      </c>
      <c r="X35" s="65">
        <f t="shared" si="71"/>
        <v>0</v>
      </c>
      <c r="Y35" s="65">
        <f t="shared" si="71"/>
        <v>0</v>
      </c>
      <c r="Z35" s="139">
        <f t="shared" si="71"/>
        <v>0</v>
      </c>
      <c r="AA35" s="139">
        <f t="shared" si="71"/>
        <v>0</v>
      </c>
      <c r="AB35" s="139">
        <f t="shared" si="71"/>
        <v>0</v>
      </c>
      <c r="AC35" s="139">
        <f t="shared" ref="AC35:AG35" si="72">IFERROR(U35/M35,0)</f>
        <v>0</v>
      </c>
      <c r="AD35" s="139">
        <f t="shared" si="72"/>
        <v>0</v>
      </c>
      <c r="AE35" s="139">
        <f t="shared" si="72"/>
        <v>0</v>
      </c>
      <c r="AF35" s="139">
        <f t="shared" si="72"/>
        <v>0</v>
      </c>
      <c r="AG35" s="139">
        <f t="shared" si="72"/>
        <v>0</v>
      </c>
      <c r="AH35" s="127"/>
    </row>
    <row r="36" ht="16.5" spans="1:34">
      <c r="A36" s="63" t="str">
        <f t="shared" si="18"/>
        <v>福建</v>
      </c>
      <c r="B36" s="138" t="s">
        <v>282</v>
      </c>
      <c r="C36" s="138" t="s">
        <v>2336</v>
      </c>
      <c r="D36" s="65">
        <f>SUMIFS('饲料资金预算--查询表（财务部）'!W:W,'饲料资金预算--查询表（财务部）'!$L:$L,$B36,'饲料资金预算--查询表（财务部）'!$M:$M,$C36,'饲料资金预算--查询表（财务部）'!$AA:$AA,"&gt;0")</f>
        <v>0</v>
      </c>
      <c r="E36" s="65">
        <f>SUMIFS('饲料资金预算--查询表（财务部）'!X:X,'饲料资金预算--查询表（财务部）'!$L:$L,$B36,'饲料资金预算--查询表（财务部）'!$M:$M,$C36,'饲料资金预算--查询表（财务部）'!$AA:$AA,"&gt;0")</f>
        <v>0</v>
      </c>
      <c r="F36" s="65">
        <f>SUMIFS('饲料资金预算--查询表（财务部）'!Y:Y,'饲料资金预算--查询表（财务部）'!$L:$L,$B36,'饲料资金预算--查询表（财务部）'!$M:$M,$C36,'饲料资金预算--查询表（财务部）'!$AA:$AA,"&gt;0")</f>
        <v>0</v>
      </c>
      <c r="G36" s="65">
        <f>SUMIFS('饲料资金预算--查询表（财务部）'!Z:Z,'饲料资金预算--查询表（财务部）'!$L:$L,$B36,'饲料资金预算--查询表（财务部）'!$M:$M,$C36,'饲料资金预算--查询表（财务部）'!$AA:$AA,"&gt;0")</f>
        <v>0</v>
      </c>
      <c r="H36" s="65">
        <f>SUMIFS('饲料资金预算--查询表（财务部）'!AA:AA,'饲料资金预算--查询表（财务部）'!$L:$L,$B36,'饲料资金预算--查询表（财务部）'!$M:$M,$C36,'饲料资金预算--查询表（财务部）'!$AA:$AA,"&gt;0")</f>
        <v>0</v>
      </c>
      <c r="I36" s="139">
        <f t="shared" si="1"/>
        <v>0</v>
      </c>
      <c r="J36" s="139">
        <f t="shared" si="2"/>
        <v>0</v>
      </c>
      <c r="K36" s="139">
        <f t="shared" si="3"/>
        <v>0</v>
      </c>
      <c r="L36" s="63">
        <f>SUMIFS('饲料资金预算--查询表（财务部）'!AE:AE,'饲料资金预算--查询表（财务部）'!$L:$L,$B36,'饲料资金预算--查询表（财务部）'!$M:$M,$C36,'饲料资金预算--查询表（财务部）'!$AA:$AA,"&gt;0")</f>
        <v>0</v>
      </c>
      <c r="M36" s="65">
        <f>SUMIFS('饲料资金预算--查询表（财务部）'!O:O,'饲料资金预算--查询表（财务部）'!$L:$L,$B36,'饲料资金预算--查询表（财务部）'!$M:$M,$C36,'饲料资金预算--查询表（财务部）'!$S:$S,"&gt;0")</f>
        <v>0</v>
      </c>
      <c r="N36" s="65">
        <f>SUMIFS('饲料资金预算--查询表（财务部）'!P:P,'饲料资金预算--查询表（财务部）'!$L:$L,$B36,'饲料资金预算--查询表（财务部）'!$M:$M,$C36,'饲料资金预算--查询表（财务部）'!$S:$S,"&gt;0")</f>
        <v>0</v>
      </c>
      <c r="O36" s="65">
        <f>SUMIFS('饲料资金预算--查询表（财务部）'!Q:Q,'饲料资金预算--查询表（财务部）'!$L:$L,$B36,'饲料资金预算--查询表（财务部）'!$M:$M,$C36,'饲料资金预算--查询表（财务部）'!$S:$S,"&gt;0")</f>
        <v>0</v>
      </c>
      <c r="P36" s="65">
        <f>SUMIFS('饲料资金预算--查询表（财务部）'!R:R,'饲料资金预算--查询表（财务部）'!$L:$L,$B36,'饲料资金预算--查询表（财务部）'!$M:$M,$C36,'饲料资金预算--查询表（财务部）'!$S:$S,"&gt;0")</f>
        <v>0</v>
      </c>
      <c r="Q36" s="65">
        <f>SUMIFS('饲料资金预算--查询表（财务部）'!S:S,'饲料资金预算--查询表（财务部）'!$L:$L,$B36,'饲料资金预算--查询表（财务部）'!$M:$M,$C36,'饲料资金预算--查询表（财务部）'!$S:$S,"&gt;0")</f>
        <v>0</v>
      </c>
      <c r="R36" s="139">
        <f t="shared" si="5"/>
        <v>0</v>
      </c>
      <c r="S36" s="139">
        <f t="shared" si="6"/>
        <v>0</v>
      </c>
      <c r="T36" s="139">
        <f t="shared" si="7"/>
        <v>0</v>
      </c>
      <c r="U36" s="65">
        <f t="shared" ref="U36:AB36" si="73">D36-M36</f>
        <v>0</v>
      </c>
      <c r="V36" s="65">
        <f t="shared" si="73"/>
        <v>0</v>
      </c>
      <c r="W36" s="65">
        <f t="shared" si="73"/>
        <v>0</v>
      </c>
      <c r="X36" s="65">
        <f t="shared" si="73"/>
        <v>0</v>
      </c>
      <c r="Y36" s="65">
        <f t="shared" si="73"/>
        <v>0</v>
      </c>
      <c r="Z36" s="139">
        <f t="shared" si="73"/>
        <v>0</v>
      </c>
      <c r="AA36" s="139">
        <f t="shared" si="73"/>
        <v>0</v>
      </c>
      <c r="AB36" s="139">
        <f t="shared" si="73"/>
        <v>0</v>
      </c>
      <c r="AC36" s="139">
        <f t="shared" ref="AC36:AG36" si="74">IFERROR(U36/M36,0)</f>
        <v>0</v>
      </c>
      <c r="AD36" s="139">
        <f t="shared" si="74"/>
        <v>0</v>
      </c>
      <c r="AE36" s="139">
        <f t="shared" si="74"/>
        <v>0</v>
      </c>
      <c r="AF36" s="139">
        <f t="shared" si="74"/>
        <v>0</v>
      </c>
      <c r="AG36" s="139">
        <f t="shared" si="74"/>
        <v>0</v>
      </c>
      <c r="AH36" s="127"/>
    </row>
    <row r="37" ht="16.5" spans="1:34">
      <c r="A37" s="63" t="str">
        <f t="shared" si="18"/>
        <v>福建</v>
      </c>
      <c r="B37" s="138" t="s">
        <v>282</v>
      </c>
      <c r="C37" s="138" t="s">
        <v>2337</v>
      </c>
      <c r="D37" s="65">
        <f>SUMIFS('饲料资金预算--查询表（财务部）'!W:W,'饲料资金预算--查询表（财务部）'!$L:$L,$B37,'饲料资金预算--查询表（财务部）'!$M:$M,$C37,'饲料资金预算--查询表（财务部）'!$AA:$AA,"&gt;0")</f>
        <v>0</v>
      </c>
      <c r="E37" s="65">
        <f>SUMIFS('饲料资金预算--查询表（财务部）'!X:X,'饲料资金预算--查询表（财务部）'!$L:$L,$B37,'饲料资金预算--查询表（财务部）'!$M:$M,$C37,'饲料资金预算--查询表（财务部）'!$AA:$AA,"&gt;0")</f>
        <v>0</v>
      </c>
      <c r="F37" s="65">
        <f>SUMIFS('饲料资金预算--查询表（财务部）'!Y:Y,'饲料资金预算--查询表（财务部）'!$L:$L,$B37,'饲料资金预算--查询表（财务部）'!$M:$M,$C37,'饲料资金预算--查询表（财务部）'!$AA:$AA,"&gt;0")</f>
        <v>0</v>
      </c>
      <c r="G37" s="65">
        <f>SUMIFS('饲料资金预算--查询表（财务部）'!Z:Z,'饲料资金预算--查询表（财务部）'!$L:$L,$B37,'饲料资金预算--查询表（财务部）'!$M:$M,$C37,'饲料资金预算--查询表（财务部）'!$AA:$AA,"&gt;0")</f>
        <v>0</v>
      </c>
      <c r="H37" s="65">
        <f>SUMIFS('饲料资金预算--查询表（财务部）'!AA:AA,'饲料资金预算--查询表（财务部）'!$L:$L,$B37,'饲料资金预算--查询表（财务部）'!$M:$M,$C37,'饲料资金预算--查询表（财务部）'!$AA:$AA,"&gt;0")</f>
        <v>0</v>
      </c>
      <c r="I37" s="139">
        <f t="shared" si="1"/>
        <v>0</v>
      </c>
      <c r="J37" s="139">
        <f t="shared" si="2"/>
        <v>0</v>
      </c>
      <c r="K37" s="139">
        <f t="shared" si="3"/>
        <v>0</v>
      </c>
      <c r="L37" s="63">
        <f>SUMIFS('饲料资金预算--查询表（财务部）'!AE:AE,'饲料资金预算--查询表（财务部）'!$L:$L,$B37,'饲料资金预算--查询表（财务部）'!$M:$M,$C37,'饲料资金预算--查询表（财务部）'!$AA:$AA,"&gt;0")</f>
        <v>0</v>
      </c>
      <c r="M37" s="65">
        <f>SUMIFS('饲料资金预算--查询表（财务部）'!O:O,'饲料资金预算--查询表（财务部）'!$L:$L,$B37,'饲料资金预算--查询表（财务部）'!$M:$M,$C37,'饲料资金预算--查询表（财务部）'!$S:$S,"&gt;0")</f>
        <v>0</v>
      </c>
      <c r="N37" s="65">
        <f>SUMIFS('饲料资金预算--查询表（财务部）'!P:P,'饲料资金预算--查询表（财务部）'!$L:$L,$B37,'饲料资金预算--查询表（财务部）'!$M:$M,$C37,'饲料资金预算--查询表（财务部）'!$S:$S,"&gt;0")</f>
        <v>0</v>
      </c>
      <c r="O37" s="65">
        <f>SUMIFS('饲料资金预算--查询表（财务部）'!Q:Q,'饲料资金预算--查询表（财务部）'!$L:$L,$B37,'饲料资金预算--查询表（财务部）'!$M:$M,$C37,'饲料资金预算--查询表（财务部）'!$S:$S,"&gt;0")</f>
        <v>0</v>
      </c>
      <c r="P37" s="65">
        <f>SUMIFS('饲料资金预算--查询表（财务部）'!R:R,'饲料资金预算--查询表（财务部）'!$L:$L,$B37,'饲料资金预算--查询表（财务部）'!$M:$M,$C37,'饲料资金预算--查询表（财务部）'!$S:$S,"&gt;0")</f>
        <v>0</v>
      </c>
      <c r="Q37" s="65">
        <f>SUMIFS('饲料资金预算--查询表（财务部）'!S:S,'饲料资金预算--查询表（财务部）'!$L:$L,$B37,'饲料资金预算--查询表（财务部）'!$M:$M,$C37,'饲料资金预算--查询表（财务部）'!$S:$S,"&gt;0")</f>
        <v>0</v>
      </c>
      <c r="R37" s="139">
        <f t="shared" si="5"/>
        <v>0</v>
      </c>
      <c r="S37" s="139">
        <f t="shared" si="6"/>
        <v>0</v>
      </c>
      <c r="T37" s="139">
        <f t="shared" si="7"/>
        <v>0</v>
      </c>
      <c r="U37" s="65">
        <f t="shared" ref="U37:AB37" si="75">D37-M37</f>
        <v>0</v>
      </c>
      <c r="V37" s="65">
        <f t="shared" si="75"/>
        <v>0</v>
      </c>
      <c r="W37" s="65">
        <f t="shared" si="75"/>
        <v>0</v>
      </c>
      <c r="X37" s="65">
        <f t="shared" si="75"/>
        <v>0</v>
      </c>
      <c r="Y37" s="65">
        <f t="shared" si="75"/>
        <v>0</v>
      </c>
      <c r="Z37" s="139">
        <f t="shared" si="75"/>
        <v>0</v>
      </c>
      <c r="AA37" s="139">
        <f t="shared" si="75"/>
        <v>0</v>
      </c>
      <c r="AB37" s="139">
        <f t="shared" si="75"/>
        <v>0</v>
      </c>
      <c r="AC37" s="139">
        <f t="shared" ref="AC37:AG37" si="76">IFERROR(U37/M37,0)</f>
        <v>0</v>
      </c>
      <c r="AD37" s="139">
        <f t="shared" si="76"/>
        <v>0</v>
      </c>
      <c r="AE37" s="139">
        <f t="shared" si="76"/>
        <v>0</v>
      </c>
      <c r="AF37" s="139">
        <f t="shared" si="76"/>
        <v>0</v>
      </c>
      <c r="AG37" s="139">
        <f t="shared" si="76"/>
        <v>0</v>
      </c>
      <c r="AH37" s="127"/>
    </row>
    <row r="38" ht="16.5" spans="1:34">
      <c r="A38" s="63" t="str">
        <f t="shared" si="18"/>
        <v>福建</v>
      </c>
      <c r="B38" s="138" t="s">
        <v>2296</v>
      </c>
      <c r="C38" s="138" t="s">
        <v>235</v>
      </c>
      <c r="D38" s="65">
        <f>SUMIFS('饲料资金预算--查询表（财务部）'!W:W,'饲料资金预算--查询表（财务部）'!$L:$L,$B38,'饲料资金预算--查询表（财务部）'!$M:$M,$C38,'饲料资金预算--查询表（财务部）'!$AA:$AA,"&gt;0")</f>
        <v>0</v>
      </c>
      <c r="E38" s="65">
        <f>SUMIFS('饲料资金预算--查询表（财务部）'!X:X,'饲料资金预算--查询表（财务部）'!$L:$L,$B38,'饲料资金预算--查询表（财务部）'!$M:$M,$C38,'饲料资金预算--查询表（财务部）'!$AA:$AA,"&gt;0")</f>
        <v>0</v>
      </c>
      <c r="F38" s="65">
        <f>SUMIFS('饲料资金预算--查询表（财务部）'!Y:Y,'饲料资金预算--查询表（财务部）'!$L:$L,$B38,'饲料资金预算--查询表（财务部）'!$M:$M,$C38,'饲料资金预算--查询表（财务部）'!$AA:$AA,"&gt;0")</f>
        <v>0</v>
      </c>
      <c r="G38" s="65">
        <f>SUMIFS('饲料资金预算--查询表（财务部）'!Z:Z,'饲料资金预算--查询表（财务部）'!$L:$L,$B38,'饲料资金预算--查询表（财务部）'!$M:$M,$C38,'饲料资金预算--查询表（财务部）'!$AA:$AA,"&gt;0")</f>
        <v>0</v>
      </c>
      <c r="H38" s="65">
        <f>SUMIFS('饲料资金预算--查询表（财务部）'!AA:AA,'饲料资金预算--查询表（财务部）'!$L:$L,$B38,'饲料资金预算--查询表（财务部）'!$M:$M,$C38,'饲料资金预算--查询表（财务部）'!$AA:$AA,"&gt;0")</f>
        <v>0</v>
      </c>
      <c r="I38" s="139">
        <f t="shared" si="1"/>
        <v>0</v>
      </c>
      <c r="J38" s="139">
        <f t="shared" si="2"/>
        <v>0</v>
      </c>
      <c r="K38" s="139">
        <f t="shared" si="3"/>
        <v>0</v>
      </c>
      <c r="L38" s="63">
        <f>SUMIFS('饲料资金预算--查询表（财务部）'!AE:AE,'饲料资金预算--查询表（财务部）'!$L:$L,$B38,'饲料资金预算--查询表（财务部）'!$M:$M,$C38,'饲料资金预算--查询表（财务部）'!$AA:$AA,"&gt;0")</f>
        <v>0</v>
      </c>
      <c r="M38" s="65">
        <f>SUMIFS('饲料资金预算--查询表（财务部）'!O:O,'饲料资金预算--查询表（财务部）'!$L:$L,$B38,'饲料资金预算--查询表（财务部）'!$M:$M,$C38,'饲料资金预算--查询表（财务部）'!$S:$S,"&gt;0")</f>
        <v>0</v>
      </c>
      <c r="N38" s="65">
        <f>SUMIFS('饲料资金预算--查询表（财务部）'!P:P,'饲料资金预算--查询表（财务部）'!$L:$L,$B38,'饲料资金预算--查询表（财务部）'!$M:$M,$C38,'饲料资金预算--查询表（财务部）'!$S:$S,"&gt;0")</f>
        <v>0</v>
      </c>
      <c r="O38" s="65">
        <f>SUMIFS('饲料资金预算--查询表（财务部）'!Q:Q,'饲料资金预算--查询表（财务部）'!$L:$L,$B38,'饲料资金预算--查询表（财务部）'!$M:$M,$C38,'饲料资金预算--查询表（财务部）'!$S:$S,"&gt;0")</f>
        <v>0</v>
      </c>
      <c r="P38" s="65">
        <f>SUMIFS('饲料资金预算--查询表（财务部）'!R:R,'饲料资金预算--查询表（财务部）'!$L:$L,$B38,'饲料资金预算--查询表（财务部）'!$M:$M,$C38,'饲料资金预算--查询表（财务部）'!$S:$S,"&gt;0")</f>
        <v>0</v>
      </c>
      <c r="Q38" s="65">
        <f>SUMIFS('饲料资金预算--查询表（财务部）'!S:S,'饲料资金预算--查询表（财务部）'!$L:$L,$B38,'饲料资金预算--查询表（财务部）'!$M:$M,$C38,'饲料资金预算--查询表（财务部）'!$S:$S,"&gt;0")</f>
        <v>0</v>
      </c>
      <c r="R38" s="139">
        <f t="shared" si="5"/>
        <v>0</v>
      </c>
      <c r="S38" s="139">
        <f t="shared" si="6"/>
        <v>0</v>
      </c>
      <c r="T38" s="139">
        <f t="shared" si="7"/>
        <v>0</v>
      </c>
      <c r="U38" s="65">
        <f t="shared" ref="U38:AB38" si="77">D38-M38</f>
        <v>0</v>
      </c>
      <c r="V38" s="65">
        <f t="shared" si="77"/>
        <v>0</v>
      </c>
      <c r="W38" s="65">
        <f t="shared" si="77"/>
        <v>0</v>
      </c>
      <c r="X38" s="65">
        <f t="shared" si="77"/>
        <v>0</v>
      </c>
      <c r="Y38" s="65">
        <f t="shared" si="77"/>
        <v>0</v>
      </c>
      <c r="Z38" s="139">
        <f t="shared" si="77"/>
        <v>0</v>
      </c>
      <c r="AA38" s="139">
        <f t="shared" si="77"/>
        <v>0</v>
      </c>
      <c r="AB38" s="139">
        <f t="shared" si="77"/>
        <v>0</v>
      </c>
      <c r="AC38" s="139">
        <f t="shared" ref="AC38:AG38" si="78">IFERROR(U38/M38,0)</f>
        <v>0</v>
      </c>
      <c r="AD38" s="139">
        <f t="shared" si="78"/>
        <v>0</v>
      </c>
      <c r="AE38" s="139">
        <f t="shared" si="78"/>
        <v>0</v>
      </c>
      <c r="AF38" s="139">
        <f t="shared" si="78"/>
        <v>0</v>
      </c>
      <c r="AG38" s="139">
        <f t="shared" si="78"/>
        <v>0</v>
      </c>
      <c r="AH38" s="127"/>
    </row>
    <row r="39" ht="16.5" spans="1:34">
      <c r="A39" s="63" t="str">
        <f t="shared" si="18"/>
        <v>福建</v>
      </c>
      <c r="B39" s="138" t="s">
        <v>2296</v>
      </c>
      <c r="C39" s="138" t="s">
        <v>2338</v>
      </c>
      <c r="D39" s="65">
        <f>SUMIFS('饲料资金预算--查询表（财务部）'!W:W,'饲料资金预算--查询表（财务部）'!$L:$L,$B39,'饲料资金预算--查询表（财务部）'!$M:$M,$C39,'饲料资金预算--查询表（财务部）'!$AA:$AA,"&gt;0")</f>
        <v>0</v>
      </c>
      <c r="E39" s="65">
        <f>SUMIFS('饲料资金预算--查询表（财务部）'!X:X,'饲料资金预算--查询表（财务部）'!$L:$L,$B39,'饲料资金预算--查询表（财务部）'!$M:$M,$C39,'饲料资金预算--查询表（财务部）'!$AA:$AA,"&gt;0")</f>
        <v>0</v>
      </c>
      <c r="F39" s="65">
        <f>SUMIFS('饲料资金预算--查询表（财务部）'!Y:Y,'饲料资金预算--查询表（财务部）'!$L:$L,$B39,'饲料资金预算--查询表（财务部）'!$M:$M,$C39,'饲料资金预算--查询表（财务部）'!$AA:$AA,"&gt;0")</f>
        <v>0</v>
      </c>
      <c r="G39" s="65">
        <f>SUMIFS('饲料资金预算--查询表（财务部）'!Z:Z,'饲料资金预算--查询表（财务部）'!$L:$L,$B39,'饲料资金预算--查询表（财务部）'!$M:$M,$C39,'饲料资金预算--查询表（财务部）'!$AA:$AA,"&gt;0")</f>
        <v>0</v>
      </c>
      <c r="H39" s="65">
        <f>SUMIFS('饲料资金预算--查询表（财务部）'!AA:AA,'饲料资金预算--查询表（财务部）'!$L:$L,$B39,'饲料资金预算--查询表（财务部）'!$M:$M,$C39,'饲料资金预算--查询表（财务部）'!$AA:$AA,"&gt;0")</f>
        <v>0</v>
      </c>
      <c r="I39" s="139">
        <f t="shared" si="1"/>
        <v>0</v>
      </c>
      <c r="J39" s="139">
        <f t="shared" si="2"/>
        <v>0</v>
      </c>
      <c r="K39" s="139">
        <f t="shared" si="3"/>
        <v>0</v>
      </c>
      <c r="L39" s="63">
        <f>SUMIFS('饲料资金预算--查询表（财务部）'!AE:AE,'饲料资金预算--查询表（财务部）'!$L:$L,$B39,'饲料资金预算--查询表（财务部）'!$M:$M,$C39,'饲料资金预算--查询表（财务部）'!$AA:$AA,"&gt;0")</f>
        <v>0</v>
      </c>
      <c r="M39" s="65">
        <f>SUMIFS('饲料资金预算--查询表（财务部）'!O:O,'饲料资金预算--查询表（财务部）'!$L:$L,$B39,'饲料资金预算--查询表（财务部）'!$M:$M,$C39,'饲料资金预算--查询表（财务部）'!$S:$S,"&gt;0")</f>
        <v>0</v>
      </c>
      <c r="N39" s="65">
        <f>SUMIFS('饲料资金预算--查询表（财务部）'!P:P,'饲料资金预算--查询表（财务部）'!$L:$L,$B39,'饲料资金预算--查询表（财务部）'!$M:$M,$C39,'饲料资金预算--查询表（财务部）'!$S:$S,"&gt;0")</f>
        <v>0</v>
      </c>
      <c r="O39" s="65">
        <f>SUMIFS('饲料资金预算--查询表（财务部）'!Q:Q,'饲料资金预算--查询表（财务部）'!$L:$L,$B39,'饲料资金预算--查询表（财务部）'!$M:$M,$C39,'饲料资金预算--查询表（财务部）'!$S:$S,"&gt;0")</f>
        <v>0</v>
      </c>
      <c r="P39" s="65">
        <f>SUMIFS('饲料资金预算--查询表（财务部）'!R:R,'饲料资金预算--查询表（财务部）'!$L:$L,$B39,'饲料资金预算--查询表（财务部）'!$M:$M,$C39,'饲料资金预算--查询表（财务部）'!$S:$S,"&gt;0")</f>
        <v>0</v>
      </c>
      <c r="Q39" s="65">
        <f>SUMIFS('饲料资金预算--查询表（财务部）'!S:S,'饲料资金预算--查询表（财务部）'!$L:$L,$B39,'饲料资金预算--查询表（财务部）'!$M:$M,$C39,'饲料资金预算--查询表（财务部）'!$S:$S,"&gt;0")</f>
        <v>0</v>
      </c>
      <c r="R39" s="139">
        <f t="shared" si="5"/>
        <v>0</v>
      </c>
      <c r="S39" s="139">
        <f t="shared" si="6"/>
        <v>0</v>
      </c>
      <c r="T39" s="139">
        <f t="shared" si="7"/>
        <v>0</v>
      </c>
      <c r="U39" s="65">
        <f t="shared" ref="U39:AB39" si="79">D39-M39</f>
        <v>0</v>
      </c>
      <c r="V39" s="65">
        <f t="shared" si="79"/>
        <v>0</v>
      </c>
      <c r="W39" s="65">
        <f t="shared" si="79"/>
        <v>0</v>
      </c>
      <c r="X39" s="65">
        <f t="shared" si="79"/>
        <v>0</v>
      </c>
      <c r="Y39" s="65">
        <f t="shared" si="79"/>
        <v>0</v>
      </c>
      <c r="Z39" s="139">
        <f t="shared" si="79"/>
        <v>0</v>
      </c>
      <c r="AA39" s="139">
        <f t="shared" si="79"/>
        <v>0</v>
      </c>
      <c r="AB39" s="139">
        <f t="shared" si="79"/>
        <v>0</v>
      </c>
      <c r="AC39" s="139">
        <f t="shared" ref="AC39:AG39" si="80">IFERROR(U39/M39,0)</f>
        <v>0</v>
      </c>
      <c r="AD39" s="139">
        <f t="shared" si="80"/>
        <v>0</v>
      </c>
      <c r="AE39" s="139">
        <f t="shared" si="80"/>
        <v>0</v>
      </c>
      <c r="AF39" s="139">
        <f t="shared" si="80"/>
        <v>0</v>
      </c>
      <c r="AG39" s="139">
        <f t="shared" si="80"/>
        <v>0</v>
      </c>
      <c r="AH39" s="127"/>
    </row>
    <row r="40" ht="16.5" spans="1:34">
      <c r="A40" s="63" t="str">
        <f t="shared" si="18"/>
        <v>福建</v>
      </c>
      <c r="B40" s="138" t="s">
        <v>2296</v>
      </c>
      <c r="C40" s="138" t="s">
        <v>237</v>
      </c>
      <c r="D40" s="65">
        <f>SUMIFS('饲料资金预算--查询表（财务部）'!W:W,'饲料资金预算--查询表（财务部）'!$L:$L,$B40,'饲料资金预算--查询表（财务部）'!$M:$M,$C40,'饲料资金预算--查询表（财务部）'!$AA:$AA,"&gt;0")</f>
        <v>0</v>
      </c>
      <c r="E40" s="65">
        <f>SUMIFS('饲料资金预算--查询表（财务部）'!X:X,'饲料资金预算--查询表（财务部）'!$L:$L,$B40,'饲料资金预算--查询表（财务部）'!$M:$M,$C40,'饲料资金预算--查询表（财务部）'!$AA:$AA,"&gt;0")</f>
        <v>0</v>
      </c>
      <c r="F40" s="65">
        <f>SUMIFS('饲料资金预算--查询表（财务部）'!Y:Y,'饲料资金预算--查询表（财务部）'!$L:$L,$B40,'饲料资金预算--查询表（财务部）'!$M:$M,$C40,'饲料资金预算--查询表（财务部）'!$AA:$AA,"&gt;0")</f>
        <v>0</v>
      </c>
      <c r="G40" s="65">
        <f>SUMIFS('饲料资金预算--查询表（财务部）'!Z:Z,'饲料资金预算--查询表（财务部）'!$L:$L,$B40,'饲料资金预算--查询表（财务部）'!$M:$M,$C40,'饲料资金预算--查询表（财务部）'!$AA:$AA,"&gt;0")</f>
        <v>0</v>
      </c>
      <c r="H40" s="65">
        <f>SUMIFS('饲料资金预算--查询表（财务部）'!AA:AA,'饲料资金预算--查询表（财务部）'!$L:$L,$B40,'饲料资金预算--查询表（财务部）'!$M:$M,$C40,'饲料资金预算--查询表（财务部）'!$AA:$AA,"&gt;0")</f>
        <v>0</v>
      </c>
      <c r="I40" s="139">
        <f t="shared" si="1"/>
        <v>0</v>
      </c>
      <c r="J40" s="139">
        <f t="shared" si="2"/>
        <v>0</v>
      </c>
      <c r="K40" s="139">
        <f t="shared" si="3"/>
        <v>0</v>
      </c>
      <c r="L40" s="63">
        <f>SUMIFS('饲料资金预算--查询表（财务部）'!AE:AE,'饲料资金预算--查询表（财务部）'!$L:$L,$B40,'饲料资金预算--查询表（财务部）'!$M:$M,$C40,'饲料资金预算--查询表（财务部）'!$AA:$AA,"&gt;0")</f>
        <v>0</v>
      </c>
      <c r="M40" s="65">
        <f>SUMIFS('饲料资金预算--查询表（财务部）'!O:O,'饲料资金预算--查询表（财务部）'!$L:$L,$B40,'饲料资金预算--查询表（财务部）'!$M:$M,$C40,'饲料资金预算--查询表（财务部）'!$S:$S,"&gt;0")</f>
        <v>0</v>
      </c>
      <c r="N40" s="65">
        <f>SUMIFS('饲料资金预算--查询表（财务部）'!P:P,'饲料资金预算--查询表（财务部）'!$L:$L,$B40,'饲料资金预算--查询表（财务部）'!$M:$M,$C40,'饲料资金预算--查询表（财务部）'!$S:$S,"&gt;0")</f>
        <v>0</v>
      </c>
      <c r="O40" s="65">
        <f>SUMIFS('饲料资金预算--查询表（财务部）'!Q:Q,'饲料资金预算--查询表（财务部）'!$L:$L,$B40,'饲料资金预算--查询表（财务部）'!$M:$M,$C40,'饲料资金预算--查询表（财务部）'!$S:$S,"&gt;0")</f>
        <v>0</v>
      </c>
      <c r="P40" s="65">
        <f>SUMIFS('饲料资金预算--查询表（财务部）'!R:R,'饲料资金预算--查询表（财务部）'!$L:$L,$B40,'饲料资金预算--查询表（财务部）'!$M:$M,$C40,'饲料资金预算--查询表（财务部）'!$S:$S,"&gt;0")</f>
        <v>0</v>
      </c>
      <c r="Q40" s="65">
        <f>SUMIFS('饲料资金预算--查询表（财务部）'!S:S,'饲料资金预算--查询表（财务部）'!$L:$L,$B40,'饲料资金预算--查询表（财务部）'!$M:$M,$C40,'饲料资金预算--查询表（财务部）'!$S:$S,"&gt;0")</f>
        <v>0</v>
      </c>
      <c r="R40" s="139">
        <f t="shared" si="5"/>
        <v>0</v>
      </c>
      <c r="S40" s="139">
        <f t="shared" si="6"/>
        <v>0</v>
      </c>
      <c r="T40" s="139">
        <f t="shared" si="7"/>
        <v>0</v>
      </c>
      <c r="U40" s="65">
        <f t="shared" ref="U40:AB40" si="81">D40-M40</f>
        <v>0</v>
      </c>
      <c r="V40" s="65">
        <f t="shared" si="81"/>
        <v>0</v>
      </c>
      <c r="W40" s="65">
        <f t="shared" si="81"/>
        <v>0</v>
      </c>
      <c r="X40" s="65">
        <f t="shared" si="81"/>
        <v>0</v>
      </c>
      <c r="Y40" s="65">
        <f t="shared" si="81"/>
        <v>0</v>
      </c>
      <c r="Z40" s="139">
        <f t="shared" si="81"/>
        <v>0</v>
      </c>
      <c r="AA40" s="139">
        <f t="shared" si="81"/>
        <v>0</v>
      </c>
      <c r="AB40" s="139">
        <f t="shared" si="81"/>
        <v>0</v>
      </c>
      <c r="AC40" s="139">
        <f t="shared" ref="AC40:AG40" si="82">IFERROR(U40/M40,0)</f>
        <v>0</v>
      </c>
      <c r="AD40" s="139">
        <f t="shared" si="82"/>
        <v>0</v>
      </c>
      <c r="AE40" s="139">
        <f t="shared" si="82"/>
        <v>0</v>
      </c>
      <c r="AF40" s="139">
        <f t="shared" si="82"/>
        <v>0</v>
      </c>
      <c r="AG40" s="139">
        <f t="shared" si="82"/>
        <v>0</v>
      </c>
      <c r="AH40" s="127"/>
    </row>
    <row r="41" ht="16.5" spans="1:34">
      <c r="A41" s="63" t="str">
        <f t="shared" si="18"/>
        <v>福建</v>
      </c>
      <c r="B41" s="138" t="s">
        <v>2296</v>
      </c>
      <c r="C41" s="138" t="s">
        <v>238</v>
      </c>
      <c r="D41" s="65">
        <f>SUMIFS('饲料资金预算--查询表（财务部）'!W:W,'饲料资金预算--查询表（财务部）'!$L:$L,$B41,'饲料资金预算--查询表（财务部）'!$M:$M,$C41,'饲料资金预算--查询表（财务部）'!$AA:$AA,"&gt;0")</f>
        <v>0</v>
      </c>
      <c r="E41" s="65">
        <f>SUMIFS('饲料资金预算--查询表（财务部）'!X:X,'饲料资金预算--查询表（财务部）'!$L:$L,$B41,'饲料资金预算--查询表（财务部）'!$M:$M,$C41,'饲料资金预算--查询表（财务部）'!$AA:$AA,"&gt;0")</f>
        <v>0</v>
      </c>
      <c r="F41" s="65">
        <f>SUMIFS('饲料资金预算--查询表（财务部）'!Y:Y,'饲料资金预算--查询表（财务部）'!$L:$L,$B41,'饲料资金预算--查询表（财务部）'!$M:$M,$C41,'饲料资金预算--查询表（财务部）'!$AA:$AA,"&gt;0")</f>
        <v>0</v>
      </c>
      <c r="G41" s="65">
        <f>SUMIFS('饲料资金预算--查询表（财务部）'!Z:Z,'饲料资金预算--查询表（财务部）'!$L:$L,$B41,'饲料资金预算--查询表（财务部）'!$M:$M,$C41,'饲料资金预算--查询表（财务部）'!$AA:$AA,"&gt;0")</f>
        <v>0</v>
      </c>
      <c r="H41" s="65">
        <f>SUMIFS('饲料资金预算--查询表（财务部）'!AA:AA,'饲料资金预算--查询表（财务部）'!$L:$L,$B41,'饲料资金预算--查询表（财务部）'!$M:$M,$C41,'饲料资金预算--查询表（财务部）'!$AA:$AA,"&gt;0")</f>
        <v>0</v>
      </c>
      <c r="I41" s="139">
        <f t="shared" si="1"/>
        <v>0</v>
      </c>
      <c r="J41" s="139">
        <f t="shared" si="2"/>
        <v>0</v>
      </c>
      <c r="K41" s="139">
        <f t="shared" si="3"/>
        <v>0</v>
      </c>
      <c r="L41" s="63">
        <f>SUMIFS('饲料资金预算--查询表（财务部）'!AE:AE,'饲料资金预算--查询表（财务部）'!$L:$L,$B41,'饲料资金预算--查询表（财务部）'!$M:$M,$C41,'饲料资金预算--查询表（财务部）'!$AA:$AA,"&gt;0")</f>
        <v>0</v>
      </c>
      <c r="M41" s="65">
        <f>SUMIFS('饲料资金预算--查询表（财务部）'!O:O,'饲料资金预算--查询表（财务部）'!$L:$L,$B41,'饲料资金预算--查询表（财务部）'!$M:$M,$C41,'饲料资金预算--查询表（财务部）'!$S:$S,"&gt;0")</f>
        <v>0</v>
      </c>
      <c r="N41" s="65">
        <f>SUMIFS('饲料资金预算--查询表（财务部）'!P:P,'饲料资金预算--查询表（财务部）'!$L:$L,$B41,'饲料资金预算--查询表（财务部）'!$M:$M,$C41,'饲料资金预算--查询表（财务部）'!$S:$S,"&gt;0")</f>
        <v>0</v>
      </c>
      <c r="O41" s="65">
        <f>SUMIFS('饲料资金预算--查询表（财务部）'!Q:Q,'饲料资金预算--查询表（财务部）'!$L:$L,$B41,'饲料资金预算--查询表（财务部）'!$M:$M,$C41,'饲料资金预算--查询表（财务部）'!$S:$S,"&gt;0")</f>
        <v>0</v>
      </c>
      <c r="P41" s="65">
        <f>SUMIFS('饲料资金预算--查询表（财务部）'!R:R,'饲料资金预算--查询表（财务部）'!$L:$L,$B41,'饲料资金预算--查询表（财务部）'!$M:$M,$C41,'饲料资金预算--查询表（财务部）'!$S:$S,"&gt;0")</f>
        <v>0</v>
      </c>
      <c r="Q41" s="65">
        <f>SUMIFS('饲料资金预算--查询表（财务部）'!S:S,'饲料资金预算--查询表（财务部）'!$L:$L,$B41,'饲料资金预算--查询表（财务部）'!$M:$M,$C41,'饲料资金预算--查询表（财务部）'!$S:$S,"&gt;0")</f>
        <v>0</v>
      </c>
      <c r="R41" s="139">
        <f t="shared" si="5"/>
        <v>0</v>
      </c>
      <c r="S41" s="139">
        <f t="shared" si="6"/>
        <v>0</v>
      </c>
      <c r="T41" s="139">
        <f t="shared" si="7"/>
        <v>0</v>
      </c>
      <c r="U41" s="65">
        <f t="shared" ref="U41:AB41" si="83">D41-M41</f>
        <v>0</v>
      </c>
      <c r="V41" s="65">
        <f t="shared" si="83"/>
        <v>0</v>
      </c>
      <c r="W41" s="65">
        <f t="shared" si="83"/>
        <v>0</v>
      </c>
      <c r="X41" s="65">
        <f t="shared" si="83"/>
        <v>0</v>
      </c>
      <c r="Y41" s="65">
        <f t="shared" si="83"/>
        <v>0</v>
      </c>
      <c r="Z41" s="139">
        <f t="shared" si="83"/>
        <v>0</v>
      </c>
      <c r="AA41" s="139">
        <f t="shared" si="83"/>
        <v>0</v>
      </c>
      <c r="AB41" s="139">
        <f t="shared" si="83"/>
        <v>0</v>
      </c>
      <c r="AC41" s="139">
        <f t="shared" ref="AC41:AG41" si="84">IFERROR(U41/M41,0)</f>
        <v>0</v>
      </c>
      <c r="AD41" s="139">
        <f t="shared" si="84"/>
        <v>0</v>
      </c>
      <c r="AE41" s="139">
        <f t="shared" si="84"/>
        <v>0</v>
      </c>
      <c r="AF41" s="139">
        <f t="shared" si="84"/>
        <v>0</v>
      </c>
      <c r="AG41" s="139">
        <f t="shared" si="84"/>
        <v>0</v>
      </c>
      <c r="AH41" s="127"/>
    </row>
    <row r="42" ht="16.5" spans="1:34">
      <c r="A42" s="140" t="str">
        <f t="shared" si="18"/>
        <v>福建</v>
      </c>
      <c r="B42" s="141" t="s">
        <v>281</v>
      </c>
      <c r="C42" s="142"/>
      <c r="D42" s="143"/>
      <c r="E42" s="143"/>
      <c r="F42" s="143"/>
      <c r="G42" s="143"/>
      <c r="H42" s="143"/>
      <c r="I42" s="141"/>
      <c r="J42" s="141"/>
      <c r="K42" s="141"/>
      <c r="L42" s="141"/>
      <c r="M42" s="143"/>
      <c r="N42" s="143"/>
      <c r="O42" s="143"/>
      <c r="P42" s="143"/>
      <c r="Q42" s="143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27"/>
    </row>
  </sheetData>
  <mergeCells count="5">
    <mergeCell ref="A2:C2"/>
    <mergeCell ref="D2:L2"/>
    <mergeCell ref="M2:T2"/>
    <mergeCell ref="U2:AB2"/>
    <mergeCell ref="AC2:AG2"/>
  </mergeCells>
  <pageMargins left="0.7" right="0.7" top="0.75" bottom="0.75" header="0.3" footer="0.3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5">
    <tabColor theme="4" tint="0.799981688894314"/>
  </sheetPr>
  <dimension ref="A1:AM21"/>
  <sheetViews>
    <sheetView workbookViewId="0">
      <selection activeCell="A1" sqref="A1:D4"/>
    </sheetView>
  </sheetViews>
  <sheetFormatPr defaultColWidth="9" defaultRowHeight="13.5"/>
  <cols>
    <col min="22" max="22" width="15.1833333333333" customWidth="1"/>
    <col min="27" max="27" width="11.9083333333333"/>
    <col min="28" max="28" width="12.8166666666667"/>
  </cols>
  <sheetData>
    <row r="1" s="1" customFormat="1" ht="13" customHeight="1" spans="1:39">
      <c r="A1" s="4" t="s">
        <v>2339</v>
      </c>
      <c r="B1" s="5"/>
      <c r="C1" s="5"/>
      <c r="D1" s="6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70"/>
    </row>
    <row r="2" s="1" customFormat="1" ht="13" customHeight="1" spans="1:39">
      <c r="A2" s="9"/>
      <c r="B2" s="10"/>
      <c r="C2" s="10"/>
      <c r="D2" s="11"/>
      <c r="E2" s="12"/>
      <c r="F2" s="13" t="s">
        <v>2340</v>
      </c>
      <c r="G2" s="13"/>
      <c r="H2" s="13"/>
      <c r="I2" s="13"/>
      <c r="J2" s="13"/>
      <c r="K2" s="13"/>
      <c r="L2" s="14"/>
      <c r="M2" s="14"/>
      <c r="N2" s="14"/>
      <c r="O2" s="14"/>
      <c r="P2" s="71"/>
    </row>
    <row r="3" s="1" customFormat="1" ht="11.25" customHeight="1" spans="1:39">
      <c r="A3" s="9"/>
      <c r="B3" s="10"/>
      <c r="C3" s="10"/>
      <c r="D3" s="11"/>
      <c r="E3" s="12"/>
      <c r="F3" s="13" t="s">
        <v>1660</v>
      </c>
      <c r="G3" s="13"/>
      <c r="H3" s="13"/>
      <c r="I3" s="13"/>
      <c r="J3" s="13"/>
      <c r="K3" s="13"/>
      <c r="L3" s="15"/>
      <c r="M3" s="15"/>
      <c r="N3" s="15"/>
      <c r="O3" s="14"/>
      <c r="P3" s="71"/>
    </row>
    <row r="4" s="1" customFormat="1" ht="11.25" customHeight="1" spans="1:39">
      <c r="A4" s="16"/>
      <c r="B4" s="17"/>
      <c r="C4" s="17"/>
      <c r="D4" s="18"/>
      <c r="E4" s="12"/>
      <c r="F4" s="13"/>
      <c r="G4" s="13"/>
      <c r="H4" s="13"/>
      <c r="I4" s="13"/>
      <c r="J4" s="13"/>
      <c r="K4" s="13"/>
      <c r="L4" s="15"/>
      <c r="M4" s="15"/>
      <c r="N4" s="15"/>
      <c r="O4" s="14"/>
      <c r="P4" s="71"/>
    </row>
    <row r="5" s="1" customFormat="1" ht="11.25" customHeight="1" spans="1:39">
      <c r="A5" s="19" t="s">
        <v>1618</v>
      </c>
      <c r="B5" s="20"/>
      <c r="C5" s="20"/>
      <c r="D5" s="21"/>
      <c r="E5" s="12"/>
      <c r="F5" s="22"/>
      <c r="G5" s="22"/>
      <c r="H5" s="13"/>
      <c r="I5" s="13"/>
      <c r="J5" s="13"/>
      <c r="K5" s="13"/>
      <c r="L5" s="15"/>
      <c r="M5" s="15"/>
      <c r="N5" s="15"/>
      <c r="O5" s="14"/>
      <c r="P5" s="71"/>
    </row>
    <row r="6" s="1" customFormat="1" ht="11.25" customHeight="1" spans="1:39">
      <c r="A6" s="23"/>
      <c r="B6" s="24"/>
      <c r="C6" s="24"/>
      <c r="D6" s="25"/>
      <c r="E6" s="26" t="s">
        <v>1567</v>
      </c>
      <c r="F6" s="27"/>
      <c r="G6" s="27"/>
      <c r="H6" s="28"/>
      <c r="I6" s="28"/>
      <c r="J6" s="28"/>
      <c r="K6" s="28"/>
      <c r="L6" s="29"/>
      <c r="M6" s="29"/>
      <c r="N6" s="29"/>
      <c r="O6" s="30"/>
      <c r="P6" s="72"/>
    </row>
    <row r="7" s="1" customFormat="1" ht="4.5" customHeight="1" spans="1:39">
      <c r="E7" s="31"/>
      <c r="F7" s="32"/>
      <c r="G7" s="32"/>
      <c r="K7" s="33"/>
      <c r="L7" s="34"/>
      <c r="M7" s="34"/>
      <c r="N7" s="34"/>
    </row>
    <row r="8" s="1" customFormat="1" ht="10.5" customHeight="1" spans="1:39">
      <c r="E8" s="35"/>
      <c r="F8" s="32"/>
      <c r="G8" s="32"/>
      <c r="AM8" s="1" t="s">
        <v>1453</v>
      </c>
    </row>
    <row r="9" s="1" customFormat="1" ht="15" customHeight="1" spans="1:39">
      <c r="A9" s="36" t="s">
        <v>1411</v>
      </c>
      <c r="B9" s="37" t="s">
        <v>1412</v>
      </c>
      <c r="C9" s="36" t="s">
        <v>188</v>
      </c>
      <c r="D9" s="37" t="s">
        <v>1413</v>
      </c>
      <c r="E9" s="36" t="s">
        <v>1364</v>
      </c>
      <c r="F9" s="37" t="s">
        <v>1396</v>
      </c>
      <c r="G9" s="36" t="s">
        <v>1414</v>
      </c>
      <c r="H9" s="38" t="s">
        <v>1359</v>
      </c>
    </row>
    <row r="10" spans="1:39">
      <c r="A10" s="93"/>
    </row>
    <row r="11" ht="16.5" spans="1:39">
      <c r="A11" s="94" t="s">
        <v>188</v>
      </c>
      <c r="B11" s="94" t="s">
        <v>300</v>
      </c>
      <c r="C11" s="95" t="s">
        <v>2341</v>
      </c>
      <c r="D11" s="96" t="s">
        <v>2342</v>
      </c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8"/>
      <c r="R11" s="99" t="s">
        <v>2343</v>
      </c>
      <c r="S11" s="99" t="s">
        <v>2344</v>
      </c>
      <c r="T11" s="94" t="s">
        <v>2345</v>
      </c>
      <c r="U11" s="99" t="s">
        <v>2346</v>
      </c>
      <c r="V11" s="100" t="s">
        <v>2347</v>
      </c>
      <c r="W11" s="99" t="s">
        <v>2348</v>
      </c>
      <c r="X11" s="99" t="s">
        <v>2349</v>
      </c>
      <c r="Y11" s="99" t="s">
        <v>2350</v>
      </c>
      <c r="Z11" s="99" t="s">
        <v>2351</v>
      </c>
      <c r="AA11" s="95" t="s">
        <v>2352</v>
      </c>
      <c r="AB11" s="101" t="s">
        <v>2353</v>
      </c>
      <c r="AC11" s="102" t="s">
        <v>2354</v>
      </c>
      <c r="AD11" s="102"/>
      <c r="AE11" s="103" t="s">
        <v>2355</v>
      </c>
      <c r="AF11" s="103"/>
      <c r="AG11" s="103" t="s">
        <v>2356</v>
      </c>
      <c r="AH11" s="103"/>
    </row>
    <row r="12" ht="16.5" spans="1:39">
      <c r="A12" s="104"/>
      <c r="B12" s="104"/>
      <c r="C12" s="105"/>
      <c r="D12" s="101" t="s">
        <v>2357</v>
      </c>
      <c r="E12" s="106" t="s">
        <v>304</v>
      </c>
      <c r="F12" s="106" t="s">
        <v>305</v>
      </c>
      <c r="G12" s="106" t="s">
        <v>306</v>
      </c>
      <c r="H12" s="106" t="s">
        <v>307</v>
      </c>
      <c r="I12" s="106" t="s">
        <v>308</v>
      </c>
      <c r="J12" s="106" t="s">
        <v>309</v>
      </c>
      <c r="K12" s="106" t="s">
        <v>310</v>
      </c>
      <c r="L12" s="106" t="s">
        <v>311</v>
      </c>
      <c r="M12" s="106" t="s">
        <v>312</v>
      </c>
      <c r="N12" s="106" t="s">
        <v>313</v>
      </c>
      <c r="O12" s="106" t="s">
        <v>314</v>
      </c>
      <c r="P12" s="106" t="s">
        <v>315</v>
      </c>
      <c r="Q12" s="106" t="s">
        <v>2358</v>
      </c>
      <c r="R12" s="107"/>
      <c r="S12" s="107"/>
      <c r="T12" s="104"/>
      <c r="U12" s="107"/>
      <c r="V12" s="108" t="s">
        <v>281</v>
      </c>
      <c r="W12" s="107" t="s">
        <v>281</v>
      </c>
      <c r="X12" s="107" t="s">
        <v>281</v>
      </c>
      <c r="Y12" s="107" t="s">
        <v>281</v>
      </c>
      <c r="Z12" s="107" t="s">
        <v>281</v>
      </c>
      <c r="AA12" s="105"/>
      <c r="AB12" s="101"/>
      <c r="AC12" s="109" t="s">
        <v>2359</v>
      </c>
      <c r="AD12" s="109" t="s">
        <v>2360</v>
      </c>
      <c r="AE12" s="110" t="s">
        <v>2359</v>
      </c>
      <c r="AF12" s="110" t="s">
        <v>2360</v>
      </c>
      <c r="AG12" s="110" t="s">
        <v>2359</v>
      </c>
      <c r="AH12" s="110" t="s">
        <v>2360</v>
      </c>
    </row>
    <row r="13" ht="49.5" spans="1:39">
      <c r="A13" s="111" t="s">
        <v>1421</v>
      </c>
      <c r="B13" s="111" t="s">
        <v>1421</v>
      </c>
      <c r="C13" s="105" t="s">
        <v>29</v>
      </c>
      <c r="D13" s="101" t="s">
        <v>199</v>
      </c>
      <c r="E13" s="106" t="s">
        <v>2361</v>
      </c>
      <c r="F13" s="106" t="s">
        <v>2361</v>
      </c>
      <c r="G13" s="106" t="s">
        <v>2361</v>
      </c>
      <c r="H13" s="106" t="s">
        <v>2361</v>
      </c>
      <c r="I13" s="106" t="s">
        <v>2361</v>
      </c>
      <c r="J13" s="106" t="s">
        <v>2361</v>
      </c>
      <c r="K13" s="106" t="s">
        <v>2361</v>
      </c>
      <c r="L13" s="106" t="s">
        <v>2361</v>
      </c>
      <c r="M13" s="106" t="s">
        <v>2361</v>
      </c>
      <c r="N13" s="106" t="s">
        <v>2361</v>
      </c>
      <c r="O13" s="106" t="s">
        <v>2361</v>
      </c>
      <c r="P13" s="106" t="s">
        <v>2361</v>
      </c>
      <c r="Q13" s="106" t="s">
        <v>199</v>
      </c>
      <c r="R13" s="107" t="s">
        <v>1421</v>
      </c>
      <c r="S13" s="107" t="s">
        <v>1421</v>
      </c>
      <c r="T13" s="107" t="s">
        <v>1421</v>
      </c>
      <c r="U13" s="107" t="s">
        <v>1421</v>
      </c>
      <c r="V13" s="108" t="s">
        <v>2362</v>
      </c>
      <c r="W13" s="107" t="s">
        <v>199</v>
      </c>
      <c r="X13" s="107" t="s">
        <v>199</v>
      </c>
      <c r="Y13" s="107" t="s">
        <v>199</v>
      </c>
      <c r="Z13" s="107" t="s">
        <v>199</v>
      </c>
      <c r="AA13" s="105" t="s">
        <v>2363</v>
      </c>
      <c r="AB13" s="101" t="s">
        <v>199</v>
      </c>
      <c r="AC13" s="109" t="s">
        <v>29</v>
      </c>
      <c r="AD13" s="109" t="s">
        <v>29</v>
      </c>
      <c r="AE13" s="110" t="s">
        <v>1421</v>
      </c>
      <c r="AF13" s="110" t="s">
        <v>1421</v>
      </c>
      <c r="AG13" s="110" t="s">
        <v>199</v>
      </c>
      <c r="AH13" s="110" t="s">
        <v>199</v>
      </c>
    </row>
    <row r="14" ht="16.5" spans="1:39">
      <c r="A14" s="112" t="s">
        <v>2364</v>
      </c>
      <c r="B14" s="113" t="s">
        <v>281</v>
      </c>
      <c r="C14" s="114">
        <f t="shared" ref="C14:T14" si="0">SUM(C15:C19)</f>
        <v>0</v>
      </c>
      <c r="D14" s="115">
        <f t="shared" si="0"/>
        <v>0</v>
      </c>
      <c r="E14" s="114">
        <f t="shared" si="0"/>
        <v>0</v>
      </c>
      <c r="F14" s="114">
        <f t="shared" si="0"/>
        <v>0</v>
      </c>
      <c r="G14" s="114">
        <f t="shared" si="0"/>
        <v>0</v>
      </c>
      <c r="H14" s="114">
        <f t="shared" si="0"/>
        <v>0</v>
      </c>
      <c r="I14" s="114">
        <f t="shared" si="0"/>
        <v>0</v>
      </c>
      <c r="J14" s="114">
        <f t="shared" si="0"/>
        <v>0</v>
      </c>
      <c r="K14" s="114">
        <f t="shared" si="0"/>
        <v>0</v>
      </c>
      <c r="L14" s="114">
        <f t="shared" si="0"/>
        <v>0</v>
      </c>
      <c r="M14" s="114">
        <f t="shared" si="0"/>
        <v>0</v>
      </c>
      <c r="N14" s="114">
        <f t="shared" si="0"/>
        <v>0</v>
      </c>
      <c r="O14" s="114">
        <f t="shared" si="0"/>
        <v>0</v>
      </c>
      <c r="P14" s="114">
        <f t="shared" si="0"/>
        <v>0</v>
      </c>
      <c r="Q14" s="114">
        <f t="shared" si="0"/>
        <v>0</v>
      </c>
      <c r="R14" s="114">
        <f t="shared" si="0"/>
        <v>0</v>
      </c>
      <c r="S14" s="114">
        <f t="shared" si="0"/>
        <v>0</v>
      </c>
      <c r="T14" s="114">
        <f t="shared" si="0"/>
        <v>0</v>
      </c>
      <c r="U14" s="116">
        <f t="shared" ref="U14:U19" si="1">IFERROR(T14/ABS(S14),IF(AND(S14=0,T14&gt;0),100%,0))</f>
        <v>0</v>
      </c>
      <c r="V14" s="114">
        <f>SUM(V15:V19)</f>
        <v>0</v>
      </c>
      <c r="W14" s="114">
        <f t="shared" ref="W14:W19" si="2">V14-C14</f>
        <v>0</v>
      </c>
      <c r="X14" s="117">
        <f t="shared" ref="X14:X19" si="3">IFERROR(W14/C14,0)</f>
        <v>0</v>
      </c>
      <c r="Y14" s="114">
        <f t="shared" ref="Y14:Y19" si="4">V14-D14</f>
        <v>0</v>
      </c>
      <c r="Z14" s="116">
        <f t="shared" ref="Z14:Z19" si="5">IFERROR(Y14/D14,0)</f>
        <v>0</v>
      </c>
      <c r="AA14" s="114">
        <f t="shared" ref="AA14:AF14" si="6">SUM(AA15:AA19)</f>
        <v>0</v>
      </c>
      <c r="AB14" s="118">
        <f t="shared" si="6"/>
        <v>0</v>
      </c>
      <c r="AC14" s="114">
        <f t="shared" si="6"/>
        <v>0</v>
      </c>
      <c r="AD14" s="114">
        <f t="shared" si="6"/>
        <v>0</v>
      </c>
      <c r="AE14" s="114">
        <f t="shared" si="6"/>
        <v>0</v>
      </c>
      <c r="AF14" s="114">
        <f t="shared" si="6"/>
        <v>0</v>
      </c>
      <c r="AG14" s="114">
        <f t="shared" ref="AG14:AG19" si="7">AC14-AE14</f>
        <v>0</v>
      </c>
      <c r="AH14" s="114">
        <f t="shared" ref="AH14:AH19" si="8">AD14-AF14</f>
        <v>0</v>
      </c>
    </row>
    <row r="15" ht="16.5" spans="1:39">
      <c r="A15" s="112" t="s">
        <v>2364</v>
      </c>
      <c r="B15" s="112" t="s">
        <v>2294</v>
      </c>
      <c r="C15" s="119"/>
      <c r="D15" s="120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119"/>
      <c r="S15" s="119"/>
      <c r="T15" s="119">
        <f t="shared" ref="T15:T19" si="9">R15-S15</f>
        <v>0</v>
      </c>
      <c r="U15" s="121">
        <f t="shared" si="1"/>
        <v>0</v>
      </c>
      <c r="V15" s="120">
        <f t="shared" ref="V15:V19" si="10">D15*(1+U15)</f>
        <v>0</v>
      </c>
      <c r="W15" s="110">
        <f t="shared" si="2"/>
        <v>0</v>
      </c>
      <c r="X15" s="122">
        <f t="shared" si="3"/>
        <v>0</v>
      </c>
      <c r="Y15" s="110">
        <f t="shared" si="4"/>
        <v>0</v>
      </c>
      <c r="Z15" s="123">
        <f t="shared" si="5"/>
        <v>0</v>
      </c>
      <c r="AA15" s="124">
        <f>'查阅-公司（聚焦镇、大客户）汇总'!H7</f>
        <v>0</v>
      </c>
      <c r="AB15" s="125">
        <f t="shared" ref="AB15:AB19" si="11">V15-AA15</f>
        <v>0</v>
      </c>
      <c r="AC15" s="119"/>
      <c r="AD15" s="119"/>
      <c r="AE15" s="119"/>
      <c r="AF15" s="119"/>
      <c r="AG15" s="126">
        <f t="shared" si="7"/>
        <v>0</v>
      </c>
      <c r="AH15" s="126">
        <f t="shared" si="8"/>
        <v>0</v>
      </c>
    </row>
    <row r="16" ht="16.5" spans="1:39">
      <c r="A16" s="112" t="s">
        <v>2364</v>
      </c>
      <c r="B16" s="112" t="s">
        <v>282</v>
      </c>
      <c r="C16" s="119"/>
      <c r="D16" s="120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20"/>
      <c r="R16" s="119"/>
      <c r="S16" s="119"/>
      <c r="T16" s="119">
        <f t="shared" si="9"/>
        <v>0</v>
      </c>
      <c r="U16" s="121">
        <f t="shared" si="1"/>
        <v>0</v>
      </c>
      <c r="V16" s="120">
        <f t="shared" si="10"/>
        <v>0</v>
      </c>
      <c r="W16" s="110">
        <f t="shared" si="2"/>
        <v>0</v>
      </c>
      <c r="X16" s="122">
        <f t="shared" si="3"/>
        <v>0</v>
      </c>
      <c r="Y16" s="110">
        <f t="shared" si="4"/>
        <v>0</v>
      </c>
      <c r="Z16" s="123">
        <f t="shared" si="5"/>
        <v>0</v>
      </c>
      <c r="AA16" s="124">
        <f>'查阅-公司（聚焦镇、大客户）汇总'!H8</f>
        <v>0</v>
      </c>
      <c r="AB16" s="125">
        <f t="shared" si="11"/>
        <v>0</v>
      </c>
      <c r="AC16" s="119"/>
      <c r="AD16" s="119"/>
      <c r="AE16" s="119"/>
      <c r="AF16" s="119"/>
      <c r="AG16" s="126">
        <f t="shared" si="7"/>
        <v>0</v>
      </c>
      <c r="AH16" s="126">
        <f t="shared" si="8"/>
        <v>0</v>
      </c>
    </row>
    <row r="17" ht="16.5" spans="1:34">
      <c r="A17" s="112" t="s">
        <v>2364</v>
      </c>
      <c r="B17" s="112" t="s">
        <v>2295</v>
      </c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19">
        <f t="shared" si="9"/>
        <v>0</v>
      </c>
      <c r="U17" s="121">
        <f t="shared" si="1"/>
        <v>0</v>
      </c>
      <c r="V17" s="120">
        <f t="shared" si="10"/>
        <v>0</v>
      </c>
      <c r="W17" s="110">
        <f t="shared" si="2"/>
        <v>0</v>
      </c>
      <c r="X17" s="122">
        <f t="shared" si="3"/>
        <v>0</v>
      </c>
      <c r="Y17" s="110">
        <f t="shared" si="4"/>
        <v>0</v>
      </c>
      <c r="Z17" s="123">
        <f t="shared" si="5"/>
        <v>0</v>
      </c>
      <c r="AA17" s="124">
        <f>'查阅-公司（聚焦镇、大客户）汇总'!H9</f>
        <v>0</v>
      </c>
      <c r="AB17" s="125">
        <f t="shared" si="11"/>
        <v>0</v>
      </c>
      <c r="AC17" s="127"/>
      <c r="AD17" s="127"/>
      <c r="AE17" s="127"/>
      <c r="AF17" s="127"/>
      <c r="AG17" s="126">
        <f t="shared" si="7"/>
        <v>0</v>
      </c>
      <c r="AH17" s="126">
        <f t="shared" si="8"/>
        <v>0</v>
      </c>
    </row>
    <row r="18" ht="16.5" spans="1:34">
      <c r="A18" s="112" t="s">
        <v>2364</v>
      </c>
      <c r="B18" s="112" t="s">
        <v>2296</v>
      </c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19">
        <f t="shared" si="9"/>
        <v>0</v>
      </c>
      <c r="U18" s="121">
        <f t="shared" si="1"/>
        <v>0</v>
      </c>
      <c r="V18" s="120">
        <f t="shared" si="10"/>
        <v>0</v>
      </c>
      <c r="W18" s="110">
        <f t="shared" si="2"/>
        <v>0</v>
      </c>
      <c r="X18" s="122">
        <f t="shared" si="3"/>
        <v>0</v>
      </c>
      <c r="Y18" s="110">
        <f t="shared" si="4"/>
        <v>0</v>
      </c>
      <c r="Z18" s="123">
        <f t="shared" si="5"/>
        <v>0</v>
      </c>
      <c r="AA18" s="124">
        <f>'查阅-公司（聚焦镇、大客户）汇总'!H10</f>
        <v>0</v>
      </c>
      <c r="AB18" s="125">
        <f t="shared" si="11"/>
        <v>0</v>
      </c>
      <c r="AC18" s="127"/>
      <c r="AD18" s="127"/>
      <c r="AE18" s="127"/>
      <c r="AF18" s="127"/>
      <c r="AG18" s="126">
        <f t="shared" si="7"/>
        <v>0</v>
      </c>
      <c r="AH18" s="126">
        <f t="shared" si="8"/>
        <v>0</v>
      </c>
    </row>
    <row r="19" ht="16.5" spans="1:34">
      <c r="A19" s="112" t="s">
        <v>2364</v>
      </c>
      <c r="B19" s="112" t="s">
        <v>422</v>
      </c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19">
        <f t="shared" si="9"/>
        <v>0</v>
      </c>
      <c r="U19" s="121">
        <f t="shared" si="1"/>
        <v>0</v>
      </c>
      <c r="V19" s="120">
        <f t="shared" si="10"/>
        <v>0</v>
      </c>
      <c r="W19" s="110">
        <f t="shared" si="2"/>
        <v>0</v>
      </c>
      <c r="X19" s="122">
        <f t="shared" si="3"/>
        <v>0</v>
      </c>
      <c r="Y19" s="110">
        <f t="shared" si="4"/>
        <v>0</v>
      </c>
      <c r="Z19" s="123">
        <f t="shared" si="5"/>
        <v>0</v>
      </c>
      <c r="AA19" s="124">
        <f>'查阅-公司（聚焦镇、大客户）汇总'!H11</f>
        <v>0</v>
      </c>
      <c r="AB19" s="125">
        <f t="shared" si="11"/>
        <v>0</v>
      </c>
      <c r="AC19" s="127"/>
      <c r="AD19" s="127"/>
      <c r="AE19" s="127"/>
      <c r="AF19" s="127"/>
      <c r="AG19" s="126">
        <f t="shared" si="7"/>
        <v>0</v>
      </c>
      <c r="AH19" s="126">
        <f t="shared" si="8"/>
        <v>0</v>
      </c>
    </row>
    <row r="21" s="92" customFormat="1" spans="1:34">
      <c r="D21" s="128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S21" s="128"/>
      <c r="V21" s="128"/>
      <c r="W21" s="91"/>
      <c r="X21" s="91"/>
      <c r="Y21" s="91"/>
      <c r="Z21" s="91"/>
      <c r="AA21" s="128"/>
      <c r="AC21" s="128"/>
      <c r="AD21" s="128"/>
    </row>
  </sheetData>
  <mergeCells count="23">
    <mergeCell ref="D11:Q11"/>
    <mergeCell ref="AC11:AD11"/>
    <mergeCell ref="AE11:AF11"/>
    <mergeCell ref="AG11:AH11"/>
    <mergeCell ref="E21:P21"/>
    <mergeCell ref="W21:X21"/>
    <mergeCell ref="Y21:Z21"/>
    <mergeCell ref="A11:A12"/>
    <mergeCell ref="B11:B12"/>
    <mergeCell ref="C11:C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A1:D4"/>
    <mergeCell ref="A5:D6"/>
  </mergeCells>
  <conditionalFormatting sqref="W14:X19">
    <cfRule type="cellIs" dxfId="1" priority="1" operator="lessThan">
      <formula>0</formula>
    </cfRule>
  </conditionalFormatting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6">
    <tabColor theme="4" tint="0.799981688894314"/>
  </sheetPr>
  <dimension ref="A1:BE47"/>
  <sheetViews>
    <sheetView workbookViewId="0">
      <pane xSplit="3" ySplit="12" topLeftCell="D13" activePane="bottomRight" state="frozen"/>
      <selection/>
      <selection pane="topRight"/>
      <selection pane="bottomLeft"/>
      <selection pane="bottomRight" activeCell="A1" sqref="A1:D4"/>
    </sheetView>
  </sheetViews>
  <sheetFormatPr defaultColWidth="9" defaultRowHeight="13.5"/>
  <cols>
    <col min="5" max="5" width="8.45" customWidth="1"/>
    <col min="6" max="6" width="9.54166666666667" customWidth="1"/>
    <col min="7" max="7" width="8.45" customWidth="1"/>
    <col min="10" max="10" width="9" customWidth="1"/>
    <col min="11" max="11" width="9.09166666666667" customWidth="1"/>
    <col min="12" max="12" width="11" customWidth="1"/>
    <col min="13" max="13" width="9.90833333333333" customWidth="1"/>
    <col min="14" max="14" width="16" customWidth="1"/>
    <col min="15" max="15" width="16.725" customWidth="1"/>
    <col min="16" max="16" width="15.1833333333333" customWidth="1"/>
    <col min="17" max="17" width="11.0916666666667" customWidth="1"/>
    <col min="18" max="18" width="11.6333333333333" customWidth="1"/>
    <col min="19" max="19" width="12" customWidth="1"/>
    <col min="20" max="20" width="9.63333333333333" customWidth="1"/>
    <col min="21" max="21" width="9" customWidth="1"/>
    <col min="22" max="22" width="13.0916666666667" customWidth="1"/>
    <col min="23" max="23" width="14.6333333333333" customWidth="1"/>
    <col min="24" max="24" width="14.45" customWidth="1"/>
    <col min="25" max="26" width="11.6333333333333" customWidth="1"/>
    <col min="27" max="27" width="15.8166666666667" customWidth="1"/>
    <col min="28" max="28" width="9.09166666666667" customWidth="1"/>
    <col min="29" max="29" width="10.2666666666667" customWidth="1"/>
    <col min="30" max="30" width="9.09166666666667" customWidth="1"/>
    <col min="32" max="33" width="11.6333333333333" customWidth="1" outlineLevel="1"/>
    <col min="34" max="34" width="11.0916666666667" customWidth="1" outlineLevel="1"/>
    <col min="35" max="35" width="11.6333333333333" customWidth="1" outlineLevel="1"/>
    <col min="36" max="37" width="10.3666666666667" customWidth="1" outlineLevel="1"/>
    <col min="38" max="38" width="10.8166666666667" customWidth="1" outlineLevel="1"/>
    <col min="39" max="42" width="11.6333333333333" customWidth="1" outlineLevel="1"/>
    <col min="43" max="43" width="19.0916666666667" customWidth="1" outlineLevel="1"/>
    <col min="44" max="44" width="6.09166666666667" customWidth="1"/>
    <col min="45" max="45" width="8.81666666666667" customWidth="1"/>
    <col min="46" max="46" width="11.6333333333333" customWidth="1"/>
    <col min="47" max="47" width="9.90833333333333" customWidth="1"/>
    <col min="48" max="48" width="10.8166666666667" customWidth="1"/>
    <col min="49" max="49" width="6.54166666666667" customWidth="1"/>
    <col min="50" max="50" width="7.09166666666667" customWidth="1"/>
    <col min="51" max="51" width="7.18333333333333" customWidth="1"/>
    <col min="52" max="52" width="5.54166666666667" customWidth="1"/>
    <col min="53" max="54" width="6.81666666666667" hidden="1" customWidth="1"/>
    <col min="55" max="55" width="5.54166666666667" hidden="1" customWidth="1"/>
    <col min="56" max="56" width="8.36666666666667" hidden="1" customWidth="1"/>
    <col min="57" max="57" width="9" hidden="1" customWidth="1"/>
    <col min="59" max="59" width="9" outlineLevel="1"/>
    <col min="60" max="60" width="12.45" customWidth="1" outlineLevel="1"/>
    <col min="61" max="61" width="11.725" customWidth="1" outlineLevel="1"/>
    <col min="62" max="62" width="12" customWidth="1" outlineLevel="1"/>
  </cols>
  <sheetData>
    <row r="1" s="1" customFormat="1" ht="13" customHeight="1" spans="1:57">
      <c r="A1" s="4" t="s">
        <v>2365</v>
      </c>
      <c r="B1" s="5"/>
      <c r="C1" s="5"/>
      <c r="D1" s="6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70"/>
    </row>
    <row r="2" s="1" customFormat="1" ht="13" customHeight="1" spans="1:57">
      <c r="A2" s="9"/>
      <c r="B2" s="10"/>
      <c r="C2" s="10"/>
      <c r="D2" s="11"/>
      <c r="E2" s="12"/>
      <c r="F2" s="13" t="s">
        <v>2366</v>
      </c>
      <c r="G2" s="13"/>
      <c r="H2" s="13"/>
      <c r="I2" s="13"/>
      <c r="J2" s="13"/>
      <c r="K2" s="13"/>
      <c r="L2" s="14"/>
      <c r="M2" s="14"/>
      <c r="N2" s="14"/>
      <c r="O2" s="14"/>
      <c r="P2" s="71"/>
    </row>
    <row r="3" s="1" customFormat="1" ht="11.25" customHeight="1" spans="1:57">
      <c r="A3" s="9"/>
      <c r="B3" s="10"/>
      <c r="C3" s="10"/>
      <c r="D3" s="11"/>
      <c r="E3" s="12"/>
      <c r="F3" s="13" t="s">
        <v>2367</v>
      </c>
      <c r="G3" s="13"/>
      <c r="H3" s="13"/>
      <c r="I3" s="13"/>
      <c r="J3" s="13"/>
      <c r="K3" s="13"/>
      <c r="L3" s="15"/>
      <c r="M3" s="15"/>
      <c r="N3" s="15"/>
      <c r="O3" s="14"/>
      <c r="P3" s="71"/>
    </row>
    <row r="4" s="1" customFormat="1" ht="11.25" customHeight="1" spans="1:57">
      <c r="A4" s="16"/>
      <c r="B4" s="17"/>
      <c r="C4" s="17"/>
      <c r="D4" s="18"/>
      <c r="E4" s="12"/>
      <c r="F4" s="13" t="s">
        <v>1408</v>
      </c>
      <c r="G4" s="13"/>
      <c r="H4" s="13"/>
      <c r="I4" s="13"/>
      <c r="J4" s="13"/>
      <c r="K4" s="13"/>
      <c r="L4" s="15"/>
      <c r="M4" s="15"/>
      <c r="N4" s="15"/>
      <c r="O4" s="14"/>
      <c r="P4" s="71"/>
    </row>
    <row r="5" s="1" customFormat="1" ht="11.25" customHeight="1" spans="1:57">
      <c r="A5" s="19" t="s">
        <v>1451</v>
      </c>
      <c r="B5" s="20"/>
      <c r="C5" s="20"/>
      <c r="D5" s="21"/>
      <c r="E5" s="12"/>
      <c r="F5" s="22"/>
      <c r="G5" s="22"/>
      <c r="H5" s="13"/>
      <c r="I5" s="13"/>
      <c r="J5" s="13"/>
      <c r="K5" s="13"/>
      <c r="L5" s="15"/>
      <c r="M5" s="15"/>
      <c r="N5" s="15"/>
      <c r="O5" s="14"/>
      <c r="P5" s="71"/>
    </row>
    <row r="6" s="1" customFormat="1" ht="11.25" customHeight="1" spans="1:57">
      <c r="A6" s="23"/>
      <c r="B6" s="24"/>
      <c r="C6" s="24"/>
      <c r="D6" s="25"/>
      <c r="E6" s="26" t="s">
        <v>1567</v>
      </c>
      <c r="F6" s="27"/>
      <c r="G6" s="27"/>
      <c r="H6" s="28"/>
      <c r="I6" s="28"/>
      <c r="J6" s="28"/>
      <c r="K6" s="28"/>
      <c r="L6" s="29"/>
      <c r="M6" s="29"/>
      <c r="N6" s="29"/>
      <c r="O6" s="30"/>
      <c r="P6" s="72"/>
    </row>
    <row r="7" s="1" customFormat="1" ht="4.5" customHeight="1" spans="1:57">
      <c r="E7" s="31"/>
      <c r="F7" s="32"/>
      <c r="G7" s="32"/>
      <c r="K7" s="33"/>
      <c r="L7" s="34"/>
      <c r="M7" s="34"/>
      <c r="N7" s="34"/>
    </row>
    <row r="8" s="1" customFormat="1" ht="10.5" customHeight="1" spans="1:57">
      <c r="E8" s="35"/>
      <c r="F8" s="32"/>
      <c r="G8" s="32"/>
      <c r="AM8" s="1" t="s">
        <v>1453</v>
      </c>
    </row>
    <row r="9" s="1" customFormat="1" ht="15" customHeight="1" spans="1:57">
      <c r="A9" s="36" t="s">
        <v>1411</v>
      </c>
      <c r="B9" s="37" t="s">
        <v>1412</v>
      </c>
      <c r="C9" s="36" t="s">
        <v>188</v>
      </c>
      <c r="D9" s="37" t="s">
        <v>1413</v>
      </c>
      <c r="E9" s="36" t="s">
        <v>1364</v>
      </c>
      <c r="F9" s="37" t="s">
        <v>1396</v>
      </c>
      <c r="G9" s="36" t="s">
        <v>1414</v>
      </c>
      <c r="H9" s="38" t="s">
        <v>1359</v>
      </c>
    </row>
    <row r="10" s="1" customFormat="1" ht="15" customHeight="1" spans="1:57">
      <c r="B10" s="39"/>
      <c r="C10" s="40"/>
      <c r="D10" s="39"/>
      <c r="E10" s="40"/>
      <c r="F10" s="39"/>
      <c r="G10" s="40"/>
      <c r="H10" s="39"/>
      <c r="I10" s="41"/>
    </row>
    <row r="11" ht="16.5" spans="1:57">
      <c r="A11" s="42" t="s">
        <v>2368</v>
      </c>
      <c r="B11" s="43"/>
      <c r="C11" s="43"/>
      <c r="D11" s="43"/>
      <c r="E11" s="43"/>
      <c r="F11" s="43"/>
      <c r="G11" s="43"/>
      <c r="H11" s="43"/>
      <c r="I11" s="44"/>
      <c r="J11" s="45" t="s">
        <v>2107</v>
      </c>
      <c r="K11" s="45"/>
      <c r="L11" s="45"/>
      <c r="M11" s="45"/>
      <c r="N11" s="45"/>
      <c r="O11" s="45"/>
      <c r="P11" s="45"/>
      <c r="Q11" s="45"/>
      <c r="R11" s="45" t="s">
        <v>190</v>
      </c>
      <c r="S11" s="45"/>
      <c r="T11" s="45"/>
      <c r="U11" s="45"/>
      <c r="V11" s="45"/>
      <c r="W11" s="45"/>
      <c r="X11" s="45"/>
      <c r="Y11" s="45"/>
      <c r="Z11" s="45"/>
      <c r="AA11" s="46" t="s">
        <v>2369</v>
      </c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5" t="s">
        <v>1460</v>
      </c>
      <c r="AN11" s="45"/>
      <c r="AO11" s="45"/>
      <c r="AP11" s="45"/>
      <c r="AQ11" s="45"/>
      <c r="AR11" s="45"/>
      <c r="AS11" s="45"/>
      <c r="AT11" s="45"/>
      <c r="AU11" s="45" t="s">
        <v>1461</v>
      </c>
      <c r="AV11" s="45"/>
      <c r="AW11" s="45"/>
      <c r="AX11" s="45"/>
      <c r="AY11" s="45"/>
      <c r="BA11" s="47"/>
      <c r="BB11" s="48" t="s">
        <v>2308</v>
      </c>
      <c r="BC11" s="48" t="s">
        <v>2325</v>
      </c>
      <c r="BD11" s="48" t="s">
        <v>2315</v>
      </c>
      <c r="BE11" s="48" t="s">
        <v>235</v>
      </c>
    </row>
    <row r="12" ht="46" customHeight="1" spans="1:57">
      <c r="A12" s="49" t="s">
        <v>2370</v>
      </c>
      <c r="B12" s="50" t="s">
        <v>1366</v>
      </c>
      <c r="C12" s="51" t="s">
        <v>2371</v>
      </c>
      <c r="D12" s="50" t="s">
        <v>1456</v>
      </c>
      <c r="E12" s="52" t="s">
        <v>1368</v>
      </c>
      <c r="F12" s="50" t="s">
        <v>331</v>
      </c>
      <c r="G12" s="49" t="s">
        <v>2372</v>
      </c>
      <c r="H12" s="49" t="s">
        <v>2307</v>
      </c>
      <c r="I12" s="53" t="s">
        <v>2373</v>
      </c>
      <c r="J12" s="50" t="s">
        <v>2286</v>
      </c>
      <c r="K12" s="50" t="s">
        <v>2279</v>
      </c>
      <c r="L12" s="50" t="s">
        <v>2287</v>
      </c>
      <c r="M12" s="50" t="s">
        <v>289</v>
      </c>
      <c r="N12" s="54" t="s">
        <v>2288</v>
      </c>
      <c r="O12" s="55" t="s">
        <v>2282</v>
      </c>
      <c r="P12" s="54" t="s">
        <v>2283</v>
      </c>
      <c r="Q12" s="54" t="s">
        <v>2374</v>
      </c>
      <c r="R12" s="50" t="s">
        <v>58</v>
      </c>
      <c r="S12" s="50" t="s">
        <v>2279</v>
      </c>
      <c r="T12" s="50" t="s">
        <v>2280</v>
      </c>
      <c r="U12" s="50" t="s">
        <v>289</v>
      </c>
      <c r="V12" s="54" t="s">
        <v>2281</v>
      </c>
      <c r="W12" s="55" t="s">
        <v>2282</v>
      </c>
      <c r="X12" s="54" t="s">
        <v>2283</v>
      </c>
      <c r="Y12" s="54" t="s">
        <v>2284</v>
      </c>
      <c r="Z12" s="56" t="s">
        <v>2285</v>
      </c>
      <c r="AA12" s="57" t="s">
        <v>304</v>
      </c>
      <c r="AB12" s="57" t="s">
        <v>305</v>
      </c>
      <c r="AC12" s="57" t="s">
        <v>306</v>
      </c>
      <c r="AD12" s="57" t="s">
        <v>307</v>
      </c>
      <c r="AE12" s="57" t="s">
        <v>308</v>
      </c>
      <c r="AF12" s="57" t="s">
        <v>309</v>
      </c>
      <c r="AG12" s="57" t="s">
        <v>310</v>
      </c>
      <c r="AH12" s="57" t="s">
        <v>311</v>
      </c>
      <c r="AI12" s="57" t="s">
        <v>312</v>
      </c>
      <c r="AJ12" s="57" t="s">
        <v>313</v>
      </c>
      <c r="AK12" s="57" t="s">
        <v>314</v>
      </c>
      <c r="AL12" s="57" t="s">
        <v>315</v>
      </c>
      <c r="AM12" s="50" t="s">
        <v>58</v>
      </c>
      <c r="AN12" s="50" t="s">
        <v>2279</v>
      </c>
      <c r="AO12" s="50" t="s">
        <v>2280</v>
      </c>
      <c r="AP12" s="50" t="s">
        <v>289</v>
      </c>
      <c r="AQ12" s="58" t="s">
        <v>2375</v>
      </c>
      <c r="AR12" s="55" t="s">
        <v>2282</v>
      </c>
      <c r="AS12" s="54" t="s">
        <v>2283</v>
      </c>
      <c r="AT12" s="54" t="s">
        <v>2284</v>
      </c>
      <c r="AU12" s="50" t="s">
        <v>58</v>
      </c>
      <c r="AV12" s="50" t="s">
        <v>2279</v>
      </c>
      <c r="AW12" s="50" t="s">
        <v>2280</v>
      </c>
      <c r="AX12" s="50" t="s">
        <v>289</v>
      </c>
      <c r="AY12" s="58" t="s">
        <v>2375</v>
      </c>
      <c r="BA12" s="47"/>
      <c r="BB12" s="59" t="s">
        <v>2309</v>
      </c>
      <c r="BC12" s="59" t="s">
        <v>2326</v>
      </c>
      <c r="BD12" s="59" t="s">
        <v>2316</v>
      </c>
      <c r="BE12" s="59" t="s">
        <v>2338</v>
      </c>
    </row>
    <row r="13" s="2" customFormat="1" ht="35.5" customHeight="1" spans="1:57">
      <c r="A13" s="49" t="s">
        <v>2376</v>
      </c>
      <c r="B13" s="50" t="s">
        <v>1421</v>
      </c>
      <c r="C13" s="51" t="s">
        <v>29</v>
      </c>
      <c r="D13" s="50" t="s">
        <v>1421</v>
      </c>
      <c r="E13" s="52" t="s">
        <v>1421</v>
      </c>
      <c r="F13" s="60" t="s">
        <v>2377</v>
      </c>
      <c r="G13" s="49" t="s">
        <v>2376</v>
      </c>
      <c r="H13" s="49" t="s">
        <v>2376</v>
      </c>
      <c r="I13" s="49" t="s">
        <v>2376</v>
      </c>
      <c r="J13" s="50" t="s">
        <v>1421</v>
      </c>
      <c r="K13" s="50" t="s">
        <v>1421</v>
      </c>
      <c r="L13" s="50" t="s">
        <v>1421</v>
      </c>
      <c r="M13" s="50" t="s">
        <v>1421</v>
      </c>
      <c r="N13" s="54" t="s">
        <v>2378</v>
      </c>
      <c r="O13" s="54" t="s">
        <v>2379</v>
      </c>
      <c r="P13" s="54" t="s">
        <v>2380</v>
      </c>
      <c r="Q13" s="54" t="s">
        <v>199</v>
      </c>
      <c r="R13" s="50" t="s">
        <v>1421</v>
      </c>
      <c r="S13" s="50" t="s">
        <v>1421</v>
      </c>
      <c r="T13" s="50" t="s">
        <v>1421</v>
      </c>
      <c r="U13" s="50" t="s">
        <v>1421</v>
      </c>
      <c r="V13" s="54" t="s">
        <v>2381</v>
      </c>
      <c r="W13" s="54" t="s">
        <v>2379</v>
      </c>
      <c r="X13" s="54" t="s">
        <v>2380</v>
      </c>
      <c r="Y13" s="54" t="s">
        <v>199</v>
      </c>
      <c r="Z13" s="56" t="s">
        <v>29</v>
      </c>
      <c r="AA13" s="61" t="s">
        <v>29</v>
      </c>
      <c r="AB13" s="61" t="s">
        <v>29</v>
      </c>
      <c r="AC13" s="61" t="s">
        <v>29</v>
      </c>
      <c r="AD13" s="61" t="s">
        <v>29</v>
      </c>
      <c r="AE13" s="61" t="s">
        <v>29</v>
      </c>
      <c r="AF13" s="61" t="s">
        <v>29</v>
      </c>
      <c r="AG13" s="61" t="s">
        <v>29</v>
      </c>
      <c r="AH13" s="61" t="s">
        <v>29</v>
      </c>
      <c r="AI13" s="61" t="s">
        <v>29</v>
      </c>
      <c r="AJ13" s="61" t="s">
        <v>29</v>
      </c>
      <c r="AK13" s="61" t="s">
        <v>29</v>
      </c>
      <c r="AL13" s="61" t="s">
        <v>29</v>
      </c>
      <c r="AM13" s="50" t="s">
        <v>199</v>
      </c>
      <c r="AN13" s="50" t="s">
        <v>199</v>
      </c>
      <c r="AO13" s="50" t="s">
        <v>199</v>
      </c>
      <c r="AP13" s="50" t="s">
        <v>199</v>
      </c>
      <c r="AQ13" s="50" t="s">
        <v>199</v>
      </c>
      <c r="AR13" s="50" t="s">
        <v>199</v>
      </c>
      <c r="AS13" s="50" t="s">
        <v>199</v>
      </c>
      <c r="AT13" s="50" t="s">
        <v>199</v>
      </c>
      <c r="AU13" s="50" t="s">
        <v>199</v>
      </c>
      <c r="AV13" s="50" t="s">
        <v>199</v>
      </c>
      <c r="AW13" s="50" t="s">
        <v>199</v>
      </c>
      <c r="AX13" s="50" t="s">
        <v>199</v>
      </c>
      <c r="AY13" s="50" t="s">
        <v>199</v>
      </c>
      <c r="BA13" s="47"/>
      <c r="BB13" s="62"/>
      <c r="BC13" s="62"/>
      <c r="BD13" s="62"/>
      <c r="BE13" s="62"/>
    </row>
    <row r="14" ht="16.5" spans="1:57">
      <c r="A14" s="63" t="s">
        <v>2382</v>
      </c>
      <c r="B14" s="63" t="s">
        <v>1932</v>
      </c>
      <c r="C14" s="63" t="s">
        <v>340</v>
      </c>
      <c r="D14" s="63" t="s">
        <v>2304</v>
      </c>
      <c r="E14" s="63" t="s">
        <v>1470</v>
      </c>
      <c r="F14" s="64" t="s">
        <v>346</v>
      </c>
      <c r="G14" s="63" t="s">
        <v>2294</v>
      </c>
      <c r="H14" s="63" t="s">
        <v>2308</v>
      </c>
      <c r="I14" s="63" t="s">
        <v>1470</v>
      </c>
      <c r="J14" s="63">
        <v>1000</v>
      </c>
      <c r="K14" s="63">
        <v>200</v>
      </c>
      <c r="L14" s="65">
        <v>9800000</v>
      </c>
      <c r="M14" s="65">
        <f>J14*1000</f>
        <v>1000000</v>
      </c>
      <c r="N14" s="65">
        <v>1200000</v>
      </c>
      <c r="O14" s="66">
        <f t="shared" ref="O14:O45" si="0">IFERROR(N14/L14,0)</f>
        <v>0.122448979591837</v>
      </c>
      <c r="P14" s="66">
        <f t="shared" ref="P14:P45" si="1">IFERROR(M14/N14,0)</f>
        <v>0.833333333333333</v>
      </c>
      <c r="Q14" s="66">
        <f t="shared" ref="Q14:Q45" si="2">IFERROR(K14/J14,0)</f>
        <v>0.2</v>
      </c>
      <c r="R14" s="63">
        <v>1200</v>
      </c>
      <c r="S14" s="63">
        <v>300</v>
      </c>
      <c r="T14" s="65">
        <v>12000000</v>
      </c>
      <c r="U14" s="65">
        <v>1300000</v>
      </c>
      <c r="V14" s="65">
        <v>1300000</v>
      </c>
      <c r="W14" s="66">
        <f t="shared" ref="W14:W45" si="3">IFERROR(V14/T14,0)</f>
        <v>0.108333333333333</v>
      </c>
      <c r="X14" s="66">
        <f t="shared" ref="X14:X45" si="4">IFERROR(U14/V14,0)</f>
        <v>1</v>
      </c>
      <c r="Y14" s="66">
        <f t="shared" ref="Y14:Y45" si="5">IFERROR(S14/R14,0)</f>
        <v>0.25</v>
      </c>
      <c r="Z14" s="63">
        <v>10</v>
      </c>
      <c r="AA14" s="65">
        <v>0</v>
      </c>
      <c r="AB14" s="65">
        <v>0</v>
      </c>
      <c r="AC14" s="65">
        <v>500000</v>
      </c>
      <c r="AD14" s="65">
        <v>1000000</v>
      </c>
      <c r="AE14" s="65">
        <v>100000</v>
      </c>
      <c r="AF14" s="65">
        <v>100000</v>
      </c>
      <c r="AG14" s="65">
        <v>0</v>
      </c>
      <c r="AH14" s="65">
        <v>500000</v>
      </c>
      <c r="AI14" s="65">
        <v>1000000</v>
      </c>
      <c r="AJ14" s="65">
        <v>1300000</v>
      </c>
      <c r="AK14" s="65">
        <v>1300000</v>
      </c>
      <c r="AL14" s="65">
        <v>0</v>
      </c>
      <c r="AM14" s="67">
        <f t="shared" ref="AM14:AT14" si="6">R14-J14</f>
        <v>200</v>
      </c>
      <c r="AN14" s="67">
        <f t="shared" si="6"/>
        <v>100</v>
      </c>
      <c r="AO14" s="67">
        <f t="shared" si="6"/>
        <v>2200000</v>
      </c>
      <c r="AP14" s="67">
        <f t="shared" si="6"/>
        <v>300000</v>
      </c>
      <c r="AQ14" s="67">
        <f t="shared" si="6"/>
        <v>100000</v>
      </c>
      <c r="AR14" s="66">
        <f t="shared" si="6"/>
        <v>-0.0141156462585034</v>
      </c>
      <c r="AS14" s="66">
        <f t="shared" si="6"/>
        <v>0.166666666666667</v>
      </c>
      <c r="AT14" s="66">
        <f t="shared" si="6"/>
        <v>0.05</v>
      </c>
      <c r="AU14" s="66">
        <f t="shared" ref="AU14:AY14" si="7">IFERROR(AM14/J14,0)</f>
        <v>0.2</v>
      </c>
      <c r="AV14" s="66">
        <f t="shared" si="7"/>
        <v>0.5</v>
      </c>
      <c r="AW14" s="66">
        <f t="shared" si="7"/>
        <v>0.224489795918367</v>
      </c>
      <c r="AX14" s="66">
        <f t="shared" si="7"/>
        <v>0.3</v>
      </c>
      <c r="AY14" s="66">
        <f t="shared" si="7"/>
        <v>0.0833333333333333</v>
      </c>
      <c r="BA14" s="47"/>
      <c r="BB14" s="59" t="s">
        <v>2310</v>
      </c>
      <c r="BC14" s="59" t="s">
        <v>2327</v>
      </c>
      <c r="BD14" s="59" t="s">
        <v>2317</v>
      </c>
      <c r="BE14" s="59" t="s">
        <v>237</v>
      </c>
    </row>
    <row r="15" ht="16.5" spans="1:57">
      <c r="A15" s="63"/>
      <c r="B15" s="63"/>
      <c r="C15" s="63" t="s">
        <v>345</v>
      </c>
      <c r="D15" s="63" t="s">
        <v>2304</v>
      </c>
      <c r="E15" s="63" t="s">
        <v>1468</v>
      </c>
      <c r="F15" s="64" t="s">
        <v>2383</v>
      </c>
      <c r="G15" s="63" t="s">
        <v>282</v>
      </c>
      <c r="H15" s="63" t="s">
        <v>2325</v>
      </c>
      <c r="I15" s="63" t="s">
        <v>1470</v>
      </c>
      <c r="J15" s="63">
        <v>1000</v>
      </c>
      <c r="K15" s="63">
        <v>200</v>
      </c>
      <c r="L15" s="65">
        <v>9800000</v>
      </c>
      <c r="M15" s="65">
        <f>J15*1000</f>
        <v>1000000</v>
      </c>
      <c r="N15" s="65">
        <v>0</v>
      </c>
      <c r="O15" s="66">
        <f t="shared" si="0"/>
        <v>0</v>
      </c>
      <c r="P15" s="66">
        <f t="shared" si="1"/>
        <v>0</v>
      </c>
      <c r="Q15" s="66">
        <f t="shared" si="2"/>
        <v>0.2</v>
      </c>
      <c r="R15" s="63">
        <v>1200</v>
      </c>
      <c r="S15" s="63">
        <v>300</v>
      </c>
      <c r="T15" s="65">
        <v>12000000</v>
      </c>
      <c r="U15" s="65">
        <v>1300000</v>
      </c>
      <c r="V15" s="65">
        <v>1000000</v>
      </c>
      <c r="W15" s="66">
        <f t="shared" si="3"/>
        <v>0.0833333333333333</v>
      </c>
      <c r="X15" s="66">
        <f t="shared" si="4"/>
        <v>1.3</v>
      </c>
      <c r="Y15" s="66">
        <f t="shared" si="5"/>
        <v>0.25</v>
      </c>
      <c r="Z15" s="63">
        <v>8</v>
      </c>
      <c r="AA15" s="65">
        <v>1000000</v>
      </c>
      <c r="AB15" s="65">
        <v>1000000</v>
      </c>
      <c r="AC15" s="65">
        <v>1000000</v>
      </c>
      <c r="AD15" s="65">
        <v>0</v>
      </c>
      <c r="AE15" s="65">
        <v>0</v>
      </c>
      <c r="AF15" s="65">
        <v>0</v>
      </c>
      <c r="AG15" s="65">
        <v>500000</v>
      </c>
      <c r="AH15" s="65">
        <v>1000000</v>
      </c>
      <c r="AI15" s="65">
        <v>1000000</v>
      </c>
      <c r="AJ15" s="65">
        <v>1000000</v>
      </c>
      <c r="AK15" s="65">
        <v>1000000</v>
      </c>
      <c r="AL15" s="65">
        <v>1000000</v>
      </c>
      <c r="AM15" s="67">
        <f t="shared" ref="AM15:AT15" si="8">R15-J15</f>
        <v>200</v>
      </c>
      <c r="AN15" s="67">
        <f t="shared" si="8"/>
        <v>100</v>
      </c>
      <c r="AO15" s="67">
        <f t="shared" si="8"/>
        <v>2200000</v>
      </c>
      <c r="AP15" s="67">
        <f t="shared" si="8"/>
        <v>300000</v>
      </c>
      <c r="AQ15" s="67">
        <f t="shared" si="8"/>
        <v>1000000</v>
      </c>
      <c r="AR15" s="66">
        <f t="shared" si="8"/>
        <v>0.0833333333333333</v>
      </c>
      <c r="AS15" s="66">
        <f t="shared" si="8"/>
        <v>1.3</v>
      </c>
      <c r="AT15" s="66">
        <f t="shared" si="8"/>
        <v>0.05</v>
      </c>
      <c r="AU15" s="66">
        <f t="shared" ref="AU15:AY15" si="9">IFERROR(AM15/J15,0)</f>
        <v>0.2</v>
      </c>
      <c r="AV15" s="66">
        <f t="shared" si="9"/>
        <v>0.5</v>
      </c>
      <c r="AW15" s="66">
        <f t="shared" si="9"/>
        <v>0.224489795918367</v>
      </c>
      <c r="AX15" s="66">
        <f t="shared" si="9"/>
        <v>0.3</v>
      </c>
      <c r="AY15" s="66">
        <f t="shared" si="9"/>
        <v>0</v>
      </c>
      <c r="BA15" s="47"/>
      <c r="BB15" s="62" t="s">
        <v>2311</v>
      </c>
      <c r="BC15" s="59" t="s">
        <v>630</v>
      </c>
      <c r="BD15" s="59" t="s">
        <v>2318</v>
      </c>
      <c r="BE15" s="59" t="s">
        <v>238</v>
      </c>
    </row>
    <row r="16" ht="16.5" spans="1:57">
      <c r="A16" s="63"/>
      <c r="B16" s="63"/>
      <c r="C16" s="63" t="s">
        <v>345</v>
      </c>
      <c r="D16" s="63" t="s">
        <v>2304</v>
      </c>
      <c r="E16" s="63" t="s">
        <v>1468</v>
      </c>
      <c r="F16" s="64" t="s">
        <v>2384</v>
      </c>
      <c r="G16" s="63" t="s">
        <v>2295</v>
      </c>
      <c r="H16" s="63" t="s">
        <v>2315</v>
      </c>
      <c r="I16" s="63" t="s">
        <v>1468</v>
      </c>
      <c r="J16" s="63">
        <v>1000</v>
      </c>
      <c r="K16" s="63">
        <v>100</v>
      </c>
      <c r="L16" s="65">
        <v>5000000</v>
      </c>
      <c r="M16" s="65">
        <v>200000</v>
      </c>
      <c r="N16" s="65">
        <v>500000</v>
      </c>
      <c r="O16" s="66">
        <f t="shared" si="0"/>
        <v>0.1</v>
      </c>
      <c r="P16" s="66">
        <f t="shared" si="1"/>
        <v>0.4</v>
      </c>
      <c r="Q16" s="66">
        <f t="shared" si="2"/>
        <v>0.1</v>
      </c>
      <c r="R16" s="63">
        <v>1500</v>
      </c>
      <c r="S16" s="63">
        <v>200</v>
      </c>
      <c r="T16" s="65">
        <v>7500000</v>
      </c>
      <c r="U16" s="65">
        <v>300000</v>
      </c>
      <c r="V16" s="65">
        <v>300000</v>
      </c>
      <c r="W16" s="66">
        <f t="shared" si="3"/>
        <v>0.04</v>
      </c>
      <c r="X16" s="66">
        <f t="shared" si="4"/>
        <v>1</v>
      </c>
      <c r="Y16" s="66">
        <f t="shared" si="5"/>
        <v>0.133333333333333</v>
      </c>
      <c r="Z16" s="63">
        <v>2</v>
      </c>
      <c r="AA16" s="65">
        <v>100000</v>
      </c>
      <c r="AB16" s="65">
        <v>200000</v>
      </c>
      <c r="AC16" s="65">
        <v>300000</v>
      </c>
      <c r="AD16" s="65">
        <v>300000</v>
      </c>
      <c r="AE16" s="65">
        <v>300000</v>
      </c>
      <c r="AF16" s="65">
        <v>300000</v>
      </c>
      <c r="AG16" s="65">
        <v>300000</v>
      </c>
      <c r="AH16" s="65">
        <v>300000</v>
      </c>
      <c r="AI16" s="65">
        <v>300000</v>
      </c>
      <c r="AJ16" s="65">
        <v>300000</v>
      </c>
      <c r="AK16" s="65">
        <v>300000</v>
      </c>
      <c r="AL16" s="65">
        <v>200000</v>
      </c>
      <c r="AM16" s="67">
        <f t="shared" ref="AM16:AT16" si="10">R16-J16</f>
        <v>500</v>
      </c>
      <c r="AN16" s="67">
        <f t="shared" si="10"/>
        <v>100</v>
      </c>
      <c r="AO16" s="67">
        <f t="shared" si="10"/>
        <v>2500000</v>
      </c>
      <c r="AP16" s="67">
        <f t="shared" si="10"/>
        <v>100000</v>
      </c>
      <c r="AQ16" s="67">
        <f t="shared" si="10"/>
        <v>-200000</v>
      </c>
      <c r="AR16" s="66">
        <f t="shared" si="10"/>
        <v>-0.06</v>
      </c>
      <c r="AS16" s="66">
        <f t="shared" si="10"/>
        <v>0.6</v>
      </c>
      <c r="AT16" s="66">
        <f t="shared" si="10"/>
        <v>0.0333333333333333</v>
      </c>
      <c r="AU16" s="66">
        <f t="shared" ref="AU16:AY16" si="11">IFERROR(AM16/J16,0)</f>
        <v>0.5</v>
      </c>
      <c r="AV16" s="66">
        <f t="shared" si="11"/>
        <v>1</v>
      </c>
      <c r="AW16" s="66">
        <f t="shared" si="11"/>
        <v>0.5</v>
      </c>
      <c r="AX16" s="66">
        <f t="shared" si="11"/>
        <v>0.5</v>
      </c>
      <c r="AY16" s="66">
        <f t="shared" si="11"/>
        <v>-0.4</v>
      </c>
      <c r="BA16" s="47"/>
      <c r="BB16" s="59" t="s">
        <v>234</v>
      </c>
      <c r="BC16" s="59" t="s">
        <v>2328</v>
      </c>
      <c r="BD16" s="59" t="s">
        <v>2319</v>
      </c>
      <c r="BE16" s="59"/>
    </row>
    <row r="17" ht="16.5" spans="1:57">
      <c r="A17" s="63"/>
      <c r="B17" s="63"/>
      <c r="C17" s="63" t="s">
        <v>340</v>
      </c>
      <c r="D17" s="63" t="s">
        <v>2304</v>
      </c>
      <c r="E17" s="63" t="s">
        <v>1470</v>
      </c>
      <c r="F17" s="64" t="s">
        <v>346</v>
      </c>
      <c r="G17" s="63" t="s">
        <v>2296</v>
      </c>
      <c r="H17" s="63" t="s">
        <v>235</v>
      </c>
      <c r="I17" s="63" t="s">
        <v>1470</v>
      </c>
      <c r="J17" s="63"/>
      <c r="K17" s="63"/>
      <c r="L17" s="65"/>
      <c r="M17" s="65"/>
      <c r="N17" s="65"/>
      <c r="O17" s="66">
        <f t="shared" si="0"/>
        <v>0</v>
      </c>
      <c r="P17" s="66">
        <f t="shared" si="1"/>
        <v>0</v>
      </c>
      <c r="Q17" s="66">
        <f t="shared" si="2"/>
        <v>0</v>
      </c>
      <c r="R17" s="63"/>
      <c r="S17" s="63"/>
      <c r="T17" s="65"/>
      <c r="U17" s="65"/>
      <c r="V17" s="65"/>
      <c r="W17" s="66">
        <f t="shared" si="3"/>
        <v>0</v>
      </c>
      <c r="X17" s="66">
        <f t="shared" si="4"/>
        <v>0</v>
      </c>
      <c r="Y17" s="66">
        <f t="shared" si="5"/>
        <v>0</v>
      </c>
      <c r="Z17" s="63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7">
        <f t="shared" ref="AM17:AT17" si="12">R17-J17</f>
        <v>0</v>
      </c>
      <c r="AN17" s="67">
        <f t="shared" si="12"/>
        <v>0</v>
      </c>
      <c r="AO17" s="67">
        <f t="shared" si="12"/>
        <v>0</v>
      </c>
      <c r="AP17" s="67">
        <f t="shared" si="12"/>
        <v>0</v>
      </c>
      <c r="AQ17" s="67">
        <f t="shared" si="12"/>
        <v>0</v>
      </c>
      <c r="AR17" s="66">
        <f t="shared" si="12"/>
        <v>0</v>
      </c>
      <c r="AS17" s="66">
        <f t="shared" si="12"/>
        <v>0</v>
      </c>
      <c r="AT17" s="66">
        <f t="shared" si="12"/>
        <v>0</v>
      </c>
      <c r="AU17" s="66">
        <f t="shared" ref="AU17:AY17" si="13">IFERROR(AM17/J17,0)</f>
        <v>0</v>
      </c>
      <c r="AV17" s="66">
        <f t="shared" si="13"/>
        <v>0</v>
      </c>
      <c r="AW17" s="66">
        <f t="shared" si="13"/>
        <v>0</v>
      </c>
      <c r="AX17" s="66">
        <f t="shared" si="13"/>
        <v>0</v>
      </c>
      <c r="AY17" s="66">
        <f t="shared" si="13"/>
        <v>0</v>
      </c>
      <c r="BA17" s="47"/>
      <c r="BB17" s="62" t="s">
        <v>2312</v>
      </c>
      <c r="BC17" s="59" t="s">
        <v>2329</v>
      </c>
      <c r="BD17" s="59" t="s">
        <v>2320</v>
      </c>
      <c r="BE17" s="59"/>
    </row>
    <row r="18" ht="16.5" spans="1:57">
      <c r="A18" s="63"/>
      <c r="B18" s="63"/>
      <c r="C18" s="63" t="s">
        <v>340</v>
      </c>
      <c r="D18" s="63"/>
      <c r="E18" s="63" t="s">
        <v>1470</v>
      </c>
      <c r="F18" s="64" t="s">
        <v>346</v>
      </c>
      <c r="G18" s="63" t="s">
        <v>2295</v>
      </c>
      <c r="H18" s="63" t="s">
        <v>2315</v>
      </c>
      <c r="I18" s="63" t="s">
        <v>1470</v>
      </c>
      <c r="J18" s="63"/>
      <c r="K18" s="63"/>
      <c r="L18" s="65"/>
      <c r="M18" s="65"/>
      <c r="N18" s="65"/>
      <c r="O18" s="66">
        <f t="shared" si="0"/>
        <v>0</v>
      </c>
      <c r="P18" s="66">
        <f t="shared" si="1"/>
        <v>0</v>
      </c>
      <c r="Q18" s="66">
        <f t="shared" si="2"/>
        <v>0</v>
      </c>
      <c r="R18" s="63"/>
      <c r="S18" s="63"/>
      <c r="T18" s="65"/>
      <c r="U18" s="65"/>
      <c r="V18" s="65"/>
      <c r="W18" s="66">
        <f t="shared" si="3"/>
        <v>0</v>
      </c>
      <c r="X18" s="66">
        <f t="shared" si="4"/>
        <v>0</v>
      </c>
      <c r="Y18" s="66">
        <f t="shared" si="5"/>
        <v>0</v>
      </c>
      <c r="Z18" s="63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7">
        <f t="shared" ref="AM18:AT18" si="14">R18-J18</f>
        <v>0</v>
      </c>
      <c r="AN18" s="67">
        <f t="shared" si="14"/>
        <v>0</v>
      </c>
      <c r="AO18" s="67">
        <f t="shared" si="14"/>
        <v>0</v>
      </c>
      <c r="AP18" s="67">
        <f t="shared" si="14"/>
        <v>0</v>
      </c>
      <c r="AQ18" s="67">
        <f t="shared" si="14"/>
        <v>0</v>
      </c>
      <c r="AR18" s="66">
        <f t="shared" si="14"/>
        <v>0</v>
      </c>
      <c r="AS18" s="66">
        <f t="shared" si="14"/>
        <v>0</v>
      </c>
      <c r="AT18" s="66">
        <f t="shared" si="14"/>
        <v>0</v>
      </c>
      <c r="AU18" s="66">
        <f t="shared" ref="AU18:AY18" si="15">IFERROR(AM18/J18,0)</f>
        <v>0</v>
      </c>
      <c r="AV18" s="66">
        <f t="shared" si="15"/>
        <v>0</v>
      </c>
      <c r="AW18" s="66">
        <f t="shared" si="15"/>
        <v>0</v>
      </c>
      <c r="AX18" s="66">
        <f t="shared" si="15"/>
        <v>0</v>
      </c>
      <c r="AY18" s="66">
        <f t="shared" si="15"/>
        <v>0</v>
      </c>
      <c r="BA18" s="47"/>
      <c r="BB18" s="59" t="s">
        <v>2313</v>
      </c>
      <c r="BC18" s="59" t="s">
        <v>2330</v>
      </c>
      <c r="BD18" s="59" t="s">
        <v>2321</v>
      </c>
      <c r="BE18" s="59"/>
    </row>
    <row r="19" ht="16.5" spans="1:57">
      <c r="A19" s="63"/>
      <c r="B19" s="63"/>
      <c r="C19" s="63" t="s">
        <v>340</v>
      </c>
      <c r="D19" s="63"/>
      <c r="E19" s="63" t="s">
        <v>1470</v>
      </c>
      <c r="F19" s="64" t="s">
        <v>346</v>
      </c>
      <c r="G19" s="63" t="s">
        <v>2295</v>
      </c>
      <c r="H19" s="63" t="s">
        <v>2315</v>
      </c>
      <c r="I19" s="63" t="s">
        <v>1470</v>
      </c>
      <c r="J19" s="63"/>
      <c r="K19" s="63"/>
      <c r="L19" s="65"/>
      <c r="M19" s="65"/>
      <c r="N19" s="65"/>
      <c r="O19" s="66">
        <f t="shared" si="0"/>
        <v>0</v>
      </c>
      <c r="P19" s="66">
        <f t="shared" si="1"/>
        <v>0</v>
      </c>
      <c r="Q19" s="66">
        <f t="shared" si="2"/>
        <v>0</v>
      </c>
      <c r="R19" s="63"/>
      <c r="S19" s="63"/>
      <c r="T19" s="65"/>
      <c r="U19" s="65"/>
      <c r="V19" s="65"/>
      <c r="W19" s="66">
        <f t="shared" si="3"/>
        <v>0</v>
      </c>
      <c r="X19" s="66">
        <f t="shared" si="4"/>
        <v>0</v>
      </c>
      <c r="Y19" s="66">
        <f t="shared" si="5"/>
        <v>0</v>
      </c>
      <c r="Z19" s="63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7">
        <f t="shared" ref="AM19:AT19" si="16">R19-J19</f>
        <v>0</v>
      </c>
      <c r="AN19" s="67">
        <f t="shared" si="16"/>
        <v>0</v>
      </c>
      <c r="AO19" s="67">
        <f t="shared" si="16"/>
        <v>0</v>
      </c>
      <c r="AP19" s="67">
        <f t="shared" si="16"/>
        <v>0</v>
      </c>
      <c r="AQ19" s="67">
        <f t="shared" si="16"/>
        <v>0</v>
      </c>
      <c r="AR19" s="66">
        <f t="shared" si="16"/>
        <v>0</v>
      </c>
      <c r="AS19" s="66">
        <f t="shared" si="16"/>
        <v>0</v>
      </c>
      <c r="AT19" s="66">
        <f t="shared" si="16"/>
        <v>0</v>
      </c>
      <c r="AU19" s="66">
        <f t="shared" ref="AU19:AY19" si="17">IFERROR(AM19/J19,0)</f>
        <v>0</v>
      </c>
      <c r="AV19" s="66">
        <f t="shared" si="17"/>
        <v>0</v>
      </c>
      <c r="AW19" s="66">
        <f t="shared" si="17"/>
        <v>0</v>
      </c>
      <c r="AX19" s="66">
        <f t="shared" si="17"/>
        <v>0</v>
      </c>
      <c r="AY19" s="66">
        <f t="shared" si="17"/>
        <v>0</v>
      </c>
      <c r="BA19" s="47"/>
      <c r="BB19" s="59" t="s">
        <v>2203</v>
      </c>
      <c r="BC19" s="59" t="s">
        <v>2331</v>
      </c>
      <c r="BD19" s="59" t="s">
        <v>2322</v>
      </c>
      <c r="BE19" s="59"/>
    </row>
    <row r="20" ht="16.5" spans="1:57">
      <c r="A20" s="63"/>
      <c r="B20" s="63"/>
      <c r="C20" s="63" t="s">
        <v>340</v>
      </c>
      <c r="D20" s="63"/>
      <c r="E20" s="63" t="s">
        <v>1470</v>
      </c>
      <c r="F20" s="64" t="s">
        <v>346</v>
      </c>
      <c r="G20" s="63" t="s">
        <v>2295</v>
      </c>
      <c r="H20" s="63" t="s">
        <v>2315</v>
      </c>
      <c r="I20" s="63" t="s">
        <v>1470</v>
      </c>
      <c r="J20" s="63"/>
      <c r="K20" s="63"/>
      <c r="L20" s="65"/>
      <c r="M20" s="65"/>
      <c r="N20" s="65"/>
      <c r="O20" s="66">
        <f t="shared" si="0"/>
        <v>0</v>
      </c>
      <c r="P20" s="66">
        <f t="shared" si="1"/>
        <v>0</v>
      </c>
      <c r="Q20" s="66">
        <f t="shared" si="2"/>
        <v>0</v>
      </c>
      <c r="R20" s="63"/>
      <c r="S20" s="63"/>
      <c r="T20" s="65"/>
      <c r="U20" s="65"/>
      <c r="V20" s="65"/>
      <c r="W20" s="66">
        <f t="shared" si="3"/>
        <v>0</v>
      </c>
      <c r="X20" s="66">
        <f t="shared" si="4"/>
        <v>0</v>
      </c>
      <c r="Y20" s="66">
        <f t="shared" si="5"/>
        <v>0</v>
      </c>
      <c r="Z20" s="63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7">
        <f t="shared" ref="AM20:AT20" si="18">R20-J20</f>
        <v>0</v>
      </c>
      <c r="AN20" s="67">
        <f t="shared" si="18"/>
        <v>0</v>
      </c>
      <c r="AO20" s="67">
        <f t="shared" si="18"/>
        <v>0</v>
      </c>
      <c r="AP20" s="67">
        <f t="shared" si="18"/>
        <v>0</v>
      </c>
      <c r="AQ20" s="67">
        <f t="shared" si="18"/>
        <v>0</v>
      </c>
      <c r="AR20" s="66">
        <f t="shared" si="18"/>
        <v>0</v>
      </c>
      <c r="AS20" s="66">
        <f t="shared" si="18"/>
        <v>0</v>
      </c>
      <c r="AT20" s="66">
        <f t="shared" si="18"/>
        <v>0</v>
      </c>
      <c r="AU20" s="66">
        <f t="shared" ref="AU20:AY20" si="19">IFERROR(AM20/J20,0)</f>
        <v>0</v>
      </c>
      <c r="AV20" s="66">
        <f t="shared" si="19"/>
        <v>0</v>
      </c>
      <c r="AW20" s="66">
        <f t="shared" si="19"/>
        <v>0</v>
      </c>
      <c r="AX20" s="66">
        <f t="shared" si="19"/>
        <v>0</v>
      </c>
      <c r="AY20" s="66">
        <f t="shared" si="19"/>
        <v>0</v>
      </c>
      <c r="BA20" s="47"/>
      <c r="BB20" s="59" t="s">
        <v>2314</v>
      </c>
      <c r="BC20" s="59" t="s">
        <v>2332</v>
      </c>
      <c r="BD20" s="59" t="s">
        <v>2323</v>
      </c>
      <c r="BE20" s="59"/>
    </row>
    <row r="21" ht="16.5" spans="1:57">
      <c r="A21" s="63"/>
      <c r="B21" s="63"/>
      <c r="C21" s="63" t="s">
        <v>340</v>
      </c>
      <c r="D21" s="63"/>
      <c r="E21" s="63" t="s">
        <v>1470</v>
      </c>
      <c r="F21" s="64" t="s">
        <v>346</v>
      </c>
      <c r="G21" s="63" t="s">
        <v>2295</v>
      </c>
      <c r="H21" s="63" t="s">
        <v>2315</v>
      </c>
      <c r="I21" s="63" t="s">
        <v>1470</v>
      </c>
      <c r="J21" s="63"/>
      <c r="K21" s="63"/>
      <c r="L21" s="65"/>
      <c r="M21" s="65"/>
      <c r="N21" s="65"/>
      <c r="O21" s="66">
        <f t="shared" si="0"/>
        <v>0</v>
      </c>
      <c r="P21" s="66">
        <f t="shared" si="1"/>
        <v>0</v>
      </c>
      <c r="Q21" s="66">
        <f t="shared" si="2"/>
        <v>0</v>
      </c>
      <c r="R21" s="63"/>
      <c r="S21" s="63"/>
      <c r="T21" s="65"/>
      <c r="U21" s="65"/>
      <c r="V21" s="65"/>
      <c r="W21" s="66">
        <f t="shared" si="3"/>
        <v>0</v>
      </c>
      <c r="X21" s="66">
        <f t="shared" si="4"/>
        <v>0</v>
      </c>
      <c r="Y21" s="66">
        <f t="shared" si="5"/>
        <v>0</v>
      </c>
      <c r="Z21" s="63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7">
        <f t="shared" ref="AM21:AT21" si="20">R21-J21</f>
        <v>0</v>
      </c>
      <c r="AN21" s="67">
        <f t="shared" si="20"/>
        <v>0</v>
      </c>
      <c r="AO21" s="67">
        <f t="shared" si="20"/>
        <v>0</v>
      </c>
      <c r="AP21" s="67">
        <f t="shared" si="20"/>
        <v>0</v>
      </c>
      <c r="AQ21" s="67">
        <f t="shared" si="20"/>
        <v>0</v>
      </c>
      <c r="AR21" s="66">
        <f t="shared" si="20"/>
        <v>0</v>
      </c>
      <c r="AS21" s="66">
        <f t="shared" si="20"/>
        <v>0</v>
      </c>
      <c r="AT21" s="66">
        <f t="shared" si="20"/>
        <v>0</v>
      </c>
      <c r="AU21" s="66">
        <f t="shared" ref="AU21:AY21" si="21">IFERROR(AM21/J21,0)</f>
        <v>0</v>
      </c>
      <c r="AV21" s="66">
        <f t="shared" si="21"/>
        <v>0</v>
      </c>
      <c r="AW21" s="66">
        <f t="shared" si="21"/>
        <v>0</v>
      </c>
      <c r="AX21" s="66">
        <f t="shared" si="21"/>
        <v>0</v>
      </c>
      <c r="AY21" s="66">
        <f t="shared" si="21"/>
        <v>0</v>
      </c>
      <c r="BA21" s="47"/>
      <c r="BB21" s="59"/>
      <c r="BC21" s="59" t="s">
        <v>2333</v>
      </c>
      <c r="BD21" s="59" t="s">
        <v>2324</v>
      </c>
      <c r="BE21" s="59"/>
    </row>
    <row r="22" ht="16.5" spans="1:57">
      <c r="A22" s="63"/>
      <c r="B22" s="63"/>
      <c r="C22" s="63" t="s">
        <v>340</v>
      </c>
      <c r="D22" s="63"/>
      <c r="E22" s="63" t="s">
        <v>1470</v>
      </c>
      <c r="F22" s="64" t="s">
        <v>346</v>
      </c>
      <c r="G22" s="63" t="s">
        <v>2295</v>
      </c>
      <c r="H22" s="63" t="s">
        <v>2315</v>
      </c>
      <c r="I22" s="63" t="s">
        <v>1470</v>
      </c>
      <c r="J22" s="63"/>
      <c r="K22" s="63"/>
      <c r="L22" s="65"/>
      <c r="M22" s="65"/>
      <c r="N22" s="65"/>
      <c r="O22" s="66">
        <f t="shared" si="0"/>
        <v>0</v>
      </c>
      <c r="P22" s="66">
        <f t="shared" si="1"/>
        <v>0</v>
      </c>
      <c r="Q22" s="66">
        <f t="shared" si="2"/>
        <v>0</v>
      </c>
      <c r="R22" s="63"/>
      <c r="S22" s="63"/>
      <c r="T22" s="65"/>
      <c r="U22" s="65"/>
      <c r="V22" s="65"/>
      <c r="W22" s="66">
        <f t="shared" si="3"/>
        <v>0</v>
      </c>
      <c r="X22" s="66">
        <f t="shared" si="4"/>
        <v>0</v>
      </c>
      <c r="Y22" s="66">
        <f t="shared" si="5"/>
        <v>0</v>
      </c>
      <c r="Z22" s="63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7">
        <f t="shared" ref="AM22:AT22" si="22">R22-J22</f>
        <v>0</v>
      </c>
      <c r="AN22" s="67">
        <f t="shared" si="22"/>
        <v>0</v>
      </c>
      <c r="AO22" s="67">
        <f t="shared" si="22"/>
        <v>0</v>
      </c>
      <c r="AP22" s="67">
        <f t="shared" si="22"/>
        <v>0</v>
      </c>
      <c r="AQ22" s="67">
        <f t="shared" si="22"/>
        <v>0</v>
      </c>
      <c r="AR22" s="66">
        <f t="shared" si="22"/>
        <v>0</v>
      </c>
      <c r="AS22" s="66">
        <f t="shared" si="22"/>
        <v>0</v>
      </c>
      <c r="AT22" s="66">
        <f t="shared" si="22"/>
        <v>0</v>
      </c>
      <c r="AU22" s="66">
        <f t="shared" ref="AU22:AY22" si="23">IFERROR(AM22/J22,0)</f>
        <v>0</v>
      </c>
      <c r="AV22" s="66">
        <f t="shared" si="23"/>
        <v>0</v>
      </c>
      <c r="AW22" s="66">
        <f t="shared" si="23"/>
        <v>0</v>
      </c>
      <c r="AX22" s="66">
        <f t="shared" si="23"/>
        <v>0</v>
      </c>
      <c r="AY22" s="66">
        <f t="shared" si="23"/>
        <v>0</v>
      </c>
      <c r="BA22" s="47"/>
      <c r="BB22" s="59"/>
      <c r="BC22" s="59" t="s">
        <v>2334</v>
      </c>
      <c r="BD22" s="59"/>
      <c r="BE22" s="59"/>
    </row>
    <row r="23" ht="16.5" spans="1:57">
      <c r="A23" s="63"/>
      <c r="B23" s="63"/>
      <c r="C23" s="63" t="s">
        <v>340</v>
      </c>
      <c r="D23" s="63"/>
      <c r="E23" s="63" t="s">
        <v>1470</v>
      </c>
      <c r="F23" s="64" t="s">
        <v>346</v>
      </c>
      <c r="G23" s="63" t="s">
        <v>2295</v>
      </c>
      <c r="H23" s="63" t="s">
        <v>2315</v>
      </c>
      <c r="I23" s="63" t="s">
        <v>1470</v>
      </c>
      <c r="J23" s="63"/>
      <c r="K23" s="63"/>
      <c r="L23" s="65"/>
      <c r="M23" s="65"/>
      <c r="N23" s="65"/>
      <c r="O23" s="66">
        <f t="shared" si="0"/>
        <v>0</v>
      </c>
      <c r="P23" s="66">
        <f t="shared" si="1"/>
        <v>0</v>
      </c>
      <c r="Q23" s="66">
        <f t="shared" si="2"/>
        <v>0</v>
      </c>
      <c r="R23" s="63"/>
      <c r="S23" s="63"/>
      <c r="T23" s="65"/>
      <c r="U23" s="65"/>
      <c r="V23" s="65"/>
      <c r="W23" s="66">
        <f t="shared" si="3"/>
        <v>0</v>
      </c>
      <c r="X23" s="66">
        <f t="shared" si="4"/>
        <v>0</v>
      </c>
      <c r="Y23" s="66">
        <f t="shared" si="5"/>
        <v>0</v>
      </c>
      <c r="Z23" s="63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7">
        <f t="shared" ref="AM23:AT23" si="24">R23-J23</f>
        <v>0</v>
      </c>
      <c r="AN23" s="67">
        <f t="shared" si="24"/>
        <v>0</v>
      </c>
      <c r="AO23" s="67">
        <f t="shared" si="24"/>
        <v>0</v>
      </c>
      <c r="AP23" s="67">
        <f t="shared" si="24"/>
        <v>0</v>
      </c>
      <c r="AQ23" s="67">
        <f t="shared" si="24"/>
        <v>0</v>
      </c>
      <c r="AR23" s="66">
        <f t="shared" si="24"/>
        <v>0</v>
      </c>
      <c r="AS23" s="66">
        <f t="shared" si="24"/>
        <v>0</v>
      </c>
      <c r="AT23" s="66">
        <f t="shared" si="24"/>
        <v>0</v>
      </c>
      <c r="AU23" s="66">
        <f t="shared" ref="AU23:AY23" si="25">IFERROR(AM23/J23,0)</f>
        <v>0</v>
      </c>
      <c r="AV23" s="66">
        <f t="shared" si="25"/>
        <v>0</v>
      </c>
      <c r="AW23" s="66">
        <f t="shared" si="25"/>
        <v>0</v>
      </c>
      <c r="AX23" s="66">
        <f t="shared" si="25"/>
        <v>0</v>
      </c>
      <c r="AY23" s="66">
        <f t="shared" si="25"/>
        <v>0</v>
      </c>
      <c r="BA23" s="47"/>
      <c r="BB23" s="59"/>
      <c r="BC23" s="59" t="s">
        <v>2335</v>
      </c>
      <c r="BD23" s="59"/>
      <c r="BE23" s="59"/>
    </row>
    <row r="24" ht="16.5" spans="1:57">
      <c r="A24" s="63"/>
      <c r="B24" s="63"/>
      <c r="C24" s="63" t="s">
        <v>340</v>
      </c>
      <c r="D24" s="63"/>
      <c r="E24" s="63" t="s">
        <v>1470</v>
      </c>
      <c r="F24" s="64" t="s">
        <v>346</v>
      </c>
      <c r="G24" s="63" t="s">
        <v>2295</v>
      </c>
      <c r="H24" s="63" t="s">
        <v>2315</v>
      </c>
      <c r="I24" s="63" t="s">
        <v>1470</v>
      </c>
      <c r="J24" s="63"/>
      <c r="K24" s="63"/>
      <c r="L24" s="65"/>
      <c r="M24" s="65"/>
      <c r="N24" s="65"/>
      <c r="O24" s="66">
        <f t="shared" si="0"/>
        <v>0</v>
      </c>
      <c r="P24" s="66">
        <f t="shared" si="1"/>
        <v>0</v>
      </c>
      <c r="Q24" s="66">
        <f t="shared" si="2"/>
        <v>0</v>
      </c>
      <c r="R24" s="63"/>
      <c r="S24" s="63"/>
      <c r="T24" s="65"/>
      <c r="U24" s="65"/>
      <c r="V24" s="65"/>
      <c r="W24" s="66">
        <f t="shared" si="3"/>
        <v>0</v>
      </c>
      <c r="X24" s="66">
        <f t="shared" si="4"/>
        <v>0</v>
      </c>
      <c r="Y24" s="66">
        <f t="shared" si="5"/>
        <v>0</v>
      </c>
      <c r="Z24" s="63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7">
        <f t="shared" ref="AM24:AT24" si="26">R24-J24</f>
        <v>0</v>
      </c>
      <c r="AN24" s="67">
        <f t="shared" si="26"/>
        <v>0</v>
      </c>
      <c r="AO24" s="67">
        <f t="shared" si="26"/>
        <v>0</v>
      </c>
      <c r="AP24" s="67">
        <f t="shared" si="26"/>
        <v>0</v>
      </c>
      <c r="AQ24" s="67">
        <f t="shared" si="26"/>
        <v>0</v>
      </c>
      <c r="AR24" s="66">
        <f t="shared" si="26"/>
        <v>0</v>
      </c>
      <c r="AS24" s="66">
        <f t="shared" si="26"/>
        <v>0</v>
      </c>
      <c r="AT24" s="66">
        <f t="shared" si="26"/>
        <v>0</v>
      </c>
      <c r="AU24" s="66">
        <f t="shared" ref="AU24:AY24" si="27">IFERROR(AM24/J24,0)</f>
        <v>0</v>
      </c>
      <c r="AV24" s="66">
        <f t="shared" si="27"/>
        <v>0</v>
      </c>
      <c r="AW24" s="66">
        <f t="shared" si="27"/>
        <v>0</v>
      </c>
      <c r="AX24" s="66">
        <f t="shared" si="27"/>
        <v>0</v>
      </c>
      <c r="AY24" s="66">
        <f t="shared" si="27"/>
        <v>0</v>
      </c>
      <c r="BA24" s="47"/>
      <c r="BB24" s="59"/>
      <c r="BC24" s="59" t="s">
        <v>2336</v>
      </c>
      <c r="BD24" s="59"/>
      <c r="BE24" s="59"/>
    </row>
    <row r="25" ht="16.5" spans="1:57">
      <c r="A25" s="63"/>
      <c r="B25" s="63"/>
      <c r="C25" s="63" t="s">
        <v>340</v>
      </c>
      <c r="D25" s="63"/>
      <c r="E25" s="63" t="s">
        <v>1470</v>
      </c>
      <c r="F25" s="64" t="s">
        <v>346</v>
      </c>
      <c r="G25" s="63" t="s">
        <v>2295</v>
      </c>
      <c r="H25" s="63" t="s">
        <v>2315</v>
      </c>
      <c r="I25" s="63" t="s">
        <v>1470</v>
      </c>
      <c r="J25" s="63"/>
      <c r="K25" s="63"/>
      <c r="L25" s="65"/>
      <c r="M25" s="65"/>
      <c r="N25" s="65"/>
      <c r="O25" s="66">
        <f t="shared" si="0"/>
        <v>0</v>
      </c>
      <c r="P25" s="66">
        <f t="shared" si="1"/>
        <v>0</v>
      </c>
      <c r="Q25" s="66">
        <f t="shared" si="2"/>
        <v>0</v>
      </c>
      <c r="R25" s="63"/>
      <c r="S25" s="63"/>
      <c r="T25" s="65"/>
      <c r="U25" s="65"/>
      <c r="V25" s="65"/>
      <c r="W25" s="66">
        <f t="shared" si="3"/>
        <v>0</v>
      </c>
      <c r="X25" s="66">
        <f t="shared" si="4"/>
        <v>0</v>
      </c>
      <c r="Y25" s="66">
        <f t="shared" si="5"/>
        <v>0</v>
      </c>
      <c r="Z25" s="63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7">
        <f t="shared" ref="AM25:AT25" si="28">R25-J25</f>
        <v>0</v>
      </c>
      <c r="AN25" s="67">
        <f t="shared" si="28"/>
        <v>0</v>
      </c>
      <c r="AO25" s="67">
        <f t="shared" si="28"/>
        <v>0</v>
      </c>
      <c r="AP25" s="67">
        <f t="shared" si="28"/>
        <v>0</v>
      </c>
      <c r="AQ25" s="67">
        <f t="shared" si="28"/>
        <v>0</v>
      </c>
      <c r="AR25" s="66">
        <f t="shared" si="28"/>
        <v>0</v>
      </c>
      <c r="AS25" s="66">
        <f t="shared" si="28"/>
        <v>0</v>
      </c>
      <c r="AT25" s="66">
        <f t="shared" si="28"/>
        <v>0</v>
      </c>
      <c r="AU25" s="66">
        <f t="shared" ref="AU25:AY25" si="29">IFERROR(AM25/J25,0)</f>
        <v>0</v>
      </c>
      <c r="AV25" s="66">
        <f t="shared" si="29"/>
        <v>0</v>
      </c>
      <c r="AW25" s="66">
        <f t="shared" si="29"/>
        <v>0</v>
      </c>
      <c r="AX25" s="66">
        <f t="shared" si="29"/>
        <v>0</v>
      </c>
      <c r="AY25" s="66">
        <f t="shared" si="29"/>
        <v>0</v>
      </c>
      <c r="BA25" s="47"/>
      <c r="BB25" s="59"/>
      <c r="BC25" s="59" t="s">
        <v>2337</v>
      </c>
      <c r="BD25" s="59"/>
      <c r="BE25" s="59"/>
    </row>
    <row r="26" ht="16.5" spans="1:57">
      <c r="A26" s="63"/>
      <c r="B26" s="63"/>
      <c r="C26" s="63" t="s">
        <v>340</v>
      </c>
      <c r="D26" s="63"/>
      <c r="E26" s="63" t="s">
        <v>1470</v>
      </c>
      <c r="F26" s="64" t="s">
        <v>346</v>
      </c>
      <c r="G26" s="63" t="s">
        <v>2295</v>
      </c>
      <c r="H26" s="63" t="s">
        <v>2315</v>
      </c>
      <c r="I26" s="63" t="s">
        <v>1470</v>
      </c>
      <c r="J26" s="63"/>
      <c r="K26" s="63"/>
      <c r="L26" s="65"/>
      <c r="M26" s="65"/>
      <c r="N26" s="65"/>
      <c r="O26" s="66">
        <f t="shared" si="0"/>
        <v>0</v>
      </c>
      <c r="P26" s="66">
        <f t="shared" si="1"/>
        <v>0</v>
      </c>
      <c r="Q26" s="66">
        <f t="shared" si="2"/>
        <v>0</v>
      </c>
      <c r="R26" s="63"/>
      <c r="S26" s="63"/>
      <c r="T26" s="65"/>
      <c r="U26" s="65"/>
      <c r="V26" s="65"/>
      <c r="W26" s="66">
        <f t="shared" si="3"/>
        <v>0</v>
      </c>
      <c r="X26" s="66">
        <f t="shared" si="4"/>
        <v>0</v>
      </c>
      <c r="Y26" s="66">
        <f t="shared" si="5"/>
        <v>0</v>
      </c>
      <c r="Z26" s="63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7">
        <f t="shared" ref="AM26:AT26" si="30">R26-J26</f>
        <v>0</v>
      </c>
      <c r="AN26" s="67">
        <f t="shared" si="30"/>
        <v>0</v>
      </c>
      <c r="AO26" s="67">
        <f t="shared" si="30"/>
        <v>0</v>
      </c>
      <c r="AP26" s="67">
        <f t="shared" si="30"/>
        <v>0</v>
      </c>
      <c r="AQ26" s="67">
        <f t="shared" si="30"/>
        <v>0</v>
      </c>
      <c r="AR26" s="66">
        <f t="shared" si="30"/>
        <v>0</v>
      </c>
      <c r="AS26" s="66">
        <f t="shared" si="30"/>
        <v>0</v>
      </c>
      <c r="AT26" s="66">
        <f t="shared" si="30"/>
        <v>0</v>
      </c>
      <c r="AU26" s="66">
        <f t="shared" ref="AU26:AY26" si="31">IFERROR(AM26/J26,0)</f>
        <v>0</v>
      </c>
      <c r="AV26" s="66">
        <f t="shared" si="31"/>
        <v>0</v>
      </c>
      <c r="AW26" s="66">
        <f t="shared" si="31"/>
        <v>0</v>
      </c>
      <c r="AX26" s="66">
        <f t="shared" si="31"/>
        <v>0</v>
      </c>
      <c r="AY26" s="66">
        <f t="shared" si="31"/>
        <v>0</v>
      </c>
    </row>
    <row r="27" ht="16.5" spans="1:57">
      <c r="A27" s="63"/>
      <c r="B27" s="63"/>
      <c r="C27" s="63" t="s">
        <v>340</v>
      </c>
      <c r="D27" s="63"/>
      <c r="E27" s="63" t="s">
        <v>1470</v>
      </c>
      <c r="F27" s="64" t="s">
        <v>346</v>
      </c>
      <c r="G27" s="63" t="s">
        <v>2295</v>
      </c>
      <c r="H27" s="63" t="s">
        <v>2315</v>
      </c>
      <c r="I27" s="63" t="s">
        <v>1470</v>
      </c>
      <c r="J27" s="63"/>
      <c r="K27" s="63"/>
      <c r="L27" s="65"/>
      <c r="M27" s="65"/>
      <c r="N27" s="65"/>
      <c r="O27" s="66">
        <f t="shared" si="0"/>
        <v>0</v>
      </c>
      <c r="P27" s="66">
        <f t="shared" si="1"/>
        <v>0</v>
      </c>
      <c r="Q27" s="66">
        <f t="shared" si="2"/>
        <v>0</v>
      </c>
      <c r="R27" s="63"/>
      <c r="S27" s="63"/>
      <c r="T27" s="65"/>
      <c r="U27" s="65"/>
      <c r="V27" s="65"/>
      <c r="W27" s="66">
        <f t="shared" si="3"/>
        <v>0</v>
      </c>
      <c r="X27" s="66">
        <f t="shared" si="4"/>
        <v>0</v>
      </c>
      <c r="Y27" s="66">
        <f t="shared" si="5"/>
        <v>0</v>
      </c>
      <c r="Z27" s="63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7">
        <f t="shared" ref="AM27:AT27" si="32">R27-J27</f>
        <v>0</v>
      </c>
      <c r="AN27" s="67">
        <f t="shared" si="32"/>
        <v>0</v>
      </c>
      <c r="AO27" s="67">
        <f t="shared" si="32"/>
        <v>0</v>
      </c>
      <c r="AP27" s="67">
        <f t="shared" si="32"/>
        <v>0</v>
      </c>
      <c r="AQ27" s="67">
        <f t="shared" si="32"/>
        <v>0</v>
      </c>
      <c r="AR27" s="66">
        <f t="shared" si="32"/>
        <v>0</v>
      </c>
      <c r="AS27" s="66">
        <f t="shared" si="32"/>
        <v>0</v>
      </c>
      <c r="AT27" s="66">
        <f t="shared" si="32"/>
        <v>0</v>
      </c>
      <c r="AU27" s="66">
        <f t="shared" ref="AU27:AY27" si="33">IFERROR(AM27/J27,0)</f>
        <v>0</v>
      </c>
      <c r="AV27" s="66">
        <f t="shared" si="33"/>
        <v>0</v>
      </c>
      <c r="AW27" s="66">
        <f t="shared" si="33"/>
        <v>0</v>
      </c>
      <c r="AX27" s="66">
        <f t="shared" si="33"/>
        <v>0</v>
      </c>
      <c r="AY27" s="66">
        <f t="shared" si="33"/>
        <v>0</v>
      </c>
    </row>
    <row r="28" ht="16.5" spans="1:57">
      <c r="A28" s="63"/>
      <c r="B28" s="63"/>
      <c r="C28" s="63" t="s">
        <v>340</v>
      </c>
      <c r="D28" s="63"/>
      <c r="E28" s="63" t="s">
        <v>1470</v>
      </c>
      <c r="F28" s="64" t="s">
        <v>346</v>
      </c>
      <c r="G28" s="63" t="s">
        <v>2295</v>
      </c>
      <c r="H28" s="63" t="s">
        <v>2315</v>
      </c>
      <c r="I28" s="63" t="s">
        <v>1470</v>
      </c>
      <c r="J28" s="63"/>
      <c r="K28" s="63"/>
      <c r="L28" s="65"/>
      <c r="M28" s="65"/>
      <c r="N28" s="65"/>
      <c r="O28" s="66">
        <f t="shared" si="0"/>
        <v>0</v>
      </c>
      <c r="P28" s="66">
        <f t="shared" si="1"/>
        <v>0</v>
      </c>
      <c r="Q28" s="66">
        <f t="shared" si="2"/>
        <v>0</v>
      </c>
      <c r="R28" s="63"/>
      <c r="S28" s="63"/>
      <c r="T28" s="65"/>
      <c r="U28" s="65"/>
      <c r="V28" s="65"/>
      <c r="W28" s="66">
        <f t="shared" si="3"/>
        <v>0</v>
      </c>
      <c r="X28" s="66">
        <f t="shared" si="4"/>
        <v>0</v>
      </c>
      <c r="Y28" s="66">
        <f t="shared" si="5"/>
        <v>0</v>
      </c>
      <c r="Z28" s="63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7">
        <f t="shared" ref="AM28:AT28" si="34">R28-J28</f>
        <v>0</v>
      </c>
      <c r="AN28" s="67">
        <f t="shared" si="34"/>
        <v>0</v>
      </c>
      <c r="AO28" s="67">
        <f t="shared" si="34"/>
        <v>0</v>
      </c>
      <c r="AP28" s="67">
        <f t="shared" si="34"/>
        <v>0</v>
      </c>
      <c r="AQ28" s="67">
        <f t="shared" si="34"/>
        <v>0</v>
      </c>
      <c r="AR28" s="66">
        <f t="shared" si="34"/>
        <v>0</v>
      </c>
      <c r="AS28" s="66">
        <f t="shared" si="34"/>
        <v>0</v>
      </c>
      <c r="AT28" s="66">
        <f t="shared" si="34"/>
        <v>0</v>
      </c>
      <c r="AU28" s="66">
        <f t="shared" ref="AU28:AY28" si="35">IFERROR(AM28/J28,0)</f>
        <v>0</v>
      </c>
      <c r="AV28" s="66">
        <f t="shared" si="35"/>
        <v>0</v>
      </c>
      <c r="AW28" s="66">
        <f t="shared" si="35"/>
        <v>0</v>
      </c>
      <c r="AX28" s="66">
        <f t="shared" si="35"/>
        <v>0</v>
      </c>
      <c r="AY28" s="66">
        <f t="shared" si="35"/>
        <v>0</v>
      </c>
    </row>
    <row r="29" ht="16.5" spans="1:57">
      <c r="A29" s="63"/>
      <c r="B29" s="63"/>
      <c r="C29" s="63" t="s">
        <v>340</v>
      </c>
      <c r="D29" s="63"/>
      <c r="E29" s="63" t="s">
        <v>1470</v>
      </c>
      <c r="F29" s="64" t="s">
        <v>346</v>
      </c>
      <c r="G29" s="63" t="s">
        <v>2295</v>
      </c>
      <c r="H29" s="63" t="s">
        <v>2315</v>
      </c>
      <c r="I29" s="63" t="s">
        <v>1470</v>
      </c>
      <c r="J29" s="63"/>
      <c r="K29" s="63"/>
      <c r="L29" s="65"/>
      <c r="M29" s="65"/>
      <c r="N29" s="65"/>
      <c r="O29" s="66">
        <f t="shared" si="0"/>
        <v>0</v>
      </c>
      <c r="P29" s="66">
        <f t="shared" si="1"/>
        <v>0</v>
      </c>
      <c r="Q29" s="66">
        <f t="shared" si="2"/>
        <v>0</v>
      </c>
      <c r="R29" s="63"/>
      <c r="S29" s="63"/>
      <c r="T29" s="65"/>
      <c r="U29" s="65"/>
      <c r="V29" s="65"/>
      <c r="W29" s="66">
        <f t="shared" si="3"/>
        <v>0</v>
      </c>
      <c r="X29" s="66">
        <f t="shared" si="4"/>
        <v>0</v>
      </c>
      <c r="Y29" s="66">
        <f t="shared" si="5"/>
        <v>0</v>
      </c>
      <c r="Z29" s="63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7">
        <f t="shared" ref="AM29:AT29" si="36">R29-J29</f>
        <v>0</v>
      </c>
      <c r="AN29" s="67">
        <f t="shared" si="36"/>
        <v>0</v>
      </c>
      <c r="AO29" s="67">
        <f t="shared" si="36"/>
        <v>0</v>
      </c>
      <c r="AP29" s="67">
        <f t="shared" si="36"/>
        <v>0</v>
      </c>
      <c r="AQ29" s="67">
        <f t="shared" si="36"/>
        <v>0</v>
      </c>
      <c r="AR29" s="66">
        <f t="shared" si="36"/>
        <v>0</v>
      </c>
      <c r="AS29" s="66">
        <f t="shared" si="36"/>
        <v>0</v>
      </c>
      <c r="AT29" s="66">
        <f t="shared" si="36"/>
        <v>0</v>
      </c>
      <c r="AU29" s="66">
        <f t="shared" ref="AU29:AY29" si="37">IFERROR(AM29/J29,0)</f>
        <v>0</v>
      </c>
      <c r="AV29" s="66">
        <f t="shared" si="37"/>
        <v>0</v>
      </c>
      <c r="AW29" s="66">
        <f t="shared" si="37"/>
        <v>0</v>
      </c>
      <c r="AX29" s="66">
        <f t="shared" si="37"/>
        <v>0</v>
      </c>
      <c r="AY29" s="66">
        <f t="shared" si="37"/>
        <v>0</v>
      </c>
    </row>
    <row r="30" ht="16.5" spans="1:57">
      <c r="A30" s="63"/>
      <c r="B30" s="63"/>
      <c r="C30" s="63" t="s">
        <v>340</v>
      </c>
      <c r="D30" s="63"/>
      <c r="E30" s="63" t="s">
        <v>1470</v>
      </c>
      <c r="F30" s="64" t="s">
        <v>346</v>
      </c>
      <c r="G30" s="63" t="s">
        <v>2295</v>
      </c>
      <c r="H30" s="63" t="s">
        <v>2315</v>
      </c>
      <c r="I30" s="63" t="s">
        <v>1470</v>
      </c>
      <c r="J30" s="63"/>
      <c r="K30" s="63"/>
      <c r="L30" s="65"/>
      <c r="M30" s="65"/>
      <c r="N30" s="65"/>
      <c r="O30" s="66">
        <f t="shared" si="0"/>
        <v>0</v>
      </c>
      <c r="P30" s="66">
        <f t="shared" si="1"/>
        <v>0</v>
      </c>
      <c r="Q30" s="66">
        <f t="shared" si="2"/>
        <v>0</v>
      </c>
      <c r="R30" s="63"/>
      <c r="S30" s="63"/>
      <c r="T30" s="65"/>
      <c r="U30" s="65"/>
      <c r="V30" s="65"/>
      <c r="W30" s="66">
        <f t="shared" si="3"/>
        <v>0</v>
      </c>
      <c r="X30" s="66">
        <f t="shared" si="4"/>
        <v>0</v>
      </c>
      <c r="Y30" s="66">
        <f t="shared" si="5"/>
        <v>0</v>
      </c>
      <c r="Z30" s="63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7">
        <f t="shared" ref="AM30:AT30" si="38">R30-J30</f>
        <v>0</v>
      </c>
      <c r="AN30" s="67">
        <f t="shared" si="38"/>
        <v>0</v>
      </c>
      <c r="AO30" s="67">
        <f t="shared" si="38"/>
        <v>0</v>
      </c>
      <c r="AP30" s="67">
        <f t="shared" si="38"/>
        <v>0</v>
      </c>
      <c r="AQ30" s="67">
        <f t="shared" si="38"/>
        <v>0</v>
      </c>
      <c r="AR30" s="66">
        <f t="shared" si="38"/>
        <v>0</v>
      </c>
      <c r="AS30" s="66">
        <f t="shared" si="38"/>
        <v>0</v>
      </c>
      <c r="AT30" s="66">
        <f t="shared" si="38"/>
        <v>0</v>
      </c>
      <c r="AU30" s="66">
        <f t="shared" ref="AU30:AY30" si="39">IFERROR(AM30/J30,0)</f>
        <v>0</v>
      </c>
      <c r="AV30" s="66">
        <f t="shared" si="39"/>
        <v>0</v>
      </c>
      <c r="AW30" s="66">
        <f t="shared" si="39"/>
        <v>0</v>
      </c>
      <c r="AX30" s="66">
        <f t="shared" si="39"/>
        <v>0</v>
      </c>
      <c r="AY30" s="66">
        <f t="shared" si="39"/>
        <v>0</v>
      </c>
    </row>
    <row r="31" ht="16.5" spans="1:57">
      <c r="A31" s="63"/>
      <c r="B31" s="63"/>
      <c r="C31" s="63" t="s">
        <v>340</v>
      </c>
      <c r="D31" s="63"/>
      <c r="E31" s="63" t="s">
        <v>1470</v>
      </c>
      <c r="F31" s="64" t="s">
        <v>346</v>
      </c>
      <c r="G31" s="63" t="s">
        <v>2295</v>
      </c>
      <c r="H31" s="63" t="s">
        <v>2315</v>
      </c>
      <c r="I31" s="63" t="s">
        <v>1470</v>
      </c>
      <c r="J31" s="63"/>
      <c r="K31" s="63"/>
      <c r="L31" s="65"/>
      <c r="M31" s="65"/>
      <c r="N31" s="65"/>
      <c r="O31" s="66">
        <f t="shared" si="0"/>
        <v>0</v>
      </c>
      <c r="P31" s="66">
        <f t="shared" si="1"/>
        <v>0</v>
      </c>
      <c r="Q31" s="66">
        <f t="shared" si="2"/>
        <v>0</v>
      </c>
      <c r="R31" s="63"/>
      <c r="S31" s="63"/>
      <c r="T31" s="65"/>
      <c r="U31" s="65"/>
      <c r="V31" s="65"/>
      <c r="W31" s="66">
        <f t="shared" si="3"/>
        <v>0</v>
      </c>
      <c r="X31" s="66">
        <f t="shared" si="4"/>
        <v>0</v>
      </c>
      <c r="Y31" s="66">
        <f t="shared" si="5"/>
        <v>0</v>
      </c>
      <c r="Z31" s="63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7">
        <f t="shared" ref="AM31:AT31" si="40">R31-J31</f>
        <v>0</v>
      </c>
      <c r="AN31" s="67">
        <f t="shared" si="40"/>
        <v>0</v>
      </c>
      <c r="AO31" s="67">
        <f t="shared" si="40"/>
        <v>0</v>
      </c>
      <c r="AP31" s="67">
        <f t="shared" si="40"/>
        <v>0</v>
      </c>
      <c r="AQ31" s="67">
        <f t="shared" si="40"/>
        <v>0</v>
      </c>
      <c r="AR31" s="66">
        <f t="shared" si="40"/>
        <v>0</v>
      </c>
      <c r="AS31" s="66">
        <f t="shared" si="40"/>
        <v>0</v>
      </c>
      <c r="AT31" s="66">
        <f t="shared" si="40"/>
        <v>0</v>
      </c>
      <c r="AU31" s="66">
        <f t="shared" ref="AU31:AY31" si="41">IFERROR(AM31/J31,0)</f>
        <v>0</v>
      </c>
      <c r="AV31" s="66">
        <f t="shared" si="41"/>
        <v>0</v>
      </c>
      <c r="AW31" s="66">
        <f t="shared" si="41"/>
        <v>0</v>
      </c>
      <c r="AX31" s="66">
        <f t="shared" si="41"/>
        <v>0</v>
      </c>
      <c r="AY31" s="66">
        <f t="shared" si="41"/>
        <v>0</v>
      </c>
    </row>
    <row r="32" ht="16.5" spans="1:57">
      <c r="A32" s="63"/>
      <c r="B32" s="63"/>
      <c r="C32" s="63" t="s">
        <v>340</v>
      </c>
      <c r="D32" s="63"/>
      <c r="E32" s="63" t="s">
        <v>1470</v>
      </c>
      <c r="F32" s="64" t="s">
        <v>346</v>
      </c>
      <c r="G32" s="63" t="s">
        <v>2295</v>
      </c>
      <c r="H32" s="63" t="s">
        <v>2315</v>
      </c>
      <c r="I32" s="63" t="s">
        <v>1470</v>
      </c>
      <c r="J32" s="63"/>
      <c r="K32" s="63"/>
      <c r="L32" s="65"/>
      <c r="M32" s="65"/>
      <c r="N32" s="65"/>
      <c r="O32" s="66">
        <f t="shared" si="0"/>
        <v>0</v>
      </c>
      <c r="P32" s="66">
        <f t="shared" si="1"/>
        <v>0</v>
      </c>
      <c r="Q32" s="66">
        <f t="shared" si="2"/>
        <v>0</v>
      </c>
      <c r="R32" s="63"/>
      <c r="S32" s="63"/>
      <c r="T32" s="65"/>
      <c r="U32" s="65"/>
      <c r="V32" s="65"/>
      <c r="W32" s="66">
        <f t="shared" si="3"/>
        <v>0</v>
      </c>
      <c r="X32" s="66">
        <f t="shared" si="4"/>
        <v>0</v>
      </c>
      <c r="Y32" s="66">
        <f t="shared" si="5"/>
        <v>0</v>
      </c>
      <c r="Z32" s="63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7">
        <f t="shared" ref="AM32:AT32" si="42">R32-J32</f>
        <v>0</v>
      </c>
      <c r="AN32" s="67">
        <f t="shared" si="42"/>
        <v>0</v>
      </c>
      <c r="AO32" s="67">
        <f t="shared" si="42"/>
        <v>0</v>
      </c>
      <c r="AP32" s="67">
        <f t="shared" si="42"/>
        <v>0</v>
      </c>
      <c r="AQ32" s="67">
        <f t="shared" si="42"/>
        <v>0</v>
      </c>
      <c r="AR32" s="66">
        <f t="shared" si="42"/>
        <v>0</v>
      </c>
      <c r="AS32" s="66">
        <f t="shared" si="42"/>
        <v>0</v>
      </c>
      <c r="AT32" s="66">
        <f t="shared" si="42"/>
        <v>0</v>
      </c>
      <c r="AU32" s="66">
        <f t="shared" ref="AU32:AY32" si="43">IFERROR(AM32/J32,0)</f>
        <v>0</v>
      </c>
      <c r="AV32" s="66">
        <f t="shared" si="43"/>
        <v>0</v>
      </c>
      <c r="AW32" s="66">
        <f t="shared" si="43"/>
        <v>0</v>
      </c>
      <c r="AX32" s="66">
        <f t="shared" si="43"/>
        <v>0</v>
      </c>
      <c r="AY32" s="66">
        <f t="shared" si="43"/>
        <v>0</v>
      </c>
    </row>
    <row r="33" ht="16.5" spans="1:56">
      <c r="A33" s="63"/>
      <c r="B33" s="63"/>
      <c r="C33" s="63" t="s">
        <v>340</v>
      </c>
      <c r="D33" s="63"/>
      <c r="E33" s="63" t="s">
        <v>1470</v>
      </c>
      <c r="F33" s="64" t="s">
        <v>346</v>
      </c>
      <c r="G33" s="63" t="s">
        <v>2295</v>
      </c>
      <c r="H33" s="63" t="s">
        <v>2315</v>
      </c>
      <c r="I33" s="63" t="s">
        <v>1470</v>
      </c>
      <c r="J33" s="63"/>
      <c r="K33" s="63"/>
      <c r="L33" s="65"/>
      <c r="M33" s="65"/>
      <c r="N33" s="65"/>
      <c r="O33" s="66">
        <f t="shared" si="0"/>
        <v>0</v>
      </c>
      <c r="P33" s="66">
        <f t="shared" si="1"/>
        <v>0</v>
      </c>
      <c r="Q33" s="66">
        <f t="shared" si="2"/>
        <v>0</v>
      </c>
      <c r="R33" s="63"/>
      <c r="S33" s="63"/>
      <c r="T33" s="65"/>
      <c r="U33" s="65"/>
      <c r="V33" s="65"/>
      <c r="W33" s="66">
        <f t="shared" si="3"/>
        <v>0</v>
      </c>
      <c r="X33" s="66">
        <f t="shared" si="4"/>
        <v>0</v>
      </c>
      <c r="Y33" s="66">
        <f t="shared" si="5"/>
        <v>0</v>
      </c>
      <c r="Z33" s="63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7">
        <f t="shared" ref="AM33:AT33" si="44">R33-J33</f>
        <v>0</v>
      </c>
      <c r="AN33" s="67">
        <f t="shared" si="44"/>
        <v>0</v>
      </c>
      <c r="AO33" s="67">
        <f t="shared" si="44"/>
        <v>0</v>
      </c>
      <c r="AP33" s="67">
        <f t="shared" si="44"/>
        <v>0</v>
      </c>
      <c r="AQ33" s="67">
        <f t="shared" si="44"/>
        <v>0</v>
      </c>
      <c r="AR33" s="66">
        <f t="shared" si="44"/>
        <v>0</v>
      </c>
      <c r="AS33" s="66">
        <f t="shared" si="44"/>
        <v>0</v>
      </c>
      <c r="AT33" s="66">
        <f t="shared" si="44"/>
        <v>0</v>
      </c>
      <c r="AU33" s="66">
        <f t="shared" ref="AU33:AY33" si="45">IFERROR(AM33/J33,0)</f>
        <v>0</v>
      </c>
      <c r="AV33" s="66">
        <f t="shared" si="45"/>
        <v>0</v>
      </c>
      <c r="AW33" s="66">
        <f t="shared" si="45"/>
        <v>0</v>
      </c>
      <c r="AX33" s="66">
        <f t="shared" si="45"/>
        <v>0</v>
      </c>
      <c r="AY33" s="66">
        <f t="shared" si="45"/>
        <v>0</v>
      </c>
    </row>
    <row r="34" ht="16.5" spans="1:56">
      <c r="A34" s="63"/>
      <c r="B34" s="63"/>
      <c r="C34" s="63" t="s">
        <v>340</v>
      </c>
      <c r="D34" s="63"/>
      <c r="E34" s="63" t="s">
        <v>1470</v>
      </c>
      <c r="F34" s="64" t="s">
        <v>346</v>
      </c>
      <c r="G34" s="63" t="s">
        <v>2295</v>
      </c>
      <c r="H34" s="63" t="s">
        <v>2315</v>
      </c>
      <c r="I34" s="63" t="s">
        <v>1470</v>
      </c>
      <c r="J34" s="63"/>
      <c r="K34" s="63"/>
      <c r="L34" s="65"/>
      <c r="M34" s="65"/>
      <c r="N34" s="65"/>
      <c r="O34" s="66">
        <f t="shared" si="0"/>
        <v>0</v>
      </c>
      <c r="P34" s="66">
        <f t="shared" si="1"/>
        <v>0</v>
      </c>
      <c r="Q34" s="66">
        <f t="shared" si="2"/>
        <v>0</v>
      </c>
      <c r="R34" s="63"/>
      <c r="S34" s="63"/>
      <c r="T34" s="65"/>
      <c r="U34" s="65"/>
      <c r="V34" s="65"/>
      <c r="W34" s="66">
        <f t="shared" si="3"/>
        <v>0</v>
      </c>
      <c r="X34" s="66">
        <f t="shared" si="4"/>
        <v>0</v>
      </c>
      <c r="Y34" s="66">
        <f t="shared" si="5"/>
        <v>0</v>
      </c>
      <c r="Z34" s="63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7">
        <f t="shared" ref="AM34:AT34" si="46">R34-J34</f>
        <v>0</v>
      </c>
      <c r="AN34" s="67">
        <f t="shared" si="46"/>
        <v>0</v>
      </c>
      <c r="AO34" s="67">
        <f t="shared" si="46"/>
        <v>0</v>
      </c>
      <c r="AP34" s="67">
        <f t="shared" si="46"/>
        <v>0</v>
      </c>
      <c r="AQ34" s="67">
        <f t="shared" si="46"/>
        <v>0</v>
      </c>
      <c r="AR34" s="66">
        <f t="shared" si="46"/>
        <v>0</v>
      </c>
      <c r="AS34" s="66">
        <f t="shared" si="46"/>
        <v>0</v>
      </c>
      <c r="AT34" s="66">
        <f t="shared" si="46"/>
        <v>0</v>
      </c>
      <c r="AU34" s="66">
        <f t="shared" ref="AU34:AY34" si="47">IFERROR(AM34/J34,0)</f>
        <v>0</v>
      </c>
      <c r="AV34" s="66">
        <f t="shared" si="47"/>
        <v>0</v>
      </c>
      <c r="AW34" s="66">
        <f t="shared" si="47"/>
        <v>0</v>
      </c>
      <c r="AX34" s="66">
        <f t="shared" si="47"/>
        <v>0</v>
      </c>
      <c r="AY34" s="66">
        <f t="shared" si="47"/>
        <v>0</v>
      </c>
    </row>
    <row r="35" ht="16.5" spans="1:56">
      <c r="A35" s="63"/>
      <c r="B35" s="63"/>
      <c r="C35" s="63" t="s">
        <v>340</v>
      </c>
      <c r="D35" s="63"/>
      <c r="E35" s="63" t="s">
        <v>1470</v>
      </c>
      <c r="F35" s="64" t="s">
        <v>346</v>
      </c>
      <c r="G35" s="63" t="s">
        <v>2295</v>
      </c>
      <c r="H35" s="63" t="s">
        <v>2315</v>
      </c>
      <c r="I35" s="63" t="s">
        <v>1470</v>
      </c>
      <c r="J35" s="63"/>
      <c r="K35" s="63"/>
      <c r="L35" s="65"/>
      <c r="M35" s="65"/>
      <c r="N35" s="65"/>
      <c r="O35" s="66">
        <f t="shared" si="0"/>
        <v>0</v>
      </c>
      <c r="P35" s="66">
        <f t="shared" si="1"/>
        <v>0</v>
      </c>
      <c r="Q35" s="66">
        <f t="shared" si="2"/>
        <v>0</v>
      </c>
      <c r="R35" s="63"/>
      <c r="S35" s="63"/>
      <c r="T35" s="65"/>
      <c r="U35" s="65"/>
      <c r="V35" s="65"/>
      <c r="W35" s="66">
        <f t="shared" si="3"/>
        <v>0</v>
      </c>
      <c r="X35" s="66">
        <f t="shared" si="4"/>
        <v>0</v>
      </c>
      <c r="Y35" s="66">
        <f t="shared" si="5"/>
        <v>0</v>
      </c>
      <c r="Z35" s="63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7">
        <f t="shared" ref="AM35:AT35" si="48">R35-J35</f>
        <v>0</v>
      </c>
      <c r="AN35" s="67">
        <f t="shared" si="48"/>
        <v>0</v>
      </c>
      <c r="AO35" s="67">
        <f t="shared" si="48"/>
        <v>0</v>
      </c>
      <c r="AP35" s="67">
        <f t="shared" si="48"/>
        <v>0</v>
      </c>
      <c r="AQ35" s="67">
        <f t="shared" si="48"/>
        <v>0</v>
      </c>
      <c r="AR35" s="66">
        <f t="shared" si="48"/>
        <v>0</v>
      </c>
      <c r="AS35" s="66">
        <f t="shared" si="48"/>
        <v>0</v>
      </c>
      <c r="AT35" s="66">
        <f t="shared" si="48"/>
        <v>0</v>
      </c>
      <c r="AU35" s="66">
        <f t="shared" ref="AU35:AY35" si="49">IFERROR(AM35/J35,0)</f>
        <v>0</v>
      </c>
      <c r="AV35" s="66">
        <f t="shared" si="49"/>
        <v>0</v>
      </c>
      <c r="AW35" s="66">
        <f t="shared" si="49"/>
        <v>0</v>
      </c>
      <c r="AX35" s="66">
        <f t="shared" si="49"/>
        <v>0</v>
      </c>
      <c r="AY35" s="66">
        <f t="shared" si="49"/>
        <v>0</v>
      </c>
    </row>
    <row r="36" ht="16.5" spans="1:56">
      <c r="A36" s="63"/>
      <c r="B36" s="63"/>
      <c r="C36" s="63" t="s">
        <v>340</v>
      </c>
      <c r="D36" s="63"/>
      <c r="E36" s="63" t="s">
        <v>1470</v>
      </c>
      <c r="F36" s="64" t="s">
        <v>346</v>
      </c>
      <c r="G36" s="63" t="s">
        <v>2295</v>
      </c>
      <c r="H36" s="63" t="s">
        <v>2315</v>
      </c>
      <c r="I36" s="63" t="s">
        <v>1470</v>
      </c>
      <c r="J36" s="63"/>
      <c r="K36" s="63"/>
      <c r="L36" s="65"/>
      <c r="M36" s="65"/>
      <c r="N36" s="65"/>
      <c r="O36" s="66">
        <f t="shared" si="0"/>
        <v>0</v>
      </c>
      <c r="P36" s="66">
        <f t="shared" si="1"/>
        <v>0</v>
      </c>
      <c r="Q36" s="66">
        <f t="shared" si="2"/>
        <v>0</v>
      </c>
      <c r="R36" s="63"/>
      <c r="S36" s="63"/>
      <c r="T36" s="65"/>
      <c r="U36" s="65"/>
      <c r="V36" s="65"/>
      <c r="W36" s="66">
        <f t="shared" si="3"/>
        <v>0</v>
      </c>
      <c r="X36" s="66">
        <f t="shared" si="4"/>
        <v>0</v>
      </c>
      <c r="Y36" s="66">
        <f t="shared" si="5"/>
        <v>0</v>
      </c>
      <c r="Z36" s="63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7">
        <f t="shared" ref="AM36:AT36" si="50">R36-J36</f>
        <v>0</v>
      </c>
      <c r="AN36" s="67">
        <f t="shared" si="50"/>
        <v>0</v>
      </c>
      <c r="AO36" s="67">
        <f t="shared" si="50"/>
        <v>0</v>
      </c>
      <c r="AP36" s="67">
        <f t="shared" si="50"/>
        <v>0</v>
      </c>
      <c r="AQ36" s="67">
        <f t="shared" si="50"/>
        <v>0</v>
      </c>
      <c r="AR36" s="66">
        <f t="shared" si="50"/>
        <v>0</v>
      </c>
      <c r="AS36" s="66">
        <f t="shared" si="50"/>
        <v>0</v>
      </c>
      <c r="AT36" s="66">
        <f t="shared" si="50"/>
        <v>0</v>
      </c>
      <c r="AU36" s="66">
        <f t="shared" ref="AU36:AY36" si="51">IFERROR(AM36/J36,0)</f>
        <v>0</v>
      </c>
      <c r="AV36" s="66">
        <f t="shared" si="51"/>
        <v>0</v>
      </c>
      <c r="AW36" s="66">
        <f t="shared" si="51"/>
        <v>0</v>
      </c>
      <c r="AX36" s="66">
        <f t="shared" si="51"/>
        <v>0</v>
      </c>
      <c r="AY36" s="66">
        <f t="shared" si="51"/>
        <v>0</v>
      </c>
    </row>
    <row r="37" ht="16.5" spans="1:56">
      <c r="A37" s="63"/>
      <c r="B37" s="63"/>
      <c r="C37" s="63" t="s">
        <v>340</v>
      </c>
      <c r="D37" s="63"/>
      <c r="E37" s="63" t="s">
        <v>1470</v>
      </c>
      <c r="F37" s="64" t="s">
        <v>346</v>
      </c>
      <c r="G37" s="63" t="s">
        <v>2295</v>
      </c>
      <c r="H37" s="63" t="s">
        <v>2315</v>
      </c>
      <c r="I37" s="63" t="s">
        <v>1470</v>
      </c>
      <c r="J37" s="63"/>
      <c r="K37" s="63"/>
      <c r="L37" s="65"/>
      <c r="M37" s="65"/>
      <c r="N37" s="65"/>
      <c r="O37" s="66">
        <f t="shared" si="0"/>
        <v>0</v>
      </c>
      <c r="P37" s="66">
        <f t="shared" si="1"/>
        <v>0</v>
      </c>
      <c r="Q37" s="66">
        <f t="shared" si="2"/>
        <v>0</v>
      </c>
      <c r="R37" s="63"/>
      <c r="S37" s="63"/>
      <c r="T37" s="65"/>
      <c r="U37" s="65"/>
      <c r="V37" s="65"/>
      <c r="W37" s="66">
        <f t="shared" si="3"/>
        <v>0</v>
      </c>
      <c r="X37" s="66">
        <f t="shared" si="4"/>
        <v>0</v>
      </c>
      <c r="Y37" s="66">
        <f t="shared" si="5"/>
        <v>0</v>
      </c>
      <c r="Z37" s="63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7">
        <f t="shared" ref="AM37:AT37" si="52">R37-J37</f>
        <v>0</v>
      </c>
      <c r="AN37" s="67">
        <f t="shared" si="52"/>
        <v>0</v>
      </c>
      <c r="AO37" s="67">
        <f t="shared" si="52"/>
        <v>0</v>
      </c>
      <c r="AP37" s="67">
        <f t="shared" si="52"/>
        <v>0</v>
      </c>
      <c r="AQ37" s="67">
        <f t="shared" si="52"/>
        <v>0</v>
      </c>
      <c r="AR37" s="66">
        <f t="shared" si="52"/>
        <v>0</v>
      </c>
      <c r="AS37" s="66">
        <f t="shared" si="52"/>
        <v>0</v>
      </c>
      <c r="AT37" s="66">
        <f t="shared" si="52"/>
        <v>0</v>
      </c>
      <c r="AU37" s="66">
        <f t="shared" ref="AU37:AY37" si="53">IFERROR(AM37/J37,0)</f>
        <v>0</v>
      </c>
      <c r="AV37" s="66">
        <f t="shared" si="53"/>
        <v>0</v>
      </c>
      <c r="AW37" s="66">
        <f t="shared" si="53"/>
        <v>0</v>
      </c>
      <c r="AX37" s="66">
        <f t="shared" si="53"/>
        <v>0</v>
      </c>
      <c r="AY37" s="66">
        <f t="shared" si="53"/>
        <v>0</v>
      </c>
    </row>
    <row r="38" ht="16.5" spans="1:56">
      <c r="A38" s="63"/>
      <c r="B38" s="63"/>
      <c r="C38" s="63" t="s">
        <v>340</v>
      </c>
      <c r="D38" s="63"/>
      <c r="E38" s="63" t="s">
        <v>1470</v>
      </c>
      <c r="F38" s="64" t="s">
        <v>346</v>
      </c>
      <c r="G38" s="63" t="s">
        <v>2295</v>
      </c>
      <c r="H38" s="63" t="s">
        <v>2315</v>
      </c>
      <c r="I38" s="63" t="s">
        <v>1470</v>
      </c>
      <c r="J38" s="63"/>
      <c r="K38" s="63"/>
      <c r="L38" s="65"/>
      <c r="M38" s="65"/>
      <c r="N38" s="65"/>
      <c r="O38" s="66">
        <f t="shared" si="0"/>
        <v>0</v>
      </c>
      <c r="P38" s="66">
        <f t="shared" si="1"/>
        <v>0</v>
      </c>
      <c r="Q38" s="66">
        <f t="shared" si="2"/>
        <v>0</v>
      </c>
      <c r="R38" s="63"/>
      <c r="S38" s="63"/>
      <c r="T38" s="65"/>
      <c r="U38" s="65"/>
      <c r="V38" s="65"/>
      <c r="W38" s="66">
        <f t="shared" si="3"/>
        <v>0</v>
      </c>
      <c r="X38" s="66">
        <f t="shared" si="4"/>
        <v>0</v>
      </c>
      <c r="Y38" s="66">
        <f t="shared" si="5"/>
        <v>0</v>
      </c>
      <c r="Z38" s="63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7">
        <f t="shared" ref="AM38:AT38" si="54">R38-J38</f>
        <v>0</v>
      </c>
      <c r="AN38" s="67">
        <f t="shared" si="54"/>
        <v>0</v>
      </c>
      <c r="AO38" s="67">
        <f t="shared" si="54"/>
        <v>0</v>
      </c>
      <c r="AP38" s="67">
        <f t="shared" si="54"/>
        <v>0</v>
      </c>
      <c r="AQ38" s="67">
        <f t="shared" si="54"/>
        <v>0</v>
      </c>
      <c r="AR38" s="66">
        <f t="shared" si="54"/>
        <v>0</v>
      </c>
      <c r="AS38" s="66">
        <f t="shared" si="54"/>
        <v>0</v>
      </c>
      <c r="AT38" s="66">
        <f t="shared" si="54"/>
        <v>0</v>
      </c>
      <c r="AU38" s="66">
        <f t="shared" ref="AU38:AY38" si="55">IFERROR(AM38/J38,0)</f>
        <v>0</v>
      </c>
      <c r="AV38" s="66">
        <f t="shared" si="55"/>
        <v>0</v>
      </c>
      <c r="AW38" s="66">
        <f t="shared" si="55"/>
        <v>0</v>
      </c>
      <c r="AX38" s="66">
        <f t="shared" si="55"/>
        <v>0</v>
      </c>
      <c r="AY38" s="66">
        <f t="shared" si="55"/>
        <v>0</v>
      </c>
    </row>
    <row r="39" ht="16.5" spans="1:56">
      <c r="A39" s="63"/>
      <c r="B39" s="63"/>
      <c r="C39" s="63" t="s">
        <v>340</v>
      </c>
      <c r="D39" s="63"/>
      <c r="E39" s="63" t="s">
        <v>1470</v>
      </c>
      <c r="F39" s="64" t="s">
        <v>346</v>
      </c>
      <c r="G39" s="63" t="s">
        <v>2295</v>
      </c>
      <c r="H39" s="63" t="s">
        <v>2315</v>
      </c>
      <c r="I39" s="63" t="s">
        <v>1470</v>
      </c>
      <c r="J39" s="63"/>
      <c r="K39" s="63"/>
      <c r="L39" s="65"/>
      <c r="M39" s="65"/>
      <c r="N39" s="65"/>
      <c r="O39" s="66">
        <f t="shared" si="0"/>
        <v>0</v>
      </c>
      <c r="P39" s="66">
        <f t="shared" si="1"/>
        <v>0</v>
      </c>
      <c r="Q39" s="66">
        <f t="shared" si="2"/>
        <v>0</v>
      </c>
      <c r="R39" s="63"/>
      <c r="S39" s="63"/>
      <c r="T39" s="65"/>
      <c r="U39" s="65"/>
      <c r="V39" s="65"/>
      <c r="W39" s="66">
        <f t="shared" si="3"/>
        <v>0</v>
      </c>
      <c r="X39" s="66">
        <f t="shared" si="4"/>
        <v>0</v>
      </c>
      <c r="Y39" s="66">
        <f t="shared" si="5"/>
        <v>0</v>
      </c>
      <c r="Z39" s="63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7">
        <f t="shared" ref="AM39:AT39" si="56">R39-J39</f>
        <v>0</v>
      </c>
      <c r="AN39" s="67">
        <f t="shared" si="56"/>
        <v>0</v>
      </c>
      <c r="AO39" s="67">
        <f t="shared" si="56"/>
        <v>0</v>
      </c>
      <c r="AP39" s="67">
        <f t="shared" si="56"/>
        <v>0</v>
      </c>
      <c r="AQ39" s="67">
        <f t="shared" si="56"/>
        <v>0</v>
      </c>
      <c r="AR39" s="66">
        <f t="shared" si="56"/>
        <v>0</v>
      </c>
      <c r="AS39" s="66">
        <f t="shared" si="56"/>
        <v>0</v>
      </c>
      <c r="AT39" s="66">
        <f t="shared" si="56"/>
        <v>0</v>
      </c>
      <c r="AU39" s="66">
        <f t="shared" ref="AU39:AY39" si="57">IFERROR(AM39/J39,0)</f>
        <v>0</v>
      </c>
      <c r="AV39" s="66">
        <f t="shared" si="57"/>
        <v>0</v>
      </c>
      <c r="AW39" s="66">
        <f t="shared" si="57"/>
        <v>0</v>
      </c>
      <c r="AX39" s="66">
        <f t="shared" si="57"/>
        <v>0</v>
      </c>
      <c r="AY39" s="66">
        <f t="shared" si="57"/>
        <v>0</v>
      </c>
    </row>
    <row r="40" ht="16.5" spans="1:56">
      <c r="A40" s="63"/>
      <c r="B40" s="63"/>
      <c r="C40" s="63" t="s">
        <v>340</v>
      </c>
      <c r="D40" s="63"/>
      <c r="E40" s="63" t="s">
        <v>1470</v>
      </c>
      <c r="F40" s="64" t="s">
        <v>346</v>
      </c>
      <c r="G40" s="63" t="s">
        <v>2295</v>
      </c>
      <c r="H40" s="63" t="s">
        <v>2315</v>
      </c>
      <c r="I40" s="63" t="s">
        <v>1470</v>
      </c>
      <c r="J40" s="63"/>
      <c r="K40" s="63"/>
      <c r="L40" s="65"/>
      <c r="M40" s="65"/>
      <c r="N40" s="65"/>
      <c r="O40" s="66">
        <f t="shared" si="0"/>
        <v>0</v>
      </c>
      <c r="P40" s="66">
        <f t="shared" si="1"/>
        <v>0</v>
      </c>
      <c r="Q40" s="66">
        <f t="shared" si="2"/>
        <v>0</v>
      </c>
      <c r="R40" s="63"/>
      <c r="S40" s="63"/>
      <c r="T40" s="65"/>
      <c r="U40" s="65"/>
      <c r="V40" s="65"/>
      <c r="W40" s="66">
        <f t="shared" si="3"/>
        <v>0</v>
      </c>
      <c r="X40" s="66">
        <f t="shared" si="4"/>
        <v>0</v>
      </c>
      <c r="Y40" s="66">
        <f t="shared" si="5"/>
        <v>0</v>
      </c>
      <c r="Z40" s="63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7">
        <f t="shared" ref="AM40:AT40" si="58">R40-J40</f>
        <v>0</v>
      </c>
      <c r="AN40" s="67">
        <f t="shared" si="58"/>
        <v>0</v>
      </c>
      <c r="AO40" s="67">
        <f t="shared" si="58"/>
        <v>0</v>
      </c>
      <c r="AP40" s="67">
        <f t="shared" si="58"/>
        <v>0</v>
      </c>
      <c r="AQ40" s="67">
        <f t="shared" si="58"/>
        <v>0</v>
      </c>
      <c r="AR40" s="66">
        <f t="shared" si="58"/>
        <v>0</v>
      </c>
      <c r="AS40" s="66">
        <f t="shared" si="58"/>
        <v>0</v>
      </c>
      <c r="AT40" s="66">
        <f t="shared" si="58"/>
        <v>0</v>
      </c>
      <c r="AU40" s="66">
        <f t="shared" ref="AU40:AY40" si="59">IFERROR(AM40/J40,0)</f>
        <v>0</v>
      </c>
      <c r="AV40" s="66">
        <f t="shared" si="59"/>
        <v>0</v>
      </c>
      <c r="AW40" s="66">
        <f t="shared" si="59"/>
        <v>0</v>
      </c>
      <c r="AX40" s="66">
        <f t="shared" si="59"/>
        <v>0</v>
      </c>
      <c r="AY40" s="66">
        <f t="shared" si="59"/>
        <v>0</v>
      </c>
    </row>
    <row r="41" ht="16.5" spans="1:56">
      <c r="A41" s="63"/>
      <c r="B41" s="63"/>
      <c r="C41" s="63" t="s">
        <v>340</v>
      </c>
      <c r="D41" s="63"/>
      <c r="E41" s="63" t="s">
        <v>1470</v>
      </c>
      <c r="F41" s="64" t="s">
        <v>346</v>
      </c>
      <c r="G41" s="63" t="s">
        <v>2295</v>
      </c>
      <c r="H41" s="63" t="s">
        <v>2315</v>
      </c>
      <c r="I41" s="63" t="s">
        <v>1470</v>
      </c>
      <c r="J41" s="63"/>
      <c r="K41" s="63"/>
      <c r="L41" s="65"/>
      <c r="M41" s="65"/>
      <c r="N41" s="65"/>
      <c r="O41" s="66">
        <f t="shared" si="0"/>
        <v>0</v>
      </c>
      <c r="P41" s="66">
        <f t="shared" si="1"/>
        <v>0</v>
      </c>
      <c r="Q41" s="66">
        <f t="shared" si="2"/>
        <v>0</v>
      </c>
      <c r="R41" s="63"/>
      <c r="S41" s="63"/>
      <c r="T41" s="65"/>
      <c r="U41" s="65"/>
      <c r="V41" s="65"/>
      <c r="W41" s="66">
        <f t="shared" si="3"/>
        <v>0</v>
      </c>
      <c r="X41" s="66">
        <f t="shared" si="4"/>
        <v>0</v>
      </c>
      <c r="Y41" s="66">
        <f t="shared" si="5"/>
        <v>0</v>
      </c>
      <c r="Z41" s="63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7">
        <f t="shared" ref="AM41:AT41" si="60">R41-J41</f>
        <v>0</v>
      </c>
      <c r="AN41" s="67">
        <f t="shared" si="60"/>
        <v>0</v>
      </c>
      <c r="AO41" s="67">
        <f t="shared" si="60"/>
        <v>0</v>
      </c>
      <c r="AP41" s="67">
        <f t="shared" si="60"/>
        <v>0</v>
      </c>
      <c r="AQ41" s="67">
        <f t="shared" si="60"/>
        <v>0</v>
      </c>
      <c r="AR41" s="66">
        <f t="shared" si="60"/>
        <v>0</v>
      </c>
      <c r="AS41" s="66">
        <f t="shared" si="60"/>
        <v>0</v>
      </c>
      <c r="AT41" s="66">
        <f t="shared" si="60"/>
        <v>0</v>
      </c>
      <c r="AU41" s="66">
        <f t="shared" ref="AU41:AY41" si="61">IFERROR(AM41/J41,0)</f>
        <v>0</v>
      </c>
      <c r="AV41" s="66">
        <f t="shared" si="61"/>
        <v>0</v>
      </c>
      <c r="AW41" s="66">
        <f t="shared" si="61"/>
        <v>0</v>
      </c>
      <c r="AX41" s="66">
        <f t="shared" si="61"/>
        <v>0</v>
      </c>
      <c r="AY41" s="66">
        <f t="shared" si="61"/>
        <v>0</v>
      </c>
    </row>
    <row r="42" ht="16.5" spans="1:56">
      <c r="A42" s="63"/>
      <c r="B42" s="63"/>
      <c r="C42" s="63" t="s">
        <v>340</v>
      </c>
      <c r="D42" s="63"/>
      <c r="E42" s="63" t="s">
        <v>1470</v>
      </c>
      <c r="F42" s="64" t="s">
        <v>346</v>
      </c>
      <c r="G42" s="63" t="s">
        <v>2295</v>
      </c>
      <c r="H42" s="63" t="s">
        <v>2315</v>
      </c>
      <c r="I42" s="63" t="s">
        <v>1470</v>
      </c>
      <c r="J42" s="63"/>
      <c r="K42" s="63"/>
      <c r="L42" s="65"/>
      <c r="M42" s="65"/>
      <c r="N42" s="65"/>
      <c r="O42" s="66">
        <f t="shared" si="0"/>
        <v>0</v>
      </c>
      <c r="P42" s="66">
        <f t="shared" si="1"/>
        <v>0</v>
      </c>
      <c r="Q42" s="66">
        <f t="shared" si="2"/>
        <v>0</v>
      </c>
      <c r="R42" s="63"/>
      <c r="S42" s="63"/>
      <c r="T42" s="65"/>
      <c r="U42" s="65"/>
      <c r="V42" s="65"/>
      <c r="W42" s="66">
        <f t="shared" si="3"/>
        <v>0</v>
      </c>
      <c r="X42" s="66">
        <f t="shared" si="4"/>
        <v>0</v>
      </c>
      <c r="Y42" s="66">
        <f t="shared" si="5"/>
        <v>0</v>
      </c>
      <c r="Z42" s="63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7">
        <f t="shared" ref="AM42:AT42" si="62">R42-J42</f>
        <v>0</v>
      </c>
      <c r="AN42" s="67">
        <f t="shared" si="62"/>
        <v>0</v>
      </c>
      <c r="AO42" s="67">
        <f t="shared" si="62"/>
        <v>0</v>
      </c>
      <c r="AP42" s="67">
        <f t="shared" si="62"/>
        <v>0</v>
      </c>
      <c r="AQ42" s="67">
        <f t="shared" si="62"/>
        <v>0</v>
      </c>
      <c r="AR42" s="66">
        <f t="shared" si="62"/>
        <v>0</v>
      </c>
      <c r="AS42" s="66">
        <f t="shared" si="62"/>
        <v>0</v>
      </c>
      <c r="AT42" s="66">
        <f t="shared" si="62"/>
        <v>0</v>
      </c>
      <c r="AU42" s="66">
        <f t="shared" ref="AU42:AY42" si="63">IFERROR(AM42/J42,0)</f>
        <v>0</v>
      </c>
      <c r="AV42" s="66">
        <f t="shared" si="63"/>
        <v>0</v>
      </c>
      <c r="AW42" s="66">
        <f t="shared" si="63"/>
        <v>0</v>
      </c>
      <c r="AX42" s="66">
        <f t="shared" si="63"/>
        <v>0</v>
      </c>
      <c r="AY42" s="66">
        <f t="shared" si="63"/>
        <v>0</v>
      </c>
    </row>
    <row r="43" ht="16.5" spans="1:56">
      <c r="A43" s="63"/>
      <c r="B43" s="63"/>
      <c r="C43" s="63" t="s">
        <v>340</v>
      </c>
      <c r="D43" s="63"/>
      <c r="E43" s="63" t="s">
        <v>1470</v>
      </c>
      <c r="F43" s="64" t="s">
        <v>346</v>
      </c>
      <c r="G43" s="63" t="s">
        <v>2295</v>
      </c>
      <c r="H43" s="63" t="s">
        <v>2315</v>
      </c>
      <c r="I43" s="63" t="s">
        <v>1470</v>
      </c>
      <c r="J43" s="63"/>
      <c r="K43" s="63"/>
      <c r="L43" s="65"/>
      <c r="M43" s="65"/>
      <c r="N43" s="65"/>
      <c r="O43" s="66">
        <f t="shared" si="0"/>
        <v>0</v>
      </c>
      <c r="P43" s="66">
        <f t="shared" si="1"/>
        <v>0</v>
      </c>
      <c r="Q43" s="66">
        <f t="shared" si="2"/>
        <v>0</v>
      </c>
      <c r="R43" s="63"/>
      <c r="S43" s="63"/>
      <c r="T43" s="65"/>
      <c r="U43" s="65"/>
      <c r="V43" s="65"/>
      <c r="W43" s="66">
        <f t="shared" si="3"/>
        <v>0</v>
      </c>
      <c r="X43" s="66">
        <f t="shared" si="4"/>
        <v>0</v>
      </c>
      <c r="Y43" s="66">
        <f t="shared" si="5"/>
        <v>0</v>
      </c>
      <c r="Z43" s="63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7">
        <f t="shared" ref="AM43:AT43" si="64">R43-J43</f>
        <v>0</v>
      </c>
      <c r="AN43" s="67">
        <f t="shared" si="64"/>
        <v>0</v>
      </c>
      <c r="AO43" s="67">
        <f t="shared" si="64"/>
        <v>0</v>
      </c>
      <c r="AP43" s="67">
        <f t="shared" si="64"/>
        <v>0</v>
      </c>
      <c r="AQ43" s="67">
        <f t="shared" si="64"/>
        <v>0</v>
      </c>
      <c r="AR43" s="66">
        <f t="shared" si="64"/>
        <v>0</v>
      </c>
      <c r="AS43" s="66">
        <f t="shared" si="64"/>
        <v>0</v>
      </c>
      <c r="AT43" s="66">
        <f t="shared" si="64"/>
        <v>0</v>
      </c>
      <c r="AU43" s="66">
        <f t="shared" ref="AU43:AY43" si="65">IFERROR(AM43/J43,0)</f>
        <v>0</v>
      </c>
      <c r="AV43" s="66">
        <f t="shared" si="65"/>
        <v>0</v>
      </c>
      <c r="AW43" s="66">
        <f t="shared" si="65"/>
        <v>0</v>
      </c>
      <c r="AX43" s="66">
        <f t="shared" si="65"/>
        <v>0</v>
      </c>
      <c r="AY43" s="66">
        <f t="shared" si="65"/>
        <v>0</v>
      </c>
    </row>
    <row r="44" ht="16.5" spans="1:56">
      <c r="A44" s="63"/>
      <c r="B44" s="63"/>
      <c r="C44" s="63" t="s">
        <v>340</v>
      </c>
      <c r="D44" s="63"/>
      <c r="E44" s="63" t="s">
        <v>1470</v>
      </c>
      <c r="F44" s="64" t="s">
        <v>346</v>
      </c>
      <c r="G44" s="63" t="s">
        <v>2295</v>
      </c>
      <c r="H44" s="63" t="s">
        <v>2315</v>
      </c>
      <c r="I44" s="63" t="s">
        <v>1470</v>
      </c>
      <c r="J44" s="63"/>
      <c r="K44" s="63"/>
      <c r="L44" s="65"/>
      <c r="M44" s="65"/>
      <c r="N44" s="65"/>
      <c r="O44" s="66">
        <f t="shared" si="0"/>
        <v>0</v>
      </c>
      <c r="P44" s="66">
        <f t="shared" si="1"/>
        <v>0</v>
      </c>
      <c r="Q44" s="66">
        <f t="shared" si="2"/>
        <v>0</v>
      </c>
      <c r="R44" s="63"/>
      <c r="S44" s="63"/>
      <c r="T44" s="65"/>
      <c r="U44" s="65"/>
      <c r="V44" s="65"/>
      <c r="W44" s="66">
        <f t="shared" si="3"/>
        <v>0</v>
      </c>
      <c r="X44" s="66">
        <f t="shared" si="4"/>
        <v>0</v>
      </c>
      <c r="Y44" s="66">
        <f t="shared" si="5"/>
        <v>0</v>
      </c>
      <c r="Z44" s="63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7">
        <f t="shared" ref="AM44:AT44" si="66">R44-J44</f>
        <v>0</v>
      </c>
      <c r="AN44" s="67">
        <f t="shared" si="66"/>
        <v>0</v>
      </c>
      <c r="AO44" s="67">
        <f t="shared" si="66"/>
        <v>0</v>
      </c>
      <c r="AP44" s="67">
        <f t="shared" si="66"/>
        <v>0</v>
      </c>
      <c r="AQ44" s="67">
        <f t="shared" si="66"/>
        <v>0</v>
      </c>
      <c r="AR44" s="66">
        <f t="shared" si="66"/>
        <v>0</v>
      </c>
      <c r="AS44" s="66">
        <f t="shared" si="66"/>
        <v>0</v>
      </c>
      <c r="AT44" s="66">
        <f t="shared" si="66"/>
        <v>0</v>
      </c>
      <c r="AU44" s="66">
        <f t="shared" ref="AU44:AY44" si="67">IFERROR(AM44/J44,0)</f>
        <v>0</v>
      </c>
      <c r="AV44" s="66">
        <f t="shared" si="67"/>
        <v>0</v>
      </c>
      <c r="AW44" s="66">
        <f t="shared" si="67"/>
        <v>0</v>
      </c>
      <c r="AX44" s="66">
        <f t="shared" si="67"/>
        <v>0</v>
      </c>
      <c r="AY44" s="66">
        <f t="shared" si="67"/>
        <v>0</v>
      </c>
    </row>
    <row r="45" ht="16.5" spans="1:56">
      <c r="A45" s="63"/>
      <c r="B45" s="63"/>
      <c r="C45" s="63" t="s">
        <v>340</v>
      </c>
      <c r="D45" s="63"/>
      <c r="E45" s="63" t="s">
        <v>1470</v>
      </c>
      <c r="F45" s="64" t="s">
        <v>346</v>
      </c>
      <c r="G45" s="63" t="s">
        <v>2295</v>
      </c>
      <c r="H45" s="63" t="s">
        <v>2315</v>
      </c>
      <c r="I45" s="63" t="s">
        <v>1470</v>
      </c>
      <c r="J45" s="63"/>
      <c r="K45" s="63"/>
      <c r="L45" s="65"/>
      <c r="M45" s="65"/>
      <c r="N45" s="65"/>
      <c r="O45" s="66">
        <f t="shared" si="0"/>
        <v>0</v>
      </c>
      <c r="P45" s="66">
        <f t="shared" si="1"/>
        <v>0</v>
      </c>
      <c r="Q45" s="66">
        <f t="shared" si="2"/>
        <v>0</v>
      </c>
      <c r="R45" s="63"/>
      <c r="S45" s="63"/>
      <c r="T45" s="65"/>
      <c r="U45" s="65"/>
      <c r="V45" s="65"/>
      <c r="W45" s="66">
        <f t="shared" si="3"/>
        <v>0</v>
      </c>
      <c r="X45" s="66">
        <f t="shared" si="4"/>
        <v>0</v>
      </c>
      <c r="Y45" s="66">
        <f t="shared" si="5"/>
        <v>0</v>
      </c>
      <c r="Z45" s="63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7">
        <f t="shared" ref="AM45:AT45" si="68">R45-J45</f>
        <v>0</v>
      </c>
      <c r="AN45" s="67">
        <f t="shared" si="68"/>
        <v>0</v>
      </c>
      <c r="AO45" s="67">
        <f t="shared" si="68"/>
        <v>0</v>
      </c>
      <c r="AP45" s="67">
        <f t="shared" si="68"/>
        <v>0</v>
      </c>
      <c r="AQ45" s="67">
        <f t="shared" si="68"/>
        <v>0</v>
      </c>
      <c r="AR45" s="66">
        <f t="shared" si="68"/>
        <v>0</v>
      </c>
      <c r="AS45" s="66">
        <f t="shared" si="68"/>
        <v>0</v>
      </c>
      <c r="AT45" s="66">
        <f t="shared" si="68"/>
        <v>0</v>
      </c>
      <c r="AU45" s="66">
        <f t="shared" ref="AU45:AY45" si="69">IFERROR(AM45/J45,0)</f>
        <v>0</v>
      </c>
      <c r="AV45" s="66">
        <f t="shared" si="69"/>
        <v>0</v>
      </c>
      <c r="AW45" s="66">
        <f t="shared" si="69"/>
        <v>0</v>
      </c>
      <c r="AX45" s="66">
        <f t="shared" si="69"/>
        <v>0</v>
      </c>
      <c r="AY45" s="66">
        <f t="shared" si="69"/>
        <v>0</v>
      </c>
    </row>
    <row r="47" s="3" customFormat="1" ht="12" spans="1:56">
      <c r="C47" s="68"/>
      <c r="D47" s="68"/>
      <c r="E47" s="68"/>
      <c r="F47" s="68"/>
      <c r="G47" s="68"/>
      <c r="J47" s="68"/>
      <c r="K47" s="68"/>
      <c r="L47" s="68"/>
      <c r="M47" s="68"/>
      <c r="N47" s="68"/>
      <c r="Q47" s="68"/>
      <c r="S47" s="68"/>
      <c r="AZ47" s="68"/>
      <c r="BA47" s="68"/>
      <c r="BB47" s="68"/>
      <c r="BC47" s="68"/>
      <c r="BD47" s="68"/>
    </row>
  </sheetData>
  <mergeCells count="12">
    <mergeCell ref="A11:I11"/>
    <mergeCell ref="J11:Q11"/>
    <mergeCell ref="R11:Z11"/>
    <mergeCell ref="AA11:AL11"/>
    <mergeCell ref="AM11:AT11"/>
    <mergeCell ref="AU11:AY11"/>
    <mergeCell ref="C47:D47"/>
    <mergeCell ref="L47:M47"/>
    <mergeCell ref="AZ47:BD47"/>
    <mergeCell ref="BA11:BA25"/>
    <mergeCell ref="A1:D4"/>
    <mergeCell ref="A5:D6"/>
  </mergeCells>
  <dataValidations count="5">
    <dataValidation type="list" allowBlank="1" showInputMessage="1" showErrorMessage="1" sqref="C14:C45">
      <formula1>"新客户,老客户"</formula1>
    </dataValidation>
    <dataValidation type="list" allowBlank="1" showInputMessage="1" showErrorMessage="1" sqref="E14:E45 I14:I45">
      <formula1>"是,否"</formula1>
    </dataValidation>
    <dataValidation type="list" allowBlank="1" showInputMessage="1" showErrorMessage="1" sqref="F14:F45">
      <formula1>"经销商,养殖户,以养带销"</formula1>
    </dataValidation>
    <dataValidation type="list" allowBlank="1" showInputMessage="1" showErrorMessage="1" sqref="G14:G45">
      <formula1>#REF!</formula1>
    </dataValidation>
    <dataValidation type="list" allowBlank="1" showInputMessage="1" showErrorMessage="1" sqref="H14:H45">
      <formula1>INDIRECT(G14)</formula1>
    </dataValidation>
  </dataValidations>
  <pageMargins left="0.7" right="0.7" top="0.75" bottom="0.75" header="0.3" footer="0.3"/>
  <pageSetup paperSize="9" orientation="portrait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7">
    <tabColor theme="4" tint="0.799981688894314"/>
  </sheetPr>
  <dimension ref="A1:AM23"/>
  <sheetViews>
    <sheetView zoomScale="90" zoomScaleNormal="90" workbookViewId="0">
      <pane ySplit="12" topLeftCell="A13" activePane="bottomLeft" state="frozen"/>
      <selection/>
      <selection pane="bottomLeft" activeCell="J10" sqref="J10"/>
    </sheetView>
  </sheetViews>
  <sheetFormatPr defaultColWidth="8.90833333333333" defaultRowHeight="13.5"/>
  <cols>
    <col min="1" max="1" width="11.9083333333333" customWidth="1"/>
    <col min="2" max="2" width="10.6333333333333" customWidth="1"/>
    <col min="3" max="3" width="13.45" customWidth="1"/>
    <col min="4" max="4" width="10.8166666666667" customWidth="1"/>
    <col min="5" max="5" width="14.0916666666667" customWidth="1"/>
    <col min="6" max="6" width="15.5416666666667" customWidth="1"/>
    <col min="7" max="7" width="11.1833333333333" customWidth="1"/>
    <col min="8" max="8" width="12.5416666666667" customWidth="1"/>
    <col min="9" max="13" width="12.45" customWidth="1"/>
  </cols>
  <sheetData>
    <row r="1" s="1" customFormat="1" ht="13" customHeight="1" spans="1:39">
      <c r="A1" s="4" t="s">
        <v>2385</v>
      </c>
      <c r="B1" s="5"/>
      <c r="C1" s="5"/>
      <c r="D1" s="6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  <c r="O1" s="8"/>
      <c r="P1" s="70"/>
    </row>
    <row r="2" s="1" customFormat="1" ht="13" customHeight="1" spans="1:39">
      <c r="A2" s="9"/>
      <c r="B2" s="10"/>
      <c r="C2" s="10"/>
      <c r="D2" s="11"/>
      <c r="E2" s="12"/>
      <c r="F2" s="13" t="s">
        <v>2386</v>
      </c>
      <c r="G2" s="13"/>
      <c r="H2" s="13"/>
      <c r="I2" s="13"/>
      <c r="J2" s="13"/>
      <c r="K2" s="13"/>
      <c r="L2" s="14"/>
      <c r="M2" s="14"/>
      <c r="N2" s="14"/>
      <c r="O2" s="14"/>
      <c r="P2" s="71"/>
    </row>
    <row r="3" s="1" customFormat="1" ht="11.25" customHeight="1" spans="1:39">
      <c r="A3" s="9"/>
      <c r="B3" s="10"/>
      <c r="C3" s="10"/>
      <c r="D3" s="11"/>
      <c r="E3" s="12"/>
      <c r="F3" s="13" t="s">
        <v>2387</v>
      </c>
      <c r="G3" s="13"/>
      <c r="H3" s="13"/>
      <c r="I3" s="13"/>
      <c r="J3" s="13"/>
      <c r="K3" s="13"/>
      <c r="L3" s="15"/>
      <c r="M3" s="15"/>
      <c r="N3" s="15"/>
      <c r="O3" s="14"/>
      <c r="P3" s="71"/>
    </row>
    <row r="4" s="1" customFormat="1" ht="11.25" customHeight="1" spans="1:39">
      <c r="A4" s="16"/>
      <c r="B4" s="17"/>
      <c r="C4" s="17"/>
      <c r="D4" s="18"/>
      <c r="E4" s="12"/>
      <c r="F4" s="13" t="s">
        <v>1408</v>
      </c>
      <c r="G4" s="13"/>
      <c r="H4" s="13"/>
      <c r="I4" s="13"/>
      <c r="J4" s="13"/>
      <c r="K4" s="13"/>
      <c r="L4" s="15"/>
      <c r="M4" s="15"/>
      <c r="N4" s="15"/>
      <c r="O4" s="14"/>
      <c r="P4" s="71"/>
    </row>
    <row r="5" s="1" customFormat="1" ht="11.25" customHeight="1" spans="1:39">
      <c r="A5" s="19" t="s">
        <v>1451</v>
      </c>
      <c r="B5" s="20"/>
      <c r="C5" s="20"/>
      <c r="D5" s="21"/>
      <c r="E5" s="12"/>
      <c r="F5" s="22"/>
      <c r="G5" s="22"/>
      <c r="H5" s="13"/>
      <c r="I5" s="13"/>
      <c r="J5" s="13"/>
      <c r="K5" s="13"/>
      <c r="L5" s="15"/>
      <c r="M5" s="15"/>
      <c r="N5" s="15"/>
      <c r="O5" s="14"/>
      <c r="P5" s="71"/>
    </row>
    <row r="6" s="1" customFormat="1" ht="11.25" customHeight="1" spans="1:39">
      <c r="A6" s="23"/>
      <c r="B6" s="24"/>
      <c r="C6" s="24"/>
      <c r="D6" s="25"/>
      <c r="E6" s="26" t="s">
        <v>1567</v>
      </c>
      <c r="F6" s="27"/>
      <c r="G6" s="27"/>
      <c r="H6" s="28"/>
      <c r="I6" s="28"/>
      <c r="J6" s="28"/>
      <c r="K6" s="28"/>
      <c r="L6" s="29"/>
      <c r="M6" s="29"/>
      <c r="N6" s="29"/>
      <c r="O6" s="30"/>
      <c r="P6" s="72"/>
    </row>
    <row r="7" s="1" customFormat="1" ht="4.5" customHeight="1" spans="1:39">
      <c r="E7" s="31"/>
      <c r="F7" s="32"/>
      <c r="G7" s="32"/>
      <c r="K7" s="33"/>
      <c r="L7" s="34"/>
      <c r="M7" s="34"/>
      <c r="N7" s="34"/>
    </row>
    <row r="8" s="1" customFormat="1" ht="10.5" customHeight="1" spans="1:39">
      <c r="E8" s="35"/>
      <c r="F8" s="32"/>
      <c r="G8" s="32"/>
      <c r="AM8" s="1" t="s">
        <v>1453</v>
      </c>
    </row>
    <row r="9" s="1" customFormat="1" ht="15" customHeight="1" spans="1:39">
      <c r="A9" s="36" t="s">
        <v>1411</v>
      </c>
      <c r="B9" s="37" t="s">
        <v>1412</v>
      </c>
      <c r="C9" s="36" t="s">
        <v>188</v>
      </c>
      <c r="D9" s="37" t="s">
        <v>1413</v>
      </c>
      <c r="E9" s="36" t="s">
        <v>1364</v>
      </c>
      <c r="F9" s="37" t="s">
        <v>1396</v>
      </c>
      <c r="G9" s="36" t="s">
        <v>1414</v>
      </c>
      <c r="H9" s="38" t="s">
        <v>1359</v>
      </c>
    </row>
    <row r="10" ht="19" customHeight="1" spans="1:39">
      <c r="A10" s="73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</row>
    <row r="11" ht="15" spans="1:39">
      <c r="A11" s="75" t="s">
        <v>2388</v>
      </c>
      <c r="B11" s="76"/>
      <c r="C11" s="45" t="s">
        <v>2107</v>
      </c>
      <c r="D11" s="45"/>
      <c r="E11" s="45"/>
      <c r="F11" s="75" t="s">
        <v>190</v>
      </c>
      <c r="G11" s="77"/>
      <c r="H11" s="76"/>
      <c r="I11" s="78" t="s">
        <v>1460</v>
      </c>
      <c r="J11" s="79"/>
      <c r="K11" s="80"/>
      <c r="L11" s="78" t="s">
        <v>1461</v>
      </c>
      <c r="M11" s="80"/>
    </row>
    <row r="12" s="69" customFormat="1" ht="15" spans="1:39">
      <c r="A12" s="81" t="s">
        <v>2370</v>
      </c>
      <c r="B12" s="82" t="s">
        <v>1366</v>
      </c>
      <c r="C12" s="83" t="s">
        <v>1422</v>
      </c>
      <c r="D12" s="83" t="s">
        <v>2389</v>
      </c>
      <c r="E12" s="83" t="s">
        <v>2282</v>
      </c>
      <c r="F12" s="83" t="s">
        <v>1422</v>
      </c>
      <c r="G12" s="84" t="s">
        <v>2389</v>
      </c>
      <c r="H12" s="83" t="s">
        <v>2282</v>
      </c>
      <c r="I12" s="83" t="s">
        <v>1422</v>
      </c>
      <c r="J12" s="83" t="s">
        <v>2389</v>
      </c>
      <c r="K12" s="83" t="s">
        <v>2282</v>
      </c>
      <c r="L12" s="83" t="s">
        <v>1422</v>
      </c>
      <c r="M12" s="83" t="s">
        <v>2389</v>
      </c>
    </row>
    <row r="13" ht="16.5" spans="1:39">
      <c r="A13" s="85" t="s">
        <v>2376</v>
      </c>
      <c r="B13" s="50" t="s">
        <v>1421</v>
      </c>
      <c r="C13" s="50" t="s">
        <v>1421</v>
      </c>
      <c r="D13" s="50" t="s">
        <v>1421</v>
      </c>
      <c r="E13" s="55" t="s">
        <v>199</v>
      </c>
      <c r="F13" s="55" t="s">
        <v>1421</v>
      </c>
      <c r="G13" s="86" t="s">
        <v>29</v>
      </c>
      <c r="H13" s="55" t="s">
        <v>199</v>
      </c>
      <c r="I13" s="55" t="s">
        <v>199</v>
      </c>
      <c r="J13" s="55" t="s">
        <v>199</v>
      </c>
      <c r="K13" s="55" t="s">
        <v>199</v>
      </c>
      <c r="L13" s="55" t="s">
        <v>199</v>
      </c>
      <c r="M13" s="55" t="s">
        <v>199</v>
      </c>
    </row>
    <row r="14" ht="16.5" spans="1:39">
      <c r="A14" s="63" t="s">
        <v>2382</v>
      </c>
      <c r="B14" s="63" t="s">
        <v>1932</v>
      </c>
      <c r="C14" s="87">
        <v>2000000</v>
      </c>
      <c r="D14" s="87">
        <v>1000000</v>
      </c>
      <c r="E14" s="88">
        <f t="shared" ref="E14:E21" si="0">IFERROR(D14/C14,0)</f>
        <v>0.5</v>
      </c>
      <c r="F14" s="87">
        <v>2000000</v>
      </c>
      <c r="G14" s="87">
        <v>1000000</v>
      </c>
      <c r="H14" s="88">
        <f t="shared" ref="H14:H21" si="1">IFERROR(G14/F14,0)</f>
        <v>0.5</v>
      </c>
      <c r="I14" s="89">
        <f t="shared" ref="I14:I21" si="2">F14-C14</f>
        <v>0</v>
      </c>
      <c r="J14" s="89">
        <f t="shared" ref="J14:J21" si="3">G14-D14</f>
        <v>0</v>
      </c>
      <c r="K14" s="88">
        <f t="shared" ref="K14:K21" si="4">H14-E14</f>
        <v>0</v>
      </c>
      <c r="L14" s="88">
        <f t="shared" ref="L14:L21" si="5">IFERROR(I14/C14,0)</f>
        <v>0</v>
      </c>
      <c r="M14" s="88">
        <f t="shared" ref="M14:M21" si="6">IFERROR(J14/D14,0)</f>
        <v>0</v>
      </c>
    </row>
    <row r="15" ht="16.5" spans="1:39">
      <c r="A15" s="63" t="s">
        <v>2382</v>
      </c>
      <c r="B15" s="63" t="s">
        <v>1932</v>
      </c>
      <c r="C15" s="87">
        <v>2000000</v>
      </c>
      <c r="D15" s="87">
        <v>0</v>
      </c>
      <c r="E15" s="88">
        <f t="shared" si="0"/>
        <v>0</v>
      </c>
      <c r="F15" s="87">
        <v>2000000</v>
      </c>
      <c r="G15" s="87">
        <v>1000000</v>
      </c>
      <c r="H15" s="88">
        <f t="shared" si="1"/>
        <v>0.5</v>
      </c>
      <c r="I15" s="89">
        <f t="shared" si="2"/>
        <v>0</v>
      </c>
      <c r="J15" s="89">
        <f t="shared" si="3"/>
        <v>1000000</v>
      </c>
      <c r="K15" s="88">
        <f t="shared" si="4"/>
        <v>0.5</v>
      </c>
      <c r="L15" s="88">
        <f t="shared" si="5"/>
        <v>0</v>
      </c>
      <c r="M15" s="88">
        <f t="shared" si="6"/>
        <v>0</v>
      </c>
    </row>
    <row r="16" ht="16.5" spans="1:39">
      <c r="A16" s="63" t="s">
        <v>2382</v>
      </c>
      <c r="B16" s="63" t="s">
        <v>1932</v>
      </c>
      <c r="C16" s="87">
        <v>2000000</v>
      </c>
      <c r="D16" s="87">
        <v>1000000</v>
      </c>
      <c r="E16" s="88">
        <f t="shared" si="0"/>
        <v>0.5</v>
      </c>
      <c r="F16" s="87">
        <v>2000000</v>
      </c>
      <c r="G16" s="87">
        <v>0</v>
      </c>
      <c r="H16" s="88">
        <f t="shared" si="1"/>
        <v>0</v>
      </c>
      <c r="I16" s="89">
        <f t="shared" si="2"/>
        <v>0</v>
      </c>
      <c r="J16" s="89">
        <f t="shared" si="3"/>
        <v>-1000000</v>
      </c>
      <c r="K16" s="88">
        <f t="shared" si="4"/>
        <v>-0.5</v>
      </c>
      <c r="L16" s="88">
        <f t="shared" si="5"/>
        <v>0</v>
      </c>
      <c r="M16" s="88">
        <f t="shared" si="6"/>
        <v>-1</v>
      </c>
    </row>
    <row r="17" ht="16.5" spans="1:15">
      <c r="A17" s="63" t="s">
        <v>2382</v>
      </c>
      <c r="B17" s="63" t="s">
        <v>1932</v>
      </c>
      <c r="C17" s="87"/>
      <c r="D17" s="87"/>
      <c r="E17" s="88">
        <f t="shared" si="0"/>
        <v>0</v>
      </c>
      <c r="F17" s="87"/>
      <c r="G17" s="87"/>
      <c r="H17" s="88">
        <f t="shared" si="1"/>
        <v>0</v>
      </c>
      <c r="I17" s="89">
        <f t="shared" si="2"/>
        <v>0</v>
      </c>
      <c r="J17" s="89">
        <f t="shared" si="3"/>
        <v>0</v>
      </c>
      <c r="K17" s="88">
        <f t="shared" si="4"/>
        <v>0</v>
      </c>
      <c r="L17" s="88">
        <f t="shared" si="5"/>
        <v>0</v>
      </c>
      <c r="M17" s="88">
        <f t="shared" si="6"/>
        <v>0</v>
      </c>
    </row>
    <row r="18" ht="16.5" spans="1:15">
      <c r="A18" s="63" t="s">
        <v>2382</v>
      </c>
      <c r="B18" s="63" t="s">
        <v>1932</v>
      </c>
      <c r="C18" s="87"/>
      <c r="D18" s="87"/>
      <c r="E18" s="88">
        <f t="shared" si="0"/>
        <v>0</v>
      </c>
      <c r="F18" s="87"/>
      <c r="G18" s="87"/>
      <c r="H18" s="88">
        <f t="shared" si="1"/>
        <v>0</v>
      </c>
      <c r="I18" s="89">
        <f t="shared" si="2"/>
        <v>0</v>
      </c>
      <c r="J18" s="89">
        <f t="shared" si="3"/>
        <v>0</v>
      </c>
      <c r="K18" s="88">
        <f t="shared" si="4"/>
        <v>0</v>
      </c>
      <c r="L18" s="88">
        <f t="shared" si="5"/>
        <v>0</v>
      </c>
      <c r="M18" s="88">
        <f t="shared" si="6"/>
        <v>0</v>
      </c>
    </row>
    <row r="19" ht="16.5" spans="1:15">
      <c r="A19" s="63" t="s">
        <v>2382</v>
      </c>
      <c r="B19" s="63" t="s">
        <v>1932</v>
      </c>
      <c r="C19" s="87"/>
      <c r="D19" s="87"/>
      <c r="E19" s="88">
        <f t="shared" si="0"/>
        <v>0</v>
      </c>
      <c r="F19" s="87"/>
      <c r="G19" s="87"/>
      <c r="H19" s="88">
        <f t="shared" si="1"/>
        <v>0</v>
      </c>
      <c r="I19" s="89">
        <f t="shared" si="2"/>
        <v>0</v>
      </c>
      <c r="J19" s="89">
        <f t="shared" si="3"/>
        <v>0</v>
      </c>
      <c r="K19" s="88">
        <f t="shared" si="4"/>
        <v>0</v>
      </c>
      <c r="L19" s="88">
        <f t="shared" si="5"/>
        <v>0</v>
      </c>
      <c r="M19" s="88">
        <f t="shared" si="6"/>
        <v>0</v>
      </c>
    </row>
    <row r="20" ht="16.5" spans="1:15">
      <c r="A20" s="63" t="s">
        <v>2382</v>
      </c>
      <c r="B20" s="63" t="s">
        <v>1932</v>
      </c>
      <c r="C20" s="87"/>
      <c r="D20" s="87"/>
      <c r="E20" s="88">
        <f t="shared" si="0"/>
        <v>0</v>
      </c>
      <c r="F20" s="87"/>
      <c r="G20" s="87"/>
      <c r="H20" s="88">
        <f t="shared" si="1"/>
        <v>0</v>
      </c>
      <c r="I20" s="89">
        <f t="shared" si="2"/>
        <v>0</v>
      </c>
      <c r="J20" s="89">
        <f t="shared" si="3"/>
        <v>0</v>
      </c>
      <c r="K20" s="88">
        <f t="shared" si="4"/>
        <v>0</v>
      </c>
      <c r="L20" s="88">
        <f t="shared" si="5"/>
        <v>0</v>
      </c>
      <c r="M20" s="88">
        <f t="shared" si="6"/>
        <v>0</v>
      </c>
    </row>
    <row r="21" ht="16.5" spans="1:15">
      <c r="A21" s="63" t="s">
        <v>2382</v>
      </c>
      <c r="B21" s="63" t="s">
        <v>1932</v>
      </c>
      <c r="C21" s="87"/>
      <c r="D21" s="87"/>
      <c r="E21" s="88">
        <f t="shared" si="0"/>
        <v>0</v>
      </c>
      <c r="F21" s="87"/>
      <c r="G21" s="87"/>
      <c r="H21" s="88">
        <f t="shared" si="1"/>
        <v>0</v>
      </c>
      <c r="I21" s="89">
        <f t="shared" si="2"/>
        <v>0</v>
      </c>
      <c r="J21" s="89">
        <f t="shared" si="3"/>
        <v>0</v>
      </c>
      <c r="K21" s="88">
        <f t="shared" si="4"/>
        <v>0</v>
      </c>
      <c r="L21" s="88">
        <f t="shared" si="5"/>
        <v>0</v>
      </c>
      <c r="M21" s="88">
        <f t="shared" si="6"/>
        <v>0</v>
      </c>
    </row>
    <row r="23" spans="1:15">
      <c r="C23" s="68"/>
      <c r="D23" s="68"/>
      <c r="F23" s="90"/>
      <c r="I23" s="2"/>
      <c r="N23" s="91"/>
      <c r="O23" s="91"/>
    </row>
  </sheetData>
  <mergeCells count="9">
    <mergeCell ref="A11:B11"/>
    <mergeCell ref="C11:E11"/>
    <mergeCell ref="F11:H11"/>
    <mergeCell ref="I11:K11"/>
    <mergeCell ref="L11:M11"/>
    <mergeCell ref="C23:D23"/>
    <mergeCell ref="N23:O23"/>
    <mergeCell ref="A1:D4"/>
    <mergeCell ref="A5:D6"/>
  </mergeCells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47"/>
  <sheetViews>
    <sheetView topLeftCell="A2" workbookViewId="0">
      <selection activeCell="AR2" sqref="AR$1:AR$1048576"/>
    </sheetView>
  </sheetViews>
  <sheetFormatPr defaultColWidth="9" defaultRowHeight="13.5"/>
  <cols>
    <col min="5" max="5" width="8.45" customWidth="1"/>
    <col min="6" max="6" width="9.54166666666667" customWidth="1"/>
    <col min="7" max="7" width="8.45" customWidth="1"/>
    <col min="10" max="10" width="9" customWidth="1"/>
    <col min="11" max="11" width="9.09166666666667" customWidth="1"/>
    <col min="12" max="12" width="11" customWidth="1"/>
    <col min="13" max="13" width="16" customWidth="1"/>
    <col min="14" max="14" width="12" customWidth="1"/>
    <col min="15" max="15" width="11.0916666666667" customWidth="1"/>
    <col min="16" max="16" width="11.6333333333333" customWidth="1"/>
    <col min="17" max="17" width="12" customWidth="1"/>
    <col min="18" max="18" width="9.63333333333333" customWidth="1"/>
    <col min="19" max="19" width="13.0916666666667" customWidth="1"/>
    <col min="20" max="20" width="14.6333333333333" customWidth="1"/>
    <col min="21" max="22" width="11.6333333333333" customWidth="1"/>
    <col min="23" max="23" width="15.8166666666667" customWidth="1"/>
    <col min="24" max="24" width="9.09166666666667" customWidth="1"/>
    <col min="25" max="25" width="10.2666666666667" customWidth="1"/>
    <col min="26" max="26" width="9.09166666666667" customWidth="1"/>
    <col min="28" max="29" width="11.6333333333333" customWidth="1" outlineLevel="1"/>
    <col min="30" max="30" width="11.0916666666667" customWidth="1" outlineLevel="1"/>
    <col min="31" max="31" width="11.6333333333333" customWidth="1" outlineLevel="1"/>
    <col min="32" max="33" width="10.3666666666667" customWidth="1" outlineLevel="1"/>
    <col min="34" max="34" width="10.8166666666667" customWidth="1" outlineLevel="1"/>
    <col min="35" max="37" width="11.6333333333333" customWidth="1" outlineLevel="1"/>
    <col min="38" max="38" width="19.0916666666667" customWidth="1" outlineLevel="1"/>
    <col min="39" max="39" width="6.09166666666667" customWidth="1"/>
    <col min="40" max="40" width="11.6333333333333" customWidth="1"/>
    <col min="41" max="41" width="9.90833333333333" customWidth="1"/>
    <col min="42" max="42" width="10.8166666666667" customWidth="1"/>
    <col min="43" max="43" width="6.54166666666667" customWidth="1"/>
    <col min="44" max="44" width="7.18333333333333" customWidth="1"/>
    <col min="45" max="45" width="5.54166666666667" customWidth="1"/>
    <col min="46" max="47" width="6.81666666666667" hidden="1" customWidth="1"/>
    <col min="48" max="48" width="5.54166666666667" hidden="1" customWidth="1"/>
    <col min="49" max="49" width="8.36666666666667" hidden="1" customWidth="1"/>
    <col min="50" max="50" width="9" hidden="1" customWidth="1"/>
    <col min="52" max="52" width="9" outlineLevel="1"/>
    <col min="53" max="53" width="12.45" customWidth="1" outlineLevel="1"/>
    <col min="54" max="54" width="11.725" customWidth="1" outlineLevel="1"/>
    <col min="55" max="55" width="12" customWidth="1" outlineLevel="1"/>
  </cols>
  <sheetData>
    <row r="1" s="1" customFormat="1" ht="13" customHeight="1" spans="1:50">
      <c r="A1" s="4" t="s">
        <v>2365</v>
      </c>
      <c r="B1" s="5"/>
      <c r="C1" s="5"/>
      <c r="D1" s="6"/>
      <c r="E1" s="7" t="s">
        <v>1404</v>
      </c>
      <c r="F1" s="8" t="s">
        <v>1405</v>
      </c>
      <c r="G1" s="8"/>
      <c r="H1" s="8"/>
      <c r="I1" s="8"/>
      <c r="J1" s="8"/>
      <c r="K1" s="8"/>
      <c r="L1" s="8"/>
      <c r="M1" s="8"/>
      <c r="N1" s="8"/>
    </row>
    <row r="2" s="1" customFormat="1" ht="13" customHeight="1" spans="1:50">
      <c r="A2" s="9"/>
      <c r="B2" s="10"/>
      <c r="C2" s="10"/>
      <c r="D2" s="11"/>
      <c r="E2" s="12"/>
      <c r="F2" s="13" t="s">
        <v>2366</v>
      </c>
      <c r="G2" s="13"/>
      <c r="H2" s="13"/>
      <c r="I2" s="13"/>
      <c r="J2" s="13"/>
      <c r="K2" s="13"/>
      <c r="L2" s="14"/>
      <c r="M2" s="14"/>
      <c r="N2" s="14"/>
    </row>
    <row r="3" s="1" customFormat="1" ht="11.25" customHeight="1" spans="1:50">
      <c r="A3" s="9"/>
      <c r="B3" s="10"/>
      <c r="C3" s="10"/>
      <c r="D3" s="11"/>
      <c r="E3" s="12"/>
      <c r="F3" s="13" t="s">
        <v>2367</v>
      </c>
      <c r="G3" s="13"/>
      <c r="H3" s="13"/>
      <c r="I3" s="13"/>
      <c r="J3" s="13"/>
      <c r="K3" s="13"/>
      <c r="L3" s="15"/>
      <c r="M3" s="15"/>
      <c r="N3" s="14"/>
    </row>
    <row r="4" s="1" customFormat="1" ht="11.25" customHeight="1" spans="1:50">
      <c r="A4" s="16"/>
      <c r="B4" s="17"/>
      <c r="C4" s="17"/>
      <c r="D4" s="18"/>
      <c r="E4" s="12"/>
      <c r="F4" s="13" t="s">
        <v>1408</v>
      </c>
      <c r="G4" s="13"/>
      <c r="H4" s="13"/>
      <c r="I4" s="13"/>
      <c r="J4" s="13"/>
      <c r="K4" s="13"/>
      <c r="L4" s="15"/>
      <c r="M4" s="15"/>
      <c r="N4" s="14"/>
    </row>
    <row r="5" s="1" customFormat="1" ht="11.25" customHeight="1" spans="1:50">
      <c r="A5" s="19" t="s">
        <v>1451</v>
      </c>
      <c r="B5" s="20"/>
      <c r="C5" s="20"/>
      <c r="D5" s="21"/>
      <c r="E5" s="12"/>
      <c r="F5" s="22"/>
      <c r="G5" s="22"/>
      <c r="H5" s="13"/>
      <c r="I5" s="13"/>
      <c r="J5" s="13"/>
      <c r="K5" s="13"/>
      <c r="L5" s="15"/>
      <c r="M5" s="15"/>
      <c r="N5" s="14"/>
    </row>
    <row r="6" s="1" customFormat="1" ht="11.25" customHeight="1" spans="1:50">
      <c r="A6" s="23"/>
      <c r="B6" s="24"/>
      <c r="C6" s="24"/>
      <c r="D6" s="25"/>
      <c r="E6" s="26" t="s">
        <v>1567</v>
      </c>
      <c r="F6" s="27"/>
      <c r="G6" s="27"/>
      <c r="H6" s="28"/>
      <c r="I6" s="28"/>
      <c r="J6" s="28"/>
      <c r="K6" s="28"/>
      <c r="L6" s="29"/>
      <c r="M6" s="29"/>
      <c r="N6" s="30"/>
    </row>
    <row r="7" s="1" customFormat="1" ht="4.5" customHeight="1" spans="1:50">
      <c r="E7" s="31"/>
      <c r="F7" s="32"/>
      <c r="G7" s="32"/>
      <c r="K7" s="33"/>
      <c r="L7" s="34"/>
      <c r="M7" s="34"/>
    </row>
    <row r="8" s="1" customFormat="1" ht="10.5" customHeight="1" spans="1:50">
      <c r="E8" s="35"/>
      <c r="F8" s="32"/>
      <c r="G8" s="32"/>
      <c r="AI8" s="1" t="s">
        <v>1453</v>
      </c>
    </row>
    <row r="9" s="1" customFormat="1" ht="15" customHeight="1" spans="1:50">
      <c r="A9" s="36" t="s">
        <v>1411</v>
      </c>
      <c r="B9" s="37" t="s">
        <v>1412</v>
      </c>
      <c r="C9" s="36" t="s">
        <v>188</v>
      </c>
      <c r="D9" s="37" t="s">
        <v>1413</v>
      </c>
      <c r="E9" s="36" t="s">
        <v>1364</v>
      </c>
      <c r="F9" s="37" t="s">
        <v>1396</v>
      </c>
      <c r="G9" s="36" t="s">
        <v>1414</v>
      </c>
      <c r="H9" s="38" t="s">
        <v>1359</v>
      </c>
    </row>
    <row r="10" s="1" customFormat="1" ht="15" customHeight="1" spans="1:50">
      <c r="B10" s="39"/>
      <c r="C10" s="40"/>
      <c r="D10" s="39"/>
      <c r="E10" s="40"/>
      <c r="F10" s="39"/>
      <c r="G10" s="40"/>
      <c r="H10" s="39"/>
      <c r="I10" s="41"/>
    </row>
    <row r="11" ht="16.5" spans="1:50">
      <c r="A11" s="42" t="s">
        <v>2368</v>
      </c>
      <c r="B11" s="43"/>
      <c r="C11" s="43"/>
      <c r="D11" s="43"/>
      <c r="E11" s="43"/>
      <c r="F11" s="43"/>
      <c r="G11" s="43"/>
      <c r="H11" s="43"/>
      <c r="I11" s="44"/>
      <c r="J11" s="45" t="s">
        <v>2107</v>
      </c>
      <c r="K11" s="45"/>
      <c r="L11" s="45"/>
      <c r="M11" s="45"/>
      <c r="N11" s="45"/>
      <c r="O11" s="45"/>
      <c r="P11" s="45" t="s">
        <v>190</v>
      </c>
      <c r="Q11" s="45"/>
      <c r="R11" s="45"/>
      <c r="S11" s="45"/>
      <c r="T11" s="45"/>
      <c r="U11" s="45"/>
      <c r="V11" s="45"/>
      <c r="W11" s="46" t="s">
        <v>2369</v>
      </c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5" t="s">
        <v>1460</v>
      </c>
      <c r="AJ11" s="45"/>
      <c r="AK11" s="45"/>
      <c r="AL11" s="45"/>
      <c r="AM11" s="45"/>
      <c r="AN11" s="45"/>
      <c r="AO11" s="45" t="s">
        <v>1461</v>
      </c>
      <c r="AP11" s="45"/>
      <c r="AQ11" s="45"/>
      <c r="AR11" s="45"/>
      <c r="AT11" s="47"/>
      <c r="AU11" s="48" t="s">
        <v>2308</v>
      </c>
      <c r="AV11" s="48" t="s">
        <v>2325</v>
      </c>
      <c r="AW11" s="48" t="s">
        <v>2315</v>
      </c>
      <c r="AX11" s="48" t="s">
        <v>235</v>
      </c>
    </row>
    <row r="12" ht="46" customHeight="1" spans="1:50">
      <c r="A12" s="49" t="s">
        <v>2370</v>
      </c>
      <c r="B12" s="50" t="s">
        <v>1366</v>
      </c>
      <c r="C12" s="51" t="s">
        <v>2371</v>
      </c>
      <c r="D12" s="50" t="s">
        <v>1456</v>
      </c>
      <c r="E12" s="52" t="s">
        <v>1368</v>
      </c>
      <c r="F12" s="50" t="s">
        <v>331</v>
      </c>
      <c r="G12" s="49" t="s">
        <v>2372</v>
      </c>
      <c r="H12" s="49" t="s">
        <v>2307</v>
      </c>
      <c r="I12" s="53" t="s">
        <v>2373</v>
      </c>
      <c r="J12" s="50" t="s">
        <v>2286</v>
      </c>
      <c r="K12" s="50" t="s">
        <v>2279</v>
      </c>
      <c r="L12" s="50" t="s">
        <v>2287</v>
      </c>
      <c r="M12" s="54" t="s">
        <v>2288</v>
      </c>
      <c r="N12" s="55" t="s">
        <v>2282</v>
      </c>
      <c r="O12" s="54" t="s">
        <v>2374</v>
      </c>
      <c r="P12" s="50" t="s">
        <v>58</v>
      </c>
      <c r="Q12" s="50" t="s">
        <v>2279</v>
      </c>
      <c r="R12" s="50" t="s">
        <v>2280</v>
      </c>
      <c r="S12" s="54" t="s">
        <v>2281</v>
      </c>
      <c r="T12" s="55" t="s">
        <v>2282</v>
      </c>
      <c r="U12" s="54" t="s">
        <v>2284</v>
      </c>
      <c r="V12" s="56" t="s">
        <v>2285</v>
      </c>
      <c r="W12" s="57" t="s">
        <v>304</v>
      </c>
      <c r="X12" s="57" t="s">
        <v>305</v>
      </c>
      <c r="Y12" s="57" t="s">
        <v>306</v>
      </c>
      <c r="Z12" s="57" t="s">
        <v>307</v>
      </c>
      <c r="AA12" s="57" t="s">
        <v>308</v>
      </c>
      <c r="AB12" s="57" t="s">
        <v>309</v>
      </c>
      <c r="AC12" s="57" t="s">
        <v>310</v>
      </c>
      <c r="AD12" s="57" t="s">
        <v>311</v>
      </c>
      <c r="AE12" s="57" t="s">
        <v>312</v>
      </c>
      <c r="AF12" s="57" t="s">
        <v>313</v>
      </c>
      <c r="AG12" s="57" t="s">
        <v>314</v>
      </c>
      <c r="AH12" s="57" t="s">
        <v>315</v>
      </c>
      <c r="AI12" s="50" t="s">
        <v>58</v>
      </c>
      <c r="AJ12" s="50" t="s">
        <v>2279</v>
      </c>
      <c r="AK12" s="50" t="s">
        <v>2280</v>
      </c>
      <c r="AL12" s="58" t="s">
        <v>2375</v>
      </c>
      <c r="AM12" s="55" t="s">
        <v>2282</v>
      </c>
      <c r="AN12" s="54" t="s">
        <v>2284</v>
      </c>
      <c r="AO12" s="50" t="s">
        <v>58</v>
      </c>
      <c r="AP12" s="50" t="s">
        <v>2279</v>
      </c>
      <c r="AQ12" s="50" t="s">
        <v>2280</v>
      </c>
      <c r="AR12" s="58" t="s">
        <v>2375</v>
      </c>
      <c r="AT12" s="47"/>
      <c r="AU12" s="59" t="s">
        <v>2309</v>
      </c>
      <c r="AV12" s="59" t="s">
        <v>2326</v>
      </c>
      <c r="AW12" s="59" t="s">
        <v>2316</v>
      </c>
      <c r="AX12" s="59" t="s">
        <v>2338</v>
      </c>
    </row>
    <row r="13" s="2" customFormat="1" ht="35.5" customHeight="1" spans="1:50">
      <c r="A13" s="49" t="s">
        <v>2376</v>
      </c>
      <c r="B13" s="50" t="s">
        <v>1421</v>
      </c>
      <c r="C13" s="51" t="s">
        <v>29</v>
      </c>
      <c r="D13" s="50" t="s">
        <v>1421</v>
      </c>
      <c r="E13" s="52" t="s">
        <v>1421</v>
      </c>
      <c r="F13" s="60" t="s">
        <v>2377</v>
      </c>
      <c r="G13" s="49" t="s">
        <v>2376</v>
      </c>
      <c r="H13" s="49" t="s">
        <v>2376</v>
      </c>
      <c r="I13" s="49" t="s">
        <v>2376</v>
      </c>
      <c r="J13" s="50" t="s">
        <v>1421</v>
      </c>
      <c r="K13" s="50" t="s">
        <v>1421</v>
      </c>
      <c r="L13" s="50" t="s">
        <v>1421</v>
      </c>
      <c r="M13" s="54" t="s">
        <v>2378</v>
      </c>
      <c r="N13" s="54" t="s">
        <v>2379</v>
      </c>
      <c r="O13" s="54" t="s">
        <v>199</v>
      </c>
      <c r="P13" s="50" t="s">
        <v>1421</v>
      </c>
      <c r="Q13" s="50" t="s">
        <v>1421</v>
      </c>
      <c r="R13" s="50" t="s">
        <v>1421</v>
      </c>
      <c r="S13" s="54" t="s">
        <v>2381</v>
      </c>
      <c r="T13" s="54" t="s">
        <v>2379</v>
      </c>
      <c r="U13" s="54" t="s">
        <v>199</v>
      </c>
      <c r="V13" s="56" t="s">
        <v>29</v>
      </c>
      <c r="W13" s="61" t="s">
        <v>29</v>
      </c>
      <c r="X13" s="61" t="s">
        <v>29</v>
      </c>
      <c r="Y13" s="61" t="s">
        <v>29</v>
      </c>
      <c r="Z13" s="61" t="s">
        <v>29</v>
      </c>
      <c r="AA13" s="61" t="s">
        <v>29</v>
      </c>
      <c r="AB13" s="61" t="s">
        <v>29</v>
      </c>
      <c r="AC13" s="61" t="s">
        <v>29</v>
      </c>
      <c r="AD13" s="61" t="s">
        <v>29</v>
      </c>
      <c r="AE13" s="61" t="s">
        <v>29</v>
      </c>
      <c r="AF13" s="61" t="s">
        <v>29</v>
      </c>
      <c r="AG13" s="61" t="s">
        <v>29</v>
      </c>
      <c r="AH13" s="61" t="s">
        <v>29</v>
      </c>
      <c r="AI13" s="50" t="s">
        <v>199</v>
      </c>
      <c r="AJ13" s="50" t="s">
        <v>199</v>
      </c>
      <c r="AK13" s="50" t="s">
        <v>199</v>
      </c>
      <c r="AL13" s="50" t="s">
        <v>199</v>
      </c>
      <c r="AM13" s="50" t="s">
        <v>199</v>
      </c>
      <c r="AN13" s="50" t="s">
        <v>199</v>
      </c>
      <c r="AO13" s="50" t="s">
        <v>199</v>
      </c>
      <c r="AP13" s="50" t="s">
        <v>199</v>
      </c>
      <c r="AQ13" s="50" t="s">
        <v>199</v>
      </c>
      <c r="AR13" s="50" t="s">
        <v>199</v>
      </c>
      <c r="AT13" s="47"/>
      <c r="AU13" s="62"/>
      <c r="AV13" s="62"/>
      <c r="AW13" s="62"/>
      <c r="AX13" s="62"/>
    </row>
    <row r="14" ht="16.5" spans="1:50">
      <c r="A14" s="63" t="s">
        <v>2382</v>
      </c>
      <c r="B14" s="63" t="s">
        <v>1932</v>
      </c>
      <c r="C14" s="63" t="s">
        <v>340</v>
      </c>
      <c r="D14" s="63" t="s">
        <v>2304</v>
      </c>
      <c r="E14" s="63" t="s">
        <v>1470</v>
      </c>
      <c r="F14" s="64" t="s">
        <v>346</v>
      </c>
      <c r="G14" s="63" t="s">
        <v>2294</v>
      </c>
      <c r="H14" s="63" t="s">
        <v>2308</v>
      </c>
      <c r="I14" s="63" t="s">
        <v>1470</v>
      </c>
      <c r="J14" s="63">
        <v>1000</v>
      </c>
      <c r="K14" s="63">
        <v>200</v>
      </c>
      <c r="L14" s="65">
        <v>9800000</v>
      </c>
      <c r="M14" s="65">
        <v>1200000</v>
      </c>
      <c r="N14" s="66">
        <f t="shared" ref="N14:N45" si="0">IFERROR(M14/L14,0)</f>
        <v>0.122448979591837</v>
      </c>
      <c r="O14" s="66">
        <f t="shared" ref="O14:O45" si="1">IFERROR(K14/J14,0)</f>
        <v>0.2</v>
      </c>
      <c r="P14" s="63">
        <v>1200</v>
      </c>
      <c r="Q14" s="63">
        <v>300</v>
      </c>
      <c r="R14" s="65">
        <v>12000000</v>
      </c>
      <c r="S14" s="65">
        <v>1300000</v>
      </c>
      <c r="T14" s="66">
        <f t="shared" ref="T14:T45" si="2">IFERROR(S14/R14,0)</f>
        <v>0.108333333333333</v>
      </c>
      <c r="U14" s="66">
        <f t="shared" ref="U14:U45" si="3">IFERROR(Q14/P14,0)</f>
        <v>0.25</v>
      </c>
      <c r="V14" s="63">
        <v>10</v>
      </c>
      <c r="W14" s="65">
        <v>0</v>
      </c>
      <c r="X14" s="65">
        <v>0</v>
      </c>
      <c r="Y14" s="65">
        <v>500000</v>
      </c>
      <c r="Z14" s="65">
        <v>1000000</v>
      </c>
      <c r="AA14" s="65">
        <v>100000</v>
      </c>
      <c r="AB14" s="65">
        <v>100000</v>
      </c>
      <c r="AC14" s="65">
        <v>0</v>
      </c>
      <c r="AD14" s="65">
        <v>500000</v>
      </c>
      <c r="AE14" s="65">
        <v>1000000</v>
      </c>
      <c r="AF14" s="65">
        <v>1300000</v>
      </c>
      <c r="AG14" s="65">
        <v>1300000</v>
      </c>
      <c r="AH14" s="65">
        <v>0</v>
      </c>
      <c r="AI14" s="67">
        <f t="shared" ref="AI14:AI45" si="4">P14-J14</f>
        <v>200</v>
      </c>
      <c r="AJ14" s="67">
        <f t="shared" ref="AJ14:AJ45" si="5">Q14-K14</f>
        <v>100</v>
      </c>
      <c r="AK14" s="67">
        <f t="shared" ref="AK14:AK45" si="6">R14-L14</f>
        <v>2200000</v>
      </c>
      <c r="AL14" s="67">
        <f t="shared" ref="AL14:AL45" si="7">S14-M14</f>
        <v>100000</v>
      </c>
      <c r="AM14" s="66">
        <f t="shared" ref="AM14:AM45" si="8">T14-N14</f>
        <v>-0.0141156462585034</v>
      </c>
      <c r="AN14" s="66">
        <f t="shared" ref="AN14:AN45" si="9">U14-O14</f>
        <v>0.05</v>
      </c>
      <c r="AO14" s="66">
        <f t="shared" ref="AO14:AO45" si="10">IFERROR(AI14/J14,0)</f>
        <v>0.2</v>
      </c>
      <c r="AP14" s="66">
        <f t="shared" ref="AP14:AP45" si="11">IFERROR(AJ14/K14,0)</f>
        <v>0.5</v>
      </c>
      <c r="AQ14" s="66">
        <f t="shared" ref="AQ14:AQ45" si="12">IFERROR(AK14/L14,0)</f>
        <v>0.224489795918367</v>
      </c>
      <c r="AR14" s="66">
        <f t="shared" ref="AR14:AR45" si="13">IFERROR(AL14/M14,0)</f>
        <v>0.0833333333333333</v>
      </c>
      <c r="AT14" s="47"/>
      <c r="AU14" s="59" t="s">
        <v>2310</v>
      </c>
      <c r="AV14" s="59" t="s">
        <v>2327</v>
      </c>
      <c r="AW14" s="59" t="s">
        <v>2317</v>
      </c>
      <c r="AX14" s="59" t="s">
        <v>237</v>
      </c>
    </row>
    <row r="15" ht="16.5" spans="1:50">
      <c r="A15" s="63"/>
      <c r="B15" s="63"/>
      <c r="C15" s="63" t="s">
        <v>345</v>
      </c>
      <c r="D15" s="63" t="s">
        <v>2304</v>
      </c>
      <c r="E15" s="63" t="s">
        <v>1468</v>
      </c>
      <c r="F15" s="64" t="s">
        <v>2383</v>
      </c>
      <c r="G15" s="63" t="s">
        <v>282</v>
      </c>
      <c r="H15" s="63" t="s">
        <v>2325</v>
      </c>
      <c r="I15" s="63" t="s">
        <v>1470</v>
      </c>
      <c r="J15" s="63">
        <v>1000</v>
      </c>
      <c r="K15" s="63">
        <v>200</v>
      </c>
      <c r="L15" s="65">
        <v>9800000</v>
      </c>
      <c r="M15" s="65">
        <v>0</v>
      </c>
      <c r="N15" s="66">
        <f t="shared" si="0"/>
        <v>0</v>
      </c>
      <c r="O15" s="66">
        <f t="shared" si="1"/>
        <v>0.2</v>
      </c>
      <c r="P15" s="63">
        <v>1200</v>
      </c>
      <c r="Q15" s="63">
        <v>300</v>
      </c>
      <c r="R15" s="65">
        <v>12000000</v>
      </c>
      <c r="S15" s="65">
        <v>1000000</v>
      </c>
      <c r="T15" s="66">
        <f t="shared" si="2"/>
        <v>0.0833333333333333</v>
      </c>
      <c r="U15" s="66">
        <f t="shared" si="3"/>
        <v>0.25</v>
      </c>
      <c r="V15" s="63">
        <v>8</v>
      </c>
      <c r="W15" s="65">
        <v>1000000</v>
      </c>
      <c r="X15" s="65">
        <v>1000000</v>
      </c>
      <c r="Y15" s="65">
        <v>1000000</v>
      </c>
      <c r="Z15" s="65">
        <v>0</v>
      </c>
      <c r="AA15" s="65">
        <v>0</v>
      </c>
      <c r="AB15" s="65">
        <v>0</v>
      </c>
      <c r="AC15" s="65">
        <v>500000</v>
      </c>
      <c r="AD15" s="65">
        <v>1000000</v>
      </c>
      <c r="AE15" s="65">
        <v>1000000</v>
      </c>
      <c r="AF15" s="65">
        <v>1000000</v>
      </c>
      <c r="AG15" s="65">
        <v>1000000</v>
      </c>
      <c r="AH15" s="65">
        <v>1000000</v>
      </c>
      <c r="AI15" s="67">
        <f t="shared" si="4"/>
        <v>200</v>
      </c>
      <c r="AJ15" s="67">
        <f t="shared" si="5"/>
        <v>100</v>
      </c>
      <c r="AK15" s="67">
        <f t="shared" si="6"/>
        <v>2200000</v>
      </c>
      <c r="AL15" s="67">
        <f t="shared" si="7"/>
        <v>1000000</v>
      </c>
      <c r="AM15" s="66">
        <f t="shared" si="8"/>
        <v>0.0833333333333333</v>
      </c>
      <c r="AN15" s="66">
        <f t="shared" si="9"/>
        <v>0.05</v>
      </c>
      <c r="AO15" s="66">
        <f t="shared" si="10"/>
        <v>0.2</v>
      </c>
      <c r="AP15" s="66">
        <f t="shared" si="11"/>
        <v>0.5</v>
      </c>
      <c r="AQ15" s="66">
        <f t="shared" si="12"/>
        <v>0.224489795918367</v>
      </c>
      <c r="AR15" s="66">
        <f t="shared" si="13"/>
        <v>0</v>
      </c>
      <c r="AT15" s="47"/>
      <c r="AU15" s="62" t="s">
        <v>2311</v>
      </c>
      <c r="AV15" s="59" t="s">
        <v>630</v>
      </c>
      <c r="AW15" s="59" t="s">
        <v>2318</v>
      </c>
      <c r="AX15" s="59" t="s">
        <v>238</v>
      </c>
    </row>
    <row r="16" ht="16.5" spans="1:50">
      <c r="A16" s="63"/>
      <c r="B16" s="63"/>
      <c r="C16" s="63" t="s">
        <v>345</v>
      </c>
      <c r="D16" s="63" t="s">
        <v>2304</v>
      </c>
      <c r="E16" s="63" t="s">
        <v>1468</v>
      </c>
      <c r="F16" s="64" t="s">
        <v>2384</v>
      </c>
      <c r="G16" s="63" t="s">
        <v>2295</v>
      </c>
      <c r="H16" s="63" t="s">
        <v>2315</v>
      </c>
      <c r="I16" s="63" t="s">
        <v>1468</v>
      </c>
      <c r="J16" s="63">
        <v>1000</v>
      </c>
      <c r="K16" s="63">
        <v>100</v>
      </c>
      <c r="L16" s="65">
        <v>5000000</v>
      </c>
      <c r="M16" s="65">
        <v>500000</v>
      </c>
      <c r="N16" s="66">
        <f t="shared" si="0"/>
        <v>0.1</v>
      </c>
      <c r="O16" s="66">
        <f t="shared" si="1"/>
        <v>0.1</v>
      </c>
      <c r="P16" s="63">
        <v>1500</v>
      </c>
      <c r="Q16" s="63">
        <v>200</v>
      </c>
      <c r="R16" s="65">
        <v>7500000</v>
      </c>
      <c r="S16" s="65">
        <v>300000</v>
      </c>
      <c r="T16" s="66">
        <f t="shared" si="2"/>
        <v>0.04</v>
      </c>
      <c r="U16" s="66">
        <f t="shared" si="3"/>
        <v>0.133333333333333</v>
      </c>
      <c r="V16" s="63">
        <v>2</v>
      </c>
      <c r="W16" s="65">
        <v>100000</v>
      </c>
      <c r="X16" s="65">
        <v>200000</v>
      </c>
      <c r="Y16" s="65">
        <v>300000</v>
      </c>
      <c r="Z16" s="65">
        <v>300000</v>
      </c>
      <c r="AA16" s="65">
        <v>300000</v>
      </c>
      <c r="AB16" s="65">
        <v>300000</v>
      </c>
      <c r="AC16" s="65">
        <v>300000</v>
      </c>
      <c r="AD16" s="65">
        <v>300000</v>
      </c>
      <c r="AE16" s="65">
        <v>300000</v>
      </c>
      <c r="AF16" s="65">
        <v>300000</v>
      </c>
      <c r="AG16" s="65">
        <v>300000</v>
      </c>
      <c r="AH16" s="65">
        <v>200000</v>
      </c>
      <c r="AI16" s="67">
        <f t="shared" si="4"/>
        <v>500</v>
      </c>
      <c r="AJ16" s="67">
        <f t="shared" si="5"/>
        <v>100</v>
      </c>
      <c r="AK16" s="67">
        <f t="shared" si="6"/>
        <v>2500000</v>
      </c>
      <c r="AL16" s="67">
        <f t="shared" si="7"/>
        <v>-200000</v>
      </c>
      <c r="AM16" s="66">
        <f t="shared" si="8"/>
        <v>-0.06</v>
      </c>
      <c r="AN16" s="66">
        <f t="shared" si="9"/>
        <v>0.0333333333333333</v>
      </c>
      <c r="AO16" s="66">
        <f t="shared" si="10"/>
        <v>0.5</v>
      </c>
      <c r="AP16" s="66">
        <f t="shared" si="11"/>
        <v>1</v>
      </c>
      <c r="AQ16" s="66">
        <f t="shared" si="12"/>
        <v>0.5</v>
      </c>
      <c r="AR16" s="66">
        <f t="shared" si="13"/>
        <v>-0.4</v>
      </c>
      <c r="AT16" s="47"/>
      <c r="AU16" s="59" t="s">
        <v>234</v>
      </c>
      <c r="AV16" s="59" t="s">
        <v>2328</v>
      </c>
      <c r="AW16" s="59" t="s">
        <v>2319</v>
      </c>
      <c r="AX16" s="59"/>
    </row>
    <row r="17" ht="16.5" spans="1:50">
      <c r="A17" s="63"/>
      <c r="B17" s="63"/>
      <c r="C17" s="63" t="s">
        <v>340</v>
      </c>
      <c r="D17" s="63" t="s">
        <v>2304</v>
      </c>
      <c r="E17" s="63" t="s">
        <v>1470</v>
      </c>
      <c r="F17" s="64" t="s">
        <v>346</v>
      </c>
      <c r="G17" s="63" t="s">
        <v>2296</v>
      </c>
      <c r="H17" s="63" t="s">
        <v>235</v>
      </c>
      <c r="I17" s="63" t="s">
        <v>1470</v>
      </c>
      <c r="J17" s="63"/>
      <c r="K17" s="63"/>
      <c r="L17" s="65"/>
      <c r="M17" s="65"/>
      <c r="N17" s="66">
        <f t="shared" si="0"/>
        <v>0</v>
      </c>
      <c r="O17" s="66">
        <f t="shared" si="1"/>
        <v>0</v>
      </c>
      <c r="P17" s="63"/>
      <c r="Q17" s="63"/>
      <c r="R17" s="65"/>
      <c r="S17" s="65"/>
      <c r="T17" s="66">
        <f t="shared" si="2"/>
        <v>0</v>
      </c>
      <c r="U17" s="66">
        <f t="shared" si="3"/>
        <v>0</v>
      </c>
      <c r="V17" s="63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7">
        <f t="shared" si="4"/>
        <v>0</v>
      </c>
      <c r="AJ17" s="67">
        <f t="shared" si="5"/>
        <v>0</v>
      </c>
      <c r="AK17" s="67">
        <f t="shared" si="6"/>
        <v>0</v>
      </c>
      <c r="AL17" s="67">
        <f t="shared" si="7"/>
        <v>0</v>
      </c>
      <c r="AM17" s="66">
        <f t="shared" si="8"/>
        <v>0</v>
      </c>
      <c r="AN17" s="66">
        <f t="shared" si="9"/>
        <v>0</v>
      </c>
      <c r="AO17" s="66">
        <f t="shared" si="10"/>
        <v>0</v>
      </c>
      <c r="AP17" s="66">
        <f t="shared" si="11"/>
        <v>0</v>
      </c>
      <c r="AQ17" s="66">
        <f t="shared" si="12"/>
        <v>0</v>
      </c>
      <c r="AR17" s="66">
        <f t="shared" si="13"/>
        <v>0</v>
      </c>
      <c r="AT17" s="47"/>
      <c r="AU17" s="62" t="s">
        <v>2312</v>
      </c>
      <c r="AV17" s="59" t="s">
        <v>2329</v>
      </c>
      <c r="AW17" s="59" t="s">
        <v>2320</v>
      </c>
      <c r="AX17" s="59"/>
    </row>
    <row r="18" ht="16.5" spans="1:50">
      <c r="A18" s="63"/>
      <c r="B18" s="63"/>
      <c r="C18" s="63" t="s">
        <v>340</v>
      </c>
      <c r="D18" s="63"/>
      <c r="E18" s="63" t="s">
        <v>1470</v>
      </c>
      <c r="F18" s="64" t="s">
        <v>346</v>
      </c>
      <c r="G18" s="63" t="s">
        <v>2295</v>
      </c>
      <c r="H18" s="63" t="s">
        <v>2315</v>
      </c>
      <c r="I18" s="63" t="s">
        <v>1470</v>
      </c>
      <c r="J18" s="63"/>
      <c r="K18" s="63"/>
      <c r="L18" s="65"/>
      <c r="M18" s="65"/>
      <c r="N18" s="66">
        <f t="shared" si="0"/>
        <v>0</v>
      </c>
      <c r="O18" s="66">
        <f t="shared" si="1"/>
        <v>0</v>
      </c>
      <c r="P18" s="63"/>
      <c r="Q18" s="63"/>
      <c r="R18" s="65"/>
      <c r="S18" s="65"/>
      <c r="T18" s="66">
        <f t="shared" si="2"/>
        <v>0</v>
      </c>
      <c r="U18" s="66">
        <f t="shared" si="3"/>
        <v>0</v>
      </c>
      <c r="V18" s="63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7">
        <f t="shared" si="4"/>
        <v>0</v>
      </c>
      <c r="AJ18" s="67">
        <f t="shared" si="5"/>
        <v>0</v>
      </c>
      <c r="AK18" s="67">
        <f t="shared" si="6"/>
        <v>0</v>
      </c>
      <c r="AL18" s="67">
        <f t="shared" si="7"/>
        <v>0</v>
      </c>
      <c r="AM18" s="66">
        <f t="shared" si="8"/>
        <v>0</v>
      </c>
      <c r="AN18" s="66">
        <f t="shared" si="9"/>
        <v>0</v>
      </c>
      <c r="AO18" s="66">
        <f t="shared" si="10"/>
        <v>0</v>
      </c>
      <c r="AP18" s="66">
        <f t="shared" si="11"/>
        <v>0</v>
      </c>
      <c r="AQ18" s="66">
        <f t="shared" si="12"/>
        <v>0</v>
      </c>
      <c r="AR18" s="66">
        <f t="shared" si="13"/>
        <v>0</v>
      </c>
      <c r="AT18" s="47"/>
      <c r="AU18" s="59" t="s">
        <v>2313</v>
      </c>
      <c r="AV18" s="59" t="s">
        <v>2330</v>
      </c>
      <c r="AW18" s="59" t="s">
        <v>2321</v>
      </c>
      <c r="AX18" s="59"/>
    </row>
    <row r="19" ht="16.5" spans="1:50">
      <c r="A19" s="63"/>
      <c r="B19" s="63"/>
      <c r="C19" s="63" t="s">
        <v>340</v>
      </c>
      <c r="D19" s="63"/>
      <c r="E19" s="63" t="s">
        <v>1470</v>
      </c>
      <c r="F19" s="64" t="s">
        <v>346</v>
      </c>
      <c r="G19" s="63" t="s">
        <v>2295</v>
      </c>
      <c r="H19" s="63" t="s">
        <v>2315</v>
      </c>
      <c r="I19" s="63" t="s">
        <v>1470</v>
      </c>
      <c r="J19" s="63"/>
      <c r="K19" s="63"/>
      <c r="L19" s="65"/>
      <c r="M19" s="65"/>
      <c r="N19" s="66">
        <f t="shared" si="0"/>
        <v>0</v>
      </c>
      <c r="O19" s="66">
        <f t="shared" si="1"/>
        <v>0</v>
      </c>
      <c r="P19" s="63"/>
      <c r="Q19" s="63"/>
      <c r="R19" s="65"/>
      <c r="S19" s="65"/>
      <c r="T19" s="66">
        <f t="shared" si="2"/>
        <v>0</v>
      </c>
      <c r="U19" s="66">
        <f t="shared" si="3"/>
        <v>0</v>
      </c>
      <c r="V19" s="63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7">
        <f t="shared" si="4"/>
        <v>0</v>
      </c>
      <c r="AJ19" s="67">
        <f t="shared" si="5"/>
        <v>0</v>
      </c>
      <c r="AK19" s="67">
        <f t="shared" si="6"/>
        <v>0</v>
      </c>
      <c r="AL19" s="67">
        <f t="shared" si="7"/>
        <v>0</v>
      </c>
      <c r="AM19" s="66">
        <f t="shared" si="8"/>
        <v>0</v>
      </c>
      <c r="AN19" s="66">
        <f t="shared" si="9"/>
        <v>0</v>
      </c>
      <c r="AO19" s="66">
        <f t="shared" si="10"/>
        <v>0</v>
      </c>
      <c r="AP19" s="66">
        <f t="shared" si="11"/>
        <v>0</v>
      </c>
      <c r="AQ19" s="66">
        <f t="shared" si="12"/>
        <v>0</v>
      </c>
      <c r="AR19" s="66">
        <f t="shared" si="13"/>
        <v>0</v>
      </c>
      <c r="AT19" s="47"/>
      <c r="AU19" s="59" t="s">
        <v>2203</v>
      </c>
      <c r="AV19" s="59" t="s">
        <v>2331</v>
      </c>
      <c r="AW19" s="59" t="s">
        <v>2322</v>
      </c>
      <c r="AX19" s="59"/>
    </row>
    <row r="20" ht="16.5" spans="1:50">
      <c r="A20" s="63"/>
      <c r="B20" s="63"/>
      <c r="C20" s="63" t="s">
        <v>340</v>
      </c>
      <c r="D20" s="63"/>
      <c r="E20" s="63" t="s">
        <v>1470</v>
      </c>
      <c r="F20" s="64" t="s">
        <v>346</v>
      </c>
      <c r="G20" s="63" t="s">
        <v>2295</v>
      </c>
      <c r="H20" s="63" t="s">
        <v>2315</v>
      </c>
      <c r="I20" s="63" t="s">
        <v>1470</v>
      </c>
      <c r="J20" s="63"/>
      <c r="K20" s="63"/>
      <c r="L20" s="65"/>
      <c r="M20" s="65"/>
      <c r="N20" s="66">
        <f t="shared" si="0"/>
        <v>0</v>
      </c>
      <c r="O20" s="66">
        <f t="shared" si="1"/>
        <v>0</v>
      </c>
      <c r="P20" s="63"/>
      <c r="Q20" s="63"/>
      <c r="R20" s="65"/>
      <c r="S20" s="65"/>
      <c r="T20" s="66">
        <f t="shared" si="2"/>
        <v>0</v>
      </c>
      <c r="U20" s="66">
        <f t="shared" si="3"/>
        <v>0</v>
      </c>
      <c r="V20" s="63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7">
        <f t="shared" si="4"/>
        <v>0</v>
      </c>
      <c r="AJ20" s="67">
        <f t="shared" si="5"/>
        <v>0</v>
      </c>
      <c r="AK20" s="67">
        <f t="shared" si="6"/>
        <v>0</v>
      </c>
      <c r="AL20" s="67">
        <f t="shared" si="7"/>
        <v>0</v>
      </c>
      <c r="AM20" s="66">
        <f t="shared" si="8"/>
        <v>0</v>
      </c>
      <c r="AN20" s="66">
        <f t="shared" si="9"/>
        <v>0</v>
      </c>
      <c r="AO20" s="66">
        <f t="shared" si="10"/>
        <v>0</v>
      </c>
      <c r="AP20" s="66">
        <f t="shared" si="11"/>
        <v>0</v>
      </c>
      <c r="AQ20" s="66">
        <f t="shared" si="12"/>
        <v>0</v>
      </c>
      <c r="AR20" s="66">
        <f t="shared" si="13"/>
        <v>0</v>
      </c>
      <c r="AT20" s="47"/>
      <c r="AU20" s="59" t="s">
        <v>2314</v>
      </c>
      <c r="AV20" s="59" t="s">
        <v>2332</v>
      </c>
      <c r="AW20" s="59" t="s">
        <v>2323</v>
      </c>
      <c r="AX20" s="59"/>
    </row>
    <row r="21" ht="16.5" spans="1:50">
      <c r="A21" s="63"/>
      <c r="B21" s="63"/>
      <c r="C21" s="63" t="s">
        <v>340</v>
      </c>
      <c r="D21" s="63"/>
      <c r="E21" s="63" t="s">
        <v>1470</v>
      </c>
      <c r="F21" s="64" t="s">
        <v>346</v>
      </c>
      <c r="G21" s="63" t="s">
        <v>2295</v>
      </c>
      <c r="H21" s="63" t="s">
        <v>2315</v>
      </c>
      <c r="I21" s="63" t="s">
        <v>1470</v>
      </c>
      <c r="J21" s="63"/>
      <c r="K21" s="63"/>
      <c r="L21" s="65"/>
      <c r="M21" s="65"/>
      <c r="N21" s="66">
        <f t="shared" si="0"/>
        <v>0</v>
      </c>
      <c r="O21" s="66">
        <f t="shared" si="1"/>
        <v>0</v>
      </c>
      <c r="P21" s="63"/>
      <c r="Q21" s="63"/>
      <c r="R21" s="65"/>
      <c r="S21" s="65"/>
      <c r="T21" s="66">
        <f t="shared" si="2"/>
        <v>0</v>
      </c>
      <c r="U21" s="66">
        <f t="shared" si="3"/>
        <v>0</v>
      </c>
      <c r="V21" s="63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7">
        <f t="shared" si="4"/>
        <v>0</v>
      </c>
      <c r="AJ21" s="67">
        <f t="shared" si="5"/>
        <v>0</v>
      </c>
      <c r="AK21" s="67">
        <f t="shared" si="6"/>
        <v>0</v>
      </c>
      <c r="AL21" s="67">
        <f t="shared" si="7"/>
        <v>0</v>
      </c>
      <c r="AM21" s="66">
        <f t="shared" si="8"/>
        <v>0</v>
      </c>
      <c r="AN21" s="66">
        <f t="shared" si="9"/>
        <v>0</v>
      </c>
      <c r="AO21" s="66">
        <f t="shared" si="10"/>
        <v>0</v>
      </c>
      <c r="AP21" s="66">
        <f t="shared" si="11"/>
        <v>0</v>
      </c>
      <c r="AQ21" s="66">
        <f t="shared" si="12"/>
        <v>0</v>
      </c>
      <c r="AR21" s="66">
        <f t="shared" si="13"/>
        <v>0</v>
      </c>
      <c r="AT21" s="47"/>
      <c r="AU21" s="59"/>
      <c r="AV21" s="59" t="s">
        <v>2333</v>
      </c>
      <c r="AW21" s="59" t="s">
        <v>2324</v>
      </c>
      <c r="AX21" s="59"/>
    </row>
    <row r="22" ht="16.5" spans="1:50">
      <c r="A22" s="63"/>
      <c r="B22" s="63"/>
      <c r="C22" s="63" t="s">
        <v>340</v>
      </c>
      <c r="D22" s="63"/>
      <c r="E22" s="63" t="s">
        <v>1470</v>
      </c>
      <c r="F22" s="64" t="s">
        <v>346</v>
      </c>
      <c r="G22" s="63" t="s">
        <v>2295</v>
      </c>
      <c r="H22" s="63" t="s">
        <v>2315</v>
      </c>
      <c r="I22" s="63" t="s">
        <v>1470</v>
      </c>
      <c r="J22" s="63"/>
      <c r="K22" s="63"/>
      <c r="L22" s="65"/>
      <c r="M22" s="65"/>
      <c r="N22" s="66">
        <f t="shared" si="0"/>
        <v>0</v>
      </c>
      <c r="O22" s="66">
        <f t="shared" si="1"/>
        <v>0</v>
      </c>
      <c r="P22" s="63"/>
      <c r="Q22" s="63"/>
      <c r="R22" s="65"/>
      <c r="S22" s="65"/>
      <c r="T22" s="66">
        <f t="shared" si="2"/>
        <v>0</v>
      </c>
      <c r="U22" s="66">
        <f t="shared" si="3"/>
        <v>0</v>
      </c>
      <c r="V22" s="63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7">
        <f t="shared" si="4"/>
        <v>0</v>
      </c>
      <c r="AJ22" s="67">
        <f t="shared" si="5"/>
        <v>0</v>
      </c>
      <c r="AK22" s="67">
        <f t="shared" si="6"/>
        <v>0</v>
      </c>
      <c r="AL22" s="67">
        <f t="shared" si="7"/>
        <v>0</v>
      </c>
      <c r="AM22" s="66">
        <f t="shared" si="8"/>
        <v>0</v>
      </c>
      <c r="AN22" s="66">
        <f t="shared" si="9"/>
        <v>0</v>
      </c>
      <c r="AO22" s="66">
        <f t="shared" si="10"/>
        <v>0</v>
      </c>
      <c r="AP22" s="66">
        <f t="shared" si="11"/>
        <v>0</v>
      </c>
      <c r="AQ22" s="66">
        <f t="shared" si="12"/>
        <v>0</v>
      </c>
      <c r="AR22" s="66">
        <f t="shared" si="13"/>
        <v>0</v>
      </c>
      <c r="AT22" s="47"/>
      <c r="AU22" s="59"/>
      <c r="AV22" s="59" t="s">
        <v>2334</v>
      </c>
      <c r="AW22" s="59"/>
      <c r="AX22" s="59"/>
    </row>
    <row r="23" ht="16.5" spans="1:50">
      <c r="A23" s="63"/>
      <c r="B23" s="63"/>
      <c r="C23" s="63" t="s">
        <v>340</v>
      </c>
      <c r="D23" s="63"/>
      <c r="E23" s="63" t="s">
        <v>1470</v>
      </c>
      <c r="F23" s="64" t="s">
        <v>346</v>
      </c>
      <c r="G23" s="63" t="s">
        <v>2295</v>
      </c>
      <c r="H23" s="63" t="s">
        <v>2315</v>
      </c>
      <c r="I23" s="63" t="s">
        <v>1470</v>
      </c>
      <c r="J23" s="63"/>
      <c r="K23" s="63"/>
      <c r="L23" s="65"/>
      <c r="M23" s="65"/>
      <c r="N23" s="66">
        <f t="shared" si="0"/>
        <v>0</v>
      </c>
      <c r="O23" s="66">
        <f t="shared" si="1"/>
        <v>0</v>
      </c>
      <c r="P23" s="63"/>
      <c r="Q23" s="63"/>
      <c r="R23" s="65"/>
      <c r="S23" s="65"/>
      <c r="T23" s="66">
        <f t="shared" si="2"/>
        <v>0</v>
      </c>
      <c r="U23" s="66">
        <f t="shared" si="3"/>
        <v>0</v>
      </c>
      <c r="V23" s="63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7">
        <f t="shared" si="4"/>
        <v>0</v>
      </c>
      <c r="AJ23" s="67">
        <f t="shared" si="5"/>
        <v>0</v>
      </c>
      <c r="AK23" s="67">
        <f t="shared" si="6"/>
        <v>0</v>
      </c>
      <c r="AL23" s="67">
        <f t="shared" si="7"/>
        <v>0</v>
      </c>
      <c r="AM23" s="66">
        <f t="shared" si="8"/>
        <v>0</v>
      </c>
      <c r="AN23" s="66">
        <f t="shared" si="9"/>
        <v>0</v>
      </c>
      <c r="AO23" s="66">
        <f t="shared" si="10"/>
        <v>0</v>
      </c>
      <c r="AP23" s="66">
        <f t="shared" si="11"/>
        <v>0</v>
      </c>
      <c r="AQ23" s="66">
        <f t="shared" si="12"/>
        <v>0</v>
      </c>
      <c r="AR23" s="66">
        <f t="shared" si="13"/>
        <v>0</v>
      </c>
      <c r="AT23" s="47"/>
      <c r="AU23" s="59"/>
      <c r="AV23" s="59" t="s">
        <v>2335</v>
      </c>
      <c r="AW23" s="59"/>
      <c r="AX23" s="59"/>
    </row>
    <row r="24" ht="16.5" spans="1:50">
      <c r="A24" s="63"/>
      <c r="B24" s="63"/>
      <c r="C24" s="63" t="s">
        <v>340</v>
      </c>
      <c r="D24" s="63"/>
      <c r="E24" s="63" t="s">
        <v>1470</v>
      </c>
      <c r="F24" s="64" t="s">
        <v>346</v>
      </c>
      <c r="G24" s="63" t="s">
        <v>2295</v>
      </c>
      <c r="H24" s="63" t="s">
        <v>2315</v>
      </c>
      <c r="I24" s="63" t="s">
        <v>1470</v>
      </c>
      <c r="J24" s="63"/>
      <c r="K24" s="63"/>
      <c r="L24" s="65"/>
      <c r="M24" s="65"/>
      <c r="N24" s="66">
        <f t="shared" si="0"/>
        <v>0</v>
      </c>
      <c r="O24" s="66">
        <f t="shared" si="1"/>
        <v>0</v>
      </c>
      <c r="P24" s="63"/>
      <c r="Q24" s="63"/>
      <c r="R24" s="65"/>
      <c r="S24" s="65"/>
      <c r="T24" s="66">
        <f t="shared" si="2"/>
        <v>0</v>
      </c>
      <c r="U24" s="66">
        <f t="shared" si="3"/>
        <v>0</v>
      </c>
      <c r="V24" s="63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7">
        <f t="shared" si="4"/>
        <v>0</v>
      </c>
      <c r="AJ24" s="67">
        <f t="shared" si="5"/>
        <v>0</v>
      </c>
      <c r="AK24" s="67">
        <f t="shared" si="6"/>
        <v>0</v>
      </c>
      <c r="AL24" s="67">
        <f t="shared" si="7"/>
        <v>0</v>
      </c>
      <c r="AM24" s="66">
        <f t="shared" si="8"/>
        <v>0</v>
      </c>
      <c r="AN24" s="66">
        <f t="shared" si="9"/>
        <v>0</v>
      </c>
      <c r="AO24" s="66">
        <f t="shared" si="10"/>
        <v>0</v>
      </c>
      <c r="AP24" s="66">
        <f t="shared" si="11"/>
        <v>0</v>
      </c>
      <c r="AQ24" s="66">
        <f t="shared" si="12"/>
        <v>0</v>
      </c>
      <c r="AR24" s="66">
        <f t="shared" si="13"/>
        <v>0</v>
      </c>
      <c r="AT24" s="47"/>
      <c r="AU24" s="59"/>
      <c r="AV24" s="59" t="s">
        <v>2336</v>
      </c>
      <c r="AW24" s="59"/>
      <c r="AX24" s="59"/>
    </row>
    <row r="25" ht="16.5" spans="1:50">
      <c r="A25" s="63"/>
      <c r="B25" s="63"/>
      <c r="C25" s="63" t="s">
        <v>340</v>
      </c>
      <c r="D25" s="63"/>
      <c r="E25" s="63" t="s">
        <v>1470</v>
      </c>
      <c r="F25" s="64" t="s">
        <v>346</v>
      </c>
      <c r="G25" s="63" t="s">
        <v>2295</v>
      </c>
      <c r="H25" s="63" t="s">
        <v>2315</v>
      </c>
      <c r="I25" s="63" t="s">
        <v>1470</v>
      </c>
      <c r="J25" s="63"/>
      <c r="K25" s="63"/>
      <c r="L25" s="65"/>
      <c r="M25" s="65"/>
      <c r="N25" s="66">
        <f t="shared" si="0"/>
        <v>0</v>
      </c>
      <c r="O25" s="66">
        <f t="shared" si="1"/>
        <v>0</v>
      </c>
      <c r="P25" s="63"/>
      <c r="Q25" s="63"/>
      <c r="R25" s="65"/>
      <c r="S25" s="65"/>
      <c r="T25" s="66">
        <f t="shared" si="2"/>
        <v>0</v>
      </c>
      <c r="U25" s="66">
        <f t="shared" si="3"/>
        <v>0</v>
      </c>
      <c r="V25" s="63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7">
        <f t="shared" si="4"/>
        <v>0</v>
      </c>
      <c r="AJ25" s="67">
        <f t="shared" si="5"/>
        <v>0</v>
      </c>
      <c r="AK25" s="67">
        <f t="shared" si="6"/>
        <v>0</v>
      </c>
      <c r="AL25" s="67">
        <f t="shared" si="7"/>
        <v>0</v>
      </c>
      <c r="AM25" s="66">
        <f t="shared" si="8"/>
        <v>0</v>
      </c>
      <c r="AN25" s="66">
        <f t="shared" si="9"/>
        <v>0</v>
      </c>
      <c r="AO25" s="66">
        <f t="shared" si="10"/>
        <v>0</v>
      </c>
      <c r="AP25" s="66">
        <f t="shared" si="11"/>
        <v>0</v>
      </c>
      <c r="AQ25" s="66">
        <f t="shared" si="12"/>
        <v>0</v>
      </c>
      <c r="AR25" s="66">
        <f t="shared" si="13"/>
        <v>0</v>
      </c>
      <c r="AT25" s="47"/>
      <c r="AU25" s="59"/>
      <c r="AV25" s="59" t="s">
        <v>2337</v>
      </c>
      <c r="AW25" s="59"/>
      <c r="AX25" s="59"/>
    </row>
    <row r="26" ht="16.5" spans="1:50">
      <c r="A26" s="63"/>
      <c r="B26" s="63"/>
      <c r="C26" s="63" t="s">
        <v>340</v>
      </c>
      <c r="D26" s="63"/>
      <c r="E26" s="63" t="s">
        <v>1470</v>
      </c>
      <c r="F26" s="64" t="s">
        <v>346</v>
      </c>
      <c r="G26" s="63" t="s">
        <v>2295</v>
      </c>
      <c r="H26" s="63" t="s">
        <v>2315</v>
      </c>
      <c r="I26" s="63" t="s">
        <v>1470</v>
      </c>
      <c r="J26" s="63"/>
      <c r="K26" s="63"/>
      <c r="L26" s="65"/>
      <c r="M26" s="65"/>
      <c r="N26" s="66">
        <f t="shared" si="0"/>
        <v>0</v>
      </c>
      <c r="O26" s="66">
        <f t="shared" si="1"/>
        <v>0</v>
      </c>
      <c r="P26" s="63"/>
      <c r="Q26" s="63"/>
      <c r="R26" s="65"/>
      <c r="S26" s="65"/>
      <c r="T26" s="66">
        <f t="shared" si="2"/>
        <v>0</v>
      </c>
      <c r="U26" s="66">
        <f t="shared" si="3"/>
        <v>0</v>
      </c>
      <c r="V26" s="63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7">
        <f t="shared" si="4"/>
        <v>0</v>
      </c>
      <c r="AJ26" s="67">
        <f t="shared" si="5"/>
        <v>0</v>
      </c>
      <c r="AK26" s="67">
        <f t="shared" si="6"/>
        <v>0</v>
      </c>
      <c r="AL26" s="67">
        <f t="shared" si="7"/>
        <v>0</v>
      </c>
      <c r="AM26" s="66">
        <f t="shared" si="8"/>
        <v>0</v>
      </c>
      <c r="AN26" s="66">
        <f t="shared" si="9"/>
        <v>0</v>
      </c>
      <c r="AO26" s="66">
        <f t="shared" si="10"/>
        <v>0</v>
      </c>
      <c r="AP26" s="66">
        <f t="shared" si="11"/>
        <v>0</v>
      </c>
      <c r="AQ26" s="66">
        <f t="shared" si="12"/>
        <v>0</v>
      </c>
      <c r="AR26" s="66">
        <f t="shared" si="13"/>
        <v>0</v>
      </c>
    </row>
    <row r="27" ht="16.5" spans="1:50">
      <c r="A27" s="63"/>
      <c r="B27" s="63"/>
      <c r="C27" s="63" t="s">
        <v>340</v>
      </c>
      <c r="D27" s="63"/>
      <c r="E27" s="63" t="s">
        <v>1470</v>
      </c>
      <c r="F27" s="64" t="s">
        <v>346</v>
      </c>
      <c r="G27" s="63" t="s">
        <v>2295</v>
      </c>
      <c r="H27" s="63" t="s">
        <v>2315</v>
      </c>
      <c r="I27" s="63" t="s">
        <v>1470</v>
      </c>
      <c r="J27" s="63"/>
      <c r="K27" s="63"/>
      <c r="L27" s="65"/>
      <c r="M27" s="65"/>
      <c r="N27" s="66">
        <f t="shared" si="0"/>
        <v>0</v>
      </c>
      <c r="O27" s="66">
        <f t="shared" si="1"/>
        <v>0</v>
      </c>
      <c r="P27" s="63"/>
      <c r="Q27" s="63"/>
      <c r="R27" s="65"/>
      <c r="S27" s="65"/>
      <c r="T27" s="66">
        <f t="shared" si="2"/>
        <v>0</v>
      </c>
      <c r="U27" s="66">
        <f t="shared" si="3"/>
        <v>0</v>
      </c>
      <c r="V27" s="63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7">
        <f t="shared" si="4"/>
        <v>0</v>
      </c>
      <c r="AJ27" s="67">
        <f t="shared" si="5"/>
        <v>0</v>
      </c>
      <c r="AK27" s="67">
        <f t="shared" si="6"/>
        <v>0</v>
      </c>
      <c r="AL27" s="67">
        <f t="shared" si="7"/>
        <v>0</v>
      </c>
      <c r="AM27" s="66">
        <f t="shared" si="8"/>
        <v>0</v>
      </c>
      <c r="AN27" s="66">
        <f t="shared" si="9"/>
        <v>0</v>
      </c>
      <c r="AO27" s="66">
        <f t="shared" si="10"/>
        <v>0</v>
      </c>
      <c r="AP27" s="66">
        <f t="shared" si="11"/>
        <v>0</v>
      </c>
      <c r="AQ27" s="66">
        <f t="shared" si="12"/>
        <v>0</v>
      </c>
      <c r="AR27" s="66">
        <f t="shared" si="13"/>
        <v>0</v>
      </c>
    </row>
    <row r="28" ht="16.5" spans="1:50">
      <c r="A28" s="63"/>
      <c r="B28" s="63"/>
      <c r="C28" s="63" t="s">
        <v>340</v>
      </c>
      <c r="D28" s="63"/>
      <c r="E28" s="63" t="s">
        <v>1470</v>
      </c>
      <c r="F28" s="64" t="s">
        <v>346</v>
      </c>
      <c r="G28" s="63" t="s">
        <v>2295</v>
      </c>
      <c r="H28" s="63" t="s">
        <v>2315</v>
      </c>
      <c r="I28" s="63" t="s">
        <v>1470</v>
      </c>
      <c r="J28" s="63"/>
      <c r="K28" s="63"/>
      <c r="L28" s="65"/>
      <c r="M28" s="65"/>
      <c r="N28" s="66">
        <f t="shared" si="0"/>
        <v>0</v>
      </c>
      <c r="O28" s="66">
        <f t="shared" si="1"/>
        <v>0</v>
      </c>
      <c r="P28" s="63"/>
      <c r="Q28" s="63"/>
      <c r="R28" s="65"/>
      <c r="S28" s="65"/>
      <c r="T28" s="66">
        <f t="shared" si="2"/>
        <v>0</v>
      </c>
      <c r="U28" s="66">
        <f t="shared" si="3"/>
        <v>0</v>
      </c>
      <c r="V28" s="63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7">
        <f t="shared" si="4"/>
        <v>0</v>
      </c>
      <c r="AJ28" s="67">
        <f t="shared" si="5"/>
        <v>0</v>
      </c>
      <c r="AK28" s="67">
        <f t="shared" si="6"/>
        <v>0</v>
      </c>
      <c r="AL28" s="67">
        <f t="shared" si="7"/>
        <v>0</v>
      </c>
      <c r="AM28" s="66">
        <f t="shared" si="8"/>
        <v>0</v>
      </c>
      <c r="AN28" s="66">
        <f t="shared" si="9"/>
        <v>0</v>
      </c>
      <c r="AO28" s="66">
        <f t="shared" si="10"/>
        <v>0</v>
      </c>
      <c r="AP28" s="66">
        <f t="shared" si="11"/>
        <v>0</v>
      </c>
      <c r="AQ28" s="66">
        <f t="shared" si="12"/>
        <v>0</v>
      </c>
      <c r="AR28" s="66">
        <f t="shared" si="13"/>
        <v>0</v>
      </c>
    </row>
    <row r="29" ht="16.5" spans="1:50">
      <c r="A29" s="63"/>
      <c r="B29" s="63"/>
      <c r="C29" s="63" t="s">
        <v>340</v>
      </c>
      <c r="D29" s="63"/>
      <c r="E29" s="63" t="s">
        <v>1470</v>
      </c>
      <c r="F29" s="64" t="s">
        <v>346</v>
      </c>
      <c r="G29" s="63" t="s">
        <v>2295</v>
      </c>
      <c r="H29" s="63" t="s">
        <v>2315</v>
      </c>
      <c r="I29" s="63" t="s">
        <v>1470</v>
      </c>
      <c r="J29" s="63"/>
      <c r="K29" s="63"/>
      <c r="L29" s="65"/>
      <c r="M29" s="65"/>
      <c r="N29" s="66">
        <f t="shared" si="0"/>
        <v>0</v>
      </c>
      <c r="O29" s="66">
        <f t="shared" si="1"/>
        <v>0</v>
      </c>
      <c r="P29" s="63"/>
      <c r="Q29" s="63"/>
      <c r="R29" s="65"/>
      <c r="S29" s="65"/>
      <c r="T29" s="66">
        <f t="shared" si="2"/>
        <v>0</v>
      </c>
      <c r="U29" s="66">
        <f t="shared" si="3"/>
        <v>0</v>
      </c>
      <c r="V29" s="63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7">
        <f t="shared" si="4"/>
        <v>0</v>
      </c>
      <c r="AJ29" s="67">
        <f t="shared" si="5"/>
        <v>0</v>
      </c>
      <c r="AK29" s="67">
        <f t="shared" si="6"/>
        <v>0</v>
      </c>
      <c r="AL29" s="67">
        <f t="shared" si="7"/>
        <v>0</v>
      </c>
      <c r="AM29" s="66">
        <f t="shared" si="8"/>
        <v>0</v>
      </c>
      <c r="AN29" s="66">
        <f t="shared" si="9"/>
        <v>0</v>
      </c>
      <c r="AO29" s="66">
        <f t="shared" si="10"/>
        <v>0</v>
      </c>
      <c r="AP29" s="66">
        <f t="shared" si="11"/>
        <v>0</v>
      </c>
      <c r="AQ29" s="66">
        <f t="shared" si="12"/>
        <v>0</v>
      </c>
      <c r="AR29" s="66">
        <f t="shared" si="13"/>
        <v>0</v>
      </c>
    </row>
    <row r="30" ht="16.5" spans="1:50">
      <c r="A30" s="63"/>
      <c r="B30" s="63"/>
      <c r="C30" s="63" t="s">
        <v>340</v>
      </c>
      <c r="D30" s="63"/>
      <c r="E30" s="63" t="s">
        <v>1470</v>
      </c>
      <c r="F30" s="64" t="s">
        <v>346</v>
      </c>
      <c r="G30" s="63" t="s">
        <v>2295</v>
      </c>
      <c r="H30" s="63" t="s">
        <v>2315</v>
      </c>
      <c r="I30" s="63" t="s">
        <v>1470</v>
      </c>
      <c r="J30" s="63"/>
      <c r="K30" s="63"/>
      <c r="L30" s="65"/>
      <c r="M30" s="65"/>
      <c r="N30" s="66">
        <f t="shared" si="0"/>
        <v>0</v>
      </c>
      <c r="O30" s="66">
        <f t="shared" si="1"/>
        <v>0</v>
      </c>
      <c r="P30" s="63"/>
      <c r="Q30" s="63"/>
      <c r="R30" s="65"/>
      <c r="S30" s="65"/>
      <c r="T30" s="66">
        <f t="shared" si="2"/>
        <v>0</v>
      </c>
      <c r="U30" s="66">
        <f t="shared" si="3"/>
        <v>0</v>
      </c>
      <c r="V30" s="63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7">
        <f t="shared" si="4"/>
        <v>0</v>
      </c>
      <c r="AJ30" s="67">
        <f t="shared" si="5"/>
        <v>0</v>
      </c>
      <c r="AK30" s="67">
        <f t="shared" si="6"/>
        <v>0</v>
      </c>
      <c r="AL30" s="67">
        <f t="shared" si="7"/>
        <v>0</v>
      </c>
      <c r="AM30" s="66">
        <f t="shared" si="8"/>
        <v>0</v>
      </c>
      <c r="AN30" s="66">
        <f t="shared" si="9"/>
        <v>0</v>
      </c>
      <c r="AO30" s="66">
        <f t="shared" si="10"/>
        <v>0</v>
      </c>
      <c r="AP30" s="66">
        <f t="shared" si="11"/>
        <v>0</v>
      </c>
      <c r="AQ30" s="66">
        <f t="shared" si="12"/>
        <v>0</v>
      </c>
      <c r="AR30" s="66">
        <f t="shared" si="13"/>
        <v>0</v>
      </c>
    </row>
    <row r="31" ht="16.5" spans="1:50">
      <c r="A31" s="63"/>
      <c r="B31" s="63"/>
      <c r="C31" s="63" t="s">
        <v>340</v>
      </c>
      <c r="D31" s="63"/>
      <c r="E31" s="63" t="s">
        <v>1470</v>
      </c>
      <c r="F31" s="64" t="s">
        <v>346</v>
      </c>
      <c r="G31" s="63" t="s">
        <v>2295</v>
      </c>
      <c r="H31" s="63" t="s">
        <v>2315</v>
      </c>
      <c r="I31" s="63" t="s">
        <v>1470</v>
      </c>
      <c r="J31" s="63"/>
      <c r="K31" s="63"/>
      <c r="L31" s="65"/>
      <c r="M31" s="65"/>
      <c r="N31" s="66">
        <f t="shared" si="0"/>
        <v>0</v>
      </c>
      <c r="O31" s="66">
        <f t="shared" si="1"/>
        <v>0</v>
      </c>
      <c r="P31" s="63"/>
      <c r="Q31" s="63"/>
      <c r="R31" s="65"/>
      <c r="S31" s="65"/>
      <c r="T31" s="66">
        <f t="shared" si="2"/>
        <v>0</v>
      </c>
      <c r="U31" s="66">
        <f t="shared" si="3"/>
        <v>0</v>
      </c>
      <c r="V31" s="63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7">
        <f t="shared" si="4"/>
        <v>0</v>
      </c>
      <c r="AJ31" s="67">
        <f t="shared" si="5"/>
        <v>0</v>
      </c>
      <c r="AK31" s="67">
        <f t="shared" si="6"/>
        <v>0</v>
      </c>
      <c r="AL31" s="67">
        <f t="shared" si="7"/>
        <v>0</v>
      </c>
      <c r="AM31" s="66">
        <f t="shared" si="8"/>
        <v>0</v>
      </c>
      <c r="AN31" s="66">
        <f t="shared" si="9"/>
        <v>0</v>
      </c>
      <c r="AO31" s="66">
        <f t="shared" si="10"/>
        <v>0</v>
      </c>
      <c r="AP31" s="66">
        <f t="shared" si="11"/>
        <v>0</v>
      </c>
      <c r="AQ31" s="66">
        <f t="shared" si="12"/>
        <v>0</v>
      </c>
      <c r="AR31" s="66">
        <f t="shared" si="13"/>
        <v>0</v>
      </c>
    </row>
    <row r="32" ht="16.5" spans="1:50">
      <c r="A32" s="63"/>
      <c r="B32" s="63"/>
      <c r="C32" s="63" t="s">
        <v>340</v>
      </c>
      <c r="D32" s="63"/>
      <c r="E32" s="63" t="s">
        <v>1470</v>
      </c>
      <c r="F32" s="64" t="s">
        <v>346</v>
      </c>
      <c r="G32" s="63" t="s">
        <v>2295</v>
      </c>
      <c r="H32" s="63" t="s">
        <v>2315</v>
      </c>
      <c r="I32" s="63" t="s">
        <v>1470</v>
      </c>
      <c r="J32" s="63"/>
      <c r="K32" s="63"/>
      <c r="L32" s="65"/>
      <c r="M32" s="65"/>
      <c r="N32" s="66">
        <f t="shared" si="0"/>
        <v>0</v>
      </c>
      <c r="O32" s="66">
        <f t="shared" si="1"/>
        <v>0</v>
      </c>
      <c r="P32" s="63"/>
      <c r="Q32" s="63"/>
      <c r="R32" s="65"/>
      <c r="S32" s="65"/>
      <c r="T32" s="66">
        <f t="shared" si="2"/>
        <v>0</v>
      </c>
      <c r="U32" s="66">
        <f t="shared" si="3"/>
        <v>0</v>
      </c>
      <c r="V32" s="63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7">
        <f t="shared" si="4"/>
        <v>0</v>
      </c>
      <c r="AJ32" s="67">
        <f t="shared" si="5"/>
        <v>0</v>
      </c>
      <c r="AK32" s="67">
        <f t="shared" si="6"/>
        <v>0</v>
      </c>
      <c r="AL32" s="67">
        <f t="shared" si="7"/>
        <v>0</v>
      </c>
      <c r="AM32" s="66">
        <f t="shared" si="8"/>
        <v>0</v>
      </c>
      <c r="AN32" s="66">
        <f t="shared" si="9"/>
        <v>0</v>
      </c>
      <c r="AO32" s="66">
        <f t="shared" si="10"/>
        <v>0</v>
      </c>
      <c r="AP32" s="66">
        <f t="shared" si="11"/>
        <v>0</v>
      </c>
      <c r="AQ32" s="66">
        <f t="shared" si="12"/>
        <v>0</v>
      </c>
      <c r="AR32" s="66">
        <f t="shared" si="13"/>
        <v>0</v>
      </c>
    </row>
    <row r="33" ht="16.5" spans="1:49">
      <c r="A33" s="63"/>
      <c r="B33" s="63"/>
      <c r="C33" s="63" t="s">
        <v>340</v>
      </c>
      <c r="D33" s="63"/>
      <c r="E33" s="63" t="s">
        <v>1470</v>
      </c>
      <c r="F33" s="64" t="s">
        <v>346</v>
      </c>
      <c r="G33" s="63" t="s">
        <v>2295</v>
      </c>
      <c r="H33" s="63" t="s">
        <v>2315</v>
      </c>
      <c r="I33" s="63" t="s">
        <v>1470</v>
      </c>
      <c r="J33" s="63"/>
      <c r="K33" s="63"/>
      <c r="L33" s="65"/>
      <c r="M33" s="65"/>
      <c r="N33" s="66">
        <f t="shared" si="0"/>
        <v>0</v>
      </c>
      <c r="O33" s="66">
        <f t="shared" si="1"/>
        <v>0</v>
      </c>
      <c r="P33" s="63"/>
      <c r="Q33" s="63"/>
      <c r="R33" s="65"/>
      <c r="S33" s="65"/>
      <c r="T33" s="66">
        <f t="shared" si="2"/>
        <v>0</v>
      </c>
      <c r="U33" s="66">
        <f t="shared" si="3"/>
        <v>0</v>
      </c>
      <c r="V33" s="63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7">
        <f t="shared" si="4"/>
        <v>0</v>
      </c>
      <c r="AJ33" s="67">
        <f t="shared" si="5"/>
        <v>0</v>
      </c>
      <c r="AK33" s="67">
        <f t="shared" si="6"/>
        <v>0</v>
      </c>
      <c r="AL33" s="67">
        <f t="shared" si="7"/>
        <v>0</v>
      </c>
      <c r="AM33" s="66">
        <f t="shared" si="8"/>
        <v>0</v>
      </c>
      <c r="AN33" s="66">
        <f t="shared" si="9"/>
        <v>0</v>
      </c>
      <c r="AO33" s="66">
        <f t="shared" si="10"/>
        <v>0</v>
      </c>
      <c r="AP33" s="66">
        <f t="shared" si="11"/>
        <v>0</v>
      </c>
      <c r="AQ33" s="66">
        <f t="shared" si="12"/>
        <v>0</v>
      </c>
      <c r="AR33" s="66">
        <f t="shared" si="13"/>
        <v>0</v>
      </c>
    </row>
    <row r="34" ht="16.5" spans="1:49">
      <c r="A34" s="63"/>
      <c r="B34" s="63"/>
      <c r="C34" s="63" t="s">
        <v>340</v>
      </c>
      <c r="D34" s="63"/>
      <c r="E34" s="63" t="s">
        <v>1470</v>
      </c>
      <c r="F34" s="64" t="s">
        <v>346</v>
      </c>
      <c r="G34" s="63" t="s">
        <v>2295</v>
      </c>
      <c r="H34" s="63" t="s">
        <v>2315</v>
      </c>
      <c r="I34" s="63" t="s">
        <v>1470</v>
      </c>
      <c r="J34" s="63"/>
      <c r="K34" s="63"/>
      <c r="L34" s="65"/>
      <c r="M34" s="65"/>
      <c r="N34" s="66">
        <f t="shared" si="0"/>
        <v>0</v>
      </c>
      <c r="O34" s="66">
        <f t="shared" si="1"/>
        <v>0</v>
      </c>
      <c r="P34" s="63"/>
      <c r="Q34" s="63"/>
      <c r="R34" s="65"/>
      <c r="S34" s="65"/>
      <c r="T34" s="66">
        <f t="shared" si="2"/>
        <v>0</v>
      </c>
      <c r="U34" s="66">
        <f t="shared" si="3"/>
        <v>0</v>
      </c>
      <c r="V34" s="63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7">
        <f t="shared" si="4"/>
        <v>0</v>
      </c>
      <c r="AJ34" s="67">
        <f t="shared" si="5"/>
        <v>0</v>
      </c>
      <c r="AK34" s="67">
        <f t="shared" si="6"/>
        <v>0</v>
      </c>
      <c r="AL34" s="67">
        <f t="shared" si="7"/>
        <v>0</v>
      </c>
      <c r="AM34" s="66">
        <f t="shared" si="8"/>
        <v>0</v>
      </c>
      <c r="AN34" s="66">
        <f t="shared" si="9"/>
        <v>0</v>
      </c>
      <c r="AO34" s="66">
        <f t="shared" si="10"/>
        <v>0</v>
      </c>
      <c r="AP34" s="66">
        <f t="shared" si="11"/>
        <v>0</v>
      </c>
      <c r="AQ34" s="66">
        <f t="shared" si="12"/>
        <v>0</v>
      </c>
      <c r="AR34" s="66">
        <f t="shared" si="13"/>
        <v>0</v>
      </c>
    </row>
    <row r="35" ht="16.5" spans="1:49">
      <c r="A35" s="63"/>
      <c r="B35" s="63"/>
      <c r="C35" s="63" t="s">
        <v>340</v>
      </c>
      <c r="D35" s="63"/>
      <c r="E35" s="63" t="s">
        <v>1470</v>
      </c>
      <c r="F35" s="64" t="s">
        <v>346</v>
      </c>
      <c r="G35" s="63" t="s">
        <v>2295</v>
      </c>
      <c r="H35" s="63" t="s">
        <v>2315</v>
      </c>
      <c r="I35" s="63" t="s">
        <v>1470</v>
      </c>
      <c r="J35" s="63"/>
      <c r="K35" s="63"/>
      <c r="L35" s="65"/>
      <c r="M35" s="65"/>
      <c r="N35" s="66">
        <f t="shared" si="0"/>
        <v>0</v>
      </c>
      <c r="O35" s="66">
        <f t="shared" si="1"/>
        <v>0</v>
      </c>
      <c r="P35" s="63"/>
      <c r="Q35" s="63"/>
      <c r="R35" s="65"/>
      <c r="S35" s="65"/>
      <c r="T35" s="66">
        <f t="shared" si="2"/>
        <v>0</v>
      </c>
      <c r="U35" s="66">
        <f t="shared" si="3"/>
        <v>0</v>
      </c>
      <c r="V35" s="63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7">
        <f t="shared" si="4"/>
        <v>0</v>
      </c>
      <c r="AJ35" s="67">
        <f t="shared" si="5"/>
        <v>0</v>
      </c>
      <c r="AK35" s="67">
        <f t="shared" si="6"/>
        <v>0</v>
      </c>
      <c r="AL35" s="67">
        <f t="shared" si="7"/>
        <v>0</v>
      </c>
      <c r="AM35" s="66">
        <f t="shared" si="8"/>
        <v>0</v>
      </c>
      <c r="AN35" s="66">
        <f t="shared" si="9"/>
        <v>0</v>
      </c>
      <c r="AO35" s="66">
        <f t="shared" si="10"/>
        <v>0</v>
      </c>
      <c r="AP35" s="66">
        <f t="shared" si="11"/>
        <v>0</v>
      </c>
      <c r="AQ35" s="66">
        <f t="shared" si="12"/>
        <v>0</v>
      </c>
      <c r="AR35" s="66">
        <f t="shared" si="13"/>
        <v>0</v>
      </c>
    </row>
    <row r="36" ht="16.5" spans="1:49">
      <c r="A36" s="63"/>
      <c r="B36" s="63"/>
      <c r="C36" s="63" t="s">
        <v>340</v>
      </c>
      <c r="D36" s="63"/>
      <c r="E36" s="63" t="s">
        <v>1470</v>
      </c>
      <c r="F36" s="64" t="s">
        <v>346</v>
      </c>
      <c r="G36" s="63" t="s">
        <v>2295</v>
      </c>
      <c r="H36" s="63" t="s">
        <v>2315</v>
      </c>
      <c r="I36" s="63" t="s">
        <v>1470</v>
      </c>
      <c r="J36" s="63"/>
      <c r="K36" s="63"/>
      <c r="L36" s="65"/>
      <c r="M36" s="65"/>
      <c r="N36" s="66">
        <f t="shared" si="0"/>
        <v>0</v>
      </c>
      <c r="O36" s="66">
        <f t="shared" si="1"/>
        <v>0</v>
      </c>
      <c r="P36" s="63"/>
      <c r="Q36" s="63"/>
      <c r="R36" s="65"/>
      <c r="S36" s="65"/>
      <c r="T36" s="66">
        <f t="shared" si="2"/>
        <v>0</v>
      </c>
      <c r="U36" s="66">
        <f t="shared" si="3"/>
        <v>0</v>
      </c>
      <c r="V36" s="63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7">
        <f t="shared" si="4"/>
        <v>0</v>
      </c>
      <c r="AJ36" s="67">
        <f t="shared" si="5"/>
        <v>0</v>
      </c>
      <c r="AK36" s="67">
        <f t="shared" si="6"/>
        <v>0</v>
      </c>
      <c r="AL36" s="67">
        <f t="shared" si="7"/>
        <v>0</v>
      </c>
      <c r="AM36" s="66">
        <f t="shared" si="8"/>
        <v>0</v>
      </c>
      <c r="AN36" s="66">
        <f t="shared" si="9"/>
        <v>0</v>
      </c>
      <c r="AO36" s="66">
        <f t="shared" si="10"/>
        <v>0</v>
      </c>
      <c r="AP36" s="66">
        <f t="shared" si="11"/>
        <v>0</v>
      </c>
      <c r="AQ36" s="66">
        <f t="shared" si="12"/>
        <v>0</v>
      </c>
      <c r="AR36" s="66">
        <f t="shared" si="13"/>
        <v>0</v>
      </c>
    </row>
    <row r="37" ht="16.5" spans="1:49">
      <c r="A37" s="63"/>
      <c r="B37" s="63"/>
      <c r="C37" s="63" t="s">
        <v>340</v>
      </c>
      <c r="D37" s="63"/>
      <c r="E37" s="63" t="s">
        <v>1470</v>
      </c>
      <c r="F37" s="64" t="s">
        <v>346</v>
      </c>
      <c r="G37" s="63" t="s">
        <v>2295</v>
      </c>
      <c r="H37" s="63" t="s">
        <v>2315</v>
      </c>
      <c r="I37" s="63" t="s">
        <v>1470</v>
      </c>
      <c r="J37" s="63"/>
      <c r="K37" s="63"/>
      <c r="L37" s="65"/>
      <c r="M37" s="65"/>
      <c r="N37" s="66">
        <f t="shared" si="0"/>
        <v>0</v>
      </c>
      <c r="O37" s="66">
        <f t="shared" si="1"/>
        <v>0</v>
      </c>
      <c r="P37" s="63"/>
      <c r="Q37" s="63"/>
      <c r="R37" s="65"/>
      <c r="S37" s="65"/>
      <c r="T37" s="66">
        <f t="shared" si="2"/>
        <v>0</v>
      </c>
      <c r="U37" s="66">
        <f t="shared" si="3"/>
        <v>0</v>
      </c>
      <c r="V37" s="63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7">
        <f t="shared" si="4"/>
        <v>0</v>
      </c>
      <c r="AJ37" s="67">
        <f t="shared" si="5"/>
        <v>0</v>
      </c>
      <c r="AK37" s="67">
        <f t="shared" si="6"/>
        <v>0</v>
      </c>
      <c r="AL37" s="67">
        <f t="shared" si="7"/>
        <v>0</v>
      </c>
      <c r="AM37" s="66">
        <f t="shared" si="8"/>
        <v>0</v>
      </c>
      <c r="AN37" s="66">
        <f t="shared" si="9"/>
        <v>0</v>
      </c>
      <c r="AO37" s="66">
        <f t="shared" si="10"/>
        <v>0</v>
      </c>
      <c r="AP37" s="66">
        <f t="shared" si="11"/>
        <v>0</v>
      </c>
      <c r="AQ37" s="66">
        <f t="shared" si="12"/>
        <v>0</v>
      </c>
      <c r="AR37" s="66">
        <f t="shared" si="13"/>
        <v>0</v>
      </c>
    </row>
    <row r="38" ht="16.5" spans="1:49">
      <c r="A38" s="63"/>
      <c r="B38" s="63"/>
      <c r="C38" s="63" t="s">
        <v>340</v>
      </c>
      <c r="D38" s="63"/>
      <c r="E38" s="63" t="s">
        <v>1470</v>
      </c>
      <c r="F38" s="64" t="s">
        <v>346</v>
      </c>
      <c r="G38" s="63" t="s">
        <v>2295</v>
      </c>
      <c r="H38" s="63" t="s">
        <v>2315</v>
      </c>
      <c r="I38" s="63" t="s">
        <v>1470</v>
      </c>
      <c r="J38" s="63"/>
      <c r="K38" s="63"/>
      <c r="L38" s="65"/>
      <c r="M38" s="65"/>
      <c r="N38" s="66">
        <f t="shared" si="0"/>
        <v>0</v>
      </c>
      <c r="O38" s="66">
        <f t="shared" si="1"/>
        <v>0</v>
      </c>
      <c r="P38" s="63"/>
      <c r="Q38" s="63"/>
      <c r="R38" s="65"/>
      <c r="S38" s="65"/>
      <c r="T38" s="66">
        <f t="shared" si="2"/>
        <v>0</v>
      </c>
      <c r="U38" s="66">
        <f t="shared" si="3"/>
        <v>0</v>
      </c>
      <c r="V38" s="63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7">
        <f t="shared" si="4"/>
        <v>0</v>
      </c>
      <c r="AJ38" s="67">
        <f t="shared" si="5"/>
        <v>0</v>
      </c>
      <c r="AK38" s="67">
        <f t="shared" si="6"/>
        <v>0</v>
      </c>
      <c r="AL38" s="67">
        <f t="shared" si="7"/>
        <v>0</v>
      </c>
      <c r="AM38" s="66">
        <f t="shared" si="8"/>
        <v>0</v>
      </c>
      <c r="AN38" s="66">
        <f t="shared" si="9"/>
        <v>0</v>
      </c>
      <c r="AO38" s="66">
        <f t="shared" si="10"/>
        <v>0</v>
      </c>
      <c r="AP38" s="66">
        <f t="shared" si="11"/>
        <v>0</v>
      </c>
      <c r="AQ38" s="66">
        <f t="shared" si="12"/>
        <v>0</v>
      </c>
      <c r="AR38" s="66">
        <f t="shared" si="13"/>
        <v>0</v>
      </c>
    </row>
    <row r="39" ht="16.5" spans="1:49">
      <c r="A39" s="63"/>
      <c r="B39" s="63"/>
      <c r="C39" s="63" t="s">
        <v>340</v>
      </c>
      <c r="D39" s="63"/>
      <c r="E39" s="63" t="s">
        <v>1470</v>
      </c>
      <c r="F39" s="64" t="s">
        <v>346</v>
      </c>
      <c r="G39" s="63" t="s">
        <v>2295</v>
      </c>
      <c r="H39" s="63" t="s">
        <v>2315</v>
      </c>
      <c r="I39" s="63" t="s">
        <v>1470</v>
      </c>
      <c r="J39" s="63"/>
      <c r="K39" s="63"/>
      <c r="L39" s="65"/>
      <c r="M39" s="65"/>
      <c r="N39" s="66">
        <f t="shared" si="0"/>
        <v>0</v>
      </c>
      <c r="O39" s="66">
        <f t="shared" si="1"/>
        <v>0</v>
      </c>
      <c r="P39" s="63"/>
      <c r="Q39" s="63"/>
      <c r="R39" s="65"/>
      <c r="S39" s="65"/>
      <c r="T39" s="66">
        <f t="shared" si="2"/>
        <v>0</v>
      </c>
      <c r="U39" s="66">
        <f t="shared" si="3"/>
        <v>0</v>
      </c>
      <c r="V39" s="63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7">
        <f t="shared" si="4"/>
        <v>0</v>
      </c>
      <c r="AJ39" s="67">
        <f t="shared" si="5"/>
        <v>0</v>
      </c>
      <c r="AK39" s="67">
        <f t="shared" si="6"/>
        <v>0</v>
      </c>
      <c r="AL39" s="67">
        <f t="shared" si="7"/>
        <v>0</v>
      </c>
      <c r="AM39" s="66">
        <f t="shared" si="8"/>
        <v>0</v>
      </c>
      <c r="AN39" s="66">
        <f t="shared" si="9"/>
        <v>0</v>
      </c>
      <c r="AO39" s="66">
        <f t="shared" si="10"/>
        <v>0</v>
      </c>
      <c r="AP39" s="66">
        <f t="shared" si="11"/>
        <v>0</v>
      </c>
      <c r="AQ39" s="66">
        <f t="shared" si="12"/>
        <v>0</v>
      </c>
      <c r="AR39" s="66">
        <f t="shared" si="13"/>
        <v>0</v>
      </c>
    </row>
    <row r="40" ht="16.5" spans="1:49">
      <c r="A40" s="63"/>
      <c r="B40" s="63"/>
      <c r="C40" s="63" t="s">
        <v>340</v>
      </c>
      <c r="D40" s="63"/>
      <c r="E40" s="63" t="s">
        <v>1470</v>
      </c>
      <c r="F40" s="64" t="s">
        <v>346</v>
      </c>
      <c r="G40" s="63" t="s">
        <v>2295</v>
      </c>
      <c r="H40" s="63" t="s">
        <v>2315</v>
      </c>
      <c r="I40" s="63" t="s">
        <v>1470</v>
      </c>
      <c r="J40" s="63"/>
      <c r="K40" s="63"/>
      <c r="L40" s="65"/>
      <c r="M40" s="65"/>
      <c r="N40" s="66">
        <f t="shared" si="0"/>
        <v>0</v>
      </c>
      <c r="O40" s="66">
        <f t="shared" si="1"/>
        <v>0</v>
      </c>
      <c r="P40" s="63"/>
      <c r="Q40" s="63"/>
      <c r="R40" s="65"/>
      <c r="S40" s="65"/>
      <c r="T40" s="66">
        <f t="shared" si="2"/>
        <v>0</v>
      </c>
      <c r="U40" s="66">
        <f t="shared" si="3"/>
        <v>0</v>
      </c>
      <c r="V40" s="63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7">
        <f t="shared" si="4"/>
        <v>0</v>
      </c>
      <c r="AJ40" s="67">
        <f t="shared" si="5"/>
        <v>0</v>
      </c>
      <c r="AK40" s="67">
        <f t="shared" si="6"/>
        <v>0</v>
      </c>
      <c r="AL40" s="67">
        <f t="shared" si="7"/>
        <v>0</v>
      </c>
      <c r="AM40" s="66">
        <f t="shared" si="8"/>
        <v>0</v>
      </c>
      <c r="AN40" s="66">
        <f t="shared" si="9"/>
        <v>0</v>
      </c>
      <c r="AO40" s="66">
        <f t="shared" si="10"/>
        <v>0</v>
      </c>
      <c r="AP40" s="66">
        <f t="shared" si="11"/>
        <v>0</v>
      </c>
      <c r="AQ40" s="66">
        <f t="shared" si="12"/>
        <v>0</v>
      </c>
      <c r="AR40" s="66">
        <f t="shared" si="13"/>
        <v>0</v>
      </c>
    </row>
    <row r="41" ht="16.5" spans="1:49">
      <c r="A41" s="63"/>
      <c r="B41" s="63"/>
      <c r="C41" s="63" t="s">
        <v>340</v>
      </c>
      <c r="D41" s="63"/>
      <c r="E41" s="63" t="s">
        <v>1470</v>
      </c>
      <c r="F41" s="64" t="s">
        <v>346</v>
      </c>
      <c r="G41" s="63" t="s">
        <v>2295</v>
      </c>
      <c r="H41" s="63" t="s">
        <v>2315</v>
      </c>
      <c r="I41" s="63" t="s">
        <v>1470</v>
      </c>
      <c r="J41" s="63"/>
      <c r="K41" s="63"/>
      <c r="L41" s="65"/>
      <c r="M41" s="65"/>
      <c r="N41" s="66">
        <f t="shared" si="0"/>
        <v>0</v>
      </c>
      <c r="O41" s="66">
        <f t="shared" si="1"/>
        <v>0</v>
      </c>
      <c r="P41" s="63"/>
      <c r="Q41" s="63"/>
      <c r="R41" s="65"/>
      <c r="S41" s="65"/>
      <c r="T41" s="66">
        <f t="shared" si="2"/>
        <v>0</v>
      </c>
      <c r="U41" s="66">
        <f t="shared" si="3"/>
        <v>0</v>
      </c>
      <c r="V41" s="63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7">
        <f t="shared" si="4"/>
        <v>0</v>
      </c>
      <c r="AJ41" s="67">
        <f t="shared" si="5"/>
        <v>0</v>
      </c>
      <c r="AK41" s="67">
        <f t="shared" si="6"/>
        <v>0</v>
      </c>
      <c r="AL41" s="67">
        <f t="shared" si="7"/>
        <v>0</v>
      </c>
      <c r="AM41" s="66">
        <f t="shared" si="8"/>
        <v>0</v>
      </c>
      <c r="AN41" s="66">
        <f t="shared" si="9"/>
        <v>0</v>
      </c>
      <c r="AO41" s="66">
        <f t="shared" si="10"/>
        <v>0</v>
      </c>
      <c r="AP41" s="66">
        <f t="shared" si="11"/>
        <v>0</v>
      </c>
      <c r="AQ41" s="66">
        <f t="shared" si="12"/>
        <v>0</v>
      </c>
      <c r="AR41" s="66">
        <f t="shared" si="13"/>
        <v>0</v>
      </c>
    </row>
    <row r="42" ht="16.5" spans="1:49">
      <c r="A42" s="63"/>
      <c r="B42" s="63"/>
      <c r="C42" s="63" t="s">
        <v>340</v>
      </c>
      <c r="D42" s="63"/>
      <c r="E42" s="63" t="s">
        <v>1470</v>
      </c>
      <c r="F42" s="64" t="s">
        <v>346</v>
      </c>
      <c r="G42" s="63" t="s">
        <v>2295</v>
      </c>
      <c r="H42" s="63" t="s">
        <v>2315</v>
      </c>
      <c r="I42" s="63" t="s">
        <v>1470</v>
      </c>
      <c r="J42" s="63"/>
      <c r="K42" s="63"/>
      <c r="L42" s="65"/>
      <c r="M42" s="65"/>
      <c r="N42" s="66">
        <f t="shared" si="0"/>
        <v>0</v>
      </c>
      <c r="O42" s="66">
        <f t="shared" si="1"/>
        <v>0</v>
      </c>
      <c r="P42" s="63"/>
      <c r="Q42" s="63"/>
      <c r="R42" s="65"/>
      <c r="S42" s="65"/>
      <c r="T42" s="66">
        <f t="shared" si="2"/>
        <v>0</v>
      </c>
      <c r="U42" s="66">
        <f t="shared" si="3"/>
        <v>0</v>
      </c>
      <c r="V42" s="63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7">
        <f t="shared" si="4"/>
        <v>0</v>
      </c>
      <c r="AJ42" s="67">
        <f t="shared" si="5"/>
        <v>0</v>
      </c>
      <c r="AK42" s="67">
        <f t="shared" si="6"/>
        <v>0</v>
      </c>
      <c r="AL42" s="67">
        <f t="shared" si="7"/>
        <v>0</v>
      </c>
      <c r="AM42" s="66">
        <f t="shared" si="8"/>
        <v>0</v>
      </c>
      <c r="AN42" s="66">
        <f t="shared" si="9"/>
        <v>0</v>
      </c>
      <c r="AO42" s="66">
        <f t="shared" si="10"/>
        <v>0</v>
      </c>
      <c r="AP42" s="66">
        <f t="shared" si="11"/>
        <v>0</v>
      </c>
      <c r="AQ42" s="66">
        <f t="shared" si="12"/>
        <v>0</v>
      </c>
      <c r="AR42" s="66">
        <f t="shared" si="13"/>
        <v>0</v>
      </c>
    </row>
    <row r="43" ht="16.5" spans="1:49">
      <c r="A43" s="63"/>
      <c r="B43" s="63"/>
      <c r="C43" s="63" t="s">
        <v>340</v>
      </c>
      <c r="D43" s="63"/>
      <c r="E43" s="63" t="s">
        <v>1470</v>
      </c>
      <c r="F43" s="64" t="s">
        <v>346</v>
      </c>
      <c r="G43" s="63" t="s">
        <v>2295</v>
      </c>
      <c r="H43" s="63" t="s">
        <v>2315</v>
      </c>
      <c r="I43" s="63" t="s">
        <v>1470</v>
      </c>
      <c r="J43" s="63"/>
      <c r="K43" s="63"/>
      <c r="L43" s="65"/>
      <c r="M43" s="65"/>
      <c r="N43" s="66">
        <f t="shared" si="0"/>
        <v>0</v>
      </c>
      <c r="O43" s="66">
        <f t="shared" si="1"/>
        <v>0</v>
      </c>
      <c r="P43" s="63"/>
      <c r="Q43" s="63"/>
      <c r="R43" s="65"/>
      <c r="S43" s="65"/>
      <c r="T43" s="66">
        <f t="shared" si="2"/>
        <v>0</v>
      </c>
      <c r="U43" s="66">
        <f t="shared" si="3"/>
        <v>0</v>
      </c>
      <c r="V43" s="63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7">
        <f t="shared" si="4"/>
        <v>0</v>
      </c>
      <c r="AJ43" s="67">
        <f t="shared" si="5"/>
        <v>0</v>
      </c>
      <c r="AK43" s="67">
        <f t="shared" si="6"/>
        <v>0</v>
      </c>
      <c r="AL43" s="67">
        <f t="shared" si="7"/>
        <v>0</v>
      </c>
      <c r="AM43" s="66">
        <f t="shared" si="8"/>
        <v>0</v>
      </c>
      <c r="AN43" s="66">
        <f t="shared" si="9"/>
        <v>0</v>
      </c>
      <c r="AO43" s="66">
        <f t="shared" si="10"/>
        <v>0</v>
      </c>
      <c r="AP43" s="66">
        <f t="shared" si="11"/>
        <v>0</v>
      </c>
      <c r="AQ43" s="66">
        <f t="shared" si="12"/>
        <v>0</v>
      </c>
      <c r="AR43" s="66">
        <f t="shared" si="13"/>
        <v>0</v>
      </c>
    </row>
    <row r="44" ht="16.5" spans="1:49">
      <c r="A44" s="63"/>
      <c r="B44" s="63"/>
      <c r="C44" s="63" t="s">
        <v>340</v>
      </c>
      <c r="D44" s="63"/>
      <c r="E44" s="63" t="s">
        <v>1470</v>
      </c>
      <c r="F44" s="64" t="s">
        <v>346</v>
      </c>
      <c r="G44" s="63" t="s">
        <v>2295</v>
      </c>
      <c r="H44" s="63" t="s">
        <v>2315</v>
      </c>
      <c r="I44" s="63" t="s">
        <v>1470</v>
      </c>
      <c r="J44" s="63"/>
      <c r="K44" s="63"/>
      <c r="L44" s="65"/>
      <c r="M44" s="65"/>
      <c r="N44" s="66">
        <f t="shared" si="0"/>
        <v>0</v>
      </c>
      <c r="O44" s="66">
        <f t="shared" si="1"/>
        <v>0</v>
      </c>
      <c r="P44" s="63"/>
      <c r="Q44" s="63"/>
      <c r="R44" s="65"/>
      <c r="S44" s="65"/>
      <c r="T44" s="66">
        <f t="shared" si="2"/>
        <v>0</v>
      </c>
      <c r="U44" s="66">
        <f t="shared" si="3"/>
        <v>0</v>
      </c>
      <c r="V44" s="63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7">
        <f t="shared" si="4"/>
        <v>0</v>
      </c>
      <c r="AJ44" s="67">
        <f t="shared" si="5"/>
        <v>0</v>
      </c>
      <c r="AK44" s="67">
        <f t="shared" si="6"/>
        <v>0</v>
      </c>
      <c r="AL44" s="67">
        <f t="shared" si="7"/>
        <v>0</v>
      </c>
      <c r="AM44" s="66">
        <f t="shared" si="8"/>
        <v>0</v>
      </c>
      <c r="AN44" s="66">
        <f t="shared" si="9"/>
        <v>0</v>
      </c>
      <c r="AO44" s="66">
        <f t="shared" si="10"/>
        <v>0</v>
      </c>
      <c r="AP44" s="66">
        <f t="shared" si="11"/>
        <v>0</v>
      </c>
      <c r="AQ44" s="66">
        <f t="shared" si="12"/>
        <v>0</v>
      </c>
      <c r="AR44" s="66">
        <f t="shared" si="13"/>
        <v>0</v>
      </c>
    </row>
    <row r="45" ht="16.5" spans="1:49">
      <c r="A45" s="63"/>
      <c r="B45" s="63"/>
      <c r="C45" s="63" t="s">
        <v>340</v>
      </c>
      <c r="D45" s="63"/>
      <c r="E45" s="63" t="s">
        <v>1470</v>
      </c>
      <c r="F45" s="64" t="s">
        <v>346</v>
      </c>
      <c r="G45" s="63" t="s">
        <v>2295</v>
      </c>
      <c r="H45" s="63" t="s">
        <v>2315</v>
      </c>
      <c r="I45" s="63" t="s">
        <v>1470</v>
      </c>
      <c r="J45" s="63"/>
      <c r="K45" s="63"/>
      <c r="L45" s="65"/>
      <c r="M45" s="65"/>
      <c r="N45" s="66">
        <f t="shared" si="0"/>
        <v>0</v>
      </c>
      <c r="O45" s="66">
        <f t="shared" si="1"/>
        <v>0</v>
      </c>
      <c r="P45" s="63"/>
      <c r="Q45" s="63"/>
      <c r="R45" s="65"/>
      <c r="S45" s="65"/>
      <c r="T45" s="66">
        <f t="shared" si="2"/>
        <v>0</v>
      </c>
      <c r="U45" s="66">
        <f t="shared" si="3"/>
        <v>0</v>
      </c>
      <c r="V45" s="63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7">
        <f t="shared" si="4"/>
        <v>0</v>
      </c>
      <c r="AJ45" s="67">
        <f t="shared" si="5"/>
        <v>0</v>
      </c>
      <c r="AK45" s="67">
        <f t="shared" si="6"/>
        <v>0</v>
      </c>
      <c r="AL45" s="67">
        <f t="shared" si="7"/>
        <v>0</v>
      </c>
      <c r="AM45" s="66">
        <f t="shared" si="8"/>
        <v>0</v>
      </c>
      <c r="AN45" s="66">
        <f t="shared" si="9"/>
        <v>0</v>
      </c>
      <c r="AO45" s="66">
        <f t="shared" si="10"/>
        <v>0</v>
      </c>
      <c r="AP45" s="66">
        <f t="shared" si="11"/>
        <v>0</v>
      </c>
      <c r="AQ45" s="66">
        <f t="shared" si="12"/>
        <v>0</v>
      </c>
      <c r="AR45" s="66">
        <f t="shared" si="13"/>
        <v>0</v>
      </c>
    </row>
    <row r="47" s="3" customFormat="1" ht="12" spans="1:49">
      <c r="C47" s="68"/>
      <c r="D47" s="68"/>
      <c r="E47" s="68"/>
      <c r="F47" s="68"/>
      <c r="G47" s="68"/>
      <c r="J47" s="68"/>
      <c r="K47" s="68"/>
      <c r="L47" s="68"/>
      <c r="M47" s="68"/>
      <c r="O47" s="68"/>
      <c r="Q47" s="68"/>
      <c r="AS47" s="68"/>
      <c r="AT47" s="68"/>
      <c r="AU47" s="68"/>
      <c r="AV47" s="68"/>
      <c r="AW47" s="68"/>
    </row>
  </sheetData>
  <mergeCells count="11">
    <mergeCell ref="A11:I11"/>
    <mergeCell ref="J11:O11"/>
    <mergeCell ref="P11:V11"/>
    <mergeCell ref="W11:AH11"/>
    <mergeCell ref="AI11:AN11"/>
    <mergeCell ref="AO11:AR11"/>
    <mergeCell ref="C47:D47"/>
    <mergeCell ref="AS47:AW47"/>
    <mergeCell ref="AT11:AT25"/>
    <mergeCell ref="A1:D4"/>
    <mergeCell ref="A5:D6"/>
  </mergeCells>
  <dataValidations count="5">
    <dataValidation type="list" allowBlank="1" showInputMessage="1" showErrorMessage="1" sqref="C14:C45">
      <formula1>"新客户,老客户"</formula1>
    </dataValidation>
    <dataValidation type="list" allowBlank="1" showInputMessage="1" showErrorMessage="1" sqref="E14:E45 I14:I45">
      <formula1>"是,否"</formula1>
    </dataValidation>
    <dataValidation type="list" allowBlank="1" showInputMessage="1" showErrorMessage="1" sqref="F14:F45">
      <formula1>"经销商,养殖户,以养带销"</formula1>
    </dataValidation>
    <dataValidation type="list" allowBlank="1" showInputMessage="1" showErrorMessage="1" sqref="G14:G45">
      <formula1>#REF!</formula1>
    </dataValidation>
    <dataValidation type="list" allowBlank="1" showInputMessage="1" showErrorMessage="1" sqref="H14:H45">
      <formula1>INDIRECT(G14)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87</vt:i4>
      </vt:variant>
    </vt:vector>
  </HeadingPairs>
  <TitlesOfParts>
    <vt:vector size="87" baseType="lpstr">
      <vt:lpstr>目录</vt:lpstr>
      <vt:lpstr>总体指标</vt:lpstr>
      <vt:lpstr>年度利润表</vt:lpstr>
      <vt:lpstr>月度利润表</vt:lpstr>
      <vt:lpstr>产线贡献表</vt:lpstr>
      <vt:lpstr>人效表</vt:lpstr>
      <vt:lpstr>基础档案</vt:lpstr>
      <vt:lpstr>物料档案</vt:lpstr>
      <vt:lpstr>A5 表样-聚焦镇量利（查阅）</vt:lpstr>
      <vt:lpstr>A6 表样-大类量利（查阅）</vt:lpstr>
      <vt:lpstr>A7 大类小类量利（查阅）</vt:lpstr>
      <vt:lpstr>新增-产品系列配销差及吨毛利（查阅）</vt:lpstr>
      <vt:lpstr>A9-表样-客户产品毛利表（外销）</vt:lpstr>
      <vt:lpstr>A9-表样-客户产品毛利表（内销）</vt:lpstr>
      <vt:lpstr>查阅-产品生产成本</vt:lpstr>
      <vt:lpstr> 单吨制造费用-生产、财务-查阅</vt:lpstr>
      <vt:lpstr>查阅-动保产品大类毛利</vt:lpstr>
      <vt:lpstr>查阅-动保产品大类毛利 (分月)</vt:lpstr>
      <vt:lpstr>查阅-动保产品公司毛利（分月）</vt:lpstr>
      <vt:lpstr>查阅-动保产品毛利表（明细）</vt:lpstr>
      <vt:lpstr>填写-饲料销量-营销部</vt:lpstr>
      <vt:lpstr>填写-动保销售额-营销部</vt:lpstr>
      <vt:lpstr>填写-动保发酵料-营销部</vt:lpstr>
      <vt:lpstr>填写-动保销售额（除发酵料）删除-动保公司填写</vt:lpstr>
      <vt:lpstr>填写-动保销量（发酵料）删除--动保公司填写</vt:lpstr>
      <vt:lpstr>填写-动保成本（除发酵料）--动保公司填写</vt:lpstr>
      <vt:lpstr>填写-动保成本（发酵料）--动保公司填写</vt:lpstr>
      <vt:lpstr>填写-内部代工（需求方）-营业部</vt:lpstr>
      <vt:lpstr>填写-内部代工（生产方）-财务</vt:lpstr>
      <vt:lpstr>填写-产品价目表-财务部</vt:lpstr>
      <vt:lpstr>填写-配方成本-配方师</vt:lpstr>
      <vt:lpstr>填写-产品折扣-财务部</vt:lpstr>
      <vt:lpstr>填写-包材成本-采购、财务</vt:lpstr>
      <vt:lpstr>填写-主要原料价格-采购</vt:lpstr>
      <vt:lpstr>表3 产量-生产产量填报表</vt:lpstr>
      <vt:lpstr>表3 产量-汇总表（按大类）</vt:lpstr>
      <vt:lpstr>制造费用-填报生产部</vt:lpstr>
      <vt:lpstr>单吨制费计算表</vt:lpstr>
      <vt:lpstr>表4.1 人员定编表（四定表）明细- 人资</vt:lpstr>
      <vt:lpstr>人工成本明细-人资</vt:lpstr>
      <vt:lpstr>表7 表样-销费</vt:lpstr>
      <vt:lpstr>表7.1 表样-销费科目明细</vt:lpstr>
      <vt:lpstr>填写-职工福利费</vt:lpstr>
      <vt:lpstr>填写-销售推广费 (广告)</vt:lpstr>
      <vt:lpstr>填写-业务招待费</vt:lpstr>
      <vt:lpstr>填写-销售推广费 (物资推广) </vt:lpstr>
      <vt:lpstr>填写-会务费</vt:lpstr>
      <vt:lpstr>填写-其他销售费用-财务</vt:lpstr>
      <vt:lpstr>A8 表样-管费汇总-财务</vt:lpstr>
      <vt:lpstr>A8-1 表样-管费明细-财务</vt:lpstr>
      <vt:lpstr>管-职工福利费-人资</vt:lpstr>
      <vt:lpstr>管-差旅费-各部门</vt:lpstr>
      <vt:lpstr>管-业务招待费-各部门</vt:lpstr>
      <vt:lpstr>管-专业及政府费用-各部门</vt:lpstr>
      <vt:lpstr>管-员工培训</vt:lpstr>
      <vt:lpstr>管-招聘费用</vt:lpstr>
      <vt:lpstr>管-办公费用</vt:lpstr>
      <vt:lpstr>管-维修费</vt:lpstr>
      <vt:lpstr>管-房屋租金</vt:lpstr>
      <vt:lpstr>管-水电</vt:lpstr>
      <vt:lpstr>管-检测费</vt:lpstr>
      <vt:lpstr>管-运输费</vt:lpstr>
      <vt:lpstr>管-会务费</vt:lpstr>
      <vt:lpstr>管-公车费用</vt:lpstr>
      <vt:lpstr>管-其他管理费用</vt:lpstr>
      <vt:lpstr>专项激励-填报-各部门</vt:lpstr>
      <vt:lpstr>A9 表样-财务费用汇总-财务</vt:lpstr>
      <vt:lpstr>营业税金及附加-财务</vt:lpstr>
      <vt:lpstr>其他业务收支</vt:lpstr>
      <vt:lpstr>营业外收支</vt:lpstr>
      <vt:lpstr>所得税-财务</vt:lpstr>
      <vt:lpstr>特殊考核调整总数</vt:lpstr>
      <vt:lpstr>利润调整明细（填写）</vt:lpstr>
      <vt:lpstr>养殖基地汇总-查询</vt:lpstr>
      <vt:lpstr>填写-养殖基地-明细</vt:lpstr>
      <vt:lpstr>固定资产折旧费汇总-查询</vt:lpstr>
      <vt:lpstr>固定资产折旧费明细-查询表</vt:lpstr>
      <vt:lpstr>新增固定资产填报表(填报）各部门</vt:lpstr>
      <vt:lpstr>新增无形资产填报表(填报）财务部，信息部</vt:lpstr>
      <vt:lpstr>无形资产摊销汇总-查询</vt:lpstr>
      <vt:lpstr>无形资产摊销费明细-查询表</vt:lpstr>
      <vt:lpstr>查阅-公司（聚焦镇、大客户）汇总</vt:lpstr>
      <vt:lpstr>查阅-各产线汇总</vt:lpstr>
      <vt:lpstr>填写-公司汇总表</vt:lpstr>
      <vt:lpstr>饲料资金预算--查询表（财务部）</vt:lpstr>
      <vt:lpstr>填写-动保资金预算填报表-业务员</vt:lpstr>
      <vt:lpstr>填写-饲料资金预算填报表-业务员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aohua</dc:creator>
  <cp:lastModifiedBy>la tea</cp:lastModifiedBy>
  <dcterms:created xsi:type="dcterms:W3CDTF">2023-05-12T11:15:00Z</dcterms:created>
  <dcterms:modified xsi:type="dcterms:W3CDTF">2026-04-29T02:19:55Z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DE466A0A97384B1C9741A25386E336E3_13</vt:lpwstr>
  </property>
  <property fmtid="{D5CDD505-2E9C-101B-9397-08002B2CF9AE}" pid="4" name="CalculationRule">
    <vt:i4>0</vt:i4>
  </property>
</Properties>
</file>