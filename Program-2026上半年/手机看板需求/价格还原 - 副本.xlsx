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<sst xmlns="http://schemas.openxmlformats.org/spreadsheetml/2006/main" count="13" uniqueCount="11">
  <si>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BOM</t>
  </si>
  <si>
    <t>到货日期</t>
  </si>
  <si>
    <t>原料号</t>
  </si>
  <si>
    <t>库存</t>
  </si>
  <si>
    <t>到货数量</t>
  </si>
  <si>
    <t>到货价格</t>
  </si>
  <si>
    <t>加权平均</t>
  </si>
  <si>
    <t>生产日期</t>
  </si>
  <si>
    <t>产成品号</t>
  </si>
  <si>
    <t>生产</t>
  </si>
  <si>
    <t>配方价格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</si>
</sst>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"/>
  <sheetViews>
    <sheetView tabSelected="1" zoomScale="115" zoomScaleNormal="115" workbookViewId="0">
      <selection activeCell="G12" sqref="G12"/>
    </sheetView>
  </sheetViews>
  <sheetFormatPr defaultColWidth="8.88888888888889" defaultRowHeight="14.4"/>
  <cols>
    <col min="2" max="2" width="9.66666666666667"/>
    <col min="7" max="7" width="12.8888888888889"/>
    <col min="9" max="9" width="10.7777777777778"/>
    <col min="14" max="14" width="12.8888888888889"/>
  </cols>
  <sheetData>
    <row r="1" spans="2:14">
      <c r="M1" t="s">
        <v>0</v>
      </c>
    </row>
    <row r="2" spans="2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3</v>
      </c>
      <c r="L2" t="s">
        <v>9</v>
      </c>
      <c r="M2" t="s">
        <v>10</v>
      </c>
      <c r="N2" t="s">
        <v>6</v>
      </c>
    </row>
    <row r="3" spans="2:14">
      <c r="B3" s="1">
        <v>46082</v>
      </c>
      <c r="C3">
        <v>100</v>
      </c>
      <c r="D3">
        <v>100</v>
      </c>
      <c r="E3">
        <v>0</v>
      </c>
      <c r="F3">
        <v>100</v>
      </c>
      <c r="G3">
        <v>100</v>
      </c>
      <c r="I3" s="1">
        <v>46082</v>
      </c>
      <c r="J3">
        <v>900</v>
      </c>
      <c r="K3">
        <v>100</v>
      </c>
      <c r="L3">
        <v>0</v>
      </c>
      <c r="M3">
        <v>1000</v>
      </c>
      <c r="N3">
        <v>1000</v>
      </c>
    </row>
    <row r="4" spans="2:14">
      <c r="B4" s="1">
        <v>46083</v>
      </c>
      <c r="C4">
        <v>100</v>
      </c>
      <c r="D4">
        <v>100</v>
      </c>
      <c r="E4">
        <v>50</v>
      </c>
      <c r="F4">
        <v>105</v>
      </c>
      <c r="G4">
        <f>(F4*E4+D4*G3)/(E4+D4)</f>
        <v>101.666666666667</v>
      </c>
      <c r="I4" s="1">
        <v>46083</v>
      </c>
      <c r="J4">
        <v>900</v>
      </c>
      <c r="K4">
        <v>100</v>
      </c>
      <c r="L4">
        <v>50</v>
      </c>
      <c r="M4">
        <v>1010</v>
      </c>
      <c r="N4">
        <f>(M4*L4+K4*N3)/(L4+K4)</f>
        <v>1003.33333333333</v>
      </c>
    </row>
    <row r="5" spans="2:14">
      <c r="B5" s="1">
        <v>46084</v>
      </c>
      <c r="C5">
        <v>100</v>
      </c>
      <c r="D5">
        <v>150</v>
      </c>
      <c r="E5">
        <v>50</v>
      </c>
      <c r="F5">
        <v>95</v>
      </c>
      <c r="G5">
        <f>(F5*E5+D5*G4)/(E5+D5)</f>
        <v>100</v>
      </c>
      <c r="I5" s="1">
        <v>46084</v>
      </c>
      <c r="J5">
        <v>900</v>
      </c>
      <c r="K5">
        <v>150</v>
      </c>
      <c r="L5">
        <v>50</v>
      </c>
      <c r="M5">
        <v>990</v>
      </c>
      <c r="N5">
        <f>(M5*L5+K5*N4)/(L5+K5)</f>
        <v>1000</v>
      </c>
    </row>
    <row r="9" spans="2:14">
      <c r="J9">
        <f>100*1000+50*1010+50*990</f>
        <v>200000</v>
      </c>
      <c r="K9">
        <v>200</v>
      </c>
      <c r="L9">
        <f>J9/K9</f>
        <v>1000</v>
      </c>
    </row>
    <row r="11" spans="2:14">
      <c r="I11" s="2">
        <v>46081</v>
      </c>
      <c r="J11">
        <v>900</v>
      </c>
      <c r="K11">
        <v>100</v>
      </c>
      <c r="L11">
        <v>0</v>
      </c>
      <c r="M11">
        <v>1000</v>
      </c>
      <c r="N11">
        <v>1000</v>
      </c>
    </row>
    <row r="12" spans="2:14">
      <c r="I12" s="1">
        <v>46082</v>
      </c>
      <c r="J12">
        <v>900</v>
      </c>
      <c r="K12">
        <v>100</v>
      </c>
      <c r="L12">
        <v>0</v>
      </c>
      <c r="M12">
        <v>1000</v>
      </c>
      <c r="N12">
        <v>1000</v>
      </c>
    </row>
    <row r="13" spans="2:14">
      <c r="I13" s="1">
        <v>46083</v>
      </c>
      <c r="J13">
        <v>900</v>
      </c>
      <c r="K13">
        <v>100</v>
      </c>
      <c r="L13">
        <v>0</v>
      </c>
      <c r="M13">
        <v>1000</v>
      </c>
      <c r="N13">
        <v>1000</v>
      </c>
    </row>
    <row r="14" spans="2:14">
      <c r="I14" s="1">
        <v>46084</v>
      </c>
      <c r="J14">
        <v>900</v>
      </c>
      <c r="K14">
        <v>100</v>
      </c>
      <c r="L14">
        <v>0</v>
      </c>
      <c r="M14">
        <v>1000</v>
      </c>
      <c r="N14">
        <v>1000</v>
      </c>
    </row>
    <row r="15" spans="2:14">
      <c r="I15" s="1">
        <v>46085</v>
      </c>
      <c r="J15">
        <v>900</v>
      </c>
      <c r="K15">
        <v>100</v>
      </c>
      <c r="L15">
        <v>0</v>
      </c>
      <c r="M15">
        <v>1000</v>
      </c>
      <c r="N15">
        <v>1000</v>
      </c>
    </row>
    <row r="16" spans="2:14">
      <c r="I16" s="1">
        <v>46086</v>
      </c>
      <c r="J16">
        <v>900</v>
      </c>
      <c r="K16">
        <v>100</v>
      </c>
      <c r="L16">
        <v>0</v>
      </c>
      <c r="M16">
        <v>1000</v>
      </c>
      <c r="N16">
        <v>1000</v>
      </c>
    </row>
    <row r="17" spans="9:14">
      <c r="I17" s="1">
        <v>46087</v>
      </c>
      <c r="J17">
        <v>900</v>
      </c>
      <c r="K17">
        <v>100</v>
      </c>
      <c r="L17">
        <v>0</v>
      </c>
      <c r="M17">
        <v>1000</v>
      </c>
      <c r="N17">
        <v>1000</v>
      </c>
    </row>
    <row r="18" spans="9:14">
      <c r="I18" s="1">
        <v>46088</v>
      </c>
      <c r="J18">
        <v>900</v>
      </c>
      <c r="K18">
        <v>100</v>
      </c>
      <c r="L18">
        <v>0</v>
      </c>
      <c r="M18">
        <v>1000</v>
      </c>
      <c r="N18">
        <v>1000</v>
      </c>
    </row>
    <row r="19" spans="9:14">
      <c r="I19" s="1">
        <v>46089</v>
      </c>
      <c r="J19">
        <v>900</v>
      </c>
      <c r="K19">
        <v>100</v>
      </c>
      <c r="L19">
        <v>0</v>
      </c>
      <c r="M19">
        <v>1000</v>
      </c>
      <c r="N19">
        <v>1000</v>
      </c>
    </row>
    <row r="20" spans="9:14">
      <c r="I20" s="1">
        <v>46090</v>
      </c>
      <c r="J20">
        <v>900</v>
      </c>
      <c r="K20">
        <v>100</v>
      </c>
      <c r="L20">
        <v>0</v>
      </c>
      <c r="M20">
        <v>1000</v>
      </c>
      <c r="N20">
        <v>1000</v>
      </c>
    </row>
    <row r="21" spans="9:14">
      <c r="I21" s="1">
        <v>46091</v>
      </c>
      <c r="J21">
        <v>900</v>
      </c>
      <c r="K21">
        <v>100</v>
      </c>
      <c r="L21">
        <v>0</v>
      </c>
      <c r="M21">
        <v>1000</v>
      </c>
      <c r="N21">
        <v>1000</v>
      </c>
    </row>
    <row r="22" spans="9:14">
      <c r="I22" s="1">
        <v>46092</v>
      </c>
      <c r="J22">
        <v>900</v>
      </c>
      <c r="K22">
        <v>100</v>
      </c>
      <c r="L22">
        <v>0</v>
      </c>
      <c r="M22">
        <v>1000</v>
      </c>
      <c r="N22">
        <v>1000</v>
      </c>
    </row>
    <row r="23" spans="9:14">
      <c r="I23" s="1">
        <v>46093</v>
      </c>
      <c r="J23">
        <v>900</v>
      </c>
      <c r="K23">
        <v>100</v>
      </c>
      <c r="L23">
        <v>0</v>
      </c>
      <c r="M23">
        <v>1000</v>
      </c>
      <c r="N23">
        <v>1000</v>
      </c>
    </row>
    <row r="24" spans="9:14">
      <c r="I24" s="1">
        <v>46094</v>
      </c>
      <c r="J24">
        <v>900</v>
      </c>
      <c r="K24">
        <v>100</v>
      </c>
      <c r="L24">
        <v>0</v>
      </c>
      <c r="M24">
        <v>1000</v>
      </c>
      <c r="N24">
        <v>1000</v>
      </c>
    </row>
    <row r="25" spans="9:14">
      <c r="I25" s="1">
        <v>46095</v>
      </c>
      <c r="J25">
        <v>900</v>
      </c>
      <c r="K25">
        <v>100</v>
      </c>
      <c r="L25">
        <v>0</v>
      </c>
      <c r="M25">
        <v>1000</v>
      </c>
      <c r="N25">
        <v>1000</v>
      </c>
    </row>
    <row r="26" spans="9:14">
      <c r="I26" s="1">
        <v>46096</v>
      </c>
      <c r="J26">
        <v>900</v>
      </c>
      <c r="K26">
        <v>100</v>
      </c>
      <c r="L26">
        <v>0</v>
      </c>
      <c r="M26">
        <v>1000</v>
      </c>
      <c r="N26">
        <v>1000</v>
      </c>
    </row>
    <row r="27" spans="9:14">
      <c r="I27" s="1">
        <v>46097</v>
      </c>
      <c r="J27">
        <v>900</v>
      </c>
      <c r="K27">
        <v>100</v>
      </c>
      <c r="L27">
        <v>0</v>
      </c>
      <c r="M27">
        <v>1000</v>
      </c>
      <c r="N27">
        <v>1000</v>
      </c>
    </row>
    <row r="28" spans="9:14">
      <c r="I28" s="1">
        <v>46098</v>
      </c>
      <c r="J28">
        <v>900</v>
      </c>
      <c r="K28">
        <v>100</v>
      </c>
      <c r="L28">
        <v>0</v>
      </c>
      <c r="M28">
        <v>1000</v>
      </c>
      <c r="N28">
        <v>1000</v>
      </c>
    </row>
    <row r="29" spans="9:14">
      <c r="I29" s="1">
        <v>46099</v>
      </c>
      <c r="J29">
        <v>900</v>
      </c>
      <c r="K29">
        <v>100</v>
      </c>
      <c r="L29">
        <v>0</v>
      </c>
      <c r="M29">
        <v>1000</v>
      </c>
      <c r="N29">
        <v>1000</v>
      </c>
    </row>
    <row r="30" spans="9:14">
      <c r="I30" s="1">
        <v>46100</v>
      </c>
      <c r="J30">
        <v>900</v>
      </c>
      <c r="K30">
        <v>200</v>
      </c>
      <c r="L30">
        <v>0</v>
      </c>
      <c r="M30">
        <v>1000</v>
      </c>
      <c r="N30">
        <v>1000</v>
      </c>
    </row>
    <row r="31" spans="9:14">
      <c r="I31" s="3">
        <v>46101</v>
      </c>
      <c r="J31">
        <v>900</v>
      </c>
      <c r="K31">
        <v>200</v>
      </c>
      <c r="L31">
        <v>50</v>
      </c>
      <c r="M31">
        <v>1010</v>
      </c>
      <c r="N31">
        <f>(M31*L31+K31*N30)/(L31+K31)</f>
        <v>1002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aohua</dc:creator>
  <cp:lastModifiedBy>美丽人生</cp:lastModifiedBy>
  <dcterms:created xsi:type="dcterms:W3CDTF">2026-03-20T01:19:26Z</dcterms:created>
  <dcterms:modified xsi:type="dcterms:W3CDTF">2026-03-20T01:48:38Z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4A4299B4C9444232AA0A0E692D8A681D_11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